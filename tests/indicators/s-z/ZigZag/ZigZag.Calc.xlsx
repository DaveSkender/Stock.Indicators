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stock-indicators.1\tests\indicators\s-z\ZigZag\"/>
    </mc:Choice>
  </mc:AlternateContent>
  <xr:revisionPtr revIDLastSave="0" documentId="13_ncr:1_{6E89FA3D-7CC7-4721-BE19-94E9ABA0348F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CloseType" sheetId="1" r:id="rId1"/>
    <sheet name="HighLowType" sheetId="2" r:id="rId2"/>
    <sheet name="NoEntry" sheetId="4" r:id="rId3"/>
    <sheet name="Issue1949" sheetId="6" r:id="rId4"/>
  </sheets>
  <definedNames>
    <definedName name="Threshold" localSheetId="1">HighLowType!$O$2</definedName>
    <definedName name="Threshold" localSheetId="3">Issue1949!#REF!</definedName>
    <definedName name="Threshold" localSheetId="2">NoEntry!$I$2</definedName>
    <definedName name="Threshold">CloseType!$O$2</definedName>
  </definedNames>
  <calcPr calcId="191029" iterate="1" iterateCount="1000" iterateDelta="1E-4"/>
</workbook>
</file>

<file path=xl/calcChain.xml><?xml version="1.0" encoding="utf-8"?>
<calcChain xmlns="http://schemas.openxmlformats.org/spreadsheetml/2006/main">
  <c r="E1" i="6" l="1"/>
  <c r="D1" i="6"/>
  <c r="K503" i="2"/>
  <c r="M503" i="2"/>
  <c r="G224" i="4"/>
  <c r="G301" i="4"/>
  <c r="E2" i="4"/>
  <c r="F2" i="4" s="1"/>
  <c r="K59" i="2"/>
  <c r="K41" i="2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G2" i="4"/>
  <c r="K500" i="2"/>
  <c r="K487" i="2"/>
  <c r="K280" i="2"/>
  <c r="K277" i="2"/>
  <c r="K294" i="2"/>
  <c r="K309" i="2"/>
  <c r="K314" i="2"/>
  <c r="K318" i="2"/>
  <c r="K337" i="2"/>
  <c r="K376" i="2"/>
  <c r="K449" i="2"/>
  <c r="K461" i="2"/>
  <c r="K479" i="2"/>
  <c r="K489" i="2"/>
  <c r="K491" i="2"/>
  <c r="K488" i="2"/>
  <c r="K485" i="2"/>
  <c r="K469" i="2"/>
  <c r="K453" i="2"/>
  <c r="K435" i="2"/>
  <c r="K365" i="2"/>
  <c r="K326" i="2"/>
  <c r="K317" i="2"/>
  <c r="K311" i="2"/>
  <c r="K301" i="2"/>
  <c r="K291" i="2"/>
  <c r="K278" i="2"/>
  <c r="K270" i="2"/>
  <c r="M317" i="2"/>
  <c r="N318" i="2"/>
  <c r="M326" i="2"/>
  <c r="N337" i="2"/>
  <c r="M365" i="2"/>
  <c r="N376" i="2"/>
  <c r="M435" i="2"/>
  <c r="N449" i="2"/>
  <c r="M453" i="2"/>
  <c r="N461" i="2"/>
  <c r="M469" i="2"/>
  <c r="N479" i="2"/>
  <c r="M485" i="2"/>
  <c r="N487" i="2"/>
  <c r="M488" i="2"/>
  <c r="N489" i="2"/>
  <c r="M491" i="2"/>
  <c r="N314" i="2"/>
  <c r="M301" i="2"/>
  <c r="N294" i="2"/>
  <c r="M291" i="2"/>
  <c r="N280" i="2"/>
  <c r="M278" i="2"/>
  <c r="N277" i="2"/>
  <c r="M41" i="2"/>
  <c r="I30" i="2"/>
  <c r="J30" i="2" s="1"/>
  <c r="I2" i="2"/>
  <c r="K2" i="2" s="1"/>
  <c r="F5" i="4" l="1"/>
  <c r="F4" i="4"/>
  <c r="F6" i="4"/>
  <c r="F3" i="4"/>
  <c r="N488" i="2"/>
  <c r="J2" i="2"/>
  <c r="I31" i="2"/>
  <c r="I3" i="2"/>
  <c r="J3" i="2" s="1"/>
  <c r="K453" i="1"/>
  <c r="K449" i="1"/>
  <c r="M503" i="1"/>
  <c r="N279" i="1"/>
  <c r="N294" i="1"/>
  <c r="N314" i="1"/>
  <c r="N461" i="1"/>
  <c r="N479" i="1"/>
  <c r="N499" i="1"/>
  <c r="M270" i="1"/>
  <c r="M290" i="1"/>
  <c r="M299" i="1"/>
  <c r="M434" i="1"/>
  <c r="M468" i="1"/>
  <c r="M485" i="1"/>
  <c r="K314" i="1"/>
  <c r="K434" i="1"/>
  <c r="K461" i="1"/>
  <c r="K468" i="1"/>
  <c r="K479" i="1"/>
  <c r="K485" i="1"/>
  <c r="K499" i="1"/>
  <c r="K299" i="1"/>
  <c r="K294" i="1"/>
  <c r="K290" i="1"/>
  <c r="K279" i="1"/>
  <c r="K270" i="1"/>
  <c r="K503" i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J29" i="1" s="1"/>
  <c r="I30" i="1"/>
  <c r="J30" i="1" s="1"/>
  <c r="F7" i="4" l="1"/>
  <c r="J31" i="2"/>
  <c r="I32" i="2"/>
  <c r="I4" i="2"/>
  <c r="J4" i="2" s="1"/>
  <c r="J2" i="1"/>
  <c r="J25" i="1"/>
  <c r="J17" i="1"/>
  <c r="J9" i="1"/>
  <c r="J24" i="1"/>
  <c r="J16" i="1"/>
  <c r="J8" i="1"/>
  <c r="J23" i="1"/>
  <c r="J15" i="1"/>
  <c r="J7" i="1"/>
  <c r="J22" i="1"/>
  <c r="J14" i="1"/>
  <c r="J6" i="1"/>
  <c r="J21" i="1"/>
  <c r="J13" i="1"/>
  <c r="J5" i="1"/>
  <c r="J28" i="1"/>
  <c r="J20" i="1"/>
  <c r="J12" i="1"/>
  <c r="J4" i="1"/>
  <c r="J27" i="1"/>
  <c r="J19" i="1"/>
  <c r="J11" i="1"/>
  <c r="J3" i="1"/>
  <c r="J26" i="1"/>
  <c r="J18" i="1"/>
  <c r="J10" i="1"/>
  <c r="I31" i="1"/>
  <c r="K2" i="1"/>
  <c r="F8" i="4" l="1"/>
  <c r="I33" i="2"/>
  <c r="J32" i="2"/>
  <c r="I5" i="2"/>
  <c r="J5" i="2" s="1"/>
  <c r="I32" i="1"/>
  <c r="J31" i="1"/>
  <c r="F9" i="4" l="1"/>
  <c r="I34" i="2"/>
  <c r="J33" i="2"/>
  <c r="I6" i="2"/>
  <c r="J6" i="2" s="1"/>
  <c r="I33" i="1"/>
  <c r="J32" i="1"/>
  <c r="F10" i="4" l="1"/>
  <c r="I35" i="2"/>
  <c r="J34" i="2"/>
  <c r="I7" i="2"/>
  <c r="J7" i="2" s="1"/>
  <c r="I34" i="1"/>
  <c r="J33" i="1"/>
  <c r="F11" i="4" l="1"/>
  <c r="I36" i="2"/>
  <c r="J35" i="2"/>
  <c r="I8" i="2"/>
  <c r="J8" i="2" s="1"/>
  <c r="I35" i="1"/>
  <c r="J34" i="1"/>
  <c r="F12" i="4" l="1"/>
  <c r="I37" i="2"/>
  <c r="J36" i="2"/>
  <c r="I9" i="2"/>
  <c r="J9" i="2" s="1"/>
  <c r="I36" i="1"/>
  <c r="J35" i="1"/>
  <c r="F13" i="4" l="1"/>
  <c r="I38" i="2"/>
  <c r="J37" i="2"/>
  <c r="I10" i="2"/>
  <c r="J10" i="2" s="1"/>
  <c r="I37" i="1"/>
  <c r="J36" i="1"/>
  <c r="F14" i="4" l="1"/>
  <c r="I39" i="2"/>
  <c r="J38" i="2"/>
  <c r="I11" i="2"/>
  <c r="J11" i="2" s="1"/>
  <c r="I38" i="1"/>
  <c r="J37" i="1"/>
  <c r="F15" i="4" l="1"/>
  <c r="I40" i="2"/>
  <c r="J39" i="2"/>
  <c r="I12" i="2"/>
  <c r="J12" i="2" s="1"/>
  <c r="I39" i="1"/>
  <c r="J38" i="1"/>
  <c r="F16" i="4" l="1"/>
  <c r="I41" i="2"/>
  <c r="J40" i="2"/>
  <c r="I13" i="2"/>
  <c r="J13" i="2" s="1"/>
  <c r="I40" i="1"/>
  <c r="J39" i="1"/>
  <c r="F17" i="4" l="1"/>
  <c r="I42" i="2"/>
  <c r="J41" i="2"/>
  <c r="I14" i="2"/>
  <c r="J14" i="2" s="1"/>
  <c r="I41" i="1"/>
  <c r="J40" i="1"/>
  <c r="F18" i="4" l="1"/>
  <c r="I43" i="2"/>
  <c r="J42" i="2"/>
  <c r="I15" i="2"/>
  <c r="J15" i="2" s="1"/>
  <c r="I42" i="1"/>
  <c r="J41" i="1"/>
  <c r="F19" i="4" l="1"/>
  <c r="I44" i="2"/>
  <c r="J43" i="2"/>
  <c r="I16" i="2"/>
  <c r="J16" i="2" s="1"/>
  <c r="I43" i="1"/>
  <c r="J42" i="1"/>
  <c r="F20" i="4" l="1"/>
  <c r="I45" i="2"/>
  <c r="J44" i="2"/>
  <c r="I17" i="2"/>
  <c r="J17" i="2" s="1"/>
  <c r="I44" i="1"/>
  <c r="J43" i="1"/>
  <c r="F21" i="4" l="1"/>
  <c r="I46" i="2"/>
  <c r="J45" i="2"/>
  <c r="I18" i="2"/>
  <c r="J18" i="2" s="1"/>
  <c r="I45" i="1"/>
  <c r="J44" i="1"/>
  <c r="F22" i="4" l="1"/>
  <c r="I47" i="2"/>
  <c r="J46" i="2"/>
  <c r="I19" i="2"/>
  <c r="J19" i="2" s="1"/>
  <c r="I46" i="1"/>
  <c r="J45" i="1"/>
  <c r="E24" i="4" l="1"/>
  <c r="F23" i="4"/>
  <c r="I48" i="2"/>
  <c r="J47" i="2"/>
  <c r="I20" i="2"/>
  <c r="J20" i="2" s="1"/>
  <c r="I47" i="1"/>
  <c r="J46" i="1"/>
  <c r="E25" i="4" l="1"/>
  <c r="F24" i="4"/>
  <c r="I49" i="2"/>
  <c r="J48" i="2"/>
  <c r="I21" i="2"/>
  <c r="J21" i="2" s="1"/>
  <c r="I48" i="1"/>
  <c r="J47" i="1"/>
  <c r="E26" i="4" l="1"/>
  <c r="F25" i="4"/>
  <c r="I50" i="2"/>
  <c r="J49" i="2"/>
  <c r="I22" i="2"/>
  <c r="J22" i="2" s="1"/>
  <c r="I49" i="1"/>
  <c r="J48" i="1"/>
  <c r="E27" i="4" l="1"/>
  <c r="F26" i="4"/>
  <c r="I51" i="2"/>
  <c r="J50" i="2"/>
  <c r="I23" i="2"/>
  <c r="J23" i="2" s="1"/>
  <c r="I50" i="1"/>
  <c r="J49" i="1"/>
  <c r="E28" i="4" l="1"/>
  <c r="F27" i="4"/>
  <c r="I52" i="2"/>
  <c r="J51" i="2"/>
  <c r="I24" i="2"/>
  <c r="J24" i="2" s="1"/>
  <c r="I51" i="1"/>
  <c r="J50" i="1"/>
  <c r="E29" i="4" l="1"/>
  <c r="F28" i="4"/>
  <c r="I53" i="2"/>
  <c r="J52" i="2"/>
  <c r="I25" i="2"/>
  <c r="J25" i="2" s="1"/>
  <c r="I52" i="1"/>
  <c r="J51" i="1"/>
  <c r="E30" i="4" l="1"/>
  <c r="F29" i="4"/>
  <c r="I54" i="2"/>
  <c r="J53" i="2"/>
  <c r="I26" i="2"/>
  <c r="J26" i="2" s="1"/>
  <c r="I53" i="1"/>
  <c r="J52" i="1"/>
  <c r="E31" i="4" l="1"/>
  <c r="F30" i="4"/>
  <c r="I55" i="2"/>
  <c r="J54" i="2"/>
  <c r="I27" i="2"/>
  <c r="J27" i="2" s="1"/>
  <c r="I54" i="1"/>
  <c r="J53" i="1"/>
  <c r="E32" i="4" l="1"/>
  <c r="F31" i="4"/>
  <c r="I56" i="2"/>
  <c r="J55" i="2"/>
  <c r="I28" i="2"/>
  <c r="J28" i="2" s="1"/>
  <c r="I55" i="1"/>
  <c r="J54" i="1"/>
  <c r="E33" i="4" l="1"/>
  <c r="F32" i="4"/>
  <c r="I57" i="2"/>
  <c r="J56" i="2"/>
  <c r="I29" i="2"/>
  <c r="J29" i="2" s="1"/>
  <c r="I56" i="1"/>
  <c r="J55" i="1"/>
  <c r="E34" i="4" l="1"/>
  <c r="F33" i="4"/>
  <c r="I58" i="2"/>
  <c r="J57" i="2"/>
  <c r="I57" i="1"/>
  <c r="J56" i="1"/>
  <c r="E35" i="4" l="1"/>
  <c r="F34" i="4"/>
  <c r="I59" i="2"/>
  <c r="J58" i="2"/>
  <c r="I58" i="1"/>
  <c r="J57" i="1"/>
  <c r="E36" i="4" l="1"/>
  <c r="F35" i="4"/>
  <c r="I60" i="2"/>
  <c r="J59" i="2"/>
  <c r="I59" i="1"/>
  <c r="J58" i="1"/>
  <c r="E37" i="4" l="1"/>
  <c r="F36" i="4"/>
  <c r="I61" i="2"/>
  <c r="J60" i="2"/>
  <c r="I60" i="1"/>
  <c r="J59" i="1"/>
  <c r="E38" i="4" l="1"/>
  <c r="F37" i="4"/>
  <c r="I62" i="2"/>
  <c r="J61" i="2"/>
  <c r="I61" i="1"/>
  <c r="J60" i="1"/>
  <c r="E39" i="4" l="1"/>
  <c r="F38" i="4"/>
  <c r="I63" i="2"/>
  <c r="J62" i="2"/>
  <c r="I62" i="1"/>
  <c r="J61" i="1"/>
  <c r="E40" i="4" l="1"/>
  <c r="F39" i="4"/>
  <c r="I64" i="2"/>
  <c r="J63" i="2"/>
  <c r="I63" i="1"/>
  <c r="J62" i="1"/>
  <c r="E41" i="4" l="1"/>
  <c r="F40" i="4"/>
  <c r="I65" i="2"/>
  <c r="J64" i="2"/>
  <c r="I64" i="1"/>
  <c r="J63" i="1"/>
  <c r="E42" i="4" l="1"/>
  <c r="F41" i="4"/>
  <c r="I66" i="2"/>
  <c r="J65" i="2"/>
  <c r="I65" i="1"/>
  <c r="J64" i="1"/>
  <c r="E43" i="4" l="1"/>
  <c r="F42" i="4"/>
  <c r="I67" i="2"/>
  <c r="J66" i="2"/>
  <c r="I66" i="1"/>
  <c r="J65" i="1"/>
  <c r="E44" i="4" l="1"/>
  <c r="F43" i="4"/>
  <c r="I68" i="2"/>
  <c r="J67" i="2"/>
  <c r="I67" i="1"/>
  <c r="J66" i="1"/>
  <c r="E45" i="4" l="1"/>
  <c r="F44" i="4"/>
  <c r="I69" i="2"/>
  <c r="J68" i="2"/>
  <c r="I68" i="1"/>
  <c r="J67" i="1"/>
  <c r="E46" i="4" l="1"/>
  <c r="F45" i="4"/>
  <c r="I70" i="2"/>
  <c r="J69" i="2"/>
  <c r="I69" i="1"/>
  <c r="J68" i="1"/>
  <c r="E47" i="4" l="1"/>
  <c r="F46" i="4"/>
  <c r="I71" i="2"/>
  <c r="J70" i="2"/>
  <c r="I70" i="1"/>
  <c r="J69" i="1"/>
  <c r="E48" i="4" l="1"/>
  <c r="F47" i="4"/>
  <c r="I72" i="2"/>
  <c r="J71" i="2"/>
  <c r="I71" i="1"/>
  <c r="J70" i="1"/>
  <c r="E49" i="4" l="1"/>
  <c r="F48" i="4"/>
  <c r="I73" i="2"/>
  <c r="J72" i="2"/>
  <c r="I72" i="1"/>
  <c r="J71" i="1"/>
  <c r="E50" i="4" l="1"/>
  <c r="F49" i="4"/>
  <c r="I74" i="2"/>
  <c r="J73" i="2"/>
  <c r="I73" i="1"/>
  <c r="J72" i="1"/>
  <c r="E51" i="4" l="1"/>
  <c r="F50" i="4"/>
  <c r="I75" i="2"/>
  <c r="J74" i="2"/>
  <c r="I74" i="1"/>
  <c r="J73" i="1"/>
  <c r="E52" i="4" l="1"/>
  <c r="F51" i="4"/>
  <c r="I76" i="2"/>
  <c r="J75" i="2"/>
  <c r="I75" i="1"/>
  <c r="J74" i="1"/>
  <c r="E53" i="4" l="1"/>
  <c r="F52" i="4"/>
  <c r="I77" i="2"/>
  <c r="J76" i="2"/>
  <c r="I76" i="1"/>
  <c r="J75" i="1"/>
  <c r="E54" i="4" l="1"/>
  <c r="F53" i="4"/>
  <c r="I78" i="2"/>
  <c r="J77" i="2"/>
  <c r="I77" i="1"/>
  <c r="J76" i="1"/>
  <c r="E55" i="4" l="1"/>
  <c r="F54" i="4"/>
  <c r="I79" i="2"/>
  <c r="J78" i="2"/>
  <c r="I78" i="1"/>
  <c r="J77" i="1"/>
  <c r="E56" i="4" l="1"/>
  <c r="F55" i="4"/>
  <c r="I80" i="2"/>
  <c r="J79" i="2"/>
  <c r="I79" i="1"/>
  <c r="J78" i="1"/>
  <c r="E57" i="4" l="1"/>
  <c r="F56" i="4"/>
  <c r="I81" i="2"/>
  <c r="J80" i="2"/>
  <c r="I80" i="1"/>
  <c r="J79" i="1"/>
  <c r="E58" i="4" l="1"/>
  <c r="F57" i="4"/>
  <c r="I82" i="2"/>
  <c r="J81" i="2"/>
  <c r="I81" i="1"/>
  <c r="J80" i="1"/>
  <c r="E59" i="4" l="1"/>
  <c r="F58" i="4"/>
  <c r="I83" i="2"/>
  <c r="J82" i="2"/>
  <c r="I82" i="1"/>
  <c r="J81" i="1"/>
  <c r="E60" i="4" l="1"/>
  <c r="F59" i="4"/>
  <c r="I84" i="2"/>
  <c r="J83" i="2"/>
  <c r="I83" i="1"/>
  <c r="J82" i="1"/>
  <c r="E61" i="4" l="1"/>
  <c r="F60" i="4"/>
  <c r="I85" i="2"/>
  <c r="J84" i="2"/>
  <c r="I84" i="1"/>
  <c r="J83" i="1"/>
  <c r="E62" i="4" l="1"/>
  <c r="F61" i="4"/>
  <c r="I86" i="2"/>
  <c r="J85" i="2"/>
  <c r="I85" i="1"/>
  <c r="J84" i="1"/>
  <c r="E63" i="4" l="1"/>
  <c r="F62" i="4"/>
  <c r="I87" i="2"/>
  <c r="J86" i="2"/>
  <c r="I86" i="1"/>
  <c r="J85" i="1"/>
  <c r="E64" i="4" l="1"/>
  <c r="F63" i="4"/>
  <c r="I88" i="2"/>
  <c r="J87" i="2"/>
  <c r="I87" i="1"/>
  <c r="J86" i="1"/>
  <c r="E65" i="4" l="1"/>
  <c r="F64" i="4"/>
  <c r="I89" i="2"/>
  <c r="J88" i="2"/>
  <c r="I88" i="1"/>
  <c r="J87" i="1"/>
  <c r="E66" i="4" l="1"/>
  <c r="F65" i="4"/>
  <c r="I90" i="2"/>
  <c r="J89" i="2"/>
  <c r="I89" i="1"/>
  <c r="J88" i="1"/>
  <c r="E67" i="4" l="1"/>
  <c r="F66" i="4"/>
  <c r="I91" i="2"/>
  <c r="J90" i="2"/>
  <c r="I90" i="1"/>
  <c r="J89" i="1"/>
  <c r="E68" i="4" l="1"/>
  <c r="F67" i="4"/>
  <c r="I92" i="2"/>
  <c r="J91" i="2"/>
  <c r="I91" i="1"/>
  <c r="J90" i="1"/>
  <c r="E69" i="4" l="1"/>
  <c r="F68" i="4"/>
  <c r="I93" i="2"/>
  <c r="J92" i="2"/>
  <c r="I92" i="1"/>
  <c r="J91" i="1"/>
  <c r="E70" i="4" l="1"/>
  <c r="F69" i="4"/>
  <c r="I94" i="2"/>
  <c r="J93" i="2"/>
  <c r="I93" i="1"/>
  <c r="J92" i="1"/>
  <c r="E71" i="4" l="1"/>
  <c r="F70" i="4"/>
  <c r="I95" i="2"/>
  <c r="J94" i="2"/>
  <c r="I94" i="1"/>
  <c r="J93" i="1"/>
  <c r="E72" i="4" l="1"/>
  <c r="F71" i="4"/>
  <c r="I96" i="2"/>
  <c r="J95" i="2"/>
  <c r="I95" i="1"/>
  <c r="J94" i="1"/>
  <c r="E73" i="4" l="1"/>
  <c r="F72" i="4"/>
  <c r="I97" i="2"/>
  <c r="J96" i="2"/>
  <c r="I96" i="1"/>
  <c r="J95" i="1"/>
  <c r="E74" i="4" l="1"/>
  <c r="F73" i="4"/>
  <c r="I98" i="2"/>
  <c r="J97" i="2"/>
  <c r="I97" i="1"/>
  <c r="J96" i="1"/>
  <c r="E75" i="4" l="1"/>
  <c r="F74" i="4"/>
  <c r="I99" i="2"/>
  <c r="J98" i="2"/>
  <c r="I98" i="1"/>
  <c r="J97" i="1"/>
  <c r="E76" i="4" l="1"/>
  <c r="F75" i="4"/>
  <c r="I100" i="2"/>
  <c r="J99" i="2"/>
  <c r="I99" i="1"/>
  <c r="J98" i="1"/>
  <c r="E77" i="4" l="1"/>
  <c r="F76" i="4"/>
  <c r="I101" i="2"/>
  <c r="J100" i="2"/>
  <c r="I100" i="1"/>
  <c r="J99" i="1"/>
  <c r="E78" i="4" l="1"/>
  <c r="F77" i="4"/>
  <c r="I102" i="2"/>
  <c r="J101" i="2"/>
  <c r="I101" i="1"/>
  <c r="J100" i="1"/>
  <c r="E79" i="4" l="1"/>
  <c r="F78" i="4"/>
  <c r="I103" i="2"/>
  <c r="J102" i="2"/>
  <c r="I102" i="1"/>
  <c r="J101" i="1"/>
  <c r="E80" i="4" l="1"/>
  <c r="F79" i="4"/>
  <c r="I104" i="2"/>
  <c r="J103" i="2"/>
  <c r="I103" i="1"/>
  <c r="J102" i="1"/>
  <c r="E81" i="4" l="1"/>
  <c r="F80" i="4"/>
  <c r="I105" i="2"/>
  <c r="J104" i="2"/>
  <c r="I104" i="1"/>
  <c r="J103" i="1"/>
  <c r="E82" i="4" l="1"/>
  <c r="F81" i="4"/>
  <c r="I106" i="2"/>
  <c r="J105" i="2"/>
  <c r="I105" i="1"/>
  <c r="J104" i="1"/>
  <c r="E83" i="4" l="1"/>
  <c r="F82" i="4"/>
  <c r="I107" i="2"/>
  <c r="J106" i="2"/>
  <c r="I106" i="1"/>
  <c r="J105" i="1"/>
  <c r="E84" i="4" l="1"/>
  <c r="F83" i="4"/>
  <c r="I108" i="2"/>
  <c r="J107" i="2"/>
  <c r="I107" i="1"/>
  <c r="J106" i="1"/>
  <c r="E85" i="4" l="1"/>
  <c r="F84" i="4"/>
  <c r="I109" i="2"/>
  <c r="J108" i="2"/>
  <c r="I108" i="1"/>
  <c r="J107" i="1"/>
  <c r="E86" i="4" l="1"/>
  <c r="F85" i="4"/>
  <c r="I110" i="2"/>
  <c r="J109" i="2"/>
  <c r="I109" i="1"/>
  <c r="J108" i="1"/>
  <c r="E87" i="4" l="1"/>
  <c r="F86" i="4"/>
  <c r="I111" i="2"/>
  <c r="J110" i="2"/>
  <c r="I110" i="1"/>
  <c r="J109" i="1"/>
  <c r="E88" i="4" l="1"/>
  <c r="F87" i="4"/>
  <c r="I112" i="2"/>
  <c r="J111" i="2"/>
  <c r="I111" i="1"/>
  <c r="J110" i="1"/>
  <c r="E89" i="4" l="1"/>
  <c r="F88" i="4"/>
  <c r="I113" i="2"/>
  <c r="J112" i="2"/>
  <c r="I112" i="1"/>
  <c r="J111" i="1"/>
  <c r="E90" i="4" l="1"/>
  <c r="F89" i="4"/>
  <c r="I114" i="2"/>
  <c r="J113" i="2"/>
  <c r="I113" i="1"/>
  <c r="J112" i="1"/>
  <c r="E91" i="4" l="1"/>
  <c r="F90" i="4"/>
  <c r="I115" i="2"/>
  <c r="J114" i="2"/>
  <c r="I114" i="1"/>
  <c r="J113" i="1"/>
  <c r="E92" i="4" l="1"/>
  <c r="F91" i="4"/>
  <c r="I116" i="2"/>
  <c r="J115" i="2"/>
  <c r="I115" i="1"/>
  <c r="J114" i="1"/>
  <c r="E93" i="4" l="1"/>
  <c r="F92" i="4"/>
  <c r="I117" i="2"/>
  <c r="J116" i="2"/>
  <c r="I116" i="1"/>
  <c r="J115" i="1"/>
  <c r="E94" i="4" l="1"/>
  <c r="F93" i="4"/>
  <c r="I118" i="2"/>
  <c r="J117" i="2"/>
  <c r="I117" i="1"/>
  <c r="J116" i="1"/>
  <c r="E95" i="4" l="1"/>
  <c r="F94" i="4"/>
  <c r="I119" i="2"/>
  <c r="J118" i="2"/>
  <c r="I118" i="1"/>
  <c r="J117" i="1"/>
  <c r="E96" i="4" l="1"/>
  <c r="F95" i="4"/>
  <c r="I120" i="2"/>
  <c r="J119" i="2"/>
  <c r="I119" i="1"/>
  <c r="J118" i="1"/>
  <c r="E97" i="4" l="1"/>
  <c r="F96" i="4"/>
  <c r="I121" i="2"/>
  <c r="J120" i="2"/>
  <c r="I120" i="1"/>
  <c r="J119" i="1"/>
  <c r="E98" i="4" l="1"/>
  <c r="F97" i="4"/>
  <c r="I122" i="2"/>
  <c r="J121" i="2"/>
  <c r="I121" i="1"/>
  <c r="J120" i="1"/>
  <c r="E99" i="4" l="1"/>
  <c r="F98" i="4"/>
  <c r="I123" i="2"/>
  <c r="J122" i="2"/>
  <c r="I122" i="1"/>
  <c r="J121" i="1"/>
  <c r="E100" i="4" l="1"/>
  <c r="F99" i="4"/>
  <c r="I124" i="2"/>
  <c r="J123" i="2"/>
  <c r="I123" i="1"/>
  <c r="J122" i="1"/>
  <c r="E101" i="4" l="1"/>
  <c r="F100" i="4"/>
  <c r="I125" i="2"/>
  <c r="J124" i="2"/>
  <c r="I124" i="1"/>
  <c r="J123" i="1"/>
  <c r="E102" i="4" l="1"/>
  <c r="F101" i="4"/>
  <c r="I126" i="2"/>
  <c r="J125" i="2"/>
  <c r="I125" i="1"/>
  <c r="J124" i="1"/>
  <c r="E103" i="4" l="1"/>
  <c r="F102" i="4"/>
  <c r="I127" i="2"/>
  <c r="J126" i="2"/>
  <c r="I126" i="1"/>
  <c r="J125" i="1"/>
  <c r="E104" i="4" l="1"/>
  <c r="F103" i="4"/>
  <c r="I128" i="2"/>
  <c r="J127" i="2"/>
  <c r="I127" i="1"/>
  <c r="J126" i="1"/>
  <c r="E105" i="4" l="1"/>
  <c r="F104" i="4"/>
  <c r="I129" i="2"/>
  <c r="J128" i="2"/>
  <c r="I128" i="1"/>
  <c r="J127" i="1"/>
  <c r="E106" i="4" l="1"/>
  <c r="F105" i="4"/>
  <c r="I130" i="2"/>
  <c r="J129" i="2"/>
  <c r="I129" i="1"/>
  <c r="J128" i="1"/>
  <c r="E107" i="4" l="1"/>
  <c r="F106" i="4"/>
  <c r="I131" i="2"/>
  <c r="J130" i="2"/>
  <c r="I130" i="1"/>
  <c r="J129" i="1"/>
  <c r="E108" i="4" l="1"/>
  <c r="F107" i="4"/>
  <c r="I132" i="2"/>
  <c r="J131" i="2"/>
  <c r="I131" i="1"/>
  <c r="J130" i="1"/>
  <c r="E109" i="4" l="1"/>
  <c r="F108" i="4"/>
  <c r="I133" i="2"/>
  <c r="J132" i="2"/>
  <c r="I132" i="1"/>
  <c r="J131" i="1"/>
  <c r="E110" i="4" l="1"/>
  <c r="F109" i="4"/>
  <c r="I134" i="2"/>
  <c r="J133" i="2"/>
  <c r="I133" i="1"/>
  <c r="J132" i="1"/>
  <c r="E111" i="4" l="1"/>
  <c r="F110" i="4"/>
  <c r="I135" i="2"/>
  <c r="J134" i="2"/>
  <c r="I134" i="1"/>
  <c r="J133" i="1"/>
  <c r="E112" i="4" l="1"/>
  <c r="F111" i="4"/>
  <c r="I136" i="2"/>
  <c r="J135" i="2"/>
  <c r="I135" i="1"/>
  <c r="J134" i="1"/>
  <c r="E113" i="4" l="1"/>
  <c r="F112" i="4"/>
  <c r="I137" i="2"/>
  <c r="J136" i="2"/>
  <c r="I136" i="1"/>
  <c r="J135" i="1"/>
  <c r="E114" i="4" l="1"/>
  <c r="F113" i="4"/>
  <c r="I138" i="2"/>
  <c r="J137" i="2"/>
  <c r="I137" i="1"/>
  <c r="J136" i="1"/>
  <c r="E115" i="4" l="1"/>
  <c r="F114" i="4"/>
  <c r="I139" i="2"/>
  <c r="J138" i="2"/>
  <c r="I138" i="1"/>
  <c r="J137" i="1"/>
  <c r="E116" i="4" l="1"/>
  <c r="F115" i="4"/>
  <c r="I140" i="2"/>
  <c r="J139" i="2"/>
  <c r="I139" i="1"/>
  <c r="J138" i="1"/>
  <c r="E117" i="4" l="1"/>
  <c r="F116" i="4"/>
  <c r="I141" i="2"/>
  <c r="J140" i="2"/>
  <c r="I140" i="1"/>
  <c r="J139" i="1"/>
  <c r="E118" i="4" l="1"/>
  <c r="F117" i="4"/>
  <c r="I142" i="2"/>
  <c r="J141" i="2"/>
  <c r="I141" i="1"/>
  <c r="J140" i="1"/>
  <c r="E119" i="4" l="1"/>
  <c r="F118" i="4"/>
  <c r="I143" i="2"/>
  <c r="J142" i="2"/>
  <c r="I142" i="1"/>
  <c r="J141" i="1"/>
  <c r="E120" i="4" l="1"/>
  <c r="F119" i="4"/>
  <c r="I144" i="2"/>
  <c r="J143" i="2"/>
  <c r="I143" i="1"/>
  <c r="J142" i="1"/>
  <c r="E121" i="4" l="1"/>
  <c r="F120" i="4"/>
  <c r="I145" i="2"/>
  <c r="J144" i="2"/>
  <c r="I144" i="1"/>
  <c r="J143" i="1"/>
  <c r="E122" i="4" l="1"/>
  <c r="F121" i="4"/>
  <c r="I146" i="2"/>
  <c r="J145" i="2"/>
  <c r="I145" i="1"/>
  <c r="J144" i="1"/>
  <c r="E123" i="4" l="1"/>
  <c r="F122" i="4"/>
  <c r="I147" i="2"/>
  <c r="J146" i="2"/>
  <c r="I146" i="1"/>
  <c r="J145" i="1"/>
  <c r="E124" i="4" l="1"/>
  <c r="F123" i="4"/>
  <c r="I148" i="2"/>
  <c r="J147" i="2"/>
  <c r="I147" i="1"/>
  <c r="J146" i="1"/>
  <c r="E125" i="4" l="1"/>
  <c r="F124" i="4"/>
  <c r="I149" i="2"/>
  <c r="J148" i="2"/>
  <c r="I148" i="1"/>
  <c r="J147" i="1"/>
  <c r="E126" i="4" l="1"/>
  <c r="F125" i="4"/>
  <c r="I150" i="2"/>
  <c r="J149" i="2"/>
  <c r="I149" i="1"/>
  <c r="J148" i="1"/>
  <c r="E127" i="4" l="1"/>
  <c r="F126" i="4"/>
  <c r="I151" i="2"/>
  <c r="J150" i="2"/>
  <c r="I150" i="1"/>
  <c r="J149" i="1"/>
  <c r="E128" i="4" l="1"/>
  <c r="F127" i="4"/>
  <c r="I152" i="2"/>
  <c r="J151" i="2"/>
  <c r="I151" i="1"/>
  <c r="J150" i="1"/>
  <c r="E129" i="4" l="1"/>
  <c r="F128" i="4"/>
  <c r="I153" i="2"/>
  <c r="J152" i="2"/>
  <c r="I152" i="1"/>
  <c r="J151" i="1"/>
  <c r="E130" i="4" l="1"/>
  <c r="F129" i="4"/>
  <c r="I154" i="2"/>
  <c r="J153" i="2"/>
  <c r="I153" i="1"/>
  <c r="J152" i="1"/>
  <c r="E131" i="4" l="1"/>
  <c r="F130" i="4"/>
  <c r="I155" i="2"/>
  <c r="J154" i="2"/>
  <c r="I154" i="1"/>
  <c r="J153" i="1"/>
  <c r="E132" i="4" l="1"/>
  <c r="F131" i="4"/>
  <c r="I156" i="2"/>
  <c r="J155" i="2"/>
  <c r="I155" i="1"/>
  <c r="J154" i="1"/>
  <c r="E133" i="4" l="1"/>
  <c r="F132" i="4"/>
  <c r="I157" i="2"/>
  <c r="J156" i="2"/>
  <c r="I156" i="1"/>
  <c r="J155" i="1"/>
  <c r="E134" i="4" l="1"/>
  <c r="F133" i="4"/>
  <c r="I158" i="2"/>
  <c r="J157" i="2"/>
  <c r="I157" i="1"/>
  <c r="J156" i="1"/>
  <c r="E135" i="4" l="1"/>
  <c r="F134" i="4"/>
  <c r="I159" i="2"/>
  <c r="J158" i="2"/>
  <c r="I158" i="1"/>
  <c r="J157" i="1"/>
  <c r="E136" i="4" l="1"/>
  <c r="F135" i="4"/>
  <c r="I160" i="2"/>
  <c r="J159" i="2"/>
  <c r="I159" i="1"/>
  <c r="J158" i="1"/>
  <c r="E137" i="4" l="1"/>
  <c r="F136" i="4"/>
  <c r="I161" i="2"/>
  <c r="J160" i="2"/>
  <c r="I160" i="1"/>
  <c r="J159" i="1"/>
  <c r="E138" i="4" l="1"/>
  <c r="F137" i="4"/>
  <c r="I162" i="2"/>
  <c r="J161" i="2"/>
  <c r="I161" i="1"/>
  <c r="J160" i="1"/>
  <c r="E139" i="4" l="1"/>
  <c r="F138" i="4"/>
  <c r="I163" i="2"/>
  <c r="J162" i="2"/>
  <c r="I162" i="1"/>
  <c r="J161" i="1"/>
  <c r="E140" i="4" l="1"/>
  <c r="F139" i="4"/>
  <c r="I164" i="2"/>
  <c r="J163" i="2"/>
  <c r="I163" i="1"/>
  <c r="J162" i="1"/>
  <c r="E141" i="4" l="1"/>
  <c r="F140" i="4"/>
  <c r="I165" i="2"/>
  <c r="J164" i="2"/>
  <c r="I164" i="1"/>
  <c r="J163" i="1"/>
  <c r="E142" i="4" l="1"/>
  <c r="F141" i="4"/>
  <c r="I166" i="2"/>
  <c r="J165" i="2"/>
  <c r="I165" i="1"/>
  <c r="J164" i="1"/>
  <c r="E143" i="4" l="1"/>
  <c r="F142" i="4"/>
  <c r="I167" i="2"/>
  <c r="J166" i="2"/>
  <c r="I166" i="1"/>
  <c r="J165" i="1"/>
  <c r="E144" i="4" l="1"/>
  <c r="F143" i="4"/>
  <c r="I168" i="2"/>
  <c r="J167" i="2"/>
  <c r="I167" i="1"/>
  <c r="J166" i="1"/>
  <c r="E145" i="4" l="1"/>
  <c r="F144" i="4"/>
  <c r="I169" i="2"/>
  <c r="J168" i="2"/>
  <c r="I168" i="1"/>
  <c r="J167" i="1"/>
  <c r="E146" i="4" l="1"/>
  <c r="F145" i="4"/>
  <c r="I170" i="2"/>
  <c r="J169" i="2"/>
  <c r="I169" i="1"/>
  <c r="J168" i="1"/>
  <c r="E147" i="4" l="1"/>
  <c r="F146" i="4"/>
  <c r="I171" i="2"/>
  <c r="J170" i="2"/>
  <c r="I170" i="1"/>
  <c r="J169" i="1"/>
  <c r="E148" i="4" l="1"/>
  <c r="F147" i="4"/>
  <c r="I172" i="2"/>
  <c r="J171" i="2"/>
  <c r="I171" i="1"/>
  <c r="J170" i="1"/>
  <c r="E149" i="4" l="1"/>
  <c r="F148" i="4"/>
  <c r="I173" i="2"/>
  <c r="J172" i="2"/>
  <c r="I172" i="1"/>
  <c r="J171" i="1"/>
  <c r="E150" i="4" l="1"/>
  <c r="F149" i="4"/>
  <c r="I174" i="2"/>
  <c r="J173" i="2"/>
  <c r="I173" i="1"/>
  <c r="J172" i="1"/>
  <c r="E151" i="4" l="1"/>
  <c r="F150" i="4"/>
  <c r="I175" i="2"/>
  <c r="J174" i="2"/>
  <c r="I174" i="1"/>
  <c r="J173" i="1"/>
  <c r="E152" i="4" l="1"/>
  <c r="F151" i="4"/>
  <c r="I176" i="2"/>
  <c r="J175" i="2"/>
  <c r="I175" i="1"/>
  <c r="J174" i="1"/>
  <c r="E153" i="4" l="1"/>
  <c r="F152" i="4"/>
  <c r="I177" i="2"/>
  <c r="J176" i="2"/>
  <c r="I176" i="1"/>
  <c r="J175" i="1"/>
  <c r="E154" i="4" l="1"/>
  <c r="F153" i="4"/>
  <c r="I178" i="2"/>
  <c r="J177" i="2"/>
  <c r="I177" i="1"/>
  <c r="J176" i="1"/>
  <c r="E155" i="4" l="1"/>
  <c r="F154" i="4"/>
  <c r="I179" i="2"/>
  <c r="J178" i="2"/>
  <c r="I178" i="1"/>
  <c r="J177" i="1"/>
  <c r="E156" i="4" l="1"/>
  <c r="F155" i="4"/>
  <c r="I180" i="2"/>
  <c r="J179" i="2"/>
  <c r="I179" i="1"/>
  <c r="J178" i="1"/>
  <c r="E157" i="4" l="1"/>
  <c r="F156" i="4"/>
  <c r="I181" i="2"/>
  <c r="J180" i="2"/>
  <c r="I180" i="1"/>
  <c r="J179" i="1"/>
  <c r="E158" i="4" l="1"/>
  <c r="F157" i="4"/>
  <c r="I182" i="2"/>
  <c r="J181" i="2"/>
  <c r="I181" i="1"/>
  <c r="J180" i="1"/>
  <c r="E159" i="4" l="1"/>
  <c r="F158" i="4"/>
  <c r="I183" i="2"/>
  <c r="J182" i="2"/>
  <c r="I182" i="1"/>
  <c r="J181" i="1"/>
  <c r="E160" i="4" l="1"/>
  <c r="F159" i="4"/>
  <c r="I184" i="2"/>
  <c r="J183" i="2"/>
  <c r="I183" i="1"/>
  <c r="J182" i="1"/>
  <c r="E161" i="4" l="1"/>
  <c r="F160" i="4"/>
  <c r="I185" i="2"/>
  <c r="J184" i="2"/>
  <c r="I184" i="1"/>
  <c r="J183" i="1"/>
  <c r="E162" i="4" l="1"/>
  <c r="F161" i="4"/>
  <c r="I186" i="2"/>
  <c r="J185" i="2"/>
  <c r="I185" i="1"/>
  <c r="J184" i="1"/>
  <c r="E163" i="4" l="1"/>
  <c r="F162" i="4"/>
  <c r="I187" i="2"/>
  <c r="J186" i="2"/>
  <c r="I186" i="1"/>
  <c r="J185" i="1"/>
  <c r="E164" i="4" l="1"/>
  <c r="F163" i="4"/>
  <c r="I188" i="2"/>
  <c r="J187" i="2"/>
  <c r="I187" i="1"/>
  <c r="J186" i="1"/>
  <c r="E165" i="4" l="1"/>
  <c r="F164" i="4"/>
  <c r="I189" i="2"/>
  <c r="J188" i="2"/>
  <c r="I188" i="1"/>
  <c r="J187" i="1"/>
  <c r="E166" i="4" l="1"/>
  <c r="F165" i="4"/>
  <c r="I190" i="2"/>
  <c r="J189" i="2"/>
  <c r="I189" i="1"/>
  <c r="J188" i="1"/>
  <c r="E167" i="4" l="1"/>
  <c r="F166" i="4"/>
  <c r="I191" i="2"/>
  <c r="J190" i="2"/>
  <c r="I190" i="1"/>
  <c r="J189" i="1"/>
  <c r="E168" i="4" l="1"/>
  <c r="F167" i="4"/>
  <c r="I192" i="2"/>
  <c r="J191" i="2"/>
  <c r="I191" i="1"/>
  <c r="J190" i="1"/>
  <c r="E169" i="4" l="1"/>
  <c r="F168" i="4"/>
  <c r="I193" i="2"/>
  <c r="J192" i="2"/>
  <c r="I192" i="1"/>
  <c r="J191" i="1"/>
  <c r="E170" i="4" l="1"/>
  <c r="F169" i="4"/>
  <c r="I194" i="2"/>
  <c r="J193" i="2"/>
  <c r="I193" i="1"/>
  <c r="J192" i="1"/>
  <c r="E171" i="4" l="1"/>
  <c r="F170" i="4"/>
  <c r="I195" i="2"/>
  <c r="J194" i="2"/>
  <c r="I194" i="1"/>
  <c r="J193" i="1"/>
  <c r="E172" i="4" l="1"/>
  <c r="F171" i="4"/>
  <c r="I196" i="2"/>
  <c r="J195" i="2"/>
  <c r="I195" i="1"/>
  <c r="J194" i="1"/>
  <c r="E173" i="4" l="1"/>
  <c r="F172" i="4"/>
  <c r="I197" i="2"/>
  <c r="J196" i="2"/>
  <c r="I196" i="1"/>
  <c r="J195" i="1"/>
  <c r="E174" i="4" l="1"/>
  <c r="F173" i="4"/>
  <c r="I198" i="2"/>
  <c r="J197" i="2"/>
  <c r="I197" i="1"/>
  <c r="J196" i="1"/>
  <c r="E175" i="4" l="1"/>
  <c r="F174" i="4"/>
  <c r="I199" i="2"/>
  <c r="J198" i="2"/>
  <c r="I198" i="1"/>
  <c r="J197" i="1"/>
  <c r="E176" i="4" l="1"/>
  <c r="F175" i="4"/>
  <c r="I200" i="2"/>
  <c r="J199" i="2"/>
  <c r="I199" i="1"/>
  <c r="J198" i="1"/>
  <c r="E177" i="4" l="1"/>
  <c r="F176" i="4"/>
  <c r="I201" i="2"/>
  <c r="J200" i="2"/>
  <c r="I200" i="1"/>
  <c r="J199" i="1"/>
  <c r="E178" i="4" l="1"/>
  <c r="F177" i="4"/>
  <c r="I202" i="2"/>
  <c r="J201" i="2"/>
  <c r="I201" i="1"/>
  <c r="J200" i="1"/>
  <c r="E179" i="4" l="1"/>
  <c r="F178" i="4"/>
  <c r="I203" i="2"/>
  <c r="J202" i="2"/>
  <c r="I202" i="1"/>
  <c r="J201" i="1"/>
  <c r="E180" i="4" l="1"/>
  <c r="F179" i="4"/>
  <c r="I204" i="2"/>
  <c r="J203" i="2"/>
  <c r="I203" i="1"/>
  <c r="J202" i="1"/>
  <c r="E181" i="4" l="1"/>
  <c r="F180" i="4"/>
  <c r="I205" i="2"/>
  <c r="J204" i="2"/>
  <c r="I204" i="1"/>
  <c r="J203" i="1"/>
  <c r="E182" i="4" l="1"/>
  <c r="F181" i="4"/>
  <c r="I206" i="2"/>
  <c r="J205" i="2"/>
  <c r="I205" i="1"/>
  <c r="J204" i="1"/>
  <c r="E183" i="4" l="1"/>
  <c r="F182" i="4"/>
  <c r="I207" i="2"/>
  <c r="J206" i="2"/>
  <c r="I206" i="1"/>
  <c r="J205" i="1"/>
  <c r="E184" i="4" l="1"/>
  <c r="F183" i="4"/>
  <c r="I208" i="2"/>
  <c r="J207" i="2"/>
  <c r="I207" i="1"/>
  <c r="J206" i="1"/>
  <c r="E185" i="4" l="1"/>
  <c r="F184" i="4"/>
  <c r="I209" i="2"/>
  <c r="J208" i="2"/>
  <c r="I208" i="1"/>
  <c r="J207" i="1"/>
  <c r="E186" i="4" l="1"/>
  <c r="F185" i="4"/>
  <c r="I210" i="2"/>
  <c r="J209" i="2"/>
  <c r="I209" i="1"/>
  <c r="J208" i="1"/>
  <c r="E187" i="4" l="1"/>
  <c r="F186" i="4"/>
  <c r="I211" i="2"/>
  <c r="J210" i="2"/>
  <c r="I210" i="1"/>
  <c r="J209" i="1"/>
  <c r="E188" i="4" l="1"/>
  <c r="F187" i="4"/>
  <c r="I212" i="2"/>
  <c r="J211" i="2"/>
  <c r="I211" i="1"/>
  <c r="J210" i="1"/>
  <c r="E189" i="4" l="1"/>
  <c r="F188" i="4"/>
  <c r="I213" i="2"/>
  <c r="J212" i="2"/>
  <c r="I212" i="1"/>
  <c r="J211" i="1"/>
  <c r="E190" i="4" l="1"/>
  <c r="F189" i="4"/>
  <c r="I214" i="2"/>
  <c r="J213" i="2"/>
  <c r="I213" i="1"/>
  <c r="J212" i="1"/>
  <c r="E191" i="4" l="1"/>
  <c r="F190" i="4"/>
  <c r="I215" i="2"/>
  <c r="J214" i="2"/>
  <c r="I214" i="1"/>
  <c r="J213" i="1"/>
  <c r="E192" i="4" l="1"/>
  <c r="F191" i="4"/>
  <c r="I216" i="2"/>
  <c r="J215" i="2"/>
  <c r="I215" i="1"/>
  <c r="J214" i="1"/>
  <c r="E193" i="4" l="1"/>
  <c r="F192" i="4"/>
  <c r="I217" i="2"/>
  <c r="J216" i="2"/>
  <c r="I216" i="1"/>
  <c r="J215" i="1"/>
  <c r="E194" i="4" l="1"/>
  <c r="F193" i="4"/>
  <c r="I218" i="2"/>
  <c r="J217" i="2"/>
  <c r="I217" i="1"/>
  <c r="J216" i="1"/>
  <c r="E195" i="4" l="1"/>
  <c r="F194" i="4"/>
  <c r="I219" i="2"/>
  <c r="J218" i="2"/>
  <c r="I218" i="1"/>
  <c r="J217" i="1"/>
  <c r="E196" i="4" l="1"/>
  <c r="F195" i="4"/>
  <c r="I220" i="2"/>
  <c r="J219" i="2"/>
  <c r="I219" i="1"/>
  <c r="J218" i="1"/>
  <c r="E197" i="4" l="1"/>
  <c r="F196" i="4"/>
  <c r="I221" i="2"/>
  <c r="J220" i="2"/>
  <c r="I220" i="1"/>
  <c r="J219" i="1"/>
  <c r="E198" i="4" l="1"/>
  <c r="F197" i="4"/>
  <c r="I222" i="2"/>
  <c r="J221" i="2"/>
  <c r="I221" i="1"/>
  <c r="J220" i="1"/>
  <c r="E199" i="4" l="1"/>
  <c r="F198" i="4"/>
  <c r="I223" i="2"/>
  <c r="J222" i="2"/>
  <c r="I222" i="1"/>
  <c r="J221" i="1"/>
  <c r="E200" i="4" l="1"/>
  <c r="F199" i="4"/>
  <c r="I224" i="2"/>
  <c r="J223" i="2"/>
  <c r="I223" i="1"/>
  <c r="J222" i="1"/>
  <c r="E201" i="4" l="1"/>
  <c r="F200" i="4"/>
  <c r="I225" i="2"/>
  <c r="J224" i="2"/>
  <c r="I224" i="1"/>
  <c r="J223" i="1"/>
  <c r="E202" i="4" l="1"/>
  <c r="F201" i="4"/>
  <c r="I226" i="2"/>
  <c r="J225" i="2"/>
  <c r="I225" i="1"/>
  <c r="J224" i="1"/>
  <c r="E203" i="4" l="1"/>
  <c r="F202" i="4"/>
  <c r="I227" i="2"/>
  <c r="J226" i="2"/>
  <c r="I226" i="1"/>
  <c r="J225" i="1"/>
  <c r="E204" i="4" l="1"/>
  <c r="F203" i="4"/>
  <c r="I228" i="2"/>
  <c r="J227" i="2"/>
  <c r="I227" i="1"/>
  <c r="J226" i="1"/>
  <c r="E205" i="4" l="1"/>
  <c r="F204" i="4"/>
  <c r="I229" i="2"/>
  <c r="J228" i="2"/>
  <c r="I228" i="1"/>
  <c r="J227" i="1"/>
  <c r="E206" i="4" l="1"/>
  <c r="F205" i="4"/>
  <c r="I230" i="2"/>
  <c r="J229" i="2"/>
  <c r="I229" i="1"/>
  <c r="J228" i="1"/>
  <c r="E207" i="4" l="1"/>
  <c r="F206" i="4"/>
  <c r="I231" i="2"/>
  <c r="J230" i="2"/>
  <c r="I230" i="1"/>
  <c r="J229" i="1"/>
  <c r="E208" i="4" l="1"/>
  <c r="F207" i="4"/>
  <c r="I232" i="2"/>
  <c r="J231" i="2"/>
  <c r="I231" i="1"/>
  <c r="J230" i="1"/>
  <c r="E209" i="4" l="1"/>
  <c r="F208" i="4"/>
  <c r="I233" i="2"/>
  <c r="J232" i="2"/>
  <c r="I232" i="1"/>
  <c r="J231" i="1"/>
  <c r="E210" i="4" l="1"/>
  <c r="F209" i="4"/>
  <c r="I234" i="2"/>
  <c r="J233" i="2"/>
  <c r="I233" i="1"/>
  <c r="J232" i="1"/>
  <c r="E211" i="4" l="1"/>
  <c r="F210" i="4"/>
  <c r="I235" i="2"/>
  <c r="J234" i="2"/>
  <c r="I234" i="1"/>
  <c r="J233" i="1"/>
  <c r="E212" i="4" l="1"/>
  <c r="F211" i="4"/>
  <c r="I236" i="2"/>
  <c r="J235" i="2"/>
  <c r="I235" i="1"/>
  <c r="J234" i="1"/>
  <c r="E213" i="4" l="1"/>
  <c r="F212" i="4"/>
  <c r="I237" i="2"/>
  <c r="J236" i="2"/>
  <c r="I236" i="1"/>
  <c r="J235" i="1"/>
  <c r="E214" i="4" l="1"/>
  <c r="F213" i="4"/>
  <c r="I238" i="2"/>
  <c r="J237" i="2"/>
  <c r="I237" i="1"/>
  <c r="J236" i="1"/>
  <c r="E215" i="4" l="1"/>
  <c r="F214" i="4"/>
  <c r="I239" i="2"/>
  <c r="J238" i="2"/>
  <c r="I238" i="1"/>
  <c r="J237" i="1"/>
  <c r="E216" i="4" l="1"/>
  <c r="F215" i="4"/>
  <c r="I240" i="2"/>
  <c r="J239" i="2"/>
  <c r="I239" i="1"/>
  <c r="J238" i="1"/>
  <c r="E217" i="4" l="1"/>
  <c r="F216" i="4"/>
  <c r="I241" i="2"/>
  <c r="J240" i="2"/>
  <c r="I240" i="1"/>
  <c r="J239" i="1"/>
  <c r="E218" i="4" l="1"/>
  <c r="F217" i="4"/>
  <c r="I242" i="2"/>
  <c r="J241" i="2"/>
  <c r="I241" i="1"/>
  <c r="J240" i="1"/>
  <c r="E219" i="4" l="1"/>
  <c r="F218" i="4"/>
  <c r="I243" i="2"/>
  <c r="J242" i="2"/>
  <c r="I242" i="1"/>
  <c r="J241" i="1"/>
  <c r="E220" i="4" l="1"/>
  <c r="F219" i="4"/>
  <c r="I244" i="2"/>
  <c r="J243" i="2"/>
  <c r="I243" i="1"/>
  <c r="J242" i="1"/>
  <c r="E221" i="4" l="1"/>
  <c r="F220" i="4"/>
  <c r="I245" i="2"/>
  <c r="J244" i="2"/>
  <c r="I244" i="1"/>
  <c r="J243" i="1"/>
  <c r="E222" i="4" l="1"/>
  <c r="F221" i="4"/>
  <c r="I246" i="2"/>
  <c r="J245" i="2"/>
  <c r="I245" i="1"/>
  <c r="J244" i="1"/>
  <c r="E223" i="4" l="1"/>
  <c r="F222" i="4"/>
  <c r="I247" i="2"/>
  <c r="J246" i="2"/>
  <c r="I246" i="1"/>
  <c r="J245" i="1"/>
  <c r="E224" i="4" l="1"/>
  <c r="F223" i="4"/>
  <c r="I248" i="2"/>
  <c r="J247" i="2"/>
  <c r="I247" i="1"/>
  <c r="J246" i="1"/>
  <c r="E225" i="4" l="1"/>
  <c r="F224" i="4"/>
  <c r="I249" i="2"/>
  <c r="J248" i="2"/>
  <c r="I248" i="1"/>
  <c r="J247" i="1"/>
  <c r="E226" i="4" l="1"/>
  <c r="F225" i="4"/>
  <c r="I250" i="2"/>
  <c r="J249" i="2"/>
  <c r="I249" i="1"/>
  <c r="J248" i="1"/>
  <c r="E227" i="4" l="1"/>
  <c r="F226" i="4"/>
  <c r="I251" i="2"/>
  <c r="J250" i="2"/>
  <c r="I250" i="1"/>
  <c r="J249" i="1"/>
  <c r="E228" i="4" l="1"/>
  <c r="F227" i="4"/>
  <c r="I252" i="2"/>
  <c r="J251" i="2"/>
  <c r="I251" i="1"/>
  <c r="J250" i="1"/>
  <c r="E229" i="4" l="1"/>
  <c r="F228" i="4"/>
  <c r="I253" i="2"/>
  <c r="J252" i="2"/>
  <c r="I252" i="1"/>
  <c r="J251" i="1"/>
  <c r="E230" i="4" l="1"/>
  <c r="F229" i="4"/>
  <c r="I254" i="2"/>
  <c r="J253" i="2"/>
  <c r="I253" i="1"/>
  <c r="J252" i="1"/>
  <c r="E231" i="4" l="1"/>
  <c r="F230" i="4"/>
  <c r="I255" i="2"/>
  <c r="J254" i="2"/>
  <c r="I254" i="1"/>
  <c r="J253" i="1"/>
  <c r="E232" i="4" l="1"/>
  <c r="F231" i="4"/>
  <c r="I256" i="2"/>
  <c r="J255" i="2"/>
  <c r="I255" i="1"/>
  <c r="J254" i="1"/>
  <c r="E233" i="4" l="1"/>
  <c r="F232" i="4"/>
  <c r="I257" i="2"/>
  <c r="J256" i="2"/>
  <c r="I256" i="1"/>
  <c r="J255" i="1"/>
  <c r="E234" i="4" l="1"/>
  <c r="F233" i="4"/>
  <c r="I258" i="2"/>
  <c r="J257" i="2"/>
  <c r="I257" i="1"/>
  <c r="J256" i="1"/>
  <c r="E235" i="4" l="1"/>
  <c r="F234" i="4"/>
  <c r="I259" i="2"/>
  <c r="J258" i="2"/>
  <c r="I258" i="1"/>
  <c r="J257" i="1"/>
  <c r="E236" i="4" l="1"/>
  <c r="F235" i="4"/>
  <c r="I260" i="2"/>
  <c r="J259" i="2"/>
  <c r="I259" i="1"/>
  <c r="J258" i="1"/>
  <c r="E237" i="4" l="1"/>
  <c r="F236" i="4"/>
  <c r="I261" i="2"/>
  <c r="J260" i="2"/>
  <c r="I260" i="1"/>
  <c r="J259" i="1"/>
  <c r="E238" i="4" l="1"/>
  <c r="F237" i="4"/>
  <c r="I262" i="2"/>
  <c r="J261" i="2"/>
  <c r="I261" i="1"/>
  <c r="J260" i="1"/>
  <c r="E239" i="4" l="1"/>
  <c r="F238" i="4"/>
  <c r="I263" i="2"/>
  <c r="J262" i="2"/>
  <c r="I262" i="1"/>
  <c r="J261" i="1"/>
  <c r="E240" i="4" l="1"/>
  <c r="F239" i="4"/>
  <c r="I264" i="2"/>
  <c r="J263" i="2"/>
  <c r="I263" i="1"/>
  <c r="J262" i="1"/>
  <c r="E241" i="4" l="1"/>
  <c r="F240" i="4"/>
  <c r="I265" i="2"/>
  <c r="J264" i="2"/>
  <c r="I264" i="1"/>
  <c r="J263" i="1"/>
  <c r="E242" i="4" l="1"/>
  <c r="F241" i="4"/>
  <c r="I266" i="2"/>
  <c r="J265" i="2"/>
  <c r="I265" i="1"/>
  <c r="J264" i="1"/>
  <c r="E243" i="4" l="1"/>
  <c r="F242" i="4"/>
  <c r="I267" i="2"/>
  <c r="J266" i="2"/>
  <c r="I266" i="1"/>
  <c r="J265" i="1"/>
  <c r="E244" i="4" l="1"/>
  <c r="F243" i="4"/>
  <c r="I268" i="2"/>
  <c r="J267" i="2"/>
  <c r="I267" i="1"/>
  <c r="J266" i="1"/>
  <c r="E245" i="4" l="1"/>
  <c r="F244" i="4"/>
  <c r="I269" i="2"/>
  <c r="J268" i="2"/>
  <c r="I268" i="1"/>
  <c r="J267" i="1"/>
  <c r="E246" i="4" l="1"/>
  <c r="F245" i="4"/>
  <c r="I270" i="2"/>
  <c r="J269" i="2"/>
  <c r="I269" i="1"/>
  <c r="J268" i="1"/>
  <c r="E247" i="4" l="1"/>
  <c r="F246" i="4"/>
  <c r="I271" i="2"/>
  <c r="J270" i="2"/>
  <c r="I270" i="1"/>
  <c r="J269" i="1"/>
  <c r="E248" i="4" l="1"/>
  <c r="F247" i="4"/>
  <c r="I272" i="2"/>
  <c r="J271" i="2"/>
  <c r="I271" i="1"/>
  <c r="J270" i="1"/>
  <c r="E249" i="4" l="1"/>
  <c r="F248" i="4"/>
  <c r="I273" i="2"/>
  <c r="J272" i="2"/>
  <c r="I272" i="1"/>
  <c r="J271" i="1"/>
  <c r="E250" i="4" l="1"/>
  <c r="F249" i="4"/>
  <c r="I274" i="2"/>
  <c r="J273" i="2"/>
  <c r="I273" i="1"/>
  <c r="J272" i="1"/>
  <c r="E251" i="4" l="1"/>
  <c r="F250" i="4"/>
  <c r="I275" i="2"/>
  <c r="J274" i="2"/>
  <c r="I274" i="1"/>
  <c r="J273" i="1"/>
  <c r="E252" i="4" l="1"/>
  <c r="F251" i="4"/>
  <c r="I276" i="2"/>
  <c r="J275" i="2"/>
  <c r="I275" i="1"/>
  <c r="J274" i="1"/>
  <c r="E253" i="4" l="1"/>
  <c r="F252" i="4"/>
  <c r="I277" i="2"/>
  <c r="J276" i="2"/>
  <c r="I276" i="1"/>
  <c r="J275" i="1"/>
  <c r="E254" i="4" l="1"/>
  <c r="F253" i="4"/>
  <c r="I278" i="2"/>
  <c r="J277" i="2"/>
  <c r="I277" i="1"/>
  <c r="J276" i="1"/>
  <c r="E255" i="4" l="1"/>
  <c r="F254" i="4"/>
  <c r="I279" i="2"/>
  <c r="J278" i="2"/>
  <c r="I278" i="1"/>
  <c r="J277" i="1"/>
  <c r="E256" i="4" l="1"/>
  <c r="F255" i="4"/>
  <c r="I280" i="2"/>
  <c r="J279" i="2"/>
  <c r="I279" i="1"/>
  <c r="J278" i="1"/>
  <c r="E257" i="4" l="1"/>
  <c r="F256" i="4"/>
  <c r="I281" i="2"/>
  <c r="J280" i="2"/>
  <c r="I280" i="1"/>
  <c r="J279" i="1"/>
  <c r="E258" i="4" l="1"/>
  <c r="F257" i="4"/>
  <c r="I282" i="2"/>
  <c r="J281" i="2"/>
  <c r="I281" i="1"/>
  <c r="J280" i="1"/>
  <c r="E259" i="4" l="1"/>
  <c r="F258" i="4"/>
  <c r="I283" i="2"/>
  <c r="J282" i="2"/>
  <c r="I282" i="1"/>
  <c r="J281" i="1"/>
  <c r="E260" i="4" l="1"/>
  <c r="F259" i="4"/>
  <c r="I284" i="2"/>
  <c r="J283" i="2"/>
  <c r="I283" i="1"/>
  <c r="J282" i="1"/>
  <c r="E261" i="4" l="1"/>
  <c r="F260" i="4"/>
  <c r="I285" i="2"/>
  <c r="J284" i="2"/>
  <c r="I284" i="1"/>
  <c r="J283" i="1"/>
  <c r="E262" i="4" l="1"/>
  <c r="F261" i="4"/>
  <c r="I286" i="2"/>
  <c r="J285" i="2"/>
  <c r="I285" i="1"/>
  <c r="J284" i="1"/>
  <c r="E263" i="4" l="1"/>
  <c r="F262" i="4"/>
  <c r="I287" i="2"/>
  <c r="J286" i="2"/>
  <c r="I286" i="1"/>
  <c r="J285" i="1"/>
  <c r="E264" i="4" l="1"/>
  <c r="F263" i="4"/>
  <c r="I288" i="2"/>
  <c r="J287" i="2"/>
  <c r="I287" i="1"/>
  <c r="J286" i="1"/>
  <c r="E265" i="4" l="1"/>
  <c r="F264" i="4"/>
  <c r="I289" i="2"/>
  <c r="J288" i="2"/>
  <c r="I288" i="1"/>
  <c r="J287" i="1"/>
  <c r="E266" i="4" l="1"/>
  <c r="F265" i="4"/>
  <c r="I290" i="2"/>
  <c r="J289" i="2"/>
  <c r="I289" i="1"/>
  <c r="J288" i="1"/>
  <c r="E267" i="4" l="1"/>
  <c r="F266" i="4"/>
  <c r="I291" i="2"/>
  <c r="J290" i="2"/>
  <c r="I290" i="1"/>
  <c r="J289" i="1"/>
  <c r="E268" i="4" l="1"/>
  <c r="F267" i="4"/>
  <c r="I292" i="2"/>
  <c r="J291" i="2"/>
  <c r="I291" i="1"/>
  <c r="J290" i="1"/>
  <c r="E269" i="4" l="1"/>
  <c r="F268" i="4"/>
  <c r="I293" i="2"/>
  <c r="J292" i="2"/>
  <c r="I292" i="1"/>
  <c r="J291" i="1"/>
  <c r="E270" i="4" l="1"/>
  <c r="F269" i="4"/>
  <c r="I294" i="2"/>
  <c r="J293" i="2"/>
  <c r="I293" i="1"/>
  <c r="J292" i="1"/>
  <c r="E271" i="4" l="1"/>
  <c r="F270" i="4"/>
  <c r="I295" i="2"/>
  <c r="J294" i="2"/>
  <c r="I294" i="1"/>
  <c r="J293" i="1"/>
  <c r="E272" i="4" l="1"/>
  <c r="F271" i="4"/>
  <c r="I296" i="2"/>
  <c r="J295" i="2"/>
  <c r="I295" i="1"/>
  <c r="J294" i="1"/>
  <c r="E273" i="4" l="1"/>
  <c r="F272" i="4"/>
  <c r="I297" i="2"/>
  <c r="J296" i="2"/>
  <c r="I296" i="1"/>
  <c r="J295" i="1"/>
  <c r="E274" i="4" l="1"/>
  <c r="F273" i="4"/>
  <c r="I298" i="2"/>
  <c r="J297" i="2"/>
  <c r="I297" i="1"/>
  <c r="J296" i="1"/>
  <c r="E275" i="4" l="1"/>
  <c r="F274" i="4"/>
  <c r="I299" i="2"/>
  <c r="J298" i="2"/>
  <c r="I298" i="1"/>
  <c r="J297" i="1"/>
  <c r="E276" i="4" l="1"/>
  <c r="F275" i="4"/>
  <c r="I300" i="2"/>
  <c r="J299" i="2"/>
  <c r="I299" i="1"/>
  <c r="J298" i="1"/>
  <c r="E277" i="4" l="1"/>
  <c r="F276" i="4"/>
  <c r="I301" i="2"/>
  <c r="J300" i="2"/>
  <c r="I300" i="1"/>
  <c r="J299" i="1"/>
  <c r="E278" i="4" l="1"/>
  <c r="F277" i="4"/>
  <c r="I302" i="2"/>
  <c r="J301" i="2"/>
  <c r="I301" i="1"/>
  <c r="J300" i="1"/>
  <c r="E279" i="4" l="1"/>
  <c r="F278" i="4"/>
  <c r="I303" i="2"/>
  <c r="J302" i="2"/>
  <c r="I302" i="1"/>
  <c r="J301" i="1"/>
  <c r="E280" i="4" l="1"/>
  <c r="F279" i="4"/>
  <c r="J303" i="2"/>
  <c r="I304" i="2"/>
  <c r="I303" i="1"/>
  <c r="J302" i="1"/>
  <c r="E281" i="4" l="1"/>
  <c r="F280" i="4"/>
  <c r="J304" i="2"/>
  <c r="I305" i="2"/>
  <c r="I304" i="1"/>
  <c r="J303" i="1"/>
  <c r="E282" i="4" l="1"/>
  <c r="F281" i="4"/>
  <c r="I306" i="2"/>
  <c r="J305" i="2"/>
  <c r="I305" i="1"/>
  <c r="J304" i="1"/>
  <c r="E283" i="4" l="1"/>
  <c r="F282" i="4"/>
  <c r="I307" i="2"/>
  <c r="J306" i="2"/>
  <c r="I306" i="1"/>
  <c r="J305" i="1"/>
  <c r="E284" i="4" l="1"/>
  <c r="F283" i="4"/>
  <c r="I308" i="2"/>
  <c r="J307" i="2"/>
  <c r="I307" i="1"/>
  <c r="J306" i="1"/>
  <c r="E285" i="4" l="1"/>
  <c r="F284" i="4"/>
  <c r="I309" i="2"/>
  <c r="J308" i="2"/>
  <c r="I308" i="1"/>
  <c r="J307" i="1"/>
  <c r="E286" i="4" l="1"/>
  <c r="F285" i="4"/>
  <c r="I310" i="2"/>
  <c r="J309" i="2"/>
  <c r="I309" i="1"/>
  <c r="J308" i="1"/>
  <c r="E287" i="4" l="1"/>
  <c r="F286" i="4"/>
  <c r="I311" i="2"/>
  <c r="J310" i="2"/>
  <c r="I310" i="1"/>
  <c r="J309" i="1"/>
  <c r="E288" i="4" l="1"/>
  <c r="F287" i="4"/>
  <c r="I312" i="2"/>
  <c r="J311" i="2"/>
  <c r="I311" i="1"/>
  <c r="J310" i="1"/>
  <c r="E289" i="4" l="1"/>
  <c r="F288" i="4"/>
  <c r="J312" i="2"/>
  <c r="I313" i="2"/>
  <c r="I312" i="1"/>
  <c r="J311" i="1"/>
  <c r="E290" i="4" l="1"/>
  <c r="F289" i="4"/>
  <c r="J313" i="2"/>
  <c r="I314" i="2"/>
  <c r="I313" i="1"/>
  <c r="J312" i="1"/>
  <c r="E291" i="4" l="1"/>
  <c r="F290" i="4"/>
  <c r="J314" i="2"/>
  <c r="I315" i="2"/>
  <c r="I314" i="1"/>
  <c r="J313" i="1"/>
  <c r="E292" i="4" l="1"/>
  <c r="F291" i="4"/>
  <c r="J315" i="2"/>
  <c r="I316" i="2"/>
  <c r="I315" i="1"/>
  <c r="J314" i="1"/>
  <c r="E293" i="4" l="1"/>
  <c r="F292" i="4"/>
  <c r="J316" i="2"/>
  <c r="I317" i="2"/>
  <c r="I316" i="1"/>
  <c r="J315" i="1"/>
  <c r="E294" i="4" l="1"/>
  <c r="F293" i="4"/>
  <c r="J317" i="2"/>
  <c r="I318" i="2"/>
  <c r="I317" i="1"/>
  <c r="J316" i="1"/>
  <c r="E295" i="4" l="1"/>
  <c r="F294" i="4"/>
  <c r="J318" i="2"/>
  <c r="I319" i="2"/>
  <c r="I318" i="1"/>
  <c r="J317" i="1"/>
  <c r="E296" i="4" l="1"/>
  <c r="F295" i="4"/>
  <c r="J319" i="2"/>
  <c r="I320" i="2"/>
  <c r="I319" i="1"/>
  <c r="J318" i="1"/>
  <c r="E297" i="4" l="1"/>
  <c r="F296" i="4"/>
  <c r="J320" i="2"/>
  <c r="I321" i="2"/>
  <c r="I320" i="1"/>
  <c r="J319" i="1"/>
  <c r="E298" i="4" l="1"/>
  <c r="F297" i="4"/>
  <c r="J321" i="2"/>
  <c r="I322" i="2"/>
  <c r="I321" i="1"/>
  <c r="J320" i="1"/>
  <c r="E299" i="4" l="1"/>
  <c r="F298" i="4"/>
  <c r="I323" i="2"/>
  <c r="J322" i="2"/>
  <c r="I322" i="1"/>
  <c r="J321" i="1"/>
  <c r="E300" i="4" l="1"/>
  <c r="F299" i="4"/>
  <c r="J323" i="2"/>
  <c r="I324" i="2"/>
  <c r="I323" i="1"/>
  <c r="J322" i="1"/>
  <c r="E301" i="4" l="1"/>
  <c r="F301" i="4" s="1"/>
  <c r="F300" i="4"/>
  <c r="J324" i="2"/>
  <c r="I325" i="2"/>
  <c r="I324" i="1"/>
  <c r="J323" i="1"/>
  <c r="I326" i="2" l="1"/>
  <c r="J325" i="2"/>
  <c r="I325" i="1"/>
  <c r="J324" i="1"/>
  <c r="I327" i="2" l="1"/>
  <c r="J326" i="2"/>
  <c r="I326" i="1"/>
  <c r="J325" i="1"/>
  <c r="J327" i="2" l="1"/>
  <c r="I328" i="2"/>
  <c r="I327" i="1"/>
  <c r="J326" i="1"/>
  <c r="J328" i="2" l="1"/>
  <c r="I329" i="2"/>
  <c r="I328" i="1"/>
  <c r="J327" i="1"/>
  <c r="I330" i="2" l="1"/>
  <c r="J329" i="2"/>
  <c r="I329" i="1"/>
  <c r="J328" i="1"/>
  <c r="I331" i="2" l="1"/>
  <c r="J330" i="2"/>
  <c r="I330" i="1"/>
  <c r="J329" i="1"/>
  <c r="I332" i="2" l="1"/>
  <c r="J331" i="2"/>
  <c r="I331" i="1"/>
  <c r="J330" i="1"/>
  <c r="J332" i="2" l="1"/>
  <c r="I333" i="2"/>
  <c r="I332" i="1"/>
  <c r="J331" i="1"/>
  <c r="J333" i="2" l="1"/>
  <c r="I334" i="2"/>
  <c r="I333" i="1"/>
  <c r="J332" i="1"/>
  <c r="J334" i="2" l="1"/>
  <c r="I335" i="2"/>
  <c r="I334" i="1"/>
  <c r="J333" i="1"/>
  <c r="I336" i="2" l="1"/>
  <c r="J335" i="2"/>
  <c r="I335" i="1"/>
  <c r="J334" i="1"/>
  <c r="J336" i="2" l="1"/>
  <c r="I337" i="2"/>
  <c r="I336" i="1"/>
  <c r="J335" i="1"/>
  <c r="J337" i="2" l="1"/>
  <c r="I338" i="2"/>
  <c r="I337" i="1"/>
  <c r="J336" i="1"/>
  <c r="J338" i="2" l="1"/>
  <c r="I339" i="2"/>
  <c r="I338" i="1"/>
  <c r="J337" i="1"/>
  <c r="J339" i="2" l="1"/>
  <c r="I340" i="2"/>
  <c r="I339" i="1"/>
  <c r="J338" i="1"/>
  <c r="I341" i="2" l="1"/>
  <c r="J340" i="2"/>
  <c r="I340" i="1"/>
  <c r="J339" i="1"/>
  <c r="I342" i="2" l="1"/>
  <c r="J341" i="2"/>
  <c r="I341" i="1"/>
  <c r="J340" i="1"/>
  <c r="I343" i="2" l="1"/>
  <c r="J342" i="2"/>
  <c r="I342" i="1"/>
  <c r="J341" i="1"/>
  <c r="J343" i="2" l="1"/>
  <c r="I344" i="2"/>
  <c r="I343" i="1"/>
  <c r="J342" i="1"/>
  <c r="I345" i="2" l="1"/>
  <c r="J344" i="2"/>
  <c r="I344" i="1"/>
  <c r="J343" i="1"/>
  <c r="I346" i="2" l="1"/>
  <c r="J345" i="2"/>
  <c r="I345" i="1"/>
  <c r="J344" i="1"/>
  <c r="I347" i="2" l="1"/>
  <c r="J346" i="2"/>
  <c r="I346" i="1"/>
  <c r="J345" i="1"/>
  <c r="I348" i="2" l="1"/>
  <c r="J347" i="2"/>
  <c r="I347" i="1"/>
  <c r="J346" i="1"/>
  <c r="J348" i="2" l="1"/>
  <c r="I349" i="2"/>
  <c r="I348" i="1"/>
  <c r="J347" i="1"/>
  <c r="I350" i="2" l="1"/>
  <c r="J349" i="2"/>
  <c r="I349" i="1"/>
  <c r="J348" i="1"/>
  <c r="I351" i="2" l="1"/>
  <c r="J350" i="2"/>
  <c r="I350" i="1"/>
  <c r="J349" i="1"/>
  <c r="I352" i="2" l="1"/>
  <c r="J351" i="2"/>
  <c r="I351" i="1"/>
  <c r="J350" i="1"/>
  <c r="I353" i="2" l="1"/>
  <c r="J352" i="2"/>
  <c r="I352" i="1"/>
  <c r="J351" i="1"/>
  <c r="I354" i="2" l="1"/>
  <c r="J353" i="2"/>
  <c r="I353" i="1"/>
  <c r="J352" i="1"/>
  <c r="I355" i="2" l="1"/>
  <c r="J354" i="2"/>
  <c r="I354" i="1"/>
  <c r="J353" i="1"/>
  <c r="I356" i="2" l="1"/>
  <c r="J355" i="2"/>
  <c r="I355" i="1"/>
  <c r="J354" i="1"/>
  <c r="I357" i="2" l="1"/>
  <c r="J356" i="2"/>
  <c r="I356" i="1"/>
  <c r="J355" i="1"/>
  <c r="I358" i="2" l="1"/>
  <c r="J357" i="2"/>
  <c r="I357" i="1"/>
  <c r="J356" i="1"/>
  <c r="I359" i="2" l="1"/>
  <c r="J358" i="2"/>
  <c r="I358" i="1"/>
  <c r="J357" i="1"/>
  <c r="I360" i="2" l="1"/>
  <c r="J359" i="2"/>
  <c r="I359" i="1"/>
  <c r="J358" i="1"/>
  <c r="I361" i="2" l="1"/>
  <c r="J360" i="2"/>
  <c r="I360" i="1"/>
  <c r="J359" i="1"/>
  <c r="I362" i="2" l="1"/>
  <c r="J361" i="2"/>
  <c r="I361" i="1"/>
  <c r="J360" i="1"/>
  <c r="I363" i="2" l="1"/>
  <c r="J362" i="2"/>
  <c r="I362" i="1"/>
  <c r="J361" i="1"/>
  <c r="I364" i="2" l="1"/>
  <c r="J363" i="2"/>
  <c r="I363" i="1"/>
  <c r="J362" i="1"/>
  <c r="I365" i="2" l="1"/>
  <c r="J364" i="2"/>
  <c r="I364" i="1"/>
  <c r="J363" i="1"/>
  <c r="I366" i="2" l="1"/>
  <c r="J365" i="2"/>
  <c r="I365" i="1"/>
  <c r="J364" i="1"/>
  <c r="J366" i="2" l="1"/>
  <c r="I367" i="2"/>
  <c r="I366" i="1"/>
  <c r="J365" i="1"/>
  <c r="I368" i="2" l="1"/>
  <c r="J367" i="2"/>
  <c r="I367" i="1"/>
  <c r="J366" i="1"/>
  <c r="I369" i="2" l="1"/>
  <c r="J368" i="2"/>
  <c r="I368" i="1"/>
  <c r="J367" i="1"/>
  <c r="J369" i="2" l="1"/>
  <c r="I370" i="2"/>
  <c r="I369" i="1"/>
  <c r="J368" i="1"/>
  <c r="I371" i="2" l="1"/>
  <c r="J370" i="2"/>
  <c r="I370" i="1"/>
  <c r="J369" i="1"/>
  <c r="I372" i="2" l="1"/>
  <c r="J371" i="2"/>
  <c r="I371" i="1"/>
  <c r="J370" i="1"/>
  <c r="J372" i="2" l="1"/>
  <c r="I373" i="2"/>
  <c r="I372" i="1"/>
  <c r="J371" i="1"/>
  <c r="J373" i="2" l="1"/>
  <c r="I374" i="2"/>
  <c r="I373" i="1"/>
  <c r="J372" i="1"/>
  <c r="I375" i="2" l="1"/>
  <c r="J374" i="2"/>
  <c r="I374" i="1"/>
  <c r="J373" i="1"/>
  <c r="J375" i="2" l="1"/>
  <c r="I376" i="2"/>
  <c r="I375" i="1"/>
  <c r="J374" i="1"/>
  <c r="I377" i="2" l="1"/>
  <c r="J376" i="2"/>
  <c r="I376" i="1"/>
  <c r="J375" i="1"/>
  <c r="J377" i="2" l="1"/>
  <c r="I378" i="2"/>
  <c r="I377" i="1"/>
  <c r="J376" i="1"/>
  <c r="I379" i="2" l="1"/>
  <c r="J378" i="2"/>
  <c r="I378" i="1"/>
  <c r="J377" i="1"/>
  <c r="I380" i="2" l="1"/>
  <c r="J379" i="2"/>
  <c r="I379" i="1"/>
  <c r="J378" i="1"/>
  <c r="I381" i="2" l="1"/>
  <c r="J380" i="2"/>
  <c r="I380" i="1"/>
  <c r="J379" i="1"/>
  <c r="I382" i="2" l="1"/>
  <c r="J381" i="2"/>
  <c r="I381" i="1"/>
  <c r="J380" i="1"/>
  <c r="I383" i="2" l="1"/>
  <c r="J382" i="2"/>
  <c r="I382" i="1"/>
  <c r="J381" i="1"/>
  <c r="J383" i="2" l="1"/>
  <c r="I384" i="2"/>
  <c r="I383" i="1"/>
  <c r="J382" i="1"/>
  <c r="J384" i="2" l="1"/>
  <c r="I385" i="2"/>
  <c r="I384" i="1"/>
  <c r="J383" i="1"/>
  <c r="I386" i="2" l="1"/>
  <c r="J385" i="2"/>
  <c r="I385" i="1"/>
  <c r="J384" i="1"/>
  <c r="I387" i="2" l="1"/>
  <c r="J386" i="2"/>
  <c r="I386" i="1"/>
  <c r="J385" i="1"/>
  <c r="I388" i="2" l="1"/>
  <c r="J387" i="2"/>
  <c r="I387" i="1"/>
  <c r="J386" i="1"/>
  <c r="J388" i="2" l="1"/>
  <c r="I389" i="2"/>
  <c r="I388" i="1"/>
  <c r="J387" i="1"/>
  <c r="I390" i="2" l="1"/>
  <c r="J389" i="2"/>
  <c r="I389" i="1"/>
  <c r="J388" i="1"/>
  <c r="J390" i="2" l="1"/>
  <c r="I391" i="2"/>
  <c r="I390" i="1"/>
  <c r="J389" i="1"/>
  <c r="J391" i="2" l="1"/>
  <c r="I392" i="2"/>
  <c r="I391" i="1"/>
  <c r="J390" i="1"/>
  <c r="J392" i="2" l="1"/>
  <c r="I393" i="2"/>
  <c r="I392" i="1"/>
  <c r="J391" i="1"/>
  <c r="I394" i="2" l="1"/>
  <c r="J393" i="2"/>
  <c r="I393" i="1"/>
  <c r="J392" i="1"/>
  <c r="I395" i="2" l="1"/>
  <c r="J394" i="2"/>
  <c r="I394" i="1"/>
  <c r="J393" i="1"/>
  <c r="I396" i="2" l="1"/>
  <c r="J395" i="2"/>
  <c r="I395" i="1"/>
  <c r="J394" i="1"/>
  <c r="I397" i="2" l="1"/>
  <c r="J396" i="2"/>
  <c r="I396" i="1"/>
  <c r="J395" i="1"/>
  <c r="I398" i="2" l="1"/>
  <c r="J397" i="2"/>
  <c r="I397" i="1"/>
  <c r="J396" i="1"/>
  <c r="J398" i="2" l="1"/>
  <c r="I399" i="2"/>
  <c r="I398" i="1"/>
  <c r="J397" i="1"/>
  <c r="I400" i="2" l="1"/>
  <c r="J399" i="2"/>
  <c r="I399" i="1"/>
  <c r="J398" i="1"/>
  <c r="J400" i="2" l="1"/>
  <c r="I401" i="2"/>
  <c r="I400" i="1"/>
  <c r="J399" i="1"/>
  <c r="J401" i="2" l="1"/>
  <c r="I402" i="2"/>
  <c r="I401" i="1"/>
  <c r="J400" i="1"/>
  <c r="J402" i="2" l="1"/>
  <c r="I403" i="2"/>
  <c r="I402" i="1"/>
  <c r="J401" i="1"/>
  <c r="I404" i="2" l="1"/>
  <c r="J403" i="2"/>
  <c r="I403" i="1"/>
  <c r="J402" i="1"/>
  <c r="J404" i="2" l="1"/>
  <c r="I405" i="2"/>
  <c r="I404" i="1"/>
  <c r="J403" i="1"/>
  <c r="J405" i="2" l="1"/>
  <c r="I406" i="2"/>
  <c r="I405" i="1"/>
  <c r="J404" i="1"/>
  <c r="J406" i="2" l="1"/>
  <c r="I407" i="2"/>
  <c r="I406" i="1"/>
  <c r="J405" i="1"/>
  <c r="I408" i="2" l="1"/>
  <c r="J407" i="2"/>
  <c r="I407" i="1"/>
  <c r="J406" i="1"/>
  <c r="J408" i="2" l="1"/>
  <c r="I409" i="2"/>
  <c r="I408" i="1"/>
  <c r="J407" i="1"/>
  <c r="I410" i="2" l="1"/>
  <c r="J409" i="2"/>
  <c r="I409" i="1"/>
  <c r="J408" i="1"/>
  <c r="J410" i="2" l="1"/>
  <c r="I411" i="2"/>
  <c r="I410" i="1"/>
  <c r="J409" i="1"/>
  <c r="J411" i="2" l="1"/>
  <c r="I412" i="2"/>
  <c r="I411" i="1"/>
  <c r="J410" i="1"/>
  <c r="J412" i="2" l="1"/>
  <c r="I413" i="2"/>
  <c r="I412" i="1"/>
  <c r="J411" i="1"/>
  <c r="I414" i="2" l="1"/>
  <c r="J413" i="2"/>
  <c r="I413" i="1"/>
  <c r="J412" i="1"/>
  <c r="J414" i="2" l="1"/>
  <c r="I415" i="2"/>
  <c r="I414" i="1"/>
  <c r="J413" i="1"/>
  <c r="I416" i="2" l="1"/>
  <c r="J415" i="2"/>
  <c r="I415" i="1"/>
  <c r="J414" i="1"/>
  <c r="J416" i="2" l="1"/>
  <c r="I417" i="2"/>
  <c r="I416" i="1"/>
  <c r="J415" i="1"/>
  <c r="J417" i="2" l="1"/>
  <c r="I418" i="2"/>
  <c r="I417" i="1"/>
  <c r="J416" i="1"/>
  <c r="J418" i="2" l="1"/>
  <c r="I419" i="2"/>
  <c r="I418" i="1"/>
  <c r="J417" i="1"/>
  <c r="J419" i="2" l="1"/>
  <c r="I420" i="2"/>
  <c r="I419" i="1"/>
  <c r="J418" i="1"/>
  <c r="J420" i="2" l="1"/>
  <c r="I421" i="2"/>
  <c r="I420" i="1"/>
  <c r="J419" i="1"/>
  <c r="I422" i="2" l="1"/>
  <c r="J421" i="2"/>
  <c r="I421" i="1"/>
  <c r="J420" i="1"/>
  <c r="J422" i="2" l="1"/>
  <c r="I423" i="2"/>
  <c r="I422" i="1"/>
  <c r="J421" i="1"/>
  <c r="I424" i="2" l="1"/>
  <c r="J423" i="2"/>
  <c r="I423" i="1"/>
  <c r="J422" i="1"/>
  <c r="I425" i="2" l="1"/>
  <c r="J424" i="2"/>
  <c r="I424" i="1"/>
  <c r="J423" i="1"/>
  <c r="J425" i="2" l="1"/>
  <c r="I426" i="2"/>
  <c r="I425" i="1"/>
  <c r="J424" i="1"/>
  <c r="I427" i="2" l="1"/>
  <c r="J426" i="2"/>
  <c r="I426" i="1"/>
  <c r="J425" i="1"/>
  <c r="J427" i="2" l="1"/>
  <c r="I428" i="2"/>
  <c r="I427" i="1"/>
  <c r="J426" i="1"/>
  <c r="J428" i="2" l="1"/>
  <c r="I429" i="2"/>
  <c r="I428" i="1"/>
  <c r="J427" i="1"/>
  <c r="I430" i="2" l="1"/>
  <c r="J429" i="2"/>
  <c r="I429" i="1"/>
  <c r="J428" i="1"/>
  <c r="I431" i="2" l="1"/>
  <c r="J430" i="2"/>
  <c r="I430" i="1"/>
  <c r="J429" i="1"/>
  <c r="I432" i="2" l="1"/>
  <c r="J431" i="2"/>
  <c r="I431" i="1"/>
  <c r="J430" i="1"/>
  <c r="J432" i="2" l="1"/>
  <c r="I433" i="2"/>
  <c r="I432" i="1"/>
  <c r="J431" i="1"/>
  <c r="I434" i="2" l="1"/>
  <c r="J433" i="2"/>
  <c r="I433" i="1"/>
  <c r="J432" i="1"/>
  <c r="J434" i="2" l="1"/>
  <c r="I435" i="2"/>
  <c r="I434" i="1"/>
  <c r="J433" i="1"/>
  <c r="J435" i="2" l="1"/>
  <c r="I436" i="2"/>
  <c r="I435" i="1"/>
  <c r="J434" i="1"/>
  <c r="I437" i="2" l="1"/>
  <c r="J436" i="2"/>
  <c r="I436" i="1"/>
  <c r="J435" i="1"/>
  <c r="I438" i="2" l="1"/>
  <c r="J437" i="2"/>
  <c r="I437" i="1"/>
  <c r="J436" i="1"/>
  <c r="J438" i="2" l="1"/>
  <c r="I439" i="2"/>
  <c r="I438" i="1"/>
  <c r="J437" i="1"/>
  <c r="I440" i="2" l="1"/>
  <c r="J439" i="2"/>
  <c r="I439" i="1"/>
  <c r="J438" i="1"/>
  <c r="I441" i="2" l="1"/>
  <c r="J440" i="2"/>
  <c r="I440" i="1"/>
  <c r="J439" i="1"/>
  <c r="I442" i="2" l="1"/>
  <c r="J441" i="2"/>
  <c r="I441" i="1"/>
  <c r="J440" i="1"/>
  <c r="J442" i="2" l="1"/>
  <c r="I443" i="2"/>
  <c r="I442" i="1"/>
  <c r="J441" i="1"/>
  <c r="I444" i="2" l="1"/>
  <c r="J443" i="2"/>
  <c r="I443" i="1"/>
  <c r="J442" i="1"/>
  <c r="J444" i="2" l="1"/>
  <c r="I445" i="2"/>
  <c r="I444" i="1"/>
  <c r="J443" i="1"/>
  <c r="I446" i="2" l="1"/>
  <c r="J445" i="2"/>
  <c r="I445" i="1"/>
  <c r="J444" i="1"/>
  <c r="J446" i="2" l="1"/>
  <c r="I447" i="2"/>
  <c r="I446" i="1"/>
  <c r="J445" i="1"/>
  <c r="I448" i="2" l="1"/>
  <c r="J447" i="2"/>
  <c r="I447" i="1"/>
  <c r="J446" i="1"/>
  <c r="I449" i="2" l="1"/>
  <c r="J448" i="2"/>
  <c r="I448" i="1"/>
  <c r="J447" i="1"/>
  <c r="J449" i="2" l="1"/>
  <c r="I450" i="2"/>
  <c r="I449" i="1"/>
  <c r="J448" i="1"/>
  <c r="J450" i="2" l="1"/>
  <c r="I451" i="2"/>
  <c r="I450" i="1"/>
  <c r="J449" i="1"/>
  <c r="J451" i="2" l="1"/>
  <c r="I452" i="2"/>
  <c r="I451" i="1"/>
  <c r="J450" i="1"/>
  <c r="J452" i="2" l="1"/>
  <c r="I453" i="2"/>
  <c r="I452" i="1"/>
  <c r="J451" i="1"/>
  <c r="J453" i="2" l="1"/>
  <c r="I454" i="2"/>
  <c r="I453" i="1"/>
  <c r="J452" i="1"/>
  <c r="J454" i="2" l="1"/>
  <c r="I455" i="2"/>
  <c r="I454" i="1"/>
  <c r="J453" i="1"/>
  <c r="I456" i="2" l="1"/>
  <c r="J455" i="2"/>
  <c r="I455" i="1"/>
  <c r="J454" i="1"/>
  <c r="J456" i="2" l="1"/>
  <c r="I457" i="2"/>
  <c r="I456" i="1"/>
  <c r="J455" i="1"/>
  <c r="I458" i="2" l="1"/>
  <c r="J457" i="2"/>
  <c r="I457" i="1"/>
  <c r="J456" i="1"/>
  <c r="I459" i="2" l="1"/>
  <c r="J458" i="2"/>
  <c r="I458" i="1"/>
  <c r="J457" i="1"/>
  <c r="J459" i="2" l="1"/>
  <c r="I460" i="2"/>
  <c r="I459" i="1"/>
  <c r="J458" i="1"/>
  <c r="J460" i="2" l="1"/>
  <c r="I461" i="2"/>
  <c r="I460" i="1"/>
  <c r="J459" i="1"/>
  <c r="I462" i="2" l="1"/>
  <c r="J461" i="2"/>
  <c r="I461" i="1"/>
  <c r="J460" i="1"/>
  <c r="I463" i="2" l="1"/>
  <c r="J462" i="2"/>
  <c r="I462" i="1"/>
  <c r="J461" i="1"/>
  <c r="I464" i="2" l="1"/>
  <c r="J463" i="2"/>
  <c r="I463" i="1"/>
  <c r="J462" i="1"/>
  <c r="J464" i="2" l="1"/>
  <c r="I465" i="2"/>
  <c r="I464" i="1"/>
  <c r="J463" i="1"/>
  <c r="I466" i="2" l="1"/>
  <c r="J465" i="2"/>
  <c r="I465" i="1"/>
  <c r="J464" i="1"/>
  <c r="I467" i="2" l="1"/>
  <c r="J466" i="2"/>
  <c r="I466" i="1"/>
  <c r="J465" i="1"/>
  <c r="I468" i="2" l="1"/>
  <c r="J467" i="2"/>
  <c r="I467" i="1"/>
  <c r="J466" i="1"/>
  <c r="I469" i="2" l="1"/>
  <c r="J468" i="2"/>
  <c r="I468" i="1"/>
  <c r="J467" i="1"/>
  <c r="I470" i="2" l="1"/>
  <c r="J469" i="2"/>
  <c r="I469" i="1"/>
  <c r="J468" i="1"/>
  <c r="I471" i="2" l="1"/>
  <c r="J470" i="2"/>
  <c r="I470" i="1"/>
  <c r="J469" i="1"/>
  <c r="I472" i="2" l="1"/>
  <c r="J471" i="2"/>
  <c r="I471" i="1"/>
  <c r="J470" i="1"/>
  <c r="J472" i="2" l="1"/>
  <c r="I473" i="2"/>
  <c r="I472" i="1"/>
  <c r="J471" i="1"/>
  <c r="I474" i="2" l="1"/>
  <c r="J473" i="2"/>
  <c r="I473" i="1"/>
  <c r="J472" i="1"/>
  <c r="I475" i="2" l="1"/>
  <c r="J474" i="2"/>
  <c r="I474" i="1"/>
  <c r="J473" i="1"/>
  <c r="I476" i="2" l="1"/>
  <c r="J475" i="2"/>
  <c r="I475" i="1"/>
  <c r="J474" i="1"/>
  <c r="J476" i="2" l="1"/>
  <c r="I477" i="2"/>
  <c r="I476" i="1"/>
  <c r="J475" i="1"/>
  <c r="I478" i="2" l="1"/>
  <c r="J477" i="2"/>
  <c r="I477" i="1"/>
  <c r="J476" i="1"/>
  <c r="J478" i="2" l="1"/>
  <c r="I479" i="2"/>
  <c r="I478" i="1"/>
  <c r="J477" i="1"/>
  <c r="J479" i="2" l="1"/>
  <c r="I480" i="2"/>
  <c r="I479" i="1"/>
  <c r="J478" i="1"/>
  <c r="I481" i="2" l="1"/>
  <c r="J480" i="2"/>
  <c r="I480" i="1"/>
  <c r="J479" i="1"/>
  <c r="J481" i="2" l="1"/>
  <c r="I482" i="2"/>
  <c r="I481" i="1"/>
  <c r="J480" i="1"/>
  <c r="I483" i="2" l="1"/>
  <c r="J482" i="2"/>
  <c r="I482" i="1"/>
  <c r="J481" i="1"/>
  <c r="I484" i="2" l="1"/>
  <c r="J483" i="2"/>
  <c r="I483" i="1"/>
  <c r="J482" i="1"/>
  <c r="J484" i="2" l="1"/>
  <c r="I485" i="2"/>
  <c r="I484" i="1"/>
  <c r="J483" i="1"/>
  <c r="J485" i="2" l="1"/>
  <c r="I486" i="2"/>
  <c r="I485" i="1"/>
  <c r="J484" i="1"/>
  <c r="I487" i="2" l="1"/>
  <c r="J486" i="2"/>
  <c r="I486" i="1"/>
  <c r="J485" i="1"/>
  <c r="J487" i="2" l="1"/>
  <c r="I488" i="2"/>
  <c r="I487" i="1"/>
  <c r="J486" i="1"/>
  <c r="J488" i="2" l="1"/>
  <c r="I489" i="2"/>
  <c r="I488" i="1"/>
  <c r="J487" i="1"/>
  <c r="I490" i="2" l="1"/>
  <c r="J489" i="2"/>
  <c r="I489" i="1"/>
  <c r="J488" i="1"/>
  <c r="I491" i="2" l="1"/>
  <c r="J490" i="2"/>
  <c r="I490" i="1"/>
  <c r="J489" i="1"/>
  <c r="J491" i="2" l="1"/>
  <c r="I492" i="2"/>
  <c r="I491" i="1"/>
  <c r="J490" i="1"/>
  <c r="I493" i="2" l="1"/>
  <c r="J492" i="2"/>
  <c r="I492" i="1"/>
  <c r="J491" i="1"/>
  <c r="I494" i="2" l="1"/>
  <c r="J493" i="2"/>
  <c r="I493" i="1"/>
  <c r="J492" i="1"/>
  <c r="J494" i="2" l="1"/>
  <c r="I495" i="2"/>
  <c r="I494" i="1"/>
  <c r="J493" i="1"/>
  <c r="I496" i="2" l="1"/>
  <c r="J495" i="2"/>
  <c r="I495" i="1"/>
  <c r="J494" i="1"/>
  <c r="I497" i="2" l="1"/>
  <c r="J496" i="2"/>
  <c r="I496" i="1"/>
  <c r="J495" i="1"/>
  <c r="J497" i="2" l="1"/>
  <c r="I498" i="2"/>
  <c r="I497" i="1"/>
  <c r="J496" i="1"/>
  <c r="I499" i="2" l="1"/>
  <c r="J498" i="2"/>
  <c r="I498" i="1"/>
  <c r="J497" i="1"/>
  <c r="I500" i="2" l="1"/>
  <c r="J499" i="2"/>
  <c r="I499" i="1"/>
  <c r="J498" i="1"/>
  <c r="I501" i="2" l="1"/>
  <c r="J500" i="2"/>
  <c r="I500" i="1"/>
  <c r="J499" i="1"/>
  <c r="J501" i="2" l="1"/>
  <c r="I502" i="2"/>
  <c r="J502" i="2" s="1"/>
  <c r="I501" i="1"/>
  <c r="J500" i="1"/>
  <c r="I503" i="2" l="1"/>
  <c r="J503" i="2" s="1"/>
  <c r="I502" i="1"/>
  <c r="J501" i="1"/>
  <c r="I503" i="1" l="1"/>
  <c r="J503" i="1" s="1"/>
  <c r="J502" i="1"/>
  <c r="N449" i="1"/>
  <c r="M453" i="1"/>
  <c r="M270" i="2"/>
  <c r="N309" i="2"/>
  <c r="M311" i="2"/>
  <c r="K490" i="2"/>
  <c r="K310" i="2"/>
  <c r="K279" i="2"/>
  <c r="K486" i="2"/>
  <c r="N500" i="2"/>
  <c r="N59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M279" i="1"/>
  <c r="K280" i="1"/>
  <c r="M280" i="1"/>
  <c r="N280" i="1"/>
  <c r="K281" i="1"/>
  <c r="M281" i="1"/>
  <c r="N281" i="1"/>
  <c r="K282" i="1"/>
  <c r="M282" i="1"/>
  <c r="N282" i="1"/>
  <c r="K283" i="1"/>
  <c r="M283" i="1"/>
  <c r="N283" i="1"/>
  <c r="K284" i="1"/>
  <c r="M284" i="1"/>
  <c r="N284" i="1"/>
  <c r="K285" i="1"/>
  <c r="M285" i="1"/>
  <c r="N285" i="1"/>
  <c r="K286" i="1"/>
  <c r="M286" i="1"/>
  <c r="N286" i="1"/>
  <c r="K287" i="1"/>
  <c r="M287" i="1"/>
  <c r="N287" i="1"/>
  <c r="K288" i="1"/>
  <c r="M288" i="1"/>
  <c r="N288" i="1"/>
  <c r="K289" i="1"/>
  <c r="M289" i="1"/>
  <c r="N289" i="1"/>
  <c r="N290" i="1"/>
  <c r="K291" i="1"/>
  <c r="M291" i="1"/>
  <c r="N291" i="1"/>
  <c r="K292" i="1"/>
  <c r="M292" i="1"/>
  <c r="N292" i="1"/>
  <c r="K293" i="1"/>
  <c r="M293" i="1"/>
  <c r="N293" i="1"/>
  <c r="M294" i="1"/>
  <c r="K295" i="1"/>
  <c r="M295" i="1"/>
  <c r="N295" i="1"/>
  <c r="K296" i="1"/>
  <c r="M296" i="1"/>
  <c r="N296" i="1"/>
  <c r="K297" i="1"/>
  <c r="M297" i="1"/>
  <c r="N297" i="1"/>
  <c r="K298" i="1"/>
  <c r="M298" i="1"/>
  <c r="N298" i="1"/>
  <c r="N299" i="1"/>
  <c r="K300" i="1"/>
  <c r="M300" i="1"/>
  <c r="N300" i="1"/>
  <c r="K301" i="1"/>
  <c r="M301" i="1"/>
  <c r="N301" i="1"/>
  <c r="K302" i="1"/>
  <c r="M302" i="1"/>
  <c r="N302" i="1"/>
  <c r="K303" i="1"/>
  <c r="M303" i="1"/>
  <c r="N303" i="1"/>
  <c r="K304" i="1"/>
  <c r="M304" i="1"/>
  <c r="N304" i="1"/>
  <c r="K305" i="1"/>
  <c r="M305" i="1"/>
  <c r="N305" i="1"/>
  <c r="K306" i="1"/>
  <c r="M306" i="1"/>
  <c r="N306" i="1"/>
  <c r="K307" i="1"/>
  <c r="M307" i="1"/>
  <c r="N307" i="1"/>
  <c r="K308" i="1"/>
  <c r="M308" i="1"/>
  <c r="N308" i="1"/>
  <c r="K309" i="1"/>
  <c r="M309" i="1"/>
  <c r="N309" i="1"/>
  <c r="K310" i="1"/>
  <c r="M310" i="1"/>
  <c r="N310" i="1"/>
  <c r="K311" i="1"/>
  <c r="M311" i="1"/>
  <c r="N311" i="1"/>
  <c r="K312" i="1"/>
  <c r="M312" i="1"/>
  <c r="N312" i="1"/>
  <c r="K313" i="1"/>
  <c r="M313" i="1"/>
  <c r="N313" i="1"/>
  <c r="M314" i="1"/>
  <c r="K315" i="1"/>
  <c r="M315" i="1"/>
  <c r="N315" i="1"/>
  <c r="K316" i="1"/>
  <c r="M316" i="1"/>
  <c r="N316" i="1"/>
  <c r="K317" i="1"/>
  <c r="M317" i="1"/>
  <c r="N317" i="1"/>
  <c r="K318" i="1"/>
  <c r="M318" i="1"/>
  <c r="N318" i="1"/>
  <c r="K319" i="1"/>
  <c r="M319" i="1"/>
  <c r="N319" i="1"/>
  <c r="K320" i="1"/>
  <c r="M320" i="1"/>
  <c r="N320" i="1"/>
  <c r="K321" i="1"/>
  <c r="M321" i="1"/>
  <c r="N321" i="1"/>
  <c r="K322" i="1"/>
  <c r="M322" i="1"/>
  <c r="N322" i="1"/>
  <c r="K323" i="1"/>
  <c r="M323" i="1"/>
  <c r="N323" i="1"/>
  <c r="K324" i="1"/>
  <c r="M324" i="1"/>
  <c r="N324" i="1"/>
  <c r="K325" i="1"/>
  <c r="M325" i="1"/>
  <c r="N325" i="1"/>
  <c r="K326" i="1"/>
  <c r="M326" i="1"/>
  <c r="N326" i="1"/>
  <c r="K327" i="1"/>
  <c r="M327" i="1"/>
  <c r="N327" i="1"/>
  <c r="K328" i="1"/>
  <c r="M328" i="1"/>
  <c r="N328" i="1"/>
  <c r="K329" i="1"/>
  <c r="M329" i="1"/>
  <c r="N329" i="1"/>
  <c r="K330" i="1"/>
  <c r="M330" i="1"/>
  <c r="N330" i="1"/>
  <c r="K331" i="1"/>
  <c r="M331" i="1"/>
  <c r="N331" i="1"/>
  <c r="K332" i="1"/>
  <c r="M332" i="1"/>
  <c r="N332" i="1"/>
  <c r="K333" i="1"/>
  <c r="M333" i="1"/>
  <c r="N333" i="1"/>
  <c r="K334" i="1"/>
  <c r="M334" i="1"/>
  <c r="N334" i="1"/>
  <c r="K335" i="1"/>
  <c r="M335" i="1"/>
  <c r="N335" i="1"/>
  <c r="K336" i="1"/>
  <c r="M336" i="1"/>
  <c r="N336" i="1"/>
  <c r="K337" i="1"/>
  <c r="M337" i="1"/>
  <c r="N337" i="1"/>
  <c r="K338" i="1"/>
  <c r="M338" i="1"/>
  <c r="N338" i="1"/>
  <c r="K339" i="1"/>
  <c r="M339" i="1"/>
  <c r="N339" i="1"/>
  <c r="K340" i="1"/>
  <c r="M340" i="1"/>
  <c r="N340" i="1"/>
  <c r="K341" i="1"/>
  <c r="M341" i="1"/>
  <c r="N341" i="1"/>
  <c r="K342" i="1"/>
  <c r="M342" i="1"/>
  <c r="N342" i="1"/>
  <c r="K343" i="1"/>
  <c r="M343" i="1"/>
  <c r="N343" i="1"/>
  <c r="K344" i="1"/>
  <c r="M344" i="1"/>
  <c r="N344" i="1"/>
  <c r="K345" i="1"/>
  <c r="M345" i="1"/>
  <c r="N345" i="1"/>
  <c r="K346" i="1"/>
  <c r="M346" i="1"/>
  <c r="N346" i="1"/>
  <c r="K347" i="1"/>
  <c r="M347" i="1"/>
  <c r="N347" i="1"/>
  <c r="K348" i="1"/>
  <c r="M348" i="1"/>
  <c r="N348" i="1"/>
  <c r="K349" i="1"/>
  <c r="M349" i="1"/>
  <c r="N349" i="1"/>
  <c r="K350" i="1"/>
  <c r="M350" i="1"/>
  <c r="N350" i="1"/>
  <c r="K351" i="1"/>
  <c r="M351" i="1"/>
  <c r="N351" i="1"/>
  <c r="K352" i="1"/>
  <c r="M352" i="1"/>
  <c r="N352" i="1"/>
  <c r="K353" i="1"/>
  <c r="M353" i="1"/>
  <c r="N353" i="1"/>
  <c r="K354" i="1"/>
  <c r="M354" i="1"/>
  <c r="N354" i="1"/>
  <c r="K355" i="1"/>
  <c r="M355" i="1"/>
  <c r="N355" i="1"/>
  <c r="K356" i="1"/>
  <c r="M356" i="1"/>
  <c r="N356" i="1"/>
  <c r="K357" i="1"/>
  <c r="M357" i="1"/>
  <c r="N357" i="1"/>
  <c r="K358" i="1"/>
  <c r="M358" i="1"/>
  <c r="N358" i="1"/>
  <c r="K359" i="1"/>
  <c r="M359" i="1"/>
  <c r="N359" i="1"/>
  <c r="K360" i="1"/>
  <c r="M360" i="1"/>
  <c r="N360" i="1"/>
  <c r="K361" i="1"/>
  <c r="M361" i="1"/>
  <c r="N361" i="1"/>
  <c r="K362" i="1"/>
  <c r="M362" i="1"/>
  <c r="N362" i="1"/>
  <c r="K363" i="1"/>
  <c r="M363" i="1"/>
  <c r="N363" i="1"/>
  <c r="K364" i="1"/>
  <c r="M364" i="1"/>
  <c r="N364" i="1"/>
  <c r="K365" i="1"/>
  <c r="M365" i="1"/>
  <c r="N365" i="1"/>
  <c r="K366" i="1"/>
  <c r="M366" i="1"/>
  <c r="N366" i="1"/>
  <c r="K367" i="1"/>
  <c r="M367" i="1"/>
  <c r="N367" i="1"/>
  <c r="K368" i="1"/>
  <c r="M368" i="1"/>
  <c r="N368" i="1"/>
  <c r="K369" i="1"/>
  <c r="M369" i="1"/>
  <c r="N369" i="1"/>
  <c r="K370" i="1"/>
  <c r="M370" i="1"/>
  <c r="N370" i="1"/>
  <c r="K371" i="1"/>
  <c r="M371" i="1"/>
  <c r="N371" i="1"/>
  <c r="K372" i="1"/>
  <c r="M372" i="1"/>
  <c r="N372" i="1"/>
  <c r="K373" i="1"/>
  <c r="M373" i="1"/>
  <c r="N373" i="1"/>
  <c r="K374" i="1"/>
  <c r="M374" i="1"/>
  <c r="N374" i="1"/>
  <c r="K375" i="1"/>
  <c r="M375" i="1"/>
  <c r="N375" i="1"/>
  <c r="K376" i="1"/>
  <c r="M376" i="1"/>
  <c r="N376" i="1"/>
  <c r="K377" i="1"/>
  <c r="M377" i="1"/>
  <c r="N377" i="1"/>
  <c r="K378" i="1"/>
  <c r="M378" i="1"/>
  <c r="N378" i="1"/>
  <c r="K379" i="1"/>
  <c r="M379" i="1"/>
  <c r="N379" i="1"/>
  <c r="K380" i="1"/>
  <c r="M380" i="1"/>
  <c r="N380" i="1"/>
  <c r="K381" i="1"/>
  <c r="M381" i="1"/>
  <c r="N381" i="1"/>
  <c r="K382" i="1"/>
  <c r="M382" i="1"/>
  <c r="N382" i="1"/>
  <c r="K383" i="1"/>
  <c r="M383" i="1"/>
  <c r="N383" i="1"/>
  <c r="K384" i="1"/>
  <c r="M384" i="1"/>
  <c r="N384" i="1"/>
  <c r="K385" i="1"/>
  <c r="M385" i="1"/>
  <c r="N385" i="1"/>
  <c r="K386" i="1"/>
  <c r="M386" i="1"/>
  <c r="N386" i="1"/>
  <c r="K387" i="1"/>
  <c r="M387" i="1"/>
  <c r="N387" i="1"/>
  <c r="K388" i="1"/>
  <c r="M388" i="1"/>
  <c r="N388" i="1"/>
  <c r="K389" i="1"/>
  <c r="M389" i="1"/>
  <c r="N389" i="1"/>
  <c r="K390" i="1"/>
  <c r="M390" i="1"/>
  <c r="N390" i="1"/>
  <c r="K391" i="1"/>
  <c r="M391" i="1"/>
  <c r="N391" i="1"/>
  <c r="K392" i="1"/>
  <c r="M392" i="1"/>
  <c r="N392" i="1"/>
  <c r="K393" i="1"/>
  <c r="M393" i="1"/>
  <c r="N393" i="1"/>
  <c r="K394" i="1"/>
  <c r="M394" i="1"/>
  <c r="N394" i="1"/>
  <c r="K395" i="1"/>
  <c r="M395" i="1"/>
  <c r="N395" i="1"/>
  <c r="K396" i="1"/>
  <c r="M396" i="1"/>
  <c r="N396" i="1"/>
  <c r="K397" i="1"/>
  <c r="M397" i="1"/>
  <c r="N397" i="1"/>
  <c r="K398" i="1"/>
  <c r="M398" i="1"/>
  <c r="N398" i="1"/>
  <c r="K399" i="1"/>
  <c r="M399" i="1"/>
  <c r="N399" i="1"/>
  <c r="K400" i="1"/>
  <c r="M400" i="1"/>
  <c r="N400" i="1"/>
  <c r="K401" i="1"/>
  <c r="M401" i="1"/>
  <c r="N401" i="1"/>
  <c r="K402" i="1"/>
  <c r="M402" i="1"/>
  <c r="N402" i="1"/>
  <c r="K403" i="1"/>
  <c r="M403" i="1"/>
  <c r="N403" i="1"/>
  <c r="K404" i="1"/>
  <c r="M404" i="1"/>
  <c r="N404" i="1"/>
  <c r="K405" i="1"/>
  <c r="M405" i="1"/>
  <c r="N405" i="1"/>
  <c r="K406" i="1"/>
  <c r="M406" i="1"/>
  <c r="N406" i="1"/>
  <c r="K407" i="1"/>
  <c r="M407" i="1"/>
  <c r="N407" i="1"/>
  <c r="K408" i="1"/>
  <c r="M408" i="1"/>
  <c r="N408" i="1"/>
  <c r="K409" i="1"/>
  <c r="M409" i="1"/>
  <c r="N409" i="1"/>
  <c r="K410" i="1"/>
  <c r="M410" i="1"/>
  <c r="N410" i="1"/>
  <c r="K411" i="1"/>
  <c r="M411" i="1"/>
  <c r="N411" i="1"/>
  <c r="K412" i="1"/>
  <c r="M412" i="1"/>
  <c r="N412" i="1"/>
  <c r="K413" i="1"/>
  <c r="M413" i="1"/>
  <c r="N413" i="1"/>
  <c r="K414" i="1"/>
  <c r="M414" i="1"/>
  <c r="N414" i="1"/>
  <c r="K415" i="1"/>
  <c r="M415" i="1"/>
  <c r="N415" i="1"/>
  <c r="K416" i="1"/>
  <c r="M416" i="1"/>
  <c r="N416" i="1"/>
  <c r="K417" i="1"/>
  <c r="M417" i="1"/>
  <c r="N417" i="1"/>
  <c r="K418" i="1"/>
  <c r="M418" i="1"/>
  <c r="N418" i="1"/>
  <c r="K419" i="1"/>
  <c r="M419" i="1"/>
  <c r="N419" i="1"/>
  <c r="K420" i="1"/>
  <c r="M420" i="1"/>
  <c r="N420" i="1"/>
  <c r="K421" i="1"/>
  <c r="M421" i="1"/>
  <c r="N421" i="1"/>
  <c r="K422" i="1"/>
  <c r="M422" i="1"/>
  <c r="N422" i="1"/>
  <c r="K423" i="1"/>
  <c r="M423" i="1"/>
  <c r="N423" i="1"/>
  <c r="K424" i="1"/>
  <c r="M424" i="1"/>
  <c r="N424" i="1"/>
  <c r="K425" i="1"/>
  <c r="M425" i="1"/>
  <c r="N425" i="1"/>
  <c r="K426" i="1"/>
  <c r="M426" i="1"/>
  <c r="N426" i="1"/>
  <c r="K427" i="1"/>
  <c r="M427" i="1"/>
  <c r="N427" i="1"/>
  <c r="K428" i="1"/>
  <c r="M428" i="1"/>
  <c r="N428" i="1"/>
  <c r="K429" i="1"/>
  <c r="M429" i="1"/>
  <c r="N429" i="1"/>
  <c r="K430" i="1"/>
  <c r="M430" i="1"/>
  <c r="N430" i="1"/>
  <c r="K431" i="1"/>
  <c r="M431" i="1"/>
  <c r="N431" i="1"/>
  <c r="K432" i="1"/>
  <c r="M432" i="1"/>
  <c r="N432" i="1"/>
  <c r="K433" i="1"/>
  <c r="M433" i="1"/>
  <c r="N433" i="1"/>
  <c r="N434" i="1"/>
  <c r="K435" i="1"/>
  <c r="M435" i="1"/>
  <c r="N435" i="1"/>
  <c r="K436" i="1"/>
  <c r="M436" i="1"/>
  <c r="N436" i="1"/>
  <c r="K437" i="1"/>
  <c r="M437" i="1"/>
  <c r="N437" i="1"/>
  <c r="K438" i="1"/>
  <c r="M438" i="1"/>
  <c r="N438" i="1"/>
  <c r="K439" i="1"/>
  <c r="M439" i="1"/>
  <c r="N439" i="1"/>
  <c r="K440" i="1"/>
  <c r="M440" i="1"/>
  <c r="N440" i="1"/>
  <c r="K441" i="1"/>
  <c r="M441" i="1"/>
  <c r="N441" i="1"/>
  <c r="K442" i="1"/>
  <c r="M442" i="1"/>
  <c r="N442" i="1"/>
  <c r="K443" i="1"/>
  <c r="M443" i="1"/>
  <c r="N443" i="1"/>
  <c r="K444" i="1"/>
  <c r="M444" i="1"/>
  <c r="N444" i="1"/>
  <c r="K445" i="1"/>
  <c r="M445" i="1"/>
  <c r="N445" i="1"/>
  <c r="K446" i="1"/>
  <c r="M446" i="1"/>
  <c r="N446" i="1"/>
  <c r="K447" i="1"/>
  <c r="M447" i="1"/>
  <c r="N447" i="1"/>
  <c r="K448" i="1"/>
  <c r="M448" i="1"/>
  <c r="N448" i="1"/>
  <c r="M449" i="1"/>
  <c r="K450" i="1"/>
  <c r="M450" i="1"/>
  <c r="N450" i="1"/>
  <c r="K451" i="1"/>
  <c r="M451" i="1"/>
  <c r="N451" i="1"/>
  <c r="K452" i="1"/>
  <c r="M452" i="1"/>
  <c r="N452" i="1"/>
  <c r="N453" i="1"/>
  <c r="K454" i="1"/>
  <c r="M454" i="1"/>
  <c r="N454" i="1"/>
  <c r="K455" i="1"/>
  <c r="M455" i="1"/>
  <c r="N455" i="1"/>
  <c r="K456" i="1"/>
  <c r="M456" i="1"/>
  <c r="N456" i="1"/>
  <c r="K457" i="1"/>
  <c r="M457" i="1"/>
  <c r="N457" i="1"/>
  <c r="K458" i="1"/>
  <c r="M458" i="1"/>
  <c r="N458" i="1"/>
  <c r="K459" i="1"/>
  <c r="M459" i="1"/>
  <c r="N459" i="1"/>
  <c r="K460" i="1"/>
  <c r="M460" i="1"/>
  <c r="N460" i="1"/>
  <c r="M461" i="1"/>
  <c r="K462" i="1"/>
  <c r="M462" i="1"/>
  <c r="N462" i="1"/>
  <c r="K463" i="1"/>
  <c r="M463" i="1"/>
  <c r="N463" i="1"/>
  <c r="K464" i="1"/>
  <c r="M464" i="1"/>
  <c r="N464" i="1"/>
  <c r="K465" i="1"/>
  <c r="M465" i="1"/>
  <c r="N465" i="1"/>
  <c r="K466" i="1"/>
  <c r="M466" i="1"/>
  <c r="N466" i="1"/>
  <c r="K467" i="1"/>
  <c r="M467" i="1"/>
  <c r="N467" i="1"/>
  <c r="N468" i="1"/>
  <c r="K469" i="1"/>
  <c r="M469" i="1"/>
  <c r="N469" i="1"/>
  <c r="K470" i="1"/>
  <c r="M470" i="1"/>
  <c r="N470" i="1"/>
  <c r="K471" i="1"/>
  <c r="M471" i="1"/>
  <c r="N471" i="1"/>
  <c r="K472" i="1"/>
  <c r="M472" i="1"/>
  <c r="N472" i="1"/>
  <c r="K473" i="1"/>
  <c r="M473" i="1"/>
  <c r="N473" i="1"/>
  <c r="K474" i="1"/>
  <c r="M474" i="1"/>
  <c r="N474" i="1"/>
  <c r="K475" i="1"/>
  <c r="M475" i="1"/>
  <c r="N475" i="1"/>
  <c r="K476" i="1"/>
  <c r="M476" i="1"/>
  <c r="N476" i="1"/>
  <c r="K477" i="1"/>
  <c r="M477" i="1"/>
  <c r="N477" i="1"/>
  <c r="K478" i="1"/>
  <c r="M478" i="1"/>
  <c r="N478" i="1"/>
  <c r="M479" i="1"/>
  <c r="K480" i="1"/>
  <c r="M480" i="1"/>
  <c r="N480" i="1"/>
  <c r="K481" i="1"/>
  <c r="M481" i="1"/>
  <c r="N481" i="1"/>
  <c r="K482" i="1"/>
  <c r="M482" i="1"/>
  <c r="N482" i="1"/>
  <c r="K483" i="1"/>
  <c r="M483" i="1"/>
  <c r="N483" i="1"/>
  <c r="K484" i="1"/>
  <c r="M484" i="1"/>
  <c r="N484" i="1"/>
  <c r="N485" i="1"/>
  <c r="K486" i="1"/>
  <c r="M486" i="1"/>
  <c r="N486" i="1"/>
  <c r="K487" i="1"/>
  <c r="M487" i="1"/>
  <c r="N487" i="1"/>
  <c r="K488" i="1"/>
  <c r="M488" i="1"/>
  <c r="N488" i="1"/>
  <c r="K489" i="1"/>
  <c r="M489" i="1"/>
  <c r="N489" i="1"/>
  <c r="K490" i="1"/>
  <c r="M490" i="1"/>
  <c r="N490" i="1"/>
  <c r="K491" i="1"/>
  <c r="M491" i="1"/>
  <c r="N491" i="1"/>
  <c r="K492" i="1"/>
  <c r="M492" i="1"/>
  <c r="N492" i="1"/>
  <c r="K493" i="1"/>
  <c r="M493" i="1"/>
  <c r="N493" i="1"/>
  <c r="K494" i="1"/>
  <c r="M494" i="1"/>
  <c r="N494" i="1"/>
  <c r="K495" i="1"/>
  <c r="M495" i="1"/>
  <c r="N495" i="1"/>
  <c r="K496" i="1"/>
  <c r="M496" i="1"/>
  <c r="N496" i="1"/>
  <c r="K497" i="1"/>
  <c r="M497" i="1"/>
  <c r="N497" i="1"/>
  <c r="K498" i="1"/>
  <c r="M498" i="1"/>
  <c r="N498" i="1"/>
  <c r="M499" i="1"/>
  <c r="K500" i="1"/>
  <c r="M500" i="1"/>
  <c r="K501" i="1"/>
  <c r="M501" i="1"/>
  <c r="K502" i="1"/>
  <c r="M5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2" i="2"/>
  <c r="M42" i="2"/>
  <c r="K43" i="2"/>
  <c r="M43" i="2"/>
  <c r="K44" i="2"/>
  <c r="M44" i="2"/>
  <c r="K45" i="2"/>
  <c r="M45" i="2"/>
  <c r="K46" i="2"/>
  <c r="M46" i="2"/>
  <c r="K47" i="2"/>
  <c r="M47" i="2"/>
  <c r="K48" i="2"/>
  <c r="M48" i="2"/>
  <c r="K49" i="2"/>
  <c r="M49" i="2"/>
  <c r="K50" i="2"/>
  <c r="M50" i="2"/>
  <c r="K51" i="2"/>
  <c r="M51" i="2"/>
  <c r="K52" i="2"/>
  <c r="M52" i="2"/>
  <c r="K53" i="2"/>
  <c r="M53" i="2"/>
  <c r="K54" i="2"/>
  <c r="M54" i="2"/>
  <c r="K55" i="2"/>
  <c r="M55" i="2"/>
  <c r="K56" i="2"/>
  <c r="M56" i="2"/>
  <c r="K57" i="2"/>
  <c r="M57" i="2"/>
  <c r="K58" i="2"/>
  <c r="M58" i="2"/>
  <c r="M59" i="2"/>
  <c r="K60" i="2"/>
  <c r="M60" i="2"/>
  <c r="N60" i="2"/>
  <c r="K61" i="2"/>
  <c r="M61" i="2"/>
  <c r="N61" i="2"/>
  <c r="K62" i="2"/>
  <c r="M62" i="2"/>
  <c r="N62" i="2"/>
  <c r="K63" i="2"/>
  <c r="M63" i="2"/>
  <c r="N63" i="2"/>
  <c r="K64" i="2"/>
  <c r="M64" i="2"/>
  <c r="N64" i="2"/>
  <c r="K65" i="2"/>
  <c r="M65" i="2"/>
  <c r="N65" i="2"/>
  <c r="K66" i="2"/>
  <c r="M66" i="2"/>
  <c r="N66" i="2"/>
  <c r="K67" i="2"/>
  <c r="M67" i="2"/>
  <c r="N67" i="2"/>
  <c r="K68" i="2"/>
  <c r="M68" i="2"/>
  <c r="N68" i="2"/>
  <c r="K69" i="2"/>
  <c r="M69" i="2"/>
  <c r="N69" i="2"/>
  <c r="K70" i="2"/>
  <c r="M70" i="2"/>
  <c r="N70" i="2"/>
  <c r="K71" i="2"/>
  <c r="M71" i="2"/>
  <c r="N71" i="2"/>
  <c r="K72" i="2"/>
  <c r="M72" i="2"/>
  <c r="N72" i="2"/>
  <c r="K73" i="2"/>
  <c r="M73" i="2"/>
  <c r="N73" i="2"/>
  <c r="K74" i="2"/>
  <c r="M74" i="2"/>
  <c r="N74" i="2"/>
  <c r="K75" i="2"/>
  <c r="M75" i="2"/>
  <c r="N75" i="2"/>
  <c r="K76" i="2"/>
  <c r="M76" i="2"/>
  <c r="N76" i="2"/>
  <c r="K77" i="2"/>
  <c r="M77" i="2"/>
  <c r="N77" i="2"/>
  <c r="K78" i="2"/>
  <c r="M78" i="2"/>
  <c r="N78" i="2"/>
  <c r="K79" i="2"/>
  <c r="M79" i="2"/>
  <c r="N79" i="2"/>
  <c r="K80" i="2"/>
  <c r="M80" i="2"/>
  <c r="N80" i="2"/>
  <c r="K81" i="2"/>
  <c r="M81" i="2"/>
  <c r="N81" i="2"/>
  <c r="K82" i="2"/>
  <c r="M82" i="2"/>
  <c r="N82" i="2"/>
  <c r="K83" i="2"/>
  <c r="M83" i="2"/>
  <c r="N83" i="2"/>
  <c r="K84" i="2"/>
  <c r="M84" i="2"/>
  <c r="N84" i="2"/>
  <c r="K85" i="2"/>
  <c r="M85" i="2"/>
  <c r="N85" i="2"/>
  <c r="K86" i="2"/>
  <c r="M86" i="2"/>
  <c r="N86" i="2"/>
  <c r="K87" i="2"/>
  <c r="M87" i="2"/>
  <c r="N87" i="2"/>
  <c r="K88" i="2"/>
  <c r="M88" i="2"/>
  <c r="N88" i="2"/>
  <c r="K89" i="2"/>
  <c r="M89" i="2"/>
  <c r="N89" i="2"/>
  <c r="K90" i="2"/>
  <c r="M90" i="2"/>
  <c r="N90" i="2"/>
  <c r="K91" i="2"/>
  <c r="M91" i="2"/>
  <c r="N91" i="2"/>
  <c r="K92" i="2"/>
  <c r="M92" i="2"/>
  <c r="N92" i="2"/>
  <c r="K93" i="2"/>
  <c r="M93" i="2"/>
  <c r="N93" i="2"/>
  <c r="K94" i="2"/>
  <c r="M94" i="2"/>
  <c r="N94" i="2"/>
  <c r="K95" i="2"/>
  <c r="M95" i="2"/>
  <c r="N95" i="2"/>
  <c r="K96" i="2"/>
  <c r="M96" i="2"/>
  <c r="N96" i="2"/>
  <c r="K97" i="2"/>
  <c r="M97" i="2"/>
  <c r="N97" i="2"/>
  <c r="K98" i="2"/>
  <c r="M98" i="2"/>
  <c r="N98" i="2"/>
  <c r="K99" i="2"/>
  <c r="M99" i="2"/>
  <c r="N99" i="2"/>
  <c r="K100" i="2"/>
  <c r="M100" i="2"/>
  <c r="N100" i="2"/>
  <c r="K101" i="2"/>
  <c r="M101" i="2"/>
  <c r="N101" i="2"/>
  <c r="K102" i="2"/>
  <c r="M102" i="2"/>
  <c r="N102" i="2"/>
  <c r="K103" i="2"/>
  <c r="M103" i="2"/>
  <c r="N103" i="2"/>
  <c r="K104" i="2"/>
  <c r="M104" i="2"/>
  <c r="N104" i="2"/>
  <c r="K105" i="2"/>
  <c r="M105" i="2"/>
  <c r="N105" i="2"/>
  <c r="K106" i="2"/>
  <c r="M106" i="2"/>
  <c r="N106" i="2"/>
  <c r="K107" i="2"/>
  <c r="M107" i="2"/>
  <c r="N107" i="2"/>
  <c r="K108" i="2"/>
  <c r="M108" i="2"/>
  <c r="N108" i="2"/>
  <c r="K109" i="2"/>
  <c r="M109" i="2"/>
  <c r="N109" i="2"/>
  <c r="K110" i="2"/>
  <c r="M110" i="2"/>
  <c r="N110" i="2"/>
  <c r="K111" i="2"/>
  <c r="M111" i="2"/>
  <c r="N111" i="2"/>
  <c r="K112" i="2"/>
  <c r="M112" i="2"/>
  <c r="N112" i="2"/>
  <c r="K113" i="2"/>
  <c r="M113" i="2"/>
  <c r="N113" i="2"/>
  <c r="K114" i="2"/>
  <c r="M114" i="2"/>
  <c r="N114" i="2"/>
  <c r="K115" i="2"/>
  <c r="M115" i="2"/>
  <c r="N115" i="2"/>
  <c r="K116" i="2"/>
  <c r="M116" i="2"/>
  <c r="N116" i="2"/>
  <c r="K117" i="2"/>
  <c r="M117" i="2"/>
  <c r="N117" i="2"/>
  <c r="K118" i="2"/>
  <c r="M118" i="2"/>
  <c r="N118" i="2"/>
  <c r="K119" i="2"/>
  <c r="M119" i="2"/>
  <c r="N119" i="2"/>
  <c r="K120" i="2"/>
  <c r="M120" i="2"/>
  <c r="N120" i="2"/>
  <c r="K121" i="2"/>
  <c r="M121" i="2"/>
  <c r="N121" i="2"/>
  <c r="K122" i="2"/>
  <c r="M122" i="2"/>
  <c r="N122" i="2"/>
  <c r="K123" i="2"/>
  <c r="M123" i="2"/>
  <c r="N123" i="2"/>
  <c r="K124" i="2"/>
  <c r="M124" i="2"/>
  <c r="N124" i="2"/>
  <c r="K125" i="2"/>
  <c r="M125" i="2"/>
  <c r="N125" i="2"/>
  <c r="K126" i="2"/>
  <c r="M126" i="2"/>
  <c r="N126" i="2"/>
  <c r="K127" i="2"/>
  <c r="M127" i="2"/>
  <c r="N127" i="2"/>
  <c r="K128" i="2"/>
  <c r="M128" i="2"/>
  <c r="N128" i="2"/>
  <c r="K129" i="2"/>
  <c r="M129" i="2"/>
  <c r="N129" i="2"/>
  <c r="K130" i="2"/>
  <c r="M130" i="2"/>
  <c r="N130" i="2"/>
  <c r="K131" i="2"/>
  <c r="M131" i="2"/>
  <c r="N131" i="2"/>
  <c r="K132" i="2"/>
  <c r="M132" i="2"/>
  <c r="N132" i="2"/>
  <c r="K133" i="2"/>
  <c r="M133" i="2"/>
  <c r="N133" i="2"/>
  <c r="K134" i="2"/>
  <c r="M134" i="2"/>
  <c r="N134" i="2"/>
  <c r="K135" i="2"/>
  <c r="M135" i="2"/>
  <c r="N135" i="2"/>
  <c r="K136" i="2"/>
  <c r="M136" i="2"/>
  <c r="N136" i="2"/>
  <c r="K137" i="2"/>
  <c r="M137" i="2"/>
  <c r="N137" i="2"/>
  <c r="K138" i="2"/>
  <c r="M138" i="2"/>
  <c r="N138" i="2"/>
  <c r="K139" i="2"/>
  <c r="M139" i="2"/>
  <c r="N139" i="2"/>
  <c r="K140" i="2"/>
  <c r="M140" i="2"/>
  <c r="N140" i="2"/>
  <c r="K141" i="2"/>
  <c r="M141" i="2"/>
  <c r="N141" i="2"/>
  <c r="K142" i="2"/>
  <c r="M142" i="2"/>
  <c r="N142" i="2"/>
  <c r="K143" i="2"/>
  <c r="M143" i="2"/>
  <c r="N143" i="2"/>
  <c r="K144" i="2"/>
  <c r="M144" i="2"/>
  <c r="N144" i="2"/>
  <c r="K145" i="2"/>
  <c r="M145" i="2"/>
  <c r="N145" i="2"/>
  <c r="K146" i="2"/>
  <c r="M146" i="2"/>
  <c r="N146" i="2"/>
  <c r="K147" i="2"/>
  <c r="M147" i="2"/>
  <c r="N147" i="2"/>
  <c r="K148" i="2"/>
  <c r="M148" i="2"/>
  <c r="N148" i="2"/>
  <c r="K149" i="2"/>
  <c r="M149" i="2"/>
  <c r="N149" i="2"/>
  <c r="K150" i="2"/>
  <c r="M150" i="2"/>
  <c r="N150" i="2"/>
  <c r="K151" i="2"/>
  <c r="M151" i="2"/>
  <c r="N151" i="2"/>
  <c r="K152" i="2"/>
  <c r="M152" i="2"/>
  <c r="N152" i="2"/>
  <c r="K153" i="2"/>
  <c r="M153" i="2"/>
  <c r="N153" i="2"/>
  <c r="K154" i="2"/>
  <c r="M154" i="2"/>
  <c r="N154" i="2"/>
  <c r="K155" i="2"/>
  <c r="M155" i="2"/>
  <c r="N155" i="2"/>
  <c r="K156" i="2"/>
  <c r="M156" i="2"/>
  <c r="N156" i="2"/>
  <c r="K157" i="2"/>
  <c r="M157" i="2"/>
  <c r="N157" i="2"/>
  <c r="K158" i="2"/>
  <c r="M158" i="2"/>
  <c r="N158" i="2"/>
  <c r="K159" i="2"/>
  <c r="M159" i="2"/>
  <c r="N159" i="2"/>
  <c r="K160" i="2"/>
  <c r="M160" i="2"/>
  <c r="N160" i="2"/>
  <c r="K161" i="2"/>
  <c r="M161" i="2"/>
  <c r="N161" i="2"/>
  <c r="K162" i="2"/>
  <c r="M162" i="2"/>
  <c r="N162" i="2"/>
  <c r="K163" i="2"/>
  <c r="M163" i="2"/>
  <c r="N163" i="2"/>
  <c r="K164" i="2"/>
  <c r="M164" i="2"/>
  <c r="N164" i="2"/>
  <c r="K165" i="2"/>
  <c r="M165" i="2"/>
  <c r="N165" i="2"/>
  <c r="K166" i="2"/>
  <c r="M166" i="2"/>
  <c r="N166" i="2"/>
  <c r="K167" i="2"/>
  <c r="M167" i="2"/>
  <c r="N167" i="2"/>
  <c r="K168" i="2"/>
  <c r="M168" i="2"/>
  <c r="N168" i="2"/>
  <c r="K169" i="2"/>
  <c r="M169" i="2"/>
  <c r="N169" i="2"/>
  <c r="K170" i="2"/>
  <c r="M170" i="2"/>
  <c r="N170" i="2"/>
  <c r="K171" i="2"/>
  <c r="M171" i="2"/>
  <c r="N171" i="2"/>
  <c r="K172" i="2"/>
  <c r="M172" i="2"/>
  <c r="N172" i="2"/>
  <c r="K173" i="2"/>
  <c r="M173" i="2"/>
  <c r="N173" i="2"/>
  <c r="K174" i="2"/>
  <c r="M174" i="2"/>
  <c r="N174" i="2"/>
  <c r="K175" i="2"/>
  <c r="M175" i="2"/>
  <c r="N175" i="2"/>
  <c r="K176" i="2"/>
  <c r="M176" i="2"/>
  <c r="N176" i="2"/>
  <c r="K177" i="2"/>
  <c r="M177" i="2"/>
  <c r="N177" i="2"/>
  <c r="K178" i="2"/>
  <c r="M178" i="2"/>
  <c r="N178" i="2"/>
  <c r="K179" i="2"/>
  <c r="M179" i="2"/>
  <c r="N179" i="2"/>
  <c r="K180" i="2"/>
  <c r="M180" i="2"/>
  <c r="N180" i="2"/>
  <c r="K181" i="2"/>
  <c r="M181" i="2"/>
  <c r="N181" i="2"/>
  <c r="K182" i="2"/>
  <c r="M182" i="2"/>
  <c r="N182" i="2"/>
  <c r="K183" i="2"/>
  <c r="M183" i="2"/>
  <c r="N183" i="2"/>
  <c r="K184" i="2"/>
  <c r="M184" i="2"/>
  <c r="N184" i="2"/>
  <c r="K185" i="2"/>
  <c r="M185" i="2"/>
  <c r="N185" i="2"/>
  <c r="K186" i="2"/>
  <c r="M186" i="2"/>
  <c r="N186" i="2"/>
  <c r="K187" i="2"/>
  <c r="M187" i="2"/>
  <c r="N187" i="2"/>
  <c r="K188" i="2"/>
  <c r="M188" i="2"/>
  <c r="N188" i="2"/>
  <c r="K189" i="2"/>
  <c r="M189" i="2"/>
  <c r="N189" i="2"/>
  <c r="K190" i="2"/>
  <c r="M190" i="2"/>
  <c r="N190" i="2"/>
  <c r="K191" i="2"/>
  <c r="M191" i="2"/>
  <c r="N191" i="2"/>
  <c r="K192" i="2"/>
  <c r="M192" i="2"/>
  <c r="N192" i="2"/>
  <c r="K193" i="2"/>
  <c r="M193" i="2"/>
  <c r="N193" i="2"/>
  <c r="K194" i="2"/>
  <c r="M194" i="2"/>
  <c r="N194" i="2"/>
  <c r="K195" i="2"/>
  <c r="M195" i="2"/>
  <c r="N195" i="2"/>
  <c r="K196" i="2"/>
  <c r="M196" i="2"/>
  <c r="N196" i="2"/>
  <c r="K197" i="2"/>
  <c r="M197" i="2"/>
  <c r="N197" i="2"/>
  <c r="K198" i="2"/>
  <c r="M198" i="2"/>
  <c r="N198" i="2"/>
  <c r="K199" i="2"/>
  <c r="M199" i="2"/>
  <c r="N199" i="2"/>
  <c r="K200" i="2"/>
  <c r="M200" i="2"/>
  <c r="N200" i="2"/>
  <c r="K201" i="2"/>
  <c r="M201" i="2"/>
  <c r="N201" i="2"/>
  <c r="K202" i="2"/>
  <c r="M202" i="2"/>
  <c r="N202" i="2"/>
  <c r="K203" i="2"/>
  <c r="M203" i="2"/>
  <c r="N203" i="2"/>
  <c r="K204" i="2"/>
  <c r="M204" i="2"/>
  <c r="N204" i="2"/>
  <c r="K205" i="2"/>
  <c r="M205" i="2"/>
  <c r="N205" i="2"/>
  <c r="K206" i="2"/>
  <c r="M206" i="2"/>
  <c r="N206" i="2"/>
  <c r="K207" i="2"/>
  <c r="M207" i="2"/>
  <c r="N207" i="2"/>
  <c r="K208" i="2"/>
  <c r="M208" i="2"/>
  <c r="N208" i="2"/>
  <c r="K209" i="2"/>
  <c r="M209" i="2"/>
  <c r="N209" i="2"/>
  <c r="K210" i="2"/>
  <c r="M210" i="2"/>
  <c r="N210" i="2"/>
  <c r="K211" i="2"/>
  <c r="M211" i="2"/>
  <c r="N211" i="2"/>
  <c r="K212" i="2"/>
  <c r="M212" i="2"/>
  <c r="N212" i="2"/>
  <c r="K213" i="2"/>
  <c r="M213" i="2"/>
  <c r="N213" i="2"/>
  <c r="K214" i="2"/>
  <c r="M214" i="2"/>
  <c r="N214" i="2"/>
  <c r="K215" i="2"/>
  <c r="M215" i="2"/>
  <c r="N215" i="2"/>
  <c r="K216" i="2"/>
  <c r="M216" i="2"/>
  <c r="N216" i="2"/>
  <c r="K217" i="2"/>
  <c r="M217" i="2"/>
  <c r="N217" i="2"/>
  <c r="K218" i="2"/>
  <c r="M218" i="2"/>
  <c r="N218" i="2"/>
  <c r="K219" i="2"/>
  <c r="M219" i="2"/>
  <c r="N219" i="2"/>
  <c r="K220" i="2"/>
  <c r="M220" i="2"/>
  <c r="N220" i="2"/>
  <c r="K221" i="2"/>
  <c r="M221" i="2"/>
  <c r="N221" i="2"/>
  <c r="K222" i="2"/>
  <c r="M222" i="2"/>
  <c r="N222" i="2"/>
  <c r="K223" i="2"/>
  <c r="M223" i="2"/>
  <c r="N223" i="2"/>
  <c r="K224" i="2"/>
  <c r="M224" i="2"/>
  <c r="N224" i="2"/>
  <c r="K225" i="2"/>
  <c r="M225" i="2"/>
  <c r="N225" i="2"/>
  <c r="K226" i="2"/>
  <c r="M226" i="2"/>
  <c r="N226" i="2"/>
  <c r="K227" i="2"/>
  <c r="M227" i="2"/>
  <c r="N227" i="2"/>
  <c r="K228" i="2"/>
  <c r="M228" i="2"/>
  <c r="N228" i="2"/>
  <c r="K229" i="2"/>
  <c r="M229" i="2"/>
  <c r="N229" i="2"/>
  <c r="K230" i="2"/>
  <c r="M230" i="2"/>
  <c r="N230" i="2"/>
  <c r="K231" i="2"/>
  <c r="M231" i="2"/>
  <c r="N231" i="2"/>
  <c r="K232" i="2"/>
  <c r="M232" i="2"/>
  <c r="N232" i="2"/>
  <c r="K233" i="2"/>
  <c r="M233" i="2"/>
  <c r="N233" i="2"/>
  <c r="K234" i="2"/>
  <c r="M234" i="2"/>
  <c r="N234" i="2"/>
  <c r="K235" i="2"/>
  <c r="M235" i="2"/>
  <c r="N235" i="2"/>
  <c r="K236" i="2"/>
  <c r="M236" i="2"/>
  <c r="N236" i="2"/>
  <c r="K237" i="2"/>
  <c r="M237" i="2"/>
  <c r="N237" i="2"/>
  <c r="K238" i="2"/>
  <c r="M238" i="2"/>
  <c r="N238" i="2"/>
  <c r="K239" i="2"/>
  <c r="M239" i="2"/>
  <c r="N239" i="2"/>
  <c r="K240" i="2"/>
  <c r="M240" i="2"/>
  <c r="N240" i="2"/>
  <c r="K241" i="2"/>
  <c r="M241" i="2"/>
  <c r="N241" i="2"/>
  <c r="K242" i="2"/>
  <c r="M242" i="2"/>
  <c r="N242" i="2"/>
  <c r="K243" i="2"/>
  <c r="M243" i="2"/>
  <c r="N243" i="2"/>
  <c r="K244" i="2"/>
  <c r="M244" i="2"/>
  <c r="N244" i="2"/>
  <c r="K245" i="2"/>
  <c r="M245" i="2"/>
  <c r="N245" i="2"/>
  <c r="K246" i="2"/>
  <c r="M246" i="2"/>
  <c r="N246" i="2"/>
  <c r="K247" i="2"/>
  <c r="M247" i="2"/>
  <c r="N247" i="2"/>
  <c r="K248" i="2"/>
  <c r="M248" i="2"/>
  <c r="N248" i="2"/>
  <c r="K249" i="2"/>
  <c r="M249" i="2"/>
  <c r="N249" i="2"/>
  <c r="K250" i="2"/>
  <c r="M250" i="2"/>
  <c r="N250" i="2"/>
  <c r="K251" i="2"/>
  <c r="M251" i="2"/>
  <c r="N251" i="2"/>
  <c r="K252" i="2"/>
  <c r="M252" i="2"/>
  <c r="N252" i="2"/>
  <c r="K253" i="2"/>
  <c r="M253" i="2"/>
  <c r="N253" i="2"/>
  <c r="K254" i="2"/>
  <c r="M254" i="2"/>
  <c r="N254" i="2"/>
  <c r="K255" i="2"/>
  <c r="M255" i="2"/>
  <c r="N255" i="2"/>
  <c r="K256" i="2"/>
  <c r="M256" i="2"/>
  <c r="N256" i="2"/>
  <c r="K257" i="2"/>
  <c r="M257" i="2"/>
  <c r="N257" i="2"/>
  <c r="K258" i="2"/>
  <c r="M258" i="2"/>
  <c r="N258" i="2"/>
  <c r="K259" i="2"/>
  <c r="M259" i="2"/>
  <c r="N259" i="2"/>
  <c r="K260" i="2"/>
  <c r="M260" i="2"/>
  <c r="N260" i="2"/>
  <c r="K261" i="2"/>
  <c r="M261" i="2"/>
  <c r="N261" i="2"/>
  <c r="K262" i="2"/>
  <c r="M262" i="2"/>
  <c r="N262" i="2"/>
  <c r="K263" i="2"/>
  <c r="M263" i="2"/>
  <c r="N263" i="2"/>
  <c r="K264" i="2"/>
  <c r="M264" i="2"/>
  <c r="N264" i="2"/>
  <c r="K265" i="2"/>
  <c r="M265" i="2"/>
  <c r="N265" i="2"/>
  <c r="K266" i="2"/>
  <c r="M266" i="2"/>
  <c r="N266" i="2"/>
  <c r="K267" i="2"/>
  <c r="M267" i="2"/>
  <c r="N267" i="2"/>
  <c r="K268" i="2"/>
  <c r="M268" i="2"/>
  <c r="N268" i="2"/>
  <c r="K269" i="2"/>
  <c r="M269" i="2"/>
  <c r="N269" i="2"/>
  <c r="N270" i="2"/>
  <c r="K271" i="2"/>
  <c r="M271" i="2"/>
  <c r="N271" i="2"/>
  <c r="K272" i="2"/>
  <c r="M272" i="2"/>
  <c r="N272" i="2"/>
  <c r="K273" i="2"/>
  <c r="M273" i="2"/>
  <c r="N273" i="2"/>
  <c r="K274" i="2"/>
  <c r="M274" i="2"/>
  <c r="N274" i="2"/>
  <c r="K275" i="2"/>
  <c r="M275" i="2"/>
  <c r="N275" i="2"/>
  <c r="K276" i="2"/>
  <c r="M276" i="2"/>
  <c r="N276" i="2"/>
  <c r="M277" i="2"/>
  <c r="N278" i="2"/>
  <c r="M279" i="2"/>
  <c r="N279" i="2"/>
  <c r="M280" i="2"/>
  <c r="K281" i="2"/>
  <c r="M281" i="2"/>
  <c r="N281" i="2"/>
  <c r="K282" i="2"/>
  <c r="M282" i="2"/>
  <c r="N282" i="2"/>
  <c r="K283" i="2"/>
  <c r="M283" i="2"/>
  <c r="N283" i="2"/>
  <c r="K284" i="2"/>
  <c r="M284" i="2"/>
  <c r="N284" i="2"/>
  <c r="K285" i="2"/>
  <c r="M285" i="2"/>
  <c r="N285" i="2"/>
  <c r="K286" i="2"/>
  <c r="M286" i="2"/>
  <c r="N286" i="2"/>
  <c r="K287" i="2"/>
  <c r="M287" i="2"/>
  <c r="N287" i="2"/>
  <c r="K288" i="2"/>
  <c r="M288" i="2"/>
  <c r="N288" i="2"/>
  <c r="K289" i="2"/>
  <c r="M289" i="2"/>
  <c r="N289" i="2"/>
  <c r="K290" i="2"/>
  <c r="M290" i="2"/>
  <c r="N290" i="2"/>
  <c r="N291" i="2"/>
  <c r="K292" i="2"/>
  <c r="M292" i="2"/>
  <c r="N292" i="2"/>
  <c r="K293" i="2"/>
  <c r="M293" i="2"/>
  <c r="N293" i="2"/>
  <c r="M294" i="2"/>
  <c r="K295" i="2"/>
  <c r="M295" i="2"/>
  <c r="N295" i="2"/>
  <c r="K296" i="2"/>
  <c r="M296" i="2"/>
  <c r="N296" i="2"/>
  <c r="K297" i="2"/>
  <c r="M297" i="2"/>
  <c r="N297" i="2"/>
  <c r="K298" i="2"/>
  <c r="M298" i="2"/>
  <c r="N298" i="2"/>
  <c r="K299" i="2"/>
  <c r="M299" i="2"/>
  <c r="N299" i="2"/>
  <c r="K300" i="2"/>
  <c r="M300" i="2"/>
  <c r="N300" i="2"/>
  <c r="N301" i="2"/>
  <c r="K302" i="2"/>
  <c r="M302" i="2"/>
  <c r="N302" i="2"/>
  <c r="K303" i="2"/>
  <c r="M303" i="2"/>
  <c r="N303" i="2"/>
  <c r="K304" i="2"/>
  <c r="M304" i="2"/>
  <c r="N304" i="2"/>
  <c r="K305" i="2"/>
  <c r="M305" i="2"/>
  <c r="N305" i="2"/>
  <c r="K306" i="2"/>
  <c r="M306" i="2"/>
  <c r="N306" i="2"/>
  <c r="K307" i="2"/>
  <c r="M307" i="2"/>
  <c r="N307" i="2"/>
  <c r="K308" i="2"/>
  <c r="M308" i="2"/>
  <c r="N308" i="2"/>
  <c r="M309" i="2"/>
  <c r="M310" i="2"/>
  <c r="N310" i="2"/>
  <c r="N311" i="2"/>
  <c r="K312" i="2"/>
  <c r="M312" i="2"/>
  <c r="N312" i="2"/>
  <c r="K313" i="2"/>
  <c r="M313" i="2"/>
  <c r="N313" i="2"/>
  <c r="M314" i="2"/>
  <c r="K315" i="2"/>
  <c r="M315" i="2"/>
  <c r="N315" i="2"/>
  <c r="K316" i="2"/>
  <c r="M316" i="2"/>
  <c r="N316" i="2"/>
  <c r="N317" i="2"/>
  <c r="M318" i="2"/>
  <c r="K319" i="2"/>
  <c r="M319" i="2"/>
  <c r="N319" i="2"/>
  <c r="K320" i="2"/>
  <c r="M320" i="2"/>
  <c r="N320" i="2"/>
  <c r="K321" i="2"/>
  <c r="M321" i="2"/>
  <c r="N321" i="2"/>
  <c r="K322" i="2"/>
  <c r="M322" i="2"/>
  <c r="N322" i="2"/>
  <c r="K323" i="2"/>
  <c r="M323" i="2"/>
  <c r="N323" i="2"/>
  <c r="K324" i="2"/>
  <c r="M324" i="2"/>
  <c r="N324" i="2"/>
  <c r="K325" i="2"/>
  <c r="M325" i="2"/>
  <c r="N325" i="2"/>
  <c r="N326" i="2"/>
  <c r="K327" i="2"/>
  <c r="M327" i="2"/>
  <c r="N327" i="2"/>
  <c r="K328" i="2"/>
  <c r="M328" i="2"/>
  <c r="N328" i="2"/>
  <c r="K329" i="2"/>
  <c r="M329" i="2"/>
  <c r="N329" i="2"/>
  <c r="K330" i="2"/>
  <c r="M330" i="2"/>
  <c r="N330" i="2"/>
  <c r="K331" i="2"/>
  <c r="M331" i="2"/>
  <c r="N331" i="2"/>
  <c r="K332" i="2"/>
  <c r="M332" i="2"/>
  <c r="N332" i="2"/>
  <c r="K333" i="2"/>
  <c r="M333" i="2"/>
  <c r="N333" i="2"/>
  <c r="K334" i="2"/>
  <c r="M334" i="2"/>
  <c r="N334" i="2"/>
  <c r="K335" i="2"/>
  <c r="M335" i="2"/>
  <c r="N335" i="2"/>
  <c r="K336" i="2"/>
  <c r="M336" i="2"/>
  <c r="N336" i="2"/>
  <c r="M337" i="2"/>
  <c r="K338" i="2"/>
  <c r="M338" i="2"/>
  <c r="N338" i="2"/>
  <c r="K339" i="2"/>
  <c r="M339" i="2"/>
  <c r="N339" i="2"/>
  <c r="K340" i="2"/>
  <c r="M340" i="2"/>
  <c r="N340" i="2"/>
  <c r="K341" i="2"/>
  <c r="M341" i="2"/>
  <c r="N341" i="2"/>
  <c r="K342" i="2"/>
  <c r="M342" i="2"/>
  <c r="N342" i="2"/>
  <c r="K343" i="2"/>
  <c r="M343" i="2"/>
  <c r="N343" i="2"/>
  <c r="K344" i="2"/>
  <c r="M344" i="2"/>
  <c r="N344" i="2"/>
  <c r="K345" i="2"/>
  <c r="M345" i="2"/>
  <c r="N345" i="2"/>
  <c r="K346" i="2"/>
  <c r="M346" i="2"/>
  <c r="N346" i="2"/>
  <c r="K347" i="2"/>
  <c r="M347" i="2"/>
  <c r="N347" i="2"/>
  <c r="K348" i="2"/>
  <c r="M348" i="2"/>
  <c r="N348" i="2"/>
  <c r="K349" i="2"/>
  <c r="M349" i="2"/>
  <c r="N349" i="2"/>
  <c r="K350" i="2"/>
  <c r="M350" i="2"/>
  <c r="N350" i="2"/>
  <c r="K351" i="2"/>
  <c r="M351" i="2"/>
  <c r="N351" i="2"/>
  <c r="K352" i="2"/>
  <c r="M352" i="2"/>
  <c r="N352" i="2"/>
  <c r="K353" i="2"/>
  <c r="M353" i="2"/>
  <c r="N353" i="2"/>
  <c r="K354" i="2"/>
  <c r="M354" i="2"/>
  <c r="N354" i="2"/>
  <c r="K355" i="2"/>
  <c r="M355" i="2"/>
  <c r="N355" i="2"/>
  <c r="K356" i="2"/>
  <c r="M356" i="2"/>
  <c r="N356" i="2"/>
  <c r="K357" i="2"/>
  <c r="M357" i="2"/>
  <c r="N357" i="2"/>
  <c r="K358" i="2"/>
  <c r="M358" i="2"/>
  <c r="N358" i="2"/>
  <c r="K359" i="2"/>
  <c r="M359" i="2"/>
  <c r="N359" i="2"/>
  <c r="K360" i="2"/>
  <c r="M360" i="2"/>
  <c r="N360" i="2"/>
  <c r="K361" i="2"/>
  <c r="M361" i="2"/>
  <c r="N361" i="2"/>
  <c r="K362" i="2"/>
  <c r="M362" i="2"/>
  <c r="N362" i="2"/>
  <c r="K363" i="2"/>
  <c r="M363" i="2"/>
  <c r="N363" i="2"/>
  <c r="K364" i="2"/>
  <c r="M364" i="2"/>
  <c r="N364" i="2"/>
  <c r="N365" i="2"/>
  <c r="K366" i="2"/>
  <c r="M366" i="2"/>
  <c r="N366" i="2"/>
  <c r="K367" i="2"/>
  <c r="M367" i="2"/>
  <c r="N367" i="2"/>
  <c r="K368" i="2"/>
  <c r="M368" i="2"/>
  <c r="N368" i="2"/>
  <c r="K369" i="2"/>
  <c r="M369" i="2"/>
  <c r="N369" i="2"/>
  <c r="K370" i="2"/>
  <c r="M370" i="2"/>
  <c r="N370" i="2"/>
  <c r="K371" i="2"/>
  <c r="M371" i="2"/>
  <c r="N371" i="2"/>
  <c r="K372" i="2"/>
  <c r="M372" i="2"/>
  <c r="N372" i="2"/>
  <c r="K373" i="2"/>
  <c r="M373" i="2"/>
  <c r="N373" i="2"/>
  <c r="K374" i="2"/>
  <c r="M374" i="2"/>
  <c r="N374" i="2"/>
  <c r="K375" i="2"/>
  <c r="M375" i="2"/>
  <c r="N375" i="2"/>
  <c r="M376" i="2"/>
  <c r="K377" i="2"/>
  <c r="M377" i="2"/>
  <c r="N377" i="2"/>
  <c r="K378" i="2"/>
  <c r="M378" i="2"/>
  <c r="N378" i="2"/>
  <c r="K379" i="2"/>
  <c r="M379" i="2"/>
  <c r="N379" i="2"/>
  <c r="K380" i="2"/>
  <c r="M380" i="2"/>
  <c r="N380" i="2"/>
  <c r="K381" i="2"/>
  <c r="M381" i="2"/>
  <c r="N381" i="2"/>
  <c r="K382" i="2"/>
  <c r="M382" i="2"/>
  <c r="N382" i="2"/>
  <c r="K383" i="2"/>
  <c r="M383" i="2"/>
  <c r="N383" i="2"/>
  <c r="K384" i="2"/>
  <c r="M384" i="2"/>
  <c r="N384" i="2"/>
  <c r="K385" i="2"/>
  <c r="M385" i="2"/>
  <c r="N385" i="2"/>
  <c r="K386" i="2"/>
  <c r="M386" i="2"/>
  <c r="N386" i="2"/>
  <c r="K387" i="2"/>
  <c r="M387" i="2"/>
  <c r="N387" i="2"/>
  <c r="K388" i="2"/>
  <c r="M388" i="2"/>
  <c r="N388" i="2"/>
  <c r="K389" i="2"/>
  <c r="M389" i="2"/>
  <c r="N389" i="2"/>
  <c r="K390" i="2"/>
  <c r="M390" i="2"/>
  <c r="N390" i="2"/>
  <c r="K391" i="2"/>
  <c r="M391" i="2"/>
  <c r="N391" i="2"/>
  <c r="K392" i="2"/>
  <c r="M392" i="2"/>
  <c r="N392" i="2"/>
  <c r="K393" i="2"/>
  <c r="M393" i="2"/>
  <c r="N393" i="2"/>
  <c r="K394" i="2"/>
  <c r="M394" i="2"/>
  <c r="N394" i="2"/>
  <c r="K395" i="2"/>
  <c r="M395" i="2"/>
  <c r="N395" i="2"/>
  <c r="K396" i="2"/>
  <c r="M396" i="2"/>
  <c r="N396" i="2"/>
  <c r="K397" i="2"/>
  <c r="M397" i="2"/>
  <c r="N397" i="2"/>
  <c r="K398" i="2"/>
  <c r="M398" i="2"/>
  <c r="N398" i="2"/>
  <c r="K399" i="2"/>
  <c r="M399" i="2"/>
  <c r="N399" i="2"/>
  <c r="K400" i="2"/>
  <c r="M400" i="2"/>
  <c r="N400" i="2"/>
  <c r="K401" i="2"/>
  <c r="M401" i="2"/>
  <c r="N401" i="2"/>
  <c r="K402" i="2"/>
  <c r="M402" i="2"/>
  <c r="N402" i="2"/>
  <c r="K403" i="2"/>
  <c r="M403" i="2"/>
  <c r="N403" i="2"/>
  <c r="K404" i="2"/>
  <c r="M404" i="2"/>
  <c r="N404" i="2"/>
  <c r="K405" i="2"/>
  <c r="M405" i="2"/>
  <c r="N405" i="2"/>
  <c r="K406" i="2"/>
  <c r="M406" i="2"/>
  <c r="N406" i="2"/>
  <c r="K407" i="2"/>
  <c r="M407" i="2"/>
  <c r="N407" i="2"/>
  <c r="K408" i="2"/>
  <c r="M408" i="2"/>
  <c r="N408" i="2"/>
  <c r="K409" i="2"/>
  <c r="M409" i="2"/>
  <c r="N409" i="2"/>
  <c r="K410" i="2"/>
  <c r="M410" i="2"/>
  <c r="N410" i="2"/>
  <c r="K411" i="2"/>
  <c r="M411" i="2"/>
  <c r="N411" i="2"/>
  <c r="K412" i="2"/>
  <c r="M412" i="2"/>
  <c r="N412" i="2"/>
  <c r="K413" i="2"/>
  <c r="M413" i="2"/>
  <c r="N413" i="2"/>
  <c r="K414" i="2"/>
  <c r="M414" i="2"/>
  <c r="N414" i="2"/>
  <c r="K415" i="2"/>
  <c r="M415" i="2"/>
  <c r="N415" i="2"/>
  <c r="K416" i="2"/>
  <c r="M416" i="2"/>
  <c r="N416" i="2"/>
  <c r="K417" i="2"/>
  <c r="M417" i="2"/>
  <c r="N417" i="2"/>
  <c r="K418" i="2"/>
  <c r="M418" i="2"/>
  <c r="N418" i="2"/>
  <c r="K419" i="2"/>
  <c r="M419" i="2"/>
  <c r="N419" i="2"/>
  <c r="K420" i="2"/>
  <c r="M420" i="2"/>
  <c r="N420" i="2"/>
  <c r="K421" i="2"/>
  <c r="M421" i="2"/>
  <c r="N421" i="2"/>
  <c r="K422" i="2"/>
  <c r="M422" i="2"/>
  <c r="N422" i="2"/>
  <c r="K423" i="2"/>
  <c r="M423" i="2"/>
  <c r="N423" i="2"/>
  <c r="K424" i="2"/>
  <c r="M424" i="2"/>
  <c r="N424" i="2"/>
  <c r="K425" i="2"/>
  <c r="M425" i="2"/>
  <c r="N425" i="2"/>
  <c r="K426" i="2"/>
  <c r="M426" i="2"/>
  <c r="N426" i="2"/>
  <c r="K427" i="2"/>
  <c r="M427" i="2"/>
  <c r="N427" i="2"/>
  <c r="K428" i="2"/>
  <c r="M428" i="2"/>
  <c r="N428" i="2"/>
  <c r="K429" i="2"/>
  <c r="M429" i="2"/>
  <c r="N429" i="2"/>
  <c r="K430" i="2"/>
  <c r="M430" i="2"/>
  <c r="N430" i="2"/>
  <c r="K431" i="2"/>
  <c r="M431" i="2"/>
  <c r="N431" i="2"/>
  <c r="K432" i="2"/>
  <c r="M432" i="2"/>
  <c r="N432" i="2"/>
  <c r="K433" i="2"/>
  <c r="M433" i="2"/>
  <c r="N433" i="2"/>
  <c r="K434" i="2"/>
  <c r="M434" i="2"/>
  <c r="N434" i="2"/>
  <c r="N435" i="2"/>
  <c r="K436" i="2"/>
  <c r="M436" i="2"/>
  <c r="N436" i="2"/>
  <c r="K437" i="2"/>
  <c r="M437" i="2"/>
  <c r="N437" i="2"/>
  <c r="K438" i="2"/>
  <c r="M438" i="2"/>
  <c r="N438" i="2"/>
  <c r="K439" i="2"/>
  <c r="M439" i="2"/>
  <c r="N439" i="2"/>
  <c r="K440" i="2"/>
  <c r="M440" i="2"/>
  <c r="N440" i="2"/>
  <c r="K441" i="2"/>
  <c r="M441" i="2"/>
  <c r="N441" i="2"/>
  <c r="K442" i="2"/>
  <c r="M442" i="2"/>
  <c r="N442" i="2"/>
  <c r="K443" i="2"/>
  <c r="M443" i="2"/>
  <c r="N443" i="2"/>
  <c r="K444" i="2"/>
  <c r="M444" i="2"/>
  <c r="N444" i="2"/>
  <c r="K445" i="2"/>
  <c r="M445" i="2"/>
  <c r="N445" i="2"/>
  <c r="K446" i="2"/>
  <c r="M446" i="2"/>
  <c r="N446" i="2"/>
  <c r="K447" i="2"/>
  <c r="M447" i="2"/>
  <c r="N447" i="2"/>
  <c r="K448" i="2"/>
  <c r="M448" i="2"/>
  <c r="N448" i="2"/>
  <c r="M449" i="2"/>
  <c r="K450" i="2"/>
  <c r="M450" i="2"/>
  <c r="N450" i="2"/>
  <c r="K451" i="2"/>
  <c r="M451" i="2"/>
  <c r="N451" i="2"/>
  <c r="K452" i="2"/>
  <c r="M452" i="2"/>
  <c r="N452" i="2"/>
  <c r="N453" i="2"/>
  <c r="K454" i="2"/>
  <c r="M454" i="2"/>
  <c r="N454" i="2"/>
  <c r="K455" i="2"/>
  <c r="M455" i="2"/>
  <c r="N455" i="2"/>
  <c r="K456" i="2"/>
  <c r="M456" i="2"/>
  <c r="N456" i="2"/>
  <c r="K457" i="2"/>
  <c r="M457" i="2"/>
  <c r="N457" i="2"/>
  <c r="K458" i="2"/>
  <c r="M458" i="2"/>
  <c r="N458" i="2"/>
  <c r="K459" i="2"/>
  <c r="M459" i="2"/>
  <c r="N459" i="2"/>
  <c r="K460" i="2"/>
  <c r="M460" i="2"/>
  <c r="N460" i="2"/>
  <c r="M461" i="2"/>
  <c r="K462" i="2"/>
  <c r="M462" i="2"/>
  <c r="N462" i="2"/>
  <c r="K463" i="2"/>
  <c r="M463" i="2"/>
  <c r="N463" i="2"/>
  <c r="K464" i="2"/>
  <c r="M464" i="2"/>
  <c r="N464" i="2"/>
  <c r="K465" i="2"/>
  <c r="M465" i="2"/>
  <c r="N465" i="2"/>
  <c r="K466" i="2"/>
  <c r="M466" i="2"/>
  <c r="N466" i="2"/>
  <c r="K467" i="2"/>
  <c r="M467" i="2"/>
  <c r="N467" i="2"/>
  <c r="K468" i="2"/>
  <c r="M468" i="2"/>
  <c r="N468" i="2"/>
  <c r="N469" i="2"/>
  <c r="K470" i="2"/>
  <c r="M470" i="2"/>
  <c r="N470" i="2"/>
  <c r="K471" i="2"/>
  <c r="M471" i="2"/>
  <c r="N471" i="2"/>
  <c r="K472" i="2"/>
  <c r="M472" i="2"/>
  <c r="N472" i="2"/>
  <c r="K473" i="2"/>
  <c r="M473" i="2"/>
  <c r="N473" i="2"/>
  <c r="K474" i="2"/>
  <c r="M474" i="2"/>
  <c r="N474" i="2"/>
  <c r="K475" i="2"/>
  <c r="M475" i="2"/>
  <c r="N475" i="2"/>
  <c r="K476" i="2"/>
  <c r="M476" i="2"/>
  <c r="N476" i="2"/>
  <c r="K477" i="2"/>
  <c r="M477" i="2"/>
  <c r="N477" i="2"/>
  <c r="K478" i="2"/>
  <c r="M478" i="2"/>
  <c r="N478" i="2"/>
  <c r="M479" i="2"/>
  <c r="K480" i="2"/>
  <c r="M480" i="2"/>
  <c r="N480" i="2"/>
  <c r="K481" i="2"/>
  <c r="M481" i="2"/>
  <c r="N481" i="2"/>
  <c r="K482" i="2"/>
  <c r="M482" i="2"/>
  <c r="N482" i="2"/>
  <c r="K483" i="2"/>
  <c r="M483" i="2"/>
  <c r="N483" i="2"/>
  <c r="K484" i="2"/>
  <c r="M484" i="2"/>
  <c r="N484" i="2"/>
  <c r="N485" i="2"/>
  <c r="M486" i="2"/>
  <c r="N486" i="2"/>
  <c r="M487" i="2"/>
  <c r="M489" i="2"/>
  <c r="M490" i="2"/>
  <c r="N490" i="2"/>
  <c r="N491" i="2"/>
  <c r="K492" i="2"/>
  <c r="M492" i="2"/>
  <c r="N492" i="2"/>
  <c r="K493" i="2"/>
  <c r="M493" i="2"/>
  <c r="N493" i="2"/>
  <c r="K494" i="2"/>
  <c r="M494" i="2"/>
  <c r="N494" i="2"/>
  <c r="K495" i="2"/>
  <c r="M495" i="2"/>
  <c r="N495" i="2"/>
  <c r="K496" i="2"/>
  <c r="M496" i="2"/>
  <c r="N496" i="2"/>
  <c r="K497" i="2"/>
  <c r="M497" i="2"/>
  <c r="N497" i="2"/>
  <c r="K498" i="2"/>
  <c r="M498" i="2"/>
  <c r="N498" i="2"/>
  <c r="K499" i="2"/>
  <c r="M499" i="2"/>
  <c r="N499" i="2"/>
  <c r="M500" i="2"/>
  <c r="K501" i="2"/>
  <c r="M501" i="2"/>
  <c r="K502" i="2"/>
  <c r="M502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</calcChain>
</file>

<file path=xl/sharedStrings.xml><?xml version="1.0" encoding="utf-8"?>
<sst xmlns="http://schemas.openxmlformats.org/spreadsheetml/2006/main" count="1488" uniqueCount="26">
  <si>
    <t>date</t>
  </si>
  <si>
    <t>open</t>
  </si>
  <si>
    <t>high</t>
  </si>
  <si>
    <t>low</t>
  </si>
  <si>
    <t>close</t>
  </si>
  <si>
    <t>volume</t>
  </si>
  <si>
    <t>Index</t>
  </si>
  <si>
    <t>Threshold</t>
  </si>
  <si>
    <t>zigzag</t>
  </si>
  <si>
    <t>direction</t>
  </si>
  <si>
    <t>UP</t>
  </si>
  <si>
    <t>hl</t>
  </si>
  <si>
    <t>DN</t>
  </si>
  <si>
    <t>change</t>
  </si>
  <si>
    <t>H</t>
  </si>
  <si>
    <t>L</t>
  </si>
  <si>
    <t>type</t>
  </si>
  <si>
    <t>retHigh</t>
  </si>
  <si>
    <t>retLow</t>
  </si>
  <si>
    <t>zigZag</t>
  </si>
  <si>
    <t>index</t>
  </si>
  <si>
    <t>i</t>
  </si>
  <si>
    <t>x</t>
  </si>
  <si>
    <t>point</t>
  </si>
  <si>
    <t>5% threshold</t>
  </si>
  <si>
    <t>1%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</si>
</sst>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_(&quot;$&quot;* #,##0.0000_);_(&quot;$&quot;* \(#,##0.0000\);_(&quot;$&quot;* &quot;-&quot;??_);_(@_)"/>
    <numFmt numFmtId="167" formatCode="0.0000%"/>
    <numFmt numFmtId="168" formatCode="_(&quot;$&quot;* #,##0.00000_);_(&quot;$&quot;* \(#,##0.00000\);_(&quot;$&quot;* &quot;-&quot;??_);_(@_)"/>
    <numFmt numFmtId="169" formatCode="_(&quot;$&quot;* #,##0.000_);_(&quot;$&quot;* \(#,##0.000\);_(&quot;$&quot;* &quot;-&quot;??_);_(@_)"/>
    <numFmt numFmtId="175" formatCode="yyyy\-mm\-dd\ hh:m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165" fontId="0" fillId="0" borderId="0" xfId="1" applyNumberFormat="1" applyFont="1" applyAlignment="1">
      <alignment horizontal="right"/>
    </xf>
    <xf numFmtId="44" fontId="0" fillId="0" borderId="0" xfId="2" applyFon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44" fontId="18" fillId="0" borderId="0" xfId="2" applyFont="1" applyAlignment="1">
      <alignment horizontal="center"/>
    </xf>
    <xf numFmtId="9" fontId="0" fillId="0" borderId="0" xfId="44" applyFont="1" applyAlignment="1">
      <alignment horizontal="center"/>
    </xf>
    <xf numFmtId="167" fontId="0" fillId="0" borderId="0" xfId="44" applyNumberFormat="1" applyFont="1" applyAlignment="1">
      <alignment horizontal="right"/>
    </xf>
    <xf numFmtId="10" fontId="0" fillId="0" borderId="0" xfId="44" applyNumberFormat="1" applyFont="1" applyAlignment="1">
      <alignment horizontal="center"/>
    </xf>
    <xf numFmtId="44" fontId="16" fillId="0" borderId="0" xfId="2" applyFont="1" applyAlignment="1">
      <alignment horizontal="center"/>
    </xf>
    <xf numFmtId="44" fontId="1" fillId="32" borderId="0" xfId="43" applyNumberFormat="1" applyAlignment="1">
      <alignment horizontal="right"/>
    </xf>
    <xf numFmtId="166" fontId="1" fillId="23" borderId="0" xfId="34" applyNumberFormat="1" applyAlignment="1">
      <alignment horizontal="right"/>
    </xf>
    <xf numFmtId="166" fontId="0" fillId="0" borderId="0" xfId="0" applyNumberFormat="1" applyAlignment="1">
      <alignment horizontal="center"/>
    </xf>
    <xf numFmtId="166" fontId="18" fillId="23" borderId="0" xfId="34" applyNumberFormat="1" applyFont="1" applyAlignment="1">
      <alignment horizontal="right"/>
    </xf>
    <xf numFmtId="166" fontId="16" fillId="23" borderId="0" xfId="34" applyNumberFormat="1" applyFont="1" applyAlignment="1">
      <alignment horizontal="right"/>
    </xf>
    <xf numFmtId="168" fontId="0" fillId="0" borderId="0" xfId="2" applyNumberFormat="1" applyFont="1" applyAlignment="1">
      <alignment horizontal="right"/>
    </xf>
    <xf numFmtId="168" fontId="18" fillId="0" borderId="0" xfId="2" applyNumberFormat="1" applyFont="1" applyAlignment="1">
      <alignment horizontal="right"/>
    </xf>
    <xf numFmtId="166" fontId="16" fillId="32" borderId="0" xfId="43" applyNumberFormat="1" applyFont="1" applyAlignment="1">
      <alignment horizontal="right"/>
    </xf>
    <xf numFmtId="44" fontId="16" fillId="32" borderId="0" xfId="43" applyNumberFormat="1" applyFont="1" applyAlignment="1">
      <alignment horizontal="center"/>
    </xf>
    <xf numFmtId="168" fontId="16" fillId="32" borderId="0" xfId="43" applyNumberFormat="1" applyFont="1" applyAlignment="1">
      <alignment horizontal="right"/>
    </xf>
    <xf numFmtId="166" fontId="1" fillId="32" borderId="0" xfId="43" applyNumberFormat="1" applyAlignment="1">
      <alignment horizontal="right"/>
    </xf>
    <xf numFmtId="44" fontId="1" fillId="32" borderId="0" xfId="43" applyNumberFormat="1" applyAlignment="1">
      <alignment horizontal="center"/>
    </xf>
    <xf numFmtId="168" fontId="1" fillId="32" borderId="0" xfId="43" applyNumberFormat="1" applyAlignment="1">
      <alignment horizontal="right"/>
    </xf>
    <xf numFmtId="22" fontId="0" fillId="0" borderId="0" xfId="0" applyNumberFormat="1"/>
    <xf numFmtId="10" fontId="0" fillId="0" borderId="0" xfId="0" applyNumberFormat="1"/>
    <xf numFmtId="44" fontId="0" fillId="0" borderId="0" xfId="2" applyFont="1"/>
    <xf numFmtId="169" fontId="0" fillId="0" borderId="0" xfId="2" applyNumberFormat="1" applyFont="1"/>
    <xf numFmtId="169" fontId="0" fillId="0" borderId="0" xfId="2" applyNumberFormat="1" applyFont="1" applyAlignment="1">
      <alignment horizontal="center"/>
    </xf>
    <xf numFmtId="166" fontId="20" fillId="23" borderId="0" xfId="34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66" fontId="18" fillId="0" borderId="0" xfId="2" applyNumberFormat="1" applyFont="1" applyAlignment="1">
      <alignment horizontal="right"/>
    </xf>
    <xf numFmtId="44" fontId="1" fillId="0" borderId="0" xfId="2" applyFont="1" applyAlignment="1">
      <alignment horizontal="center"/>
    </xf>
    <xf numFmtId="44" fontId="1" fillId="23" borderId="0" xfId="2" applyFont="1" applyFill="1" applyAlignment="1">
      <alignment horizontal="right"/>
    </xf>
    <xf numFmtId="175" fontId="0" fillId="0" borderId="0" xfId="0" applyNumberFormat="1" applyAlignment="1">
      <alignment horizontal="center"/>
    </xf>
    <xf numFmtId="175" fontId="16" fillId="0" borderId="0" xfId="0" applyNumberFormat="1" applyFont="1" applyAlignment="1">
      <alignment horizontal="center"/>
    </xf>
    <xf numFmtId="175" fontId="0" fillId="0" borderId="0" xfId="2" applyNumberFormat="1" applyFont="1" applyAlignment="1">
      <alignment horizontal="center"/>
    </xf>
    <xf numFmtId="44" fontId="0" fillId="0" borderId="0" xfId="2" applyFont="1" applyFill="1" applyAlignment="1">
      <alignment horizontal="right"/>
    </xf>
    <xf numFmtId="44" fontId="0" fillId="0" borderId="0" xfId="2" applyFont="1" applyFill="1" applyAlignment="1">
      <alignment horizontal="center"/>
    </xf>
    <xf numFmtId="44" fontId="1" fillId="0" borderId="0" xfId="43" applyNumberFormat="1" applyFill="1" applyAlignment="1">
      <alignment horizontal="right"/>
    </xf>
    <xf numFmtId="44" fontId="0" fillId="0" borderId="0" xfId="43" applyNumberFormat="1" applyFont="1" applyFill="1" applyAlignment="1">
      <alignment horizontal="right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5" formatCode="yyyy\-mm\-dd\ hh:mm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5" formatCode="yyyy\-mm\-dd\ hh:mm;@"/>
      <alignment horizontal="center" vertical="bottom" textRotation="0" wrapText="0" indent="0" justifyLastLine="0" shrinkToFit="0" readingOrder="0"/>
    </dxf>
    <dxf>
      <numFmt numFmtId="175" formatCode="yyyy\-mm\-dd\ hh:mm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/>
        <i val="0"/>
        <color theme="9"/>
      </font>
    </dxf>
    <dxf>
      <font>
        <b/>
        <i val="0"/>
        <color rgb="FFC0000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&quot;$&quot;* #,##0.000_);_(&quot;$&quot;* \(#,##0.0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m/d/yyyy\ h: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00_);_(&quot;$&quot;* \(#,##0.0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(&quot;$&quot;* #,##0.0000_);_(&quot;$&quot;* \(#,##0.0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CloseType!$F$1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CloseType!$F$2:$F$504</c:f>
              <c:numCache>
                <c:formatCode>_("$"* #,##0.00_);_("$"* \(#,##0.00\);_("$"* "-"??_);_(@_)</c:formatCode>
                <c:ptCount val="503"/>
                <c:pt idx="0">
                  <c:v>212.8</c:v>
                </c:pt>
                <c:pt idx="1">
                  <c:v>214.06</c:v>
                </c:pt>
                <c:pt idx="2">
                  <c:v>213.89</c:v>
                </c:pt>
                <c:pt idx="3">
                  <c:v>214.66</c:v>
                </c:pt>
                <c:pt idx="4">
                  <c:v>213.95</c:v>
                </c:pt>
                <c:pt idx="5">
                  <c:v>213.95</c:v>
                </c:pt>
                <c:pt idx="6">
                  <c:v>214.55</c:v>
                </c:pt>
                <c:pt idx="7">
                  <c:v>214.02</c:v>
                </c:pt>
                <c:pt idx="8">
                  <c:v>214.51</c:v>
                </c:pt>
                <c:pt idx="9">
                  <c:v>213.75</c:v>
                </c:pt>
                <c:pt idx="10">
                  <c:v>214.22</c:v>
                </c:pt>
                <c:pt idx="11">
                  <c:v>213.43</c:v>
                </c:pt>
                <c:pt idx="12">
                  <c:v>214.21</c:v>
                </c:pt>
                <c:pt idx="13">
                  <c:v>213.66</c:v>
                </c:pt>
                <c:pt idx="14">
                  <c:v>215.03</c:v>
                </c:pt>
                <c:pt idx="15">
                  <c:v>216.89</c:v>
                </c:pt>
                <c:pt idx="16">
                  <c:v>216.66</c:v>
                </c:pt>
                <c:pt idx="17">
                  <c:v>216.32</c:v>
                </c:pt>
                <c:pt idx="18">
                  <c:v>214.98</c:v>
                </c:pt>
                <c:pt idx="19">
                  <c:v>214.96</c:v>
                </c:pt>
                <c:pt idx="20">
                  <c:v>215.05</c:v>
                </c:pt>
                <c:pt idx="21">
                  <c:v>215.19</c:v>
                </c:pt>
                <c:pt idx="22">
                  <c:v>216.67</c:v>
                </c:pt>
                <c:pt idx="23">
                  <c:v>216.28</c:v>
                </c:pt>
                <c:pt idx="24">
                  <c:v>216.29</c:v>
                </c:pt>
                <c:pt idx="25">
                  <c:v>216.58</c:v>
                </c:pt>
                <c:pt idx="26">
                  <c:v>217.86</c:v>
                </c:pt>
                <c:pt idx="27">
                  <c:v>218.72</c:v>
                </c:pt>
                <c:pt idx="28">
                  <c:v>219.91</c:v>
                </c:pt>
                <c:pt idx="29">
                  <c:v>220.79</c:v>
                </c:pt>
                <c:pt idx="30">
                  <c:v>221.94</c:v>
                </c:pt>
                <c:pt idx="31">
                  <c:v>221.75</c:v>
                </c:pt>
                <c:pt idx="32">
                  <c:v>222.1</c:v>
                </c:pt>
                <c:pt idx="33">
                  <c:v>223.43</c:v>
                </c:pt>
                <c:pt idx="34">
                  <c:v>223.23</c:v>
                </c:pt>
                <c:pt idx="35">
                  <c:v>223.38</c:v>
                </c:pt>
                <c:pt idx="36">
                  <c:v>223.66</c:v>
                </c:pt>
                <c:pt idx="37">
                  <c:v>224.01</c:v>
                </c:pt>
                <c:pt idx="38">
                  <c:v>223.41</c:v>
                </c:pt>
                <c:pt idx="39">
                  <c:v>226.53</c:v>
                </c:pt>
                <c:pt idx="40">
                  <c:v>225.11</c:v>
                </c:pt>
                <c:pt idx="41">
                  <c:v>225.25</c:v>
                </c:pt>
                <c:pt idx="42">
                  <c:v>224.58</c:v>
                </c:pt>
                <c:pt idx="43">
                  <c:v>223.91</c:v>
                </c:pt>
                <c:pt idx="44">
                  <c:v>223.49</c:v>
                </c:pt>
                <c:pt idx="45">
                  <c:v>223.78</c:v>
                </c:pt>
                <c:pt idx="46">
                  <c:v>224.56</c:v>
                </c:pt>
                <c:pt idx="47">
                  <c:v>224.67</c:v>
                </c:pt>
                <c:pt idx="48">
                  <c:v>223.81</c:v>
                </c:pt>
                <c:pt idx="49">
                  <c:v>225.75</c:v>
                </c:pt>
                <c:pt idx="50">
                  <c:v>225.31</c:v>
                </c:pt>
                <c:pt idx="51">
                  <c:v>224.91</c:v>
                </c:pt>
                <c:pt idx="52">
                  <c:v>224.66</c:v>
                </c:pt>
                <c:pt idx="53">
                  <c:v>221.78</c:v>
                </c:pt>
                <c:pt idx="54">
                  <c:v>222.3</c:v>
                </c:pt>
                <c:pt idx="55">
                  <c:v>222.06</c:v>
                </c:pt>
                <c:pt idx="56">
                  <c:v>221.9</c:v>
                </c:pt>
                <c:pt idx="57">
                  <c:v>221.67</c:v>
                </c:pt>
                <c:pt idx="58">
                  <c:v>223.29</c:v>
                </c:pt>
                <c:pt idx="59">
                  <c:v>223.5</c:v>
                </c:pt>
                <c:pt idx="60">
                  <c:v>224.21</c:v>
                </c:pt>
                <c:pt idx="61">
                  <c:v>223.69</c:v>
                </c:pt>
                <c:pt idx="62">
                  <c:v>223.3</c:v>
                </c:pt>
                <c:pt idx="63">
                  <c:v>223.44</c:v>
                </c:pt>
                <c:pt idx="64">
                  <c:v>222.78</c:v>
                </c:pt>
                <c:pt idx="65">
                  <c:v>223.4</c:v>
                </c:pt>
                <c:pt idx="66">
                  <c:v>223.17</c:v>
                </c:pt>
                <c:pt idx="67">
                  <c:v>223.31</c:v>
                </c:pt>
                <c:pt idx="68">
                  <c:v>223.04</c:v>
                </c:pt>
                <c:pt idx="69">
                  <c:v>222.06</c:v>
                </c:pt>
                <c:pt idx="70">
                  <c:v>220.62</c:v>
                </c:pt>
                <c:pt idx="71">
                  <c:v>222.58</c:v>
                </c:pt>
                <c:pt idx="72">
                  <c:v>221.91</c:v>
                </c:pt>
                <c:pt idx="73">
                  <c:v>221.5</c:v>
                </c:pt>
                <c:pt idx="74">
                  <c:v>223.31</c:v>
                </c:pt>
                <c:pt idx="75">
                  <c:v>222.6</c:v>
                </c:pt>
                <c:pt idx="76">
                  <c:v>225.04</c:v>
                </c:pt>
                <c:pt idx="77">
                  <c:v>226.35</c:v>
                </c:pt>
                <c:pt idx="78">
                  <c:v>226.21</c:v>
                </c:pt>
                <c:pt idx="79">
                  <c:v>226.4</c:v>
                </c:pt>
                <c:pt idx="80">
                  <c:v>225.91</c:v>
                </c:pt>
                <c:pt idx="81">
                  <c:v>226.48</c:v>
                </c:pt>
                <c:pt idx="82">
                  <c:v>226.56</c:v>
                </c:pt>
                <c:pt idx="83">
                  <c:v>226.29</c:v>
                </c:pt>
                <c:pt idx="84">
                  <c:v>226.55</c:v>
                </c:pt>
                <c:pt idx="85">
                  <c:v>227.44</c:v>
                </c:pt>
                <c:pt idx="86">
                  <c:v>227.41</c:v>
                </c:pt>
                <c:pt idx="87">
                  <c:v>227.2</c:v>
                </c:pt>
                <c:pt idx="88">
                  <c:v>227.61</c:v>
                </c:pt>
                <c:pt idx="89">
                  <c:v>227.14</c:v>
                </c:pt>
                <c:pt idx="90">
                  <c:v>226.76</c:v>
                </c:pt>
                <c:pt idx="91">
                  <c:v>228.01</c:v>
                </c:pt>
                <c:pt idx="92">
                  <c:v>227.8</c:v>
                </c:pt>
                <c:pt idx="93">
                  <c:v>223.76</c:v>
                </c:pt>
                <c:pt idx="94">
                  <c:v>224.66</c:v>
                </c:pt>
                <c:pt idx="95">
                  <c:v>226.12</c:v>
                </c:pt>
                <c:pt idx="96">
                  <c:v>227.27</c:v>
                </c:pt>
                <c:pt idx="97">
                  <c:v>227.78</c:v>
                </c:pt>
                <c:pt idx="98">
                  <c:v>228.31</c:v>
                </c:pt>
                <c:pt idx="99">
                  <c:v>229.4</c:v>
                </c:pt>
                <c:pt idx="100">
                  <c:v>229.35</c:v>
                </c:pt>
                <c:pt idx="101">
                  <c:v>229.15</c:v>
                </c:pt>
                <c:pt idx="102">
                  <c:v>229.09</c:v>
                </c:pt>
                <c:pt idx="103">
                  <c:v>230.92</c:v>
                </c:pt>
                <c:pt idx="104">
                  <c:v>231.69</c:v>
                </c:pt>
                <c:pt idx="105">
                  <c:v>231.51</c:v>
                </c:pt>
                <c:pt idx="106">
                  <c:v>230.77</c:v>
                </c:pt>
                <c:pt idx="107">
                  <c:v>231.2</c:v>
                </c:pt>
                <c:pt idx="108">
                  <c:v>231.32</c:v>
                </c:pt>
                <c:pt idx="109">
                  <c:v>230.96</c:v>
                </c:pt>
                <c:pt idx="110">
                  <c:v>230.92</c:v>
                </c:pt>
                <c:pt idx="111">
                  <c:v>232.05</c:v>
                </c:pt>
                <c:pt idx="112">
                  <c:v>231.75</c:v>
                </c:pt>
                <c:pt idx="113">
                  <c:v>231.31</c:v>
                </c:pt>
                <c:pt idx="114">
                  <c:v>231.36</c:v>
                </c:pt>
                <c:pt idx="115">
                  <c:v>233.28</c:v>
                </c:pt>
                <c:pt idx="116">
                  <c:v>231.71</c:v>
                </c:pt>
                <c:pt idx="117">
                  <c:v>231.65</c:v>
                </c:pt>
                <c:pt idx="118">
                  <c:v>231.55</c:v>
                </c:pt>
                <c:pt idx="119">
                  <c:v>231.82</c:v>
                </c:pt>
                <c:pt idx="120">
                  <c:v>231.98</c:v>
                </c:pt>
                <c:pt idx="121">
                  <c:v>230.11</c:v>
                </c:pt>
                <c:pt idx="122">
                  <c:v>232.17</c:v>
                </c:pt>
                <c:pt idx="123">
                  <c:v>230.13</c:v>
                </c:pt>
                <c:pt idx="124">
                  <c:v>230.56</c:v>
                </c:pt>
                <c:pt idx="125">
                  <c:v>230.95</c:v>
                </c:pt>
                <c:pt idx="126">
                  <c:v>231.48</c:v>
                </c:pt>
                <c:pt idx="127">
                  <c:v>229.36</c:v>
                </c:pt>
                <c:pt idx="128">
                  <c:v>230.85</c:v>
                </c:pt>
                <c:pt idx="129">
                  <c:v>231.1</c:v>
                </c:pt>
                <c:pt idx="130">
                  <c:v>230.93</c:v>
                </c:pt>
                <c:pt idx="131">
                  <c:v>232.66</c:v>
                </c:pt>
                <c:pt idx="132">
                  <c:v>233.05</c:v>
                </c:pt>
                <c:pt idx="133">
                  <c:v>234.14</c:v>
                </c:pt>
                <c:pt idx="134">
                  <c:v>234.11</c:v>
                </c:pt>
                <c:pt idx="135">
                  <c:v>234.24</c:v>
                </c:pt>
                <c:pt idx="136">
                  <c:v>235.5</c:v>
                </c:pt>
                <c:pt idx="137">
                  <c:v>235.61</c:v>
                </c:pt>
                <c:pt idx="138">
                  <c:v>235.4</c:v>
                </c:pt>
                <c:pt idx="139">
                  <c:v>235.34</c:v>
                </c:pt>
                <c:pt idx="140">
                  <c:v>235.91</c:v>
                </c:pt>
                <c:pt idx="141">
                  <c:v>235.92</c:v>
                </c:pt>
                <c:pt idx="142">
                  <c:v>235.7</c:v>
                </c:pt>
                <c:pt idx="143">
                  <c:v>235.43</c:v>
                </c:pt>
                <c:pt idx="144">
                  <c:v>235.29</c:v>
                </c:pt>
                <c:pt idx="145">
                  <c:v>235.82</c:v>
                </c:pt>
                <c:pt idx="146">
                  <c:v>235.93</c:v>
                </c:pt>
                <c:pt idx="147">
                  <c:v>235.48</c:v>
                </c:pt>
                <c:pt idx="148">
                  <c:v>235.9</c:v>
                </c:pt>
                <c:pt idx="149">
                  <c:v>236.34</c:v>
                </c:pt>
                <c:pt idx="150">
                  <c:v>235.76</c:v>
                </c:pt>
                <c:pt idx="151">
                  <c:v>235.75</c:v>
                </c:pt>
                <c:pt idx="152">
                  <c:v>232.42</c:v>
                </c:pt>
                <c:pt idx="153">
                  <c:v>232.77</c:v>
                </c:pt>
                <c:pt idx="154">
                  <c:v>235.07</c:v>
                </c:pt>
                <c:pt idx="155">
                  <c:v>235.05</c:v>
                </c:pt>
                <c:pt idx="156">
                  <c:v>235.46</c:v>
                </c:pt>
                <c:pt idx="157">
                  <c:v>231.79</c:v>
                </c:pt>
                <c:pt idx="158">
                  <c:v>231.42</c:v>
                </c:pt>
                <c:pt idx="159">
                  <c:v>231.6</c:v>
                </c:pt>
                <c:pt idx="160">
                  <c:v>234.03</c:v>
                </c:pt>
                <c:pt idx="161">
                  <c:v>233.19</c:v>
                </c:pt>
                <c:pt idx="162">
                  <c:v>232.64</c:v>
                </c:pt>
                <c:pt idx="163">
                  <c:v>233.19</c:v>
                </c:pt>
                <c:pt idx="164">
                  <c:v>233.2</c:v>
                </c:pt>
                <c:pt idx="165">
                  <c:v>233.46</c:v>
                </c:pt>
                <c:pt idx="166">
                  <c:v>234.57</c:v>
                </c:pt>
                <c:pt idx="167">
                  <c:v>235.98</c:v>
                </c:pt>
                <c:pt idx="168">
                  <c:v>236.31</c:v>
                </c:pt>
                <c:pt idx="169">
                  <c:v>234.62</c:v>
                </c:pt>
                <c:pt idx="170">
                  <c:v>235.42</c:v>
                </c:pt>
                <c:pt idx="171">
                  <c:v>235.39</c:v>
                </c:pt>
                <c:pt idx="172">
                  <c:v>235.11</c:v>
                </c:pt>
                <c:pt idx="173">
                  <c:v>237.62</c:v>
                </c:pt>
                <c:pt idx="174">
                  <c:v>238.42</c:v>
                </c:pt>
                <c:pt idx="175">
                  <c:v>238.54</c:v>
                </c:pt>
                <c:pt idx="176">
                  <c:v>238.46</c:v>
                </c:pt>
                <c:pt idx="177">
                  <c:v>238.78</c:v>
                </c:pt>
                <c:pt idx="178">
                  <c:v>239.29</c:v>
                </c:pt>
                <c:pt idx="179">
                  <c:v>239.53</c:v>
                </c:pt>
                <c:pt idx="180">
                  <c:v>239.61</c:v>
                </c:pt>
                <c:pt idx="181">
                  <c:v>238.97</c:v>
                </c:pt>
                <c:pt idx="182">
                  <c:v>239.02</c:v>
                </c:pt>
                <c:pt idx="183">
                  <c:v>238.53</c:v>
                </c:pt>
                <c:pt idx="184">
                  <c:v>238.68</c:v>
                </c:pt>
                <c:pt idx="185">
                  <c:v>239.6</c:v>
                </c:pt>
                <c:pt idx="186">
                  <c:v>239.89</c:v>
                </c:pt>
                <c:pt idx="187">
                  <c:v>240.74</c:v>
                </c:pt>
                <c:pt idx="188">
                  <c:v>241.78</c:v>
                </c:pt>
                <c:pt idx="189">
                  <c:v>242.3</c:v>
                </c:pt>
                <c:pt idx="190">
                  <c:v>242.58</c:v>
                </c:pt>
                <c:pt idx="191">
                  <c:v>244.02</c:v>
                </c:pt>
                <c:pt idx="192">
                  <c:v>243.74</c:v>
                </c:pt>
                <c:pt idx="193">
                  <c:v>243.34</c:v>
                </c:pt>
                <c:pt idx="194">
                  <c:v>243.98</c:v>
                </c:pt>
                <c:pt idx="195">
                  <c:v>244.37</c:v>
                </c:pt>
                <c:pt idx="196">
                  <c:v>244</c:v>
                </c:pt>
                <c:pt idx="197">
                  <c:v>244.3</c:v>
                </c:pt>
                <c:pt idx="198">
                  <c:v>244.63</c:v>
                </c:pt>
                <c:pt idx="199">
                  <c:v>244.8</c:v>
                </c:pt>
                <c:pt idx="200">
                  <c:v>245.04</c:v>
                </c:pt>
                <c:pt idx="201">
                  <c:v>245.1</c:v>
                </c:pt>
                <c:pt idx="202">
                  <c:v>246.37</c:v>
                </c:pt>
                <c:pt idx="203">
                  <c:v>245.41</c:v>
                </c:pt>
                <c:pt idx="204">
                  <c:v>245.84</c:v>
                </c:pt>
                <c:pt idx="205">
                  <c:v>244.63</c:v>
                </c:pt>
                <c:pt idx="206">
                  <c:v>244.94</c:v>
                </c:pt>
                <c:pt idx="207">
                  <c:v>246.94</c:v>
                </c:pt>
                <c:pt idx="208">
                  <c:v>246.02</c:v>
                </c:pt>
                <c:pt idx="209">
                  <c:v>246.41</c:v>
                </c:pt>
                <c:pt idx="210">
                  <c:v>246.73</c:v>
                </c:pt>
                <c:pt idx="211">
                  <c:v>246.83</c:v>
                </c:pt>
                <c:pt idx="212">
                  <c:v>247.65</c:v>
                </c:pt>
                <c:pt idx="213">
                  <c:v>248.04</c:v>
                </c:pt>
                <c:pt idx="214">
                  <c:v>247.86</c:v>
                </c:pt>
                <c:pt idx="215">
                  <c:v>248.29</c:v>
                </c:pt>
                <c:pt idx="216">
                  <c:v>247.39</c:v>
                </c:pt>
                <c:pt idx="217">
                  <c:v>247.31</c:v>
                </c:pt>
                <c:pt idx="218">
                  <c:v>247.54</c:v>
                </c:pt>
                <c:pt idx="219">
                  <c:v>246.96</c:v>
                </c:pt>
                <c:pt idx="220">
                  <c:v>245.73</c:v>
                </c:pt>
                <c:pt idx="221">
                  <c:v>247.82</c:v>
                </c:pt>
                <c:pt idx="222">
                  <c:v>247.09</c:v>
                </c:pt>
                <c:pt idx="223">
                  <c:v>247.51</c:v>
                </c:pt>
                <c:pt idx="224">
                  <c:v>249.13</c:v>
                </c:pt>
                <c:pt idx="225">
                  <c:v>248.91</c:v>
                </c:pt>
                <c:pt idx="226">
                  <c:v>249.48</c:v>
                </c:pt>
                <c:pt idx="227">
                  <c:v>249.36</c:v>
                </c:pt>
                <c:pt idx="228">
                  <c:v>251.89</c:v>
                </c:pt>
                <c:pt idx="229">
                  <c:v>251.74</c:v>
                </c:pt>
                <c:pt idx="230">
                  <c:v>253.94</c:v>
                </c:pt>
                <c:pt idx="231">
                  <c:v>253.41</c:v>
                </c:pt>
                <c:pt idx="232">
                  <c:v>253.11</c:v>
                </c:pt>
                <c:pt idx="233">
                  <c:v>252.2</c:v>
                </c:pt>
                <c:pt idx="234">
                  <c:v>252.24</c:v>
                </c:pt>
                <c:pt idx="235">
                  <c:v>253.04</c:v>
                </c:pt>
                <c:pt idx="236">
                  <c:v>254.42</c:v>
                </c:pt>
                <c:pt idx="237">
                  <c:v>255.19</c:v>
                </c:pt>
                <c:pt idx="238">
                  <c:v>255.64</c:v>
                </c:pt>
                <c:pt idx="239">
                  <c:v>255.61</c:v>
                </c:pt>
                <c:pt idx="240">
                  <c:v>254.56</c:v>
                </c:pt>
                <c:pt idx="241">
                  <c:v>256.68</c:v>
                </c:pt>
                <c:pt idx="242">
                  <c:v>258.31</c:v>
                </c:pt>
                <c:pt idx="243">
                  <c:v>257.32</c:v>
                </c:pt>
                <c:pt idx="244">
                  <c:v>257.18</c:v>
                </c:pt>
                <c:pt idx="245">
                  <c:v>257.70999999999998</c:v>
                </c:pt>
                <c:pt idx="246">
                  <c:v>257.64999999999998</c:v>
                </c:pt>
                <c:pt idx="247">
                  <c:v>257.33999999999997</c:v>
                </c:pt>
                <c:pt idx="248">
                  <c:v>257.45999999999998</c:v>
                </c:pt>
                <c:pt idx="249">
                  <c:v>257.99</c:v>
                </c:pt>
                <c:pt idx="250">
                  <c:v>257.02</c:v>
                </c:pt>
                <c:pt idx="251">
                  <c:v>258.86</c:v>
                </c:pt>
                <c:pt idx="252">
                  <c:v>260.5</c:v>
                </c:pt>
                <c:pt idx="253">
                  <c:v>261.58999999999997</c:v>
                </c:pt>
                <c:pt idx="254">
                  <c:v>263.33999999999997</c:v>
                </c:pt>
                <c:pt idx="255">
                  <c:v>263.82</c:v>
                </c:pt>
                <c:pt idx="256">
                  <c:v>264.42</c:v>
                </c:pt>
                <c:pt idx="257">
                  <c:v>264.01</c:v>
                </c:pt>
                <c:pt idx="258">
                  <c:v>265.94</c:v>
                </c:pt>
                <c:pt idx="259">
                  <c:v>267.67</c:v>
                </c:pt>
                <c:pt idx="260">
                  <c:v>266.76</c:v>
                </c:pt>
                <c:pt idx="261">
                  <c:v>269.3</c:v>
                </c:pt>
                <c:pt idx="262">
                  <c:v>268.85000000000002</c:v>
                </c:pt>
                <c:pt idx="263">
                  <c:v>270.07</c:v>
                </c:pt>
                <c:pt idx="264">
                  <c:v>272.27</c:v>
                </c:pt>
                <c:pt idx="265">
                  <c:v>272.83999999999997</c:v>
                </c:pt>
                <c:pt idx="266">
                  <c:v>272.74</c:v>
                </c:pt>
                <c:pt idx="267">
                  <c:v>272.85000000000002</c:v>
                </c:pt>
                <c:pt idx="268">
                  <c:v>276.01</c:v>
                </c:pt>
                <c:pt idx="269">
                  <c:v>274.18</c:v>
                </c:pt>
                <c:pt idx="270">
                  <c:v>271.37</c:v>
                </c:pt>
                <c:pt idx="271">
                  <c:v>271.51</c:v>
                </c:pt>
                <c:pt idx="272">
                  <c:v>271.2</c:v>
                </c:pt>
                <c:pt idx="273">
                  <c:v>265.29000000000002</c:v>
                </c:pt>
                <c:pt idx="274">
                  <c:v>254.2</c:v>
                </c:pt>
                <c:pt idx="275">
                  <c:v>259.20999999999998</c:v>
                </c:pt>
                <c:pt idx="276">
                  <c:v>257.8</c:v>
                </c:pt>
                <c:pt idx="277">
                  <c:v>248.13</c:v>
                </c:pt>
                <c:pt idx="278">
                  <c:v>251.86</c:v>
                </c:pt>
                <c:pt idx="279">
                  <c:v>255.56</c:v>
                </c:pt>
                <c:pt idx="280">
                  <c:v>256.19</c:v>
                </c:pt>
                <c:pt idx="281">
                  <c:v>259.64999999999998</c:v>
                </c:pt>
                <c:pt idx="282">
                  <c:v>262.95999999999998</c:v>
                </c:pt>
                <c:pt idx="283">
                  <c:v>263.04000000000002</c:v>
                </c:pt>
                <c:pt idx="284">
                  <c:v>261.39</c:v>
                </c:pt>
                <c:pt idx="285">
                  <c:v>260.08999999999997</c:v>
                </c:pt>
                <c:pt idx="286">
                  <c:v>260.43</c:v>
                </c:pt>
                <c:pt idx="287">
                  <c:v>264.58</c:v>
                </c:pt>
                <c:pt idx="288">
                  <c:v>267.64999999999998</c:v>
                </c:pt>
                <c:pt idx="289">
                  <c:v>264.31</c:v>
                </c:pt>
                <c:pt idx="290">
                  <c:v>261.63</c:v>
                </c:pt>
                <c:pt idx="291">
                  <c:v>257.83</c:v>
                </c:pt>
                <c:pt idx="292">
                  <c:v>259.16000000000003</c:v>
                </c:pt>
                <c:pt idx="293">
                  <c:v>262.14999999999998</c:v>
                </c:pt>
                <c:pt idx="294">
                  <c:v>262.82</c:v>
                </c:pt>
                <c:pt idx="295">
                  <c:v>262.72000000000003</c:v>
                </c:pt>
                <c:pt idx="296">
                  <c:v>263.99</c:v>
                </c:pt>
                <c:pt idx="297">
                  <c:v>268.58999999999997</c:v>
                </c:pt>
                <c:pt idx="298">
                  <c:v>268.25</c:v>
                </c:pt>
                <c:pt idx="299">
                  <c:v>266.52</c:v>
                </c:pt>
                <c:pt idx="300">
                  <c:v>265.14999999999998</c:v>
                </c:pt>
                <c:pt idx="301">
                  <c:v>264.86</c:v>
                </c:pt>
                <c:pt idx="302">
                  <c:v>265.14999999999998</c:v>
                </c:pt>
                <c:pt idx="303">
                  <c:v>261.56</c:v>
                </c:pt>
                <c:pt idx="304">
                  <c:v>262</c:v>
                </c:pt>
                <c:pt idx="305">
                  <c:v>261.5</c:v>
                </c:pt>
                <c:pt idx="306">
                  <c:v>254.96</c:v>
                </c:pt>
                <c:pt idx="307">
                  <c:v>249.53</c:v>
                </c:pt>
                <c:pt idx="308">
                  <c:v>256.36</c:v>
                </c:pt>
                <c:pt idx="309">
                  <c:v>252</c:v>
                </c:pt>
                <c:pt idx="310">
                  <c:v>251.25</c:v>
                </c:pt>
                <c:pt idx="311">
                  <c:v>254.46</c:v>
                </c:pt>
                <c:pt idx="312">
                  <c:v>248.97</c:v>
                </c:pt>
                <c:pt idx="313">
                  <c:v>252.16</c:v>
                </c:pt>
                <c:pt idx="314">
                  <c:v>254.86</c:v>
                </c:pt>
                <c:pt idx="315">
                  <c:v>256.87</c:v>
                </c:pt>
                <c:pt idx="316">
                  <c:v>251.14</c:v>
                </c:pt>
                <c:pt idx="317">
                  <c:v>252.38</c:v>
                </c:pt>
                <c:pt idx="318">
                  <c:v>256.39999999999998</c:v>
                </c:pt>
                <c:pt idx="319">
                  <c:v>255.05</c:v>
                </c:pt>
                <c:pt idx="320">
                  <c:v>257.14999999999998</c:v>
                </c:pt>
                <c:pt idx="321">
                  <c:v>256.39999999999998</c:v>
                </c:pt>
                <c:pt idx="322">
                  <c:v>258.5</c:v>
                </c:pt>
                <c:pt idx="323">
                  <c:v>261.27</c:v>
                </c:pt>
                <c:pt idx="324">
                  <c:v>261.45999999999998</c:v>
                </c:pt>
                <c:pt idx="325">
                  <c:v>260.01</c:v>
                </c:pt>
                <c:pt idx="326">
                  <c:v>257.81</c:v>
                </c:pt>
                <c:pt idx="327">
                  <c:v>257.77</c:v>
                </c:pt>
                <c:pt idx="328">
                  <c:v>254.3</c:v>
                </c:pt>
                <c:pt idx="329">
                  <c:v>254.93</c:v>
                </c:pt>
                <c:pt idx="330">
                  <c:v>257.52</c:v>
                </c:pt>
                <c:pt idx="331">
                  <c:v>257.76</c:v>
                </c:pt>
                <c:pt idx="332">
                  <c:v>255.78</c:v>
                </c:pt>
                <c:pt idx="333">
                  <c:v>256.23</c:v>
                </c:pt>
                <c:pt idx="334">
                  <c:v>254.51</c:v>
                </c:pt>
                <c:pt idx="335">
                  <c:v>253.95</c:v>
                </c:pt>
                <c:pt idx="336">
                  <c:v>257.24</c:v>
                </c:pt>
                <c:pt idx="337">
                  <c:v>258.11</c:v>
                </c:pt>
                <c:pt idx="338">
                  <c:v>258.11</c:v>
                </c:pt>
                <c:pt idx="339">
                  <c:v>260.60000000000002</c:v>
                </c:pt>
                <c:pt idx="340">
                  <c:v>263.04000000000002</c:v>
                </c:pt>
                <c:pt idx="341">
                  <c:v>263.83999999999997</c:v>
                </c:pt>
                <c:pt idx="342">
                  <c:v>263.97000000000003</c:v>
                </c:pt>
                <c:pt idx="343">
                  <c:v>262.14999999999998</c:v>
                </c:pt>
                <c:pt idx="344">
                  <c:v>263.25</c:v>
                </c:pt>
                <c:pt idx="345">
                  <c:v>263.02999999999997</c:v>
                </c:pt>
                <c:pt idx="346">
                  <c:v>262.37</c:v>
                </c:pt>
                <c:pt idx="347">
                  <c:v>264.33999999999997</c:v>
                </c:pt>
                <c:pt idx="348">
                  <c:v>263.61</c:v>
                </c:pt>
                <c:pt idx="349">
                  <c:v>264.33</c:v>
                </c:pt>
                <c:pt idx="350">
                  <c:v>263.79000000000002</c:v>
                </c:pt>
                <c:pt idx="351">
                  <c:v>263.16000000000003</c:v>
                </c:pt>
                <c:pt idx="352">
                  <c:v>260.14</c:v>
                </c:pt>
                <c:pt idx="353">
                  <c:v>263.61</c:v>
                </c:pt>
                <c:pt idx="354">
                  <c:v>261.99</c:v>
                </c:pt>
                <c:pt idx="355">
                  <c:v>264.57</c:v>
                </c:pt>
                <c:pt idx="356">
                  <c:v>265.82</c:v>
                </c:pt>
                <c:pt idx="357">
                  <c:v>266.02</c:v>
                </c:pt>
                <c:pt idx="358">
                  <c:v>268.24</c:v>
                </c:pt>
                <c:pt idx="359">
                  <c:v>268.20999999999998</c:v>
                </c:pt>
                <c:pt idx="360">
                  <c:v>269</c:v>
                </c:pt>
                <c:pt idx="361">
                  <c:v>269.36</c:v>
                </c:pt>
                <c:pt idx="362">
                  <c:v>269.70999999999998</c:v>
                </c:pt>
                <c:pt idx="363">
                  <c:v>268.85000000000002</c:v>
                </c:pt>
                <c:pt idx="364">
                  <c:v>269.52999999999997</c:v>
                </c:pt>
                <c:pt idx="365">
                  <c:v>269.18</c:v>
                </c:pt>
                <c:pt idx="366">
                  <c:v>268.63</c:v>
                </c:pt>
                <c:pt idx="367">
                  <c:v>267.60000000000002</c:v>
                </c:pt>
                <c:pt idx="368">
                  <c:v>268.06</c:v>
                </c:pt>
                <c:pt idx="369">
                  <c:v>266.38</c:v>
                </c:pt>
                <c:pt idx="370">
                  <c:v>266.86</c:v>
                </c:pt>
                <c:pt idx="371">
                  <c:v>263.23</c:v>
                </c:pt>
                <c:pt idx="372">
                  <c:v>263.81</c:v>
                </c:pt>
                <c:pt idx="373">
                  <c:v>261.63</c:v>
                </c:pt>
                <c:pt idx="374">
                  <c:v>263.12</c:v>
                </c:pt>
                <c:pt idx="375">
                  <c:v>263.5</c:v>
                </c:pt>
                <c:pt idx="376">
                  <c:v>264.06</c:v>
                </c:pt>
                <c:pt idx="377">
                  <c:v>263.13</c:v>
                </c:pt>
                <c:pt idx="378">
                  <c:v>265.27999999999997</c:v>
                </c:pt>
                <c:pt idx="379">
                  <c:v>267.52</c:v>
                </c:pt>
                <c:pt idx="380">
                  <c:v>269.93</c:v>
                </c:pt>
                <c:pt idx="381">
                  <c:v>270.89999999999998</c:v>
                </c:pt>
                <c:pt idx="382">
                  <c:v>268.92</c:v>
                </c:pt>
                <c:pt idx="383">
                  <c:v>271.36</c:v>
                </c:pt>
                <c:pt idx="384">
                  <c:v>271.57</c:v>
                </c:pt>
                <c:pt idx="385">
                  <c:v>271.33</c:v>
                </c:pt>
                <c:pt idx="386">
                  <c:v>272.43</c:v>
                </c:pt>
                <c:pt idx="387">
                  <c:v>273</c:v>
                </c:pt>
                <c:pt idx="388">
                  <c:v>271.97000000000003</c:v>
                </c:pt>
                <c:pt idx="389">
                  <c:v>271.66000000000003</c:v>
                </c:pt>
                <c:pt idx="390">
                  <c:v>272.16000000000003</c:v>
                </c:pt>
                <c:pt idx="391">
                  <c:v>273.52999999999997</c:v>
                </c:pt>
                <c:pt idx="392">
                  <c:v>275.87</c:v>
                </c:pt>
                <c:pt idx="393">
                  <c:v>275.20999999999998</c:v>
                </c:pt>
                <c:pt idx="394">
                  <c:v>273.35000000000002</c:v>
                </c:pt>
                <c:pt idx="395">
                  <c:v>271.92</c:v>
                </c:pt>
                <c:pt idx="396">
                  <c:v>273.26</c:v>
                </c:pt>
                <c:pt idx="397">
                  <c:v>272.81</c:v>
                </c:pt>
                <c:pt idx="398">
                  <c:v>274.29000000000002</c:v>
                </c:pt>
                <c:pt idx="399">
                  <c:v>275.47000000000003</c:v>
                </c:pt>
                <c:pt idx="400">
                  <c:v>276.48</c:v>
                </c:pt>
                <c:pt idx="401">
                  <c:v>277.39</c:v>
                </c:pt>
                <c:pt idx="402">
                  <c:v>277.27</c:v>
                </c:pt>
                <c:pt idx="403">
                  <c:v>276.89999999999998</c:v>
                </c:pt>
                <c:pt idx="404">
                  <c:v>275.04000000000002</c:v>
                </c:pt>
                <c:pt idx="405">
                  <c:v>274.01</c:v>
                </c:pt>
                <c:pt idx="406">
                  <c:v>275.76</c:v>
                </c:pt>
                <c:pt idx="407">
                  <c:v>273.7</c:v>
                </c:pt>
                <c:pt idx="408">
                  <c:v>275.91000000000003</c:v>
                </c:pt>
                <c:pt idx="409">
                  <c:v>276.89</c:v>
                </c:pt>
                <c:pt idx="410">
                  <c:v>277.48</c:v>
                </c:pt>
                <c:pt idx="411">
                  <c:v>278.13</c:v>
                </c:pt>
                <c:pt idx="412">
                  <c:v>277.95999999999998</c:v>
                </c:pt>
                <c:pt idx="413">
                  <c:v>277.58999999999997</c:v>
                </c:pt>
                <c:pt idx="414">
                  <c:v>279.27</c:v>
                </c:pt>
                <c:pt idx="415">
                  <c:v>281.47000000000003</c:v>
                </c:pt>
                <c:pt idx="416">
                  <c:v>281.61</c:v>
                </c:pt>
                <c:pt idx="417">
                  <c:v>283.12</c:v>
                </c:pt>
                <c:pt idx="418">
                  <c:v>281.98</c:v>
                </c:pt>
                <c:pt idx="419">
                  <c:v>281.98</c:v>
                </c:pt>
                <c:pt idx="420">
                  <c:v>281.5</c:v>
                </c:pt>
                <c:pt idx="421">
                  <c:v>280.74</c:v>
                </c:pt>
                <c:pt idx="422">
                  <c:v>279.89999999999998</c:v>
                </c:pt>
                <c:pt idx="423">
                  <c:v>279.35000000000002</c:v>
                </c:pt>
                <c:pt idx="424">
                  <c:v>279.83999999999997</c:v>
                </c:pt>
                <c:pt idx="425">
                  <c:v>280.76</c:v>
                </c:pt>
                <c:pt idx="426">
                  <c:v>280.83</c:v>
                </c:pt>
                <c:pt idx="427">
                  <c:v>282.49</c:v>
                </c:pt>
                <c:pt idx="428">
                  <c:v>282.54000000000002</c:v>
                </c:pt>
                <c:pt idx="429">
                  <c:v>281.04000000000002</c:v>
                </c:pt>
                <c:pt idx="430">
                  <c:v>282.57</c:v>
                </c:pt>
                <c:pt idx="431">
                  <c:v>282.87</c:v>
                </c:pt>
                <c:pt idx="432">
                  <c:v>285.16000000000003</c:v>
                </c:pt>
                <c:pt idx="433">
                  <c:v>284.89999999999998</c:v>
                </c:pt>
                <c:pt idx="434">
                  <c:v>283.95</c:v>
                </c:pt>
                <c:pt idx="435">
                  <c:v>283.69</c:v>
                </c:pt>
                <c:pt idx="436">
                  <c:v>282.83999999999997</c:v>
                </c:pt>
                <c:pt idx="437">
                  <c:v>283.63</c:v>
                </c:pt>
                <c:pt idx="438">
                  <c:v>283.66000000000003</c:v>
                </c:pt>
                <c:pt idx="439">
                  <c:v>284.64999999999998</c:v>
                </c:pt>
                <c:pt idx="440">
                  <c:v>284.48</c:v>
                </c:pt>
                <c:pt idx="441">
                  <c:v>284.64</c:v>
                </c:pt>
                <c:pt idx="442">
                  <c:v>282.41000000000003</c:v>
                </c:pt>
                <c:pt idx="443">
                  <c:v>280.83</c:v>
                </c:pt>
                <c:pt idx="444">
                  <c:v>280.83</c:v>
                </c:pt>
                <c:pt idx="445">
                  <c:v>280.42</c:v>
                </c:pt>
                <c:pt idx="446">
                  <c:v>271.54000000000002</c:v>
                </c:pt>
                <c:pt idx="447">
                  <c:v>265.56</c:v>
                </c:pt>
                <c:pt idx="448">
                  <c:v>269.25</c:v>
                </c:pt>
                <c:pt idx="449">
                  <c:v>267.74</c:v>
                </c:pt>
                <c:pt idx="450">
                  <c:v>273.58999999999997</c:v>
                </c:pt>
                <c:pt idx="451">
                  <c:v>273.64</c:v>
                </c:pt>
                <c:pt idx="452">
                  <c:v>269.69</c:v>
                </c:pt>
                <c:pt idx="453">
                  <c:v>269.54000000000002</c:v>
                </c:pt>
                <c:pt idx="454">
                  <c:v>268.33</c:v>
                </c:pt>
                <c:pt idx="455">
                  <c:v>266.97000000000003</c:v>
                </c:pt>
                <c:pt idx="456">
                  <c:v>258.88</c:v>
                </c:pt>
                <c:pt idx="457">
                  <c:v>263.52</c:v>
                </c:pt>
                <c:pt idx="458">
                  <c:v>258.89</c:v>
                </c:pt>
                <c:pt idx="459">
                  <c:v>257.45</c:v>
                </c:pt>
                <c:pt idx="460">
                  <c:v>261.27</c:v>
                </c:pt>
                <c:pt idx="461">
                  <c:v>264.06</c:v>
                </c:pt>
                <c:pt idx="462">
                  <c:v>266.87</c:v>
                </c:pt>
                <c:pt idx="463">
                  <c:v>265.29000000000002</c:v>
                </c:pt>
                <c:pt idx="464">
                  <c:v>266.75</c:v>
                </c:pt>
                <c:pt idx="465">
                  <c:v>268.44</c:v>
                </c:pt>
                <c:pt idx="466">
                  <c:v>274.19</c:v>
                </c:pt>
                <c:pt idx="467">
                  <c:v>273.69</c:v>
                </c:pt>
                <c:pt idx="468">
                  <c:v>271.02</c:v>
                </c:pt>
                <c:pt idx="469">
                  <c:v>265.95</c:v>
                </c:pt>
                <c:pt idx="470">
                  <c:v>265.45</c:v>
                </c:pt>
                <c:pt idx="471">
                  <c:v>263.64</c:v>
                </c:pt>
                <c:pt idx="472">
                  <c:v>266.39</c:v>
                </c:pt>
                <c:pt idx="473">
                  <c:v>267.08</c:v>
                </c:pt>
                <c:pt idx="474">
                  <c:v>262.57</c:v>
                </c:pt>
                <c:pt idx="475">
                  <c:v>257.70999999999998</c:v>
                </c:pt>
                <c:pt idx="476">
                  <c:v>258.58</c:v>
                </c:pt>
                <c:pt idx="477">
                  <c:v>256.86</c:v>
                </c:pt>
                <c:pt idx="478">
                  <c:v>261</c:v>
                </c:pt>
                <c:pt idx="479">
                  <c:v>261.88</c:v>
                </c:pt>
                <c:pt idx="480">
                  <c:v>267.91000000000003</c:v>
                </c:pt>
                <c:pt idx="481">
                  <c:v>267.33</c:v>
                </c:pt>
                <c:pt idx="482">
                  <c:v>268.95999999999998</c:v>
                </c:pt>
                <c:pt idx="483">
                  <c:v>272.52</c:v>
                </c:pt>
                <c:pt idx="484">
                  <c:v>263.69</c:v>
                </c:pt>
                <c:pt idx="485">
                  <c:v>263.29000000000002</c:v>
                </c:pt>
                <c:pt idx="486">
                  <c:v>257.17</c:v>
                </c:pt>
                <c:pt idx="487">
                  <c:v>257.66000000000003</c:v>
                </c:pt>
                <c:pt idx="488">
                  <c:v>257.72000000000003</c:v>
                </c:pt>
                <c:pt idx="489">
                  <c:v>259.01</c:v>
                </c:pt>
                <c:pt idx="490">
                  <c:v>258.93</c:v>
                </c:pt>
                <c:pt idx="491">
                  <c:v>254.15</c:v>
                </c:pt>
                <c:pt idx="492">
                  <c:v>249.16</c:v>
                </c:pt>
                <c:pt idx="493">
                  <c:v>248.89</c:v>
                </c:pt>
                <c:pt idx="494">
                  <c:v>245.16</c:v>
                </c:pt>
                <c:pt idx="495">
                  <c:v>241.17</c:v>
                </c:pt>
                <c:pt idx="496">
                  <c:v>236.23</c:v>
                </c:pt>
                <c:pt idx="497">
                  <c:v>229.99</c:v>
                </c:pt>
                <c:pt idx="498">
                  <c:v>241.61</c:v>
                </c:pt>
                <c:pt idx="499">
                  <c:v>243.46</c:v>
                </c:pt>
                <c:pt idx="500">
                  <c:v>243.15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B1-435E-951E-F193134819B0}"/>
            </c:ext>
          </c:extLst>
        </c:ser>
        <c:ser>
          <c:idx val="4"/>
          <c:order val="4"/>
          <c:tx>
            <c:strRef>
              <c:f>CloseType!$K$1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CloseType!$K$2:$K$504</c:f>
              <c:numCache>
                <c:formatCode>_("$"* #,##0.0000_);_("$"* \(#,##0.0000\);_("$"* "-"??_);_(@_)</c:formatCode>
                <c:ptCount val="503"/>
                <c:pt idx="0">
                  <c:v>212.8</c:v>
                </c:pt>
                <c:pt idx="1">
                  <c:v>213.03585820895248</c:v>
                </c:pt>
                <c:pt idx="2">
                  <c:v>213.27171641790494</c:v>
                </c:pt>
                <c:pt idx="3">
                  <c:v>213.50757462685743</c:v>
                </c:pt>
                <c:pt idx="4">
                  <c:v>213.74343283580993</c:v>
                </c:pt>
                <c:pt idx="5">
                  <c:v>213.97929104476245</c:v>
                </c:pt>
                <c:pt idx="6">
                  <c:v>214.21514925371497</c:v>
                </c:pt>
                <c:pt idx="7">
                  <c:v>214.45100746266752</c:v>
                </c:pt>
                <c:pt idx="8">
                  <c:v>214.6868656716201</c:v>
                </c:pt>
                <c:pt idx="9">
                  <c:v>214.92272388057268</c:v>
                </c:pt>
                <c:pt idx="10">
                  <c:v>215.15858208952528</c:v>
                </c:pt>
                <c:pt idx="11">
                  <c:v>215.39444029847792</c:v>
                </c:pt>
                <c:pt idx="12">
                  <c:v>215.63029850743055</c:v>
                </c:pt>
                <c:pt idx="13">
                  <c:v>215.86615671638322</c:v>
                </c:pt>
                <c:pt idx="14">
                  <c:v>216.10201492533591</c:v>
                </c:pt>
                <c:pt idx="15">
                  <c:v>216.3378731342886</c:v>
                </c:pt>
                <c:pt idx="16">
                  <c:v>216.57373134324132</c:v>
                </c:pt>
                <c:pt idx="17">
                  <c:v>216.80958955219407</c:v>
                </c:pt>
                <c:pt idx="18">
                  <c:v>217.04544776114682</c:v>
                </c:pt>
                <c:pt idx="19">
                  <c:v>217.2813059700996</c:v>
                </c:pt>
                <c:pt idx="20">
                  <c:v>217.5171641790524</c:v>
                </c:pt>
                <c:pt idx="21">
                  <c:v>217.75302238800521</c:v>
                </c:pt>
                <c:pt idx="22">
                  <c:v>217.98888059695804</c:v>
                </c:pt>
                <c:pt idx="23">
                  <c:v>218.2247388059109</c:v>
                </c:pt>
                <c:pt idx="24">
                  <c:v>218.46059701486377</c:v>
                </c:pt>
                <c:pt idx="25">
                  <c:v>218.69645522381666</c:v>
                </c:pt>
                <c:pt idx="26">
                  <c:v>218.93231343276958</c:v>
                </c:pt>
                <c:pt idx="27">
                  <c:v>219.16817164172249</c:v>
                </c:pt>
                <c:pt idx="28">
                  <c:v>219.40402985067544</c:v>
                </c:pt>
                <c:pt idx="29">
                  <c:v>219.63988805962842</c:v>
                </c:pt>
                <c:pt idx="30">
                  <c:v>219.87574626858139</c:v>
                </c:pt>
                <c:pt idx="31">
                  <c:v>220.1116044775344</c:v>
                </c:pt>
                <c:pt idx="32">
                  <c:v>220.34746268648743</c:v>
                </c:pt>
                <c:pt idx="33">
                  <c:v>220.58332089544047</c:v>
                </c:pt>
                <c:pt idx="34">
                  <c:v>220.81917910439353</c:v>
                </c:pt>
                <c:pt idx="35">
                  <c:v>221.05503731334662</c:v>
                </c:pt>
                <c:pt idx="36">
                  <c:v>221.29089552229971</c:v>
                </c:pt>
                <c:pt idx="37">
                  <c:v>221.52675373125282</c:v>
                </c:pt>
                <c:pt idx="38">
                  <c:v>221.76261194020597</c:v>
                </c:pt>
                <c:pt idx="39">
                  <c:v>221.99847014915912</c:v>
                </c:pt>
                <c:pt idx="40">
                  <c:v>222.23432835811229</c:v>
                </c:pt>
                <c:pt idx="41">
                  <c:v>222.4701865670655</c:v>
                </c:pt>
                <c:pt idx="42">
                  <c:v>222.7060447760187</c:v>
                </c:pt>
                <c:pt idx="43">
                  <c:v>222.94190298497193</c:v>
                </c:pt>
                <c:pt idx="44">
                  <c:v>223.17776119392519</c:v>
                </c:pt>
                <c:pt idx="45">
                  <c:v>223.41361940287845</c:v>
                </c:pt>
                <c:pt idx="46">
                  <c:v>223.64947761183174</c:v>
                </c:pt>
                <c:pt idx="47">
                  <c:v>223.88533582078506</c:v>
                </c:pt>
                <c:pt idx="48">
                  <c:v>224.12119402973838</c:v>
                </c:pt>
                <c:pt idx="49">
                  <c:v>224.35705223869172</c:v>
                </c:pt>
                <c:pt idx="50">
                  <c:v>224.5929104476451</c:v>
                </c:pt>
                <c:pt idx="51">
                  <c:v>224.82876865659847</c:v>
                </c:pt>
                <c:pt idx="52">
                  <c:v>225.06462686555187</c:v>
                </c:pt>
                <c:pt idx="53">
                  <c:v>225.3004850745053</c:v>
                </c:pt>
                <c:pt idx="54">
                  <c:v>225.53634328345873</c:v>
                </c:pt>
                <c:pt idx="55">
                  <c:v>225.77220149241219</c:v>
                </c:pt>
                <c:pt idx="56">
                  <c:v>226.00805970136568</c:v>
                </c:pt>
                <c:pt idx="57">
                  <c:v>226.24391791031917</c:v>
                </c:pt>
                <c:pt idx="58">
                  <c:v>226.47977611927269</c:v>
                </c:pt>
                <c:pt idx="59">
                  <c:v>226.71563432822623</c:v>
                </c:pt>
                <c:pt idx="60">
                  <c:v>226.95149253717977</c:v>
                </c:pt>
                <c:pt idx="61">
                  <c:v>227.18735074613335</c:v>
                </c:pt>
                <c:pt idx="62">
                  <c:v>227.42320895508695</c:v>
                </c:pt>
                <c:pt idx="63">
                  <c:v>227.65906716404055</c:v>
                </c:pt>
                <c:pt idx="64">
                  <c:v>227.89492537299418</c:v>
                </c:pt>
                <c:pt idx="65">
                  <c:v>228.13078358194784</c:v>
                </c:pt>
                <c:pt idx="66">
                  <c:v>228.3666417909015</c:v>
                </c:pt>
                <c:pt idx="67">
                  <c:v>228.60249999985518</c:v>
                </c:pt>
                <c:pt idx="68">
                  <c:v>228.8383582088089</c:v>
                </c:pt>
                <c:pt idx="69">
                  <c:v>229.07421641776261</c:v>
                </c:pt>
                <c:pt idx="70">
                  <c:v>229.31007462671636</c:v>
                </c:pt>
                <c:pt idx="71">
                  <c:v>229.54593283567013</c:v>
                </c:pt>
                <c:pt idx="72">
                  <c:v>229.7817910446239</c:v>
                </c:pt>
                <c:pt idx="73">
                  <c:v>230.0176492535777</c:v>
                </c:pt>
                <c:pt idx="74">
                  <c:v>230.25350746253153</c:v>
                </c:pt>
                <c:pt idx="75">
                  <c:v>230.48936567148536</c:v>
                </c:pt>
                <c:pt idx="76">
                  <c:v>230.72522388043922</c:v>
                </c:pt>
                <c:pt idx="77">
                  <c:v>230.9610820893931</c:v>
                </c:pt>
                <c:pt idx="78">
                  <c:v>231.19694029834699</c:v>
                </c:pt>
                <c:pt idx="79">
                  <c:v>231.4327985073009</c:v>
                </c:pt>
                <c:pt idx="80">
                  <c:v>231.66865671625484</c:v>
                </c:pt>
                <c:pt idx="81">
                  <c:v>231.90451492520879</c:v>
                </c:pt>
                <c:pt idx="82">
                  <c:v>232.14037313416276</c:v>
                </c:pt>
                <c:pt idx="83">
                  <c:v>232.37623134311676</c:v>
                </c:pt>
                <c:pt idx="84">
                  <c:v>232.61208955207076</c:v>
                </c:pt>
                <c:pt idx="85">
                  <c:v>232.84794776102478</c:v>
                </c:pt>
                <c:pt idx="86">
                  <c:v>233.08380596997884</c:v>
                </c:pt>
                <c:pt idx="87">
                  <c:v>233.3196641789329</c:v>
                </c:pt>
                <c:pt idx="88">
                  <c:v>233.55552238788698</c:v>
                </c:pt>
                <c:pt idx="89">
                  <c:v>233.79138059684109</c:v>
                </c:pt>
                <c:pt idx="90">
                  <c:v>234.02723880579521</c:v>
                </c:pt>
                <c:pt idx="91">
                  <c:v>234.26309701474935</c:v>
                </c:pt>
                <c:pt idx="92">
                  <c:v>234.49895522370352</c:v>
                </c:pt>
                <c:pt idx="93">
                  <c:v>234.73481343265769</c:v>
                </c:pt>
                <c:pt idx="94">
                  <c:v>234.97067164161189</c:v>
                </c:pt>
                <c:pt idx="95">
                  <c:v>235.20652985056611</c:v>
                </c:pt>
                <c:pt idx="96">
                  <c:v>235.44238805952034</c:v>
                </c:pt>
                <c:pt idx="97">
                  <c:v>235.6782462684746</c:v>
                </c:pt>
                <c:pt idx="98">
                  <c:v>235.91410447742888</c:v>
                </c:pt>
                <c:pt idx="99">
                  <c:v>236.14996268638316</c:v>
                </c:pt>
                <c:pt idx="100">
                  <c:v>236.38582089533747</c:v>
                </c:pt>
                <c:pt idx="101">
                  <c:v>236.62167910429181</c:v>
                </c:pt>
                <c:pt idx="102">
                  <c:v>236.85753731324616</c:v>
                </c:pt>
                <c:pt idx="103">
                  <c:v>237.09339552220052</c:v>
                </c:pt>
                <c:pt idx="104">
                  <c:v>237.32925373115492</c:v>
                </c:pt>
                <c:pt idx="105">
                  <c:v>237.56511194010932</c:v>
                </c:pt>
                <c:pt idx="106">
                  <c:v>237.80097014906374</c:v>
                </c:pt>
                <c:pt idx="107">
                  <c:v>238.0368283580182</c:v>
                </c:pt>
                <c:pt idx="108">
                  <c:v>238.27268656697265</c:v>
                </c:pt>
                <c:pt idx="109">
                  <c:v>238.50854477592713</c:v>
                </c:pt>
                <c:pt idx="110">
                  <c:v>238.74440298488165</c:v>
                </c:pt>
                <c:pt idx="111">
                  <c:v>238.98026119383616</c:v>
                </c:pt>
                <c:pt idx="112">
                  <c:v>239.2161194027907</c:v>
                </c:pt>
                <c:pt idx="113">
                  <c:v>239.45197761174526</c:v>
                </c:pt>
                <c:pt idx="114">
                  <c:v>239.68783582069983</c:v>
                </c:pt>
                <c:pt idx="115">
                  <c:v>239.92369402965443</c:v>
                </c:pt>
                <c:pt idx="116">
                  <c:v>240.15955223860905</c:v>
                </c:pt>
                <c:pt idx="117">
                  <c:v>240.39541044756368</c:v>
                </c:pt>
                <c:pt idx="118">
                  <c:v>240.63126865651833</c:v>
                </c:pt>
                <c:pt idx="119">
                  <c:v>240.86712686547301</c:v>
                </c:pt>
                <c:pt idx="120">
                  <c:v>241.10298507442769</c:v>
                </c:pt>
                <c:pt idx="121">
                  <c:v>241.3388432833824</c:v>
                </c:pt>
                <c:pt idx="122">
                  <c:v>241.57470149233714</c:v>
                </c:pt>
                <c:pt idx="123">
                  <c:v>241.81055970129188</c:v>
                </c:pt>
                <c:pt idx="124">
                  <c:v>242.04641791024665</c:v>
                </c:pt>
                <c:pt idx="125">
                  <c:v>242.28227611920144</c:v>
                </c:pt>
                <c:pt idx="126">
                  <c:v>242.51813432815624</c:v>
                </c:pt>
                <c:pt idx="127">
                  <c:v>242.75399253711106</c:v>
                </c:pt>
                <c:pt idx="128">
                  <c:v>242.98985074606591</c:v>
                </c:pt>
                <c:pt idx="129">
                  <c:v>243.22570895502076</c:v>
                </c:pt>
                <c:pt idx="130">
                  <c:v>243.46156716397564</c:v>
                </c:pt>
                <c:pt idx="131">
                  <c:v>243.69742537293055</c:v>
                </c:pt>
                <c:pt idx="132">
                  <c:v>243.93328358188546</c:v>
                </c:pt>
                <c:pt idx="133">
                  <c:v>244.1691417908404</c:v>
                </c:pt>
                <c:pt idx="134">
                  <c:v>244.40499999979536</c:v>
                </c:pt>
                <c:pt idx="135">
                  <c:v>244.64085820875033</c:v>
                </c:pt>
                <c:pt idx="136">
                  <c:v>244.87671641770532</c:v>
                </c:pt>
                <c:pt idx="137">
                  <c:v>245.11257462666035</c:v>
                </c:pt>
                <c:pt idx="138">
                  <c:v>245.34843283561537</c:v>
                </c:pt>
                <c:pt idx="139">
                  <c:v>245.58429104457042</c:v>
                </c:pt>
                <c:pt idx="140">
                  <c:v>245.8201492535255</c:v>
                </c:pt>
                <c:pt idx="141">
                  <c:v>246.05600746248058</c:v>
                </c:pt>
                <c:pt idx="142">
                  <c:v>246.29186567143569</c:v>
                </c:pt>
                <c:pt idx="143">
                  <c:v>246.52772388039082</c:v>
                </c:pt>
                <c:pt idx="144">
                  <c:v>246.76358208934596</c:v>
                </c:pt>
                <c:pt idx="145">
                  <c:v>246.99944029830112</c:v>
                </c:pt>
                <c:pt idx="146">
                  <c:v>247.23529850725632</c:v>
                </c:pt>
                <c:pt idx="147">
                  <c:v>247.47115671621151</c:v>
                </c:pt>
                <c:pt idx="148">
                  <c:v>247.70701492516673</c:v>
                </c:pt>
                <c:pt idx="149">
                  <c:v>247.94287313412198</c:v>
                </c:pt>
                <c:pt idx="150">
                  <c:v>248.17873134307723</c:v>
                </c:pt>
                <c:pt idx="151">
                  <c:v>248.41458955203251</c:v>
                </c:pt>
                <c:pt idx="152">
                  <c:v>248.65044776098782</c:v>
                </c:pt>
                <c:pt idx="153">
                  <c:v>248.88630596994312</c:v>
                </c:pt>
                <c:pt idx="154">
                  <c:v>249.12216417889846</c:v>
                </c:pt>
                <c:pt idx="155">
                  <c:v>249.35802238785382</c:v>
                </c:pt>
                <c:pt idx="156">
                  <c:v>249.59388059680919</c:v>
                </c:pt>
                <c:pt idx="157">
                  <c:v>249.82973880576458</c:v>
                </c:pt>
                <c:pt idx="158">
                  <c:v>250.06559701472</c:v>
                </c:pt>
                <c:pt idx="159">
                  <c:v>250.30145522367542</c:v>
                </c:pt>
                <c:pt idx="160">
                  <c:v>250.53731343263087</c:v>
                </c:pt>
                <c:pt idx="161">
                  <c:v>250.77317164158634</c:v>
                </c:pt>
                <c:pt idx="162">
                  <c:v>251.00902985054182</c:v>
                </c:pt>
                <c:pt idx="163">
                  <c:v>251.24488805949733</c:v>
                </c:pt>
                <c:pt idx="164">
                  <c:v>251.48074626845286</c:v>
                </c:pt>
                <c:pt idx="165">
                  <c:v>251.7166044774084</c:v>
                </c:pt>
                <c:pt idx="166">
                  <c:v>251.95246268636396</c:v>
                </c:pt>
                <c:pt idx="167">
                  <c:v>252.18832089531955</c:v>
                </c:pt>
                <c:pt idx="168">
                  <c:v>252.42417910427514</c:v>
                </c:pt>
                <c:pt idx="169">
                  <c:v>252.66003731323076</c:v>
                </c:pt>
                <c:pt idx="170">
                  <c:v>252.89589552218641</c:v>
                </c:pt>
                <c:pt idx="171">
                  <c:v>253.13175373114206</c:v>
                </c:pt>
                <c:pt idx="172">
                  <c:v>253.36761194009773</c:v>
                </c:pt>
                <c:pt idx="173">
                  <c:v>253.60347014905344</c:v>
                </c:pt>
                <c:pt idx="174">
                  <c:v>253.83932835800914</c:v>
                </c:pt>
                <c:pt idx="175">
                  <c:v>254.07518656696487</c:v>
                </c:pt>
                <c:pt idx="176">
                  <c:v>254.31104477592064</c:v>
                </c:pt>
                <c:pt idx="177">
                  <c:v>254.5469029848764</c:v>
                </c:pt>
                <c:pt idx="178">
                  <c:v>254.78276119383219</c:v>
                </c:pt>
                <c:pt idx="179">
                  <c:v>255.018619402788</c:v>
                </c:pt>
                <c:pt idx="180">
                  <c:v>255.25447761174382</c:v>
                </c:pt>
                <c:pt idx="181">
                  <c:v>255.49033582069967</c:v>
                </c:pt>
                <c:pt idx="182">
                  <c:v>255.72619402965555</c:v>
                </c:pt>
                <c:pt idx="183">
                  <c:v>255.96205223861142</c:v>
                </c:pt>
                <c:pt idx="184">
                  <c:v>256.19791044756732</c:v>
                </c:pt>
                <c:pt idx="185">
                  <c:v>256.43376865652328</c:v>
                </c:pt>
                <c:pt idx="186">
                  <c:v>256.6696268654793</c:v>
                </c:pt>
                <c:pt idx="187">
                  <c:v>256.90548507443532</c:v>
                </c:pt>
                <c:pt idx="188">
                  <c:v>257.14134328339139</c:v>
                </c:pt>
                <c:pt idx="189">
                  <c:v>257.37720149234752</c:v>
                </c:pt>
                <c:pt idx="190">
                  <c:v>257.61305970130365</c:v>
                </c:pt>
                <c:pt idx="191">
                  <c:v>257.84891791025984</c:v>
                </c:pt>
                <c:pt idx="192">
                  <c:v>258.08477611921609</c:v>
                </c:pt>
                <c:pt idx="193">
                  <c:v>258.32063432817233</c:v>
                </c:pt>
                <c:pt idx="194">
                  <c:v>258.55649253712863</c:v>
                </c:pt>
                <c:pt idx="195">
                  <c:v>258.79235074608499</c:v>
                </c:pt>
                <c:pt idx="196">
                  <c:v>259.02820895504135</c:v>
                </c:pt>
                <c:pt idx="197">
                  <c:v>259.26406716399777</c:v>
                </c:pt>
                <c:pt idx="198">
                  <c:v>259.49992537295424</c:v>
                </c:pt>
                <c:pt idx="199">
                  <c:v>259.73578358191071</c:v>
                </c:pt>
                <c:pt idx="200">
                  <c:v>259.97164179086724</c:v>
                </c:pt>
                <c:pt idx="201">
                  <c:v>260.20749999982382</c:v>
                </c:pt>
                <c:pt idx="202">
                  <c:v>260.44335820878041</c:v>
                </c:pt>
                <c:pt idx="203">
                  <c:v>260.67921641773705</c:v>
                </c:pt>
                <c:pt idx="204">
                  <c:v>260.91507462669375</c:v>
                </c:pt>
                <c:pt idx="205">
                  <c:v>261.15093283565045</c:v>
                </c:pt>
                <c:pt idx="206">
                  <c:v>261.38679104460721</c:v>
                </c:pt>
                <c:pt idx="207">
                  <c:v>261.62264925356402</c:v>
                </c:pt>
                <c:pt idx="208">
                  <c:v>261.85850746252083</c:v>
                </c:pt>
                <c:pt idx="209">
                  <c:v>262.0943656714777</c:v>
                </c:pt>
                <c:pt idx="210">
                  <c:v>262.33022388043463</c:v>
                </c:pt>
                <c:pt idx="211">
                  <c:v>262.56608208939156</c:v>
                </c:pt>
                <c:pt idx="212">
                  <c:v>262.80194029834854</c:v>
                </c:pt>
                <c:pt idx="213">
                  <c:v>263.03779850730558</c:v>
                </c:pt>
                <c:pt idx="214">
                  <c:v>263.27365671626262</c:v>
                </c:pt>
                <c:pt idx="215">
                  <c:v>263.50951492521972</c:v>
                </c:pt>
                <c:pt idx="216">
                  <c:v>263.74537313417687</c:v>
                </c:pt>
                <c:pt idx="217">
                  <c:v>263.98123134313403</c:v>
                </c:pt>
                <c:pt idx="218">
                  <c:v>264.21708955209124</c:v>
                </c:pt>
                <c:pt idx="219">
                  <c:v>264.45294776104851</c:v>
                </c:pt>
                <c:pt idx="220">
                  <c:v>264.68880597000577</c:v>
                </c:pt>
                <c:pt idx="221">
                  <c:v>264.9246641789631</c:v>
                </c:pt>
                <c:pt idx="222">
                  <c:v>265.16052238792048</c:v>
                </c:pt>
                <c:pt idx="223">
                  <c:v>265.39638059687786</c:v>
                </c:pt>
                <c:pt idx="224">
                  <c:v>265.6322388058353</c:v>
                </c:pt>
                <c:pt idx="225">
                  <c:v>265.8680970147928</c:v>
                </c:pt>
                <c:pt idx="226">
                  <c:v>266.10395522375029</c:v>
                </c:pt>
                <c:pt idx="227">
                  <c:v>266.33981343270784</c:v>
                </c:pt>
                <c:pt idx="228">
                  <c:v>266.57567164166545</c:v>
                </c:pt>
                <c:pt idx="229">
                  <c:v>266.81152985062306</c:v>
                </c:pt>
                <c:pt idx="230">
                  <c:v>267.04738805958073</c:v>
                </c:pt>
                <c:pt idx="231">
                  <c:v>267.28324626853845</c:v>
                </c:pt>
                <c:pt idx="232">
                  <c:v>267.51910447749617</c:v>
                </c:pt>
                <c:pt idx="233">
                  <c:v>267.75496268645395</c:v>
                </c:pt>
                <c:pt idx="234">
                  <c:v>267.99082089541179</c:v>
                </c:pt>
                <c:pt idx="235">
                  <c:v>268.22667910436962</c:v>
                </c:pt>
                <c:pt idx="236">
                  <c:v>268.46253731332752</c:v>
                </c:pt>
                <c:pt idx="237">
                  <c:v>268.69839552228547</c:v>
                </c:pt>
                <c:pt idx="238">
                  <c:v>268.93425373124342</c:v>
                </c:pt>
                <c:pt idx="239">
                  <c:v>269.17011194020142</c:v>
                </c:pt>
                <c:pt idx="240">
                  <c:v>269.40597014915949</c:v>
                </c:pt>
                <c:pt idx="241">
                  <c:v>269.64182835811755</c:v>
                </c:pt>
                <c:pt idx="242">
                  <c:v>269.87768656707567</c:v>
                </c:pt>
                <c:pt idx="243">
                  <c:v>270.11354477603385</c:v>
                </c:pt>
                <c:pt idx="244">
                  <c:v>270.34940298499203</c:v>
                </c:pt>
                <c:pt idx="245">
                  <c:v>270.58526119395026</c:v>
                </c:pt>
                <c:pt idx="246">
                  <c:v>270.82111940290855</c:v>
                </c:pt>
                <c:pt idx="247">
                  <c:v>271.05697761186684</c:v>
                </c:pt>
                <c:pt idx="248">
                  <c:v>271.29283582082519</c:v>
                </c:pt>
                <c:pt idx="249">
                  <c:v>271.52869402978359</c:v>
                </c:pt>
                <c:pt idx="250">
                  <c:v>271.764552238742</c:v>
                </c:pt>
                <c:pt idx="251">
                  <c:v>272.00041044770046</c:v>
                </c:pt>
                <c:pt idx="252">
                  <c:v>272.23626865665898</c:v>
                </c:pt>
                <c:pt idx="253">
                  <c:v>272.4721268656175</c:v>
                </c:pt>
                <c:pt idx="254">
                  <c:v>272.70798507457607</c:v>
                </c:pt>
                <c:pt idx="255">
                  <c:v>272.9438432835347</c:v>
                </c:pt>
                <c:pt idx="256">
                  <c:v>273.17970149249334</c:v>
                </c:pt>
                <c:pt idx="257">
                  <c:v>273.41555970145203</c:v>
                </c:pt>
                <c:pt idx="258">
                  <c:v>273.65141791041077</c:v>
                </c:pt>
                <c:pt idx="259">
                  <c:v>273.88727611936952</c:v>
                </c:pt>
                <c:pt idx="260">
                  <c:v>274.12313432832832</c:v>
                </c:pt>
                <c:pt idx="261">
                  <c:v>274.35899253728718</c:v>
                </c:pt>
                <c:pt idx="262">
                  <c:v>274.59485074624604</c:v>
                </c:pt>
                <c:pt idx="263">
                  <c:v>274.83070895520495</c:v>
                </c:pt>
                <c:pt idx="264">
                  <c:v>275.06656716416393</c:v>
                </c:pt>
                <c:pt idx="265">
                  <c:v>275.3024253731229</c:v>
                </c:pt>
                <c:pt idx="266">
                  <c:v>275.53828358208193</c:v>
                </c:pt>
                <c:pt idx="267">
                  <c:v>275.77414179104096</c:v>
                </c:pt>
                <c:pt idx="268">
                  <c:v>276.01</c:v>
                </c:pt>
                <c:pt idx="269">
                  <c:v>272.91222222222234</c:v>
                </c:pt>
                <c:pt idx="270">
                  <c:v>269.81444444444463</c:v>
                </c:pt>
                <c:pt idx="271">
                  <c:v>266.71666666666692</c:v>
                </c:pt>
                <c:pt idx="272">
                  <c:v>263.61888888888916</c:v>
                </c:pt>
                <c:pt idx="273">
                  <c:v>260.5211111111114</c:v>
                </c:pt>
                <c:pt idx="274">
                  <c:v>257.42333333333357</c:v>
                </c:pt>
                <c:pt idx="275">
                  <c:v>254.32555555555572</c:v>
                </c:pt>
                <c:pt idx="276">
                  <c:v>251.22777777777787</c:v>
                </c:pt>
                <c:pt idx="277">
                  <c:v>248.13</c:v>
                </c:pt>
                <c:pt idx="278">
                  <c:v>249.90454545454534</c:v>
                </c:pt>
                <c:pt idx="279">
                  <c:v>251.67909090909069</c:v>
                </c:pt>
                <c:pt idx="280">
                  <c:v>253.45363636363606</c:v>
                </c:pt>
                <c:pt idx="281">
                  <c:v>255.22818181818144</c:v>
                </c:pt>
                <c:pt idx="282">
                  <c:v>257.00272727272682</c:v>
                </c:pt>
                <c:pt idx="283">
                  <c:v>258.77727272727225</c:v>
                </c:pt>
                <c:pt idx="284">
                  <c:v>260.55181818181774</c:v>
                </c:pt>
                <c:pt idx="285">
                  <c:v>262.32636363636323</c:v>
                </c:pt>
                <c:pt idx="286">
                  <c:v>264.10090909090877</c:v>
                </c:pt>
                <c:pt idx="287">
                  <c:v>265.87545454545437</c:v>
                </c:pt>
                <c:pt idx="288">
                  <c:v>267.64999999999998</c:v>
                </c:pt>
                <c:pt idx="289">
                  <c:v>265.52750000000003</c:v>
                </c:pt>
                <c:pt idx="290">
                  <c:v>263.40500000000003</c:v>
                </c:pt>
                <c:pt idx="291">
                  <c:v>261.28250000000003</c:v>
                </c:pt>
                <c:pt idx="292">
                  <c:v>259.16000000000003</c:v>
                </c:pt>
                <c:pt idx="293">
                  <c:v>261.04599999999994</c:v>
                </c:pt>
                <c:pt idx="294">
                  <c:v>262.9319999999999</c:v>
                </c:pt>
                <c:pt idx="295">
                  <c:v>264.81799999999993</c:v>
                </c:pt>
                <c:pt idx="296">
                  <c:v>266.70399999999995</c:v>
                </c:pt>
                <c:pt idx="297">
                  <c:v>268.58999999999997</c:v>
                </c:pt>
                <c:pt idx="298">
                  <c:v>267.28200000000015</c:v>
                </c:pt>
                <c:pt idx="299">
                  <c:v>265.97400000000033</c:v>
                </c:pt>
                <c:pt idx="300">
                  <c:v>264.66600000000051</c:v>
                </c:pt>
                <c:pt idx="301">
                  <c:v>263.35800000000063</c:v>
                </c:pt>
                <c:pt idx="302">
                  <c:v>262.05000000000069</c:v>
                </c:pt>
                <c:pt idx="303">
                  <c:v>260.74200000000076</c:v>
                </c:pt>
                <c:pt idx="304">
                  <c:v>259.43400000000076</c:v>
                </c:pt>
                <c:pt idx="305">
                  <c:v>258.12600000000072</c:v>
                </c:pt>
                <c:pt idx="306">
                  <c:v>256.81800000000067</c:v>
                </c:pt>
                <c:pt idx="307">
                  <c:v>255.51000000000059</c:v>
                </c:pt>
                <c:pt idx="308">
                  <c:v>254.20200000000051</c:v>
                </c:pt>
                <c:pt idx="309">
                  <c:v>252.8940000000004</c:v>
                </c:pt>
                <c:pt idx="310">
                  <c:v>251.58600000000027</c:v>
                </c:pt>
                <c:pt idx="311">
                  <c:v>250.27800000000013</c:v>
                </c:pt>
                <c:pt idx="312">
                  <c:v>248.97</c:v>
                </c:pt>
                <c:pt idx="313">
                  <c:v>249.27158333333517</c:v>
                </c:pt>
                <c:pt idx="314">
                  <c:v>249.57316666667032</c:v>
                </c:pt>
                <c:pt idx="315">
                  <c:v>249.87475000000543</c:v>
                </c:pt>
                <c:pt idx="316">
                  <c:v>250.17633333334055</c:v>
                </c:pt>
                <c:pt idx="317">
                  <c:v>250.47791666667564</c:v>
                </c:pt>
                <c:pt idx="318">
                  <c:v>250.77950000001073</c:v>
                </c:pt>
                <c:pt idx="319">
                  <c:v>251.08108333334579</c:v>
                </c:pt>
                <c:pt idx="320">
                  <c:v>251.38266666668085</c:v>
                </c:pt>
                <c:pt idx="321">
                  <c:v>251.68425000001588</c:v>
                </c:pt>
                <c:pt idx="322">
                  <c:v>251.98583333335088</c:v>
                </c:pt>
                <c:pt idx="323">
                  <c:v>252.28741666668589</c:v>
                </c:pt>
                <c:pt idx="324">
                  <c:v>252.58900000002086</c:v>
                </c:pt>
                <c:pt idx="325">
                  <c:v>252.89058333335581</c:v>
                </c:pt>
                <c:pt idx="326">
                  <c:v>253.19216666669075</c:v>
                </c:pt>
                <c:pt idx="327">
                  <c:v>253.49375000002567</c:v>
                </c:pt>
                <c:pt idx="328">
                  <c:v>253.79533333336056</c:v>
                </c:pt>
                <c:pt idx="329">
                  <c:v>254.09691666669545</c:v>
                </c:pt>
                <c:pt idx="330">
                  <c:v>254.39850000003031</c:v>
                </c:pt>
                <c:pt idx="331">
                  <c:v>254.70008333336514</c:v>
                </c:pt>
                <c:pt idx="332">
                  <c:v>255.00166666669998</c:v>
                </c:pt>
                <c:pt idx="333">
                  <c:v>255.30325000003478</c:v>
                </c:pt>
                <c:pt idx="334">
                  <c:v>255.60483333336956</c:v>
                </c:pt>
                <c:pt idx="335">
                  <c:v>255.90641666670433</c:v>
                </c:pt>
                <c:pt idx="336">
                  <c:v>256.20800000003908</c:v>
                </c:pt>
                <c:pt idx="337">
                  <c:v>256.50958333337377</c:v>
                </c:pt>
                <c:pt idx="338">
                  <c:v>256.81116666670846</c:v>
                </c:pt>
                <c:pt idx="339">
                  <c:v>257.11275000004309</c:v>
                </c:pt>
                <c:pt idx="340">
                  <c:v>257.41433333337767</c:v>
                </c:pt>
                <c:pt idx="341">
                  <c:v>257.71591666671225</c:v>
                </c:pt>
                <c:pt idx="342">
                  <c:v>258.01750000004677</c:v>
                </c:pt>
                <c:pt idx="343">
                  <c:v>258.31908333338123</c:v>
                </c:pt>
                <c:pt idx="344">
                  <c:v>258.62066666671569</c:v>
                </c:pt>
                <c:pt idx="345">
                  <c:v>258.9222500000501</c:v>
                </c:pt>
                <c:pt idx="346">
                  <c:v>259.22383333338445</c:v>
                </c:pt>
                <c:pt idx="347">
                  <c:v>259.5254166667188</c:v>
                </c:pt>
                <c:pt idx="348">
                  <c:v>259.82700000005309</c:v>
                </c:pt>
                <c:pt idx="349">
                  <c:v>260.12858333338733</c:v>
                </c:pt>
                <c:pt idx="350">
                  <c:v>260.43016666672156</c:v>
                </c:pt>
                <c:pt idx="351">
                  <c:v>260.73175000005574</c:v>
                </c:pt>
                <c:pt idx="352">
                  <c:v>261.03333333338986</c:v>
                </c:pt>
                <c:pt idx="353">
                  <c:v>261.33491666672398</c:v>
                </c:pt>
                <c:pt idx="354">
                  <c:v>261.63650000005805</c:v>
                </c:pt>
                <c:pt idx="355">
                  <c:v>261.93808333339206</c:v>
                </c:pt>
                <c:pt idx="356">
                  <c:v>262.23966666672607</c:v>
                </c:pt>
                <c:pt idx="357">
                  <c:v>262.54125000006002</c:v>
                </c:pt>
                <c:pt idx="358">
                  <c:v>262.84283333339391</c:v>
                </c:pt>
                <c:pt idx="359">
                  <c:v>263.14441666672781</c:v>
                </c:pt>
                <c:pt idx="360">
                  <c:v>263.44600000006164</c:v>
                </c:pt>
                <c:pt idx="361">
                  <c:v>263.74758333339543</c:v>
                </c:pt>
                <c:pt idx="362">
                  <c:v>264.04916666672921</c:v>
                </c:pt>
                <c:pt idx="363">
                  <c:v>264.35075000006293</c:v>
                </c:pt>
                <c:pt idx="364">
                  <c:v>264.6523333333966</c:v>
                </c:pt>
                <c:pt idx="365">
                  <c:v>264.95391666673027</c:v>
                </c:pt>
                <c:pt idx="366">
                  <c:v>265.25550000006388</c:v>
                </c:pt>
                <c:pt idx="367">
                  <c:v>265.55708333339743</c:v>
                </c:pt>
                <c:pt idx="368">
                  <c:v>265.85866666673098</c:v>
                </c:pt>
                <c:pt idx="369">
                  <c:v>266.16025000006448</c:v>
                </c:pt>
                <c:pt idx="370">
                  <c:v>266.46183333339792</c:v>
                </c:pt>
                <c:pt idx="371">
                  <c:v>266.76341666673136</c:v>
                </c:pt>
                <c:pt idx="372">
                  <c:v>267.06500000006474</c:v>
                </c:pt>
                <c:pt idx="373">
                  <c:v>267.36658333339807</c:v>
                </c:pt>
                <c:pt idx="374">
                  <c:v>267.66816666673139</c:v>
                </c:pt>
                <c:pt idx="375">
                  <c:v>267.96975000006466</c:v>
                </c:pt>
                <c:pt idx="376">
                  <c:v>268.27133333339788</c:v>
                </c:pt>
                <c:pt idx="377">
                  <c:v>268.57291666673109</c:v>
                </c:pt>
                <c:pt idx="378">
                  <c:v>268.87450000006424</c:v>
                </c:pt>
                <c:pt idx="379">
                  <c:v>269.17608333339734</c:v>
                </c:pt>
                <c:pt idx="380">
                  <c:v>269.47766666673044</c:v>
                </c:pt>
                <c:pt idx="381">
                  <c:v>269.77925000006348</c:v>
                </c:pt>
                <c:pt idx="382">
                  <c:v>270.08083333339647</c:v>
                </c:pt>
                <c:pt idx="383">
                  <c:v>270.38241666672945</c:v>
                </c:pt>
                <c:pt idx="384">
                  <c:v>270.68400000006238</c:v>
                </c:pt>
                <c:pt idx="385">
                  <c:v>270.98558333339525</c:v>
                </c:pt>
                <c:pt idx="386">
                  <c:v>271.28716666672813</c:v>
                </c:pt>
                <c:pt idx="387">
                  <c:v>271.58875000006094</c:v>
                </c:pt>
                <c:pt idx="388">
                  <c:v>271.8903333333937</c:v>
                </c:pt>
                <c:pt idx="389">
                  <c:v>272.19191666672646</c:v>
                </c:pt>
                <c:pt idx="390">
                  <c:v>272.49350000005916</c:v>
                </c:pt>
                <c:pt idx="391">
                  <c:v>272.79508333339186</c:v>
                </c:pt>
                <c:pt idx="392">
                  <c:v>273.0966666667245</c:v>
                </c:pt>
                <c:pt idx="393">
                  <c:v>273.39825000005715</c:v>
                </c:pt>
                <c:pt idx="394">
                  <c:v>273.69983333338973</c:v>
                </c:pt>
                <c:pt idx="395">
                  <c:v>274.00141666672226</c:v>
                </c:pt>
                <c:pt idx="396">
                  <c:v>274.30300000005479</c:v>
                </c:pt>
                <c:pt idx="397">
                  <c:v>274.60458333338727</c:v>
                </c:pt>
                <c:pt idx="398">
                  <c:v>274.90616666671968</c:v>
                </c:pt>
                <c:pt idx="399">
                  <c:v>275.2077500000521</c:v>
                </c:pt>
                <c:pt idx="400">
                  <c:v>275.50933333338446</c:v>
                </c:pt>
                <c:pt idx="401">
                  <c:v>275.81091666671676</c:v>
                </c:pt>
                <c:pt idx="402">
                  <c:v>276.11250000004907</c:v>
                </c:pt>
                <c:pt idx="403">
                  <c:v>276.41408333338131</c:v>
                </c:pt>
                <c:pt idx="404">
                  <c:v>276.7156666667135</c:v>
                </c:pt>
                <c:pt idx="405">
                  <c:v>277.01725000004569</c:v>
                </c:pt>
                <c:pt idx="406">
                  <c:v>277.31883333337782</c:v>
                </c:pt>
                <c:pt idx="407">
                  <c:v>277.6204166667099</c:v>
                </c:pt>
                <c:pt idx="408">
                  <c:v>277.92200000004198</c:v>
                </c:pt>
                <c:pt idx="409">
                  <c:v>278.22358333337399</c:v>
                </c:pt>
                <c:pt idx="410">
                  <c:v>278.52516666670596</c:v>
                </c:pt>
                <c:pt idx="411">
                  <c:v>278.82675000003792</c:v>
                </c:pt>
                <c:pt idx="412">
                  <c:v>279.12833333336982</c:v>
                </c:pt>
                <c:pt idx="413">
                  <c:v>279.42991666670167</c:v>
                </c:pt>
                <c:pt idx="414">
                  <c:v>279.73150000003352</c:v>
                </c:pt>
                <c:pt idx="415">
                  <c:v>280.03308333336531</c:v>
                </c:pt>
                <c:pt idx="416">
                  <c:v>280.33466666669705</c:v>
                </c:pt>
                <c:pt idx="417">
                  <c:v>280.63625000002878</c:v>
                </c:pt>
                <c:pt idx="418">
                  <c:v>280.93783333336046</c:v>
                </c:pt>
                <c:pt idx="419">
                  <c:v>281.23941666669208</c:v>
                </c:pt>
                <c:pt idx="420">
                  <c:v>281.5410000000237</c:v>
                </c:pt>
                <c:pt idx="421">
                  <c:v>281.84258333335526</c:v>
                </c:pt>
                <c:pt idx="422">
                  <c:v>282.14416666668677</c:v>
                </c:pt>
                <c:pt idx="423">
                  <c:v>282.44575000001828</c:v>
                </c:pt>
                <c:pt idx="424">
                  <c:v>282.74733333334973</c:v>
                </c:pt>
                <c:pt idx="425">
                  <c:v>283.04891666668112</c:v>
                </c:pt>
                <c:pt idx="426">
                  <c:v>283.35050000001252</c:v>
                </c:pt>
                <c:pt idx="427">
                  <c:v>283.65208333334385</c:v>
                </c:pt>
                <c:pt idx="428">
                  <c:v>283.95366666667513</c:v>
                </c:pt>
                <c:pt idx="429">
                  <c:v>284.25525000000641</c:v>
                </c:pt>
                <c:pt idx="430">
                  <c:v>284.55683333333764</c:v>
                </c:pt>
                <c:pt idx="431">
                  <c:v>284.85841666666886</c:v>
                </c:pt>
                <c:pt idx="432">
                  <c:v>285.16000000000003</c:v>
                </c:pt>
                <c:pt idx="433">
                  <c:v>283.85333333333358</c:v>
                </c:pt>
                <c:pt idx="434">
                  <c:v>282.54666666666708</c:v>
                </c:pt>
                <c:pt idx="435">
                  <c:v>281.24000000000058</c:v>
                </c:pt>
                <c:pt idx="436">
                  <c:v>279.93333333333402</c:v>
                </c:pt>
                <c:pt idx="437">
                  <c:v>278.62666666666746</c:v>
                </c:pt>
                <c:pt idx="438">
                  <c:v>277.32000000000085</c:v>
                </c:pt>
                <c:pt idx="439">
                  <c:v>276.01333333333423</c:v>
                </c:pt>
                <c:pt idx="440">
                  <c:v>274.70666666666756</c:v>
                </c:pt>
                <c:pt idx="441">
                  <c:v>273.40000000000089</c:v>
                </c:pt>
                <c:pt idx="442">
                  <c:v>272.09333333333416</c:v>
                </c:pt>
                <c:pt idx="443">
                  <c:v>270.78666666666737</c:v>
                </c:pt>
                <c:pt idx="444">
                  <c:v>269.48000000000059</c:v>
                </c:pt>
                <c:pt idx="445">
                  <c:v>268.17333333333374</c:v>
                </c:pt>
                <c:pt idx="446">
                  <c:v>266.8666666666669</c:v>
                </c:pt>
                <c:pt idx="447">
                  <c:v>265.56</c:v>
                </c:pt>
                <c:pt idx="448">
                  <c:v>267.57999999999993</c:v>
                </c:pt>
                <c:pt idx="449">
                  <c:v>269.59999999999991</c:v>
                </c:pt>
                <c:pt idx="450">
                  <c:v>271.61999999999995</c:v>
                </c:pt>
                <c:pt idx="451">
                  <c:v>273.64</c:v>
                </c:pt>
                <c:pt idx="452">
                  <c:v>271.61624999999992</c:v>
                </c:pt>
                <c:pt idx="453">
                  <c:v>269.59249999999986</c:v>
                </c:pt>
                <c:pt idx="454">
                  <c:v>267.5687499999998</c:v>
                </c:pt>
                <c:pt idx="455">
                  <c:v>265.54499999999979</c:v>
                </c:pt>
                <c:pt idx="456">
                  <c:v>263.52124999999978</c:v>
                </c:pt>
                <c:pt idx="457">
                  <c:v>261.49749999999983</c:v>
                </c:pt>
                <c:pt idx="458">
                  <c:v>259.47374999999988</c:v>
                </c:pt>
                <c:pt idx="459">
                  <c:v>257.45</c:v>
                </c:pt>
                <c:pt idx="460">
                  <c:v>259.84142857142865</c:v>
                </c:pt>
                <c:pt idx="461">
                  <c:v>262.23285714285726</c:v>
                </c:pt>
                <c:pt idx="462">
                  <c:v>264.62428571428586</c:v>
                </c:pt>
                <c:pt idx="463">
                  <c:v>267.01571428571441</c:v>
                </c:pt>
                <c:pt idx="464">
                  <c:v>269.40714285714296</c:v>
                </c:pt>
                <c:pt idx="465">
                  <c:v>271.79857142857145</c:v>
                </c:pt>
                <c:pt idx="466">
                  <c:v>274.19</c:v>
                </c:pt>
                <c:pt idx="467">
                  <c:v>272.61454545454535</c:v>
                </c:pt>
                <c:pt idx="468">
                  <c:v>271.03909090909065</c:v>
                </c:pt>
                <c:pt idx="469">
                  <c:v>269.463636363636</c:v>
                </c:pt>
                <c:pt idx="470">
                  <c:v>267.88818181818135</c:v>
                </c:pt>
                <c:pt idx="471">
                  <c:v>266.31272727272676</c:v>
                </c:pt>
                <c:pt idx="472">
                  <c:v>264.73727272727223</c:v>
                </c:pt>
                <c:pt idx="473">
                  <c:v>263.16181818181769</c:v>
                </c:pt>
                <c:pt idx="474">
                  <c:v>261.58636363636322</c:v>
                </c:pt>
                <c:pt idx="475">
                  <c:v>260.0109090909088</c:v>
                </c:pt>
                <c:pt idx="476">
                  <c:v>258.43545454545438</c:v>
                </c:pt>
                <c:pt idx="477">
                  <c:v>256.86</c:v>
                </c:pt>
                <c:pt idx="478">
                  <c:v>259.47000000000008</c:v>
                </c:pt>
                <c:pt idx="479">
                  <c:v>262.08000000000015</c:v>
                </c:pt>
                <c:pt idx="480">
                  <c:v>264.69000000000017</c:v>
                </c:pt>
                <c:pt idx="481">
                  <c:v>267.30000000000013</c:v>
                </c:pt>
                <c:pt idx="482">
                  <c:v>269.91000000000008</c:v>
                </c:pt>
                <c:pt idx="483">
                  <c:v>272.52</c:v>
                </c:pt>
                <c:pt idx="484">
                  <c:v>269.48214285714266</c:v>
                </c:pt>
                <c:pt idx="485">
                  <c:v>266.4442857142854</c:v>
                </c:pt>
                <c:pt idx="486">
                  <c:v>263.40642857142814</c:v>
                </c:pt>
                <c:pt idx="487">
                  <c:v>260.36857142857093</c:v>
                </c:pt>
                <c:pt idx="488">
                  <c:v>257.33071428571373</c:v>
                </c:pt>
                <c:pt idx="489">
                  <c:v>254.29285714285658</c:v>
                </c:pt>
                <c:pt idx="490">
                  <c:v>251.25499999999946</c:v>
                </c:pt>
                <c:pt idx="491">
                  <c:v>248.21714285714233</c:v>
                </c:pt>
                <c:pt idx="492">
                  <c:v>245.17928571428524</c:v>
                </c:pt>
                <c:pt idx="493">
                  <c:v>242.14142857142818</c:v>
                </c:pt>
                <c:pt idx="494">
                  <c:v>239.10357142857112</c:v>
                </c:pt>
                <c:pt idx="495">
                  <c:v>236.06571428571408</c:v>
                </c:pt>
                <c:pt idx="496">
                  <c:v>233.02785714285704</c:v>
                </c:pt>
                <c:pt idx="497">
                  <c:v>229.99</c:v>
                </c:pt>
                <c:pt idx="498">
                  <c:v>233.81250000000003</c:v>
                </c:pt>
                <c:pt idx="499">
                  <c:v>237.63500000000005</c:v>
                </c:pt>
                <c:pt idx="500">
                  <c:v>241.45750000000004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B1-435E-951E-F193134819B0}"/>
            </c:ext>
          </c:extLst>
        </c:ser>
        <c:ser>
          <c:idx val="5"/>
          <c:order val="5"/>
          <c:tx>
            <c:strRef>
              <c:f>CloseType!$M$1</c:f>
              <c:strCache>
                <c:ptCount val="1"/>
                <c:pt idx="0">
                  <c:v> retHigh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CloseType!$M$2:$M$504</c:f>
              <c:numCache>
                <c:formatCode>_("$"* #,##0.00000_);_("$"* \(#,##0.00000\);_("$"* "-"??_);_(@_)</c:formatCode>
                <c:ptCount val="503"/>
                <c:pt idx="268">
                  <c:v>276.01</c:v>
                </c:pt>
                <c:pt idx="269">
                  <c:v>275.59199999999964</c:v>
                </c:pt>
                <c:pt idx="270">
                  <c:v>275.17399999999935</c:v>
                </c:pt>
                <c:pt idx="271">
                  <c:v>274.75599999999906</c:v>
                </c:pt>
                <c:pt idx="272">
                  <c:v>274.33799999999883</c:v>
                </c:pt>
                <c:pt idx="273">
                  <c:v>273.91999999999865</c:v>
                </c:pt>
                <c:pt idx="274">
                  <c:v>273.50199999999847</c:v>
                </c:pt>
                <c:pt idx="275">
                  <c:v>273.08399999999835</c:v>
                </c:pt>
                <c:pt idx="276">
                  <c:v>272.66599999999829</c:v>
                </c:pt>
                <c:pt idx="277">
                  <c:v>272.24799999999823</c:v>
                </c:pt>
                <c:pt idx="278">
                  <c:v>271.82999999999822</c:v>
                </c:pt>
                <c:pt idx="279">
                  <c:v>271.41199999999827</c:v>
                </c:pt>
                <c:pt idx="280">
                  <c:v>270.99399999999832</c:v>
                </c:pt>
                <c:pt idx="281">
                  <c:v>270.57599999999843</c:v>
                </c:pt>
                <c:pt idx="282">
                  <c:v>270.15799999999854</c:v>
                </c:pt>
                <c:pt idx="283">
                  <c:v>269.7399999999987</c:v>
                </c:pt>
                <c:pt idx="284">
                  <c:v>269.32199999999887</c:v>
                </c:pt>
                <c:pt idx="285">
                  <c:v>268.90399999999909</c:v>
                </c:pt>
                <c:pt idx="286">
                  <c:v>268.48599999999936</c:v>
                </c:pt>
                <c:pt idx="287">
                  <c:v>268.06799999999964</c:v>
                </c:pt>
                <c:pt idx="288">
                  <c:v>267.64999999999998</c:v>
                </c:pt>
                <c:pt idx="289">
                  <c:v>267.75444444444429</c:v>
                </c:pt>
                <c:pt idx="290">
                  <c:v>267.85888888888866</c:v>
                </c:pt>
                <c:pt idx="291">
                  <c:v>267.96333333333303</c:v>
                </c:pt>
                <c:pt idx="292">
                  <c:v>268.06777777777745</c:v>
                </c:pt>
                <c:pt idx="293">
                  <c:v>268.17222222222188</c:v>
                </c:pt>
                <c:pt idx="294">
                  <c:v>268.27666666666636</c:v>
                </c:pt>
                <c:pt idx="295">
                  <c:v>268.38111111111084</c:v>
                </c:pt>
                <c:pt idx="296">
                  <c:v>268.48555555555538</c:v>
                </c:pt>
                <c:pt idx="297">
                  <c:v>268.58999999999997</c:v>
                </c:pt>
                <c:pt idx="298">
                  <c:v>268.71274074073824</c:v>
                </c:pt>
                <c:pt idx="299">
                  <c:v>268.83548148147651</c:v>
                </c:pt>
                <c:pt idx="300">
                  <c:v>268.95822222221477</c:v>
                </c:pt>
                <c:pt idx="301">
                  <c:v>269.08096296295309</c:v>
                </c:pt>
                <c:pt idx="302">
                  <c:v>269.20370370369147</c:v>
                </c:pt>
                <c:pt idx="303">
                  <c:v>269.32644444442985</c:v>
                </c:pt>
                <c:pt idx="304">
                  <c:v>269.44918518516829</c:v>
                </c:pt>
                <c:pt idx="305">
                  <c:v>269.57192592590678</c:v>
                </c:pt>
                <c:pt idx="306">
                  <c:v>269.69466666664528</c:v>
                </c:pt>
                <c:pt idx="307">
                  <c:v>269.81740740738383</c:v>
                </c:pt>
                <c:pt idx="308">
                  <c:v>269.94014814812243</c:v>
                </c:pt>
                <c:pt idx="309">
                  <c:v>270.06288888886104</c:v>
                </c:pt>
                <c:pt idx="310">
                  <c:v>270.1856296295997</c:v>
                </c:pt>
                <c:pt idx="311">
                  <c:v>270.30837037033842</c:v>
                </c:pt>
                <c:pt idx="312">
                  <c:v>270.43111111107714</c:v>
                </c:pt>
                <c:pt idx="313">
                  <c:v>270.55385185181592</c:v>
                </c:pt>
                <c:pt idx="314">
                  <c:v>270.67659259255475</c:v>
                </c:pt>
                <c:pt idx="315">
                  <c:v>270.79933333329359</c:v>
                </c:pt>
                <c:pt idx="316">
                  <c:v>270.92207407403248</c:v>
                </c:pt>
                <c:pt idx="317">
                  <c:v>271.04481481477143</c:v>
                </c:pt>
                <c:pt idx="318">
                  <c:v>271.16755555551038</c:v>
                </c:pt>
                <c:pt idx="319">
                  <c:v>271.29029629624938</c:v>
                </c:pt>
                <c:pt idx="320">
                  <c:v>271.41303703698844</c:v>
                </c:pt>
                <c:pt idx="321">
                  <c:v>271.5357777777275</c:v>
                </c:pt>
                <c:pt idx="322">
                  <c:v>271.65851851846662</c:v>
                </c:pt>
                <c:pt idx="323">
                  <c:v>271.7812592592058</c:v>
                </c:pt>
                <c:pt idx="324">
                  <c:v>271.90399999994497</c:v>
                </c:pt>
                <c:pt idx="325">
                  <c:v>272.0267407406842</c:v>
                </c:pt>
                <c:pt idx="326">
                  <c:v>272.14948148142349</c:v>
                </c:pt>
                <c:pt idx="327">
                  <c:v>272.27222222216278</c:v>
                </c:pt>
                <c:pt idx="328">
                  <c:v>272.39496296290213</c:v>
                </c:pt>
                <c:pt idx="329">
                  <c:v>272.51770370364153</c:v>
                </c:pt>
                <c:pt idx="330">
                  <c:v>272.64044444438093</c:v>
                </c:pt>
                <c:pt idx="331">
                  <c:v>272.76318518512039</c:v>
                </c:pt>
                <c:pt idx="332">
                  <c:v>272.88592592585991</c:v>
                </c:pt>
                <c:pt idx="333">
                  <c:v>273.00866666659942</c:v>
                </c:pt>
                <c:pt idx="334">
                  <c:v>273.131407407339</c:v>
                </c:pt>
                <c:pt idx="335">
                  <c:v>273.25414814807863</c:v>
                </c:pt>
                <c:pt idx="336">
                  <c:v>273.37688888881826</c:v>
                </c:pt>
                <c:pt idx="337">
                  <c:v>273.49962962955794</c:v>
                </c:pt>
                <c:pt idx="338">
                  <c:v>273.62237037029769</c:v>
                </c:pt>
                <c:pt idx="339">
                  <c:v>273.74511111103743</c:v>
                </c:pt>
                <c:pt idx="340">
                  <c:v>273.86785185177723</c:v>
                </c:pt>
                <c:pt idx="341">
                  <c:v>273.99059259251709</c:v>
                </c:pt>
                <c:pt idx="342">
                  <c:v>274.11333333325695</c:v>
                </c:pt>
                <c:pt idx="343">
                  <c:v>274.23607407399686</c:v>
                </c:pt>
                <c:pt idx="344">
                  <c:v>274.35881481473683</c:v>
                </c:pt>
                <c:pt idx="345">
                  <c:v>274.4815555554768</c:v>
                </c:pt>
                <c:pt idx="346">
                  <c:v>274.60429629621683</c:v>
                </c:pt>
                <c:pt idx="347">
                  <c:v>274.72703703695692</c:v>
                </c:pt>
                <c:pt idx="348">
                  <c:v>274.849777777697</c:v>
                </c:pt>
                <c:pt idx="349">
                  <c:v>274.97251851843714</c:v>
                </c:pt>
                <c:pt idx="350">
                  <c:v>275.09525925917734</c:v>
                </c:pt>
                <c:pt idx="351">
                  <c:v>275.21799999991754</c:v>
                </c:pt>
                <c:pt idx="352">
                  <c:v>275.34074074065779</c:v>
                </c:pt>
                <c:pt idx="353">
                  <c:v>275.46348148139811</c:v>
                </c:pt>
                <c:pt idx="354">
                  <c:v>275.58622222213842</c:v>
                </c:pt>
                <c:pt idx="355">
                  <c:v>275.70896296287879</c:v>
                </c:pt>
                <c:pt idx="356">
                  <c:v>275.83170370361921</c:v>
                </c:pt>
                <c:pt idx="357">
                  <c:v>275.95444444435964</c:v>
                </c:pt>
                <c:pt idx="358">
                  <c:v>276.07718518510012</c:v>
                </c:pt>
                <c:pt idx="359">
                  <c:v>276.19992592584066</c:v>
                </c:pt>
                <c:pt idx="360">
                  <c:v>276.3226666665812</c:v>
                </c:pt>
                <c:pt idx="361">
                  <c:v>276.4454074073218</c:v>
                </c:pt>
                <c:pt idx="362">
                  <c:v>276.56814814806245</c:v>
                </c:pt>
                <c:pt idx="363">
                  <c:v>276.6908888888031</c:v>
                </c:pt>
                <c:pt idx="364">
                  <c:v>276.81362962954381</c:v>
                </c:pt>
                <c:pt idx="365">
                  <c:v>276.93637037028458</c:v>
                </c:pt>
                <c:pt idx="366">
                  <c:v>277.05911111102535</c:v>
                </c:pt>
                <c:pt idx="367">
                  <c:v>277.18185185176617</c:v>
                </c:pt>
                <c:pt idx="368">
                  <c:v>277.30459259250705</c:v>
                </c:pt>
                <c:pt idx="369">
                  <c:v>277.42733333324793</c:v>
                </c:pt>
                <c:pt idx="370">
                  <c:v>277.55007407398887</c:v>
                </c:pt>
                <c:pt idx="371">
                  <c:v>277.67281481472986</c:v>
                </c:pt>
                <c:pt idx="372">
                  <c:v>277.79555555547086</c:v>
                </c:pt>
                <c:pt idx="373">
                  <c:v>277.91829629621191</c:v>
                </c:pt>
                <c:pt idx="374">
                  <c:v>278.04103703695301</c:v>
                </c:pt>
                <c:pt idx="375">
                  <c:v>278.16377777769412</c:v>
                </c:pt>
                <c:pt idx="376">
                  <c:v>278.28651851843529</c:v>
                </c:pt>
                <c:pt idx="377">
                  <c:v>278.40925925917651</c:v>
                </c:pt>
                <c:pt idx="378">
                  <c:v>278.53199999991773</c:v>
                </c:pt>
                <c:pt idx="379">
                  <c:v>278.65474074065901</c:v>
                </c:pt>
                <c:pt idx="380">
                  <c:v>278.77748148140034</c:v>
                </c:pt>
                <c:pt idx="381">
                  <c:v>278.90022222214168</c:v>
                </c:pt>
                <c:pt idx="382">
                  <c:v>279.02296296288307</c:v>
                </c:pt>
                <c:pt idx="383">
                  <c:v>279.14570370362452</c:v>
                </c:pt>
                <c:pt idx="384">
                  <c:v>279.26844444436597</c:v>
                </c:pt>
                <c:pt idx="385">
                  <c:v>279.39118518510747</c:v>
                </c:pt>
                <c:pt idx="386">
                  <c:v>279.51392592584904</c:v>
                </c:pt>
                <c:pt idx="387">
                  <c:v>279.6366666665906</c:v>
                </c:pt>
                <c:pt idx="388">
                  <c:v>279.75940740733222</c:v>
                </c:pt>
                <c:pt idx="389">
                  <c:v>279.8821481480739</c:v>
                </c:pt>
                <c:pt idx="390">
                  <c:v>280.00488888881557</c:v>
                </c:pt>
                <c:pt idx="391">
                  <c:v>280.1276296295573</c:v>
                </c:pt>
                <c:pt idx="392">
                  <c:v>280.25037037029909</c:v>
                </c:pt>
                <c:pt idx="393">
                  <c:v>280.37311111104088</c:v>
                </c:pt>
                <c:pt idx="394">
                  <c:v>280.49585185178273</c:v>
                </c:pt>
                <c:pt idx="395">
                  <c:v>280.61859259252464</c:v>
                </c:pt>
                <c:pt idx="396">
                  <c:v>280.74133333326654</c:v>
                </c:pt>
                <c:pt idx="397">
                  <c:v>280.8640740740085</c:v>
                </c:pt>
                <c:pt idx="398">
                  <c:v>280.98681481475052</c:v>
                </c:pt>
                <c:pt idx="399">
                  <c:v>281.10955555549253</c:v>
                </c:pt>
                <c:pt idx="400">
                  <c:v>281.23229629623461</c:v>
                </c:pt>
                <c:pt idx="401">
                  <c:v>281.35503703697674</c:v>
                </c:pt>
                <c:pt idx="402">
                  <c:v>281.47777777771887</c:v>
                </c:pt>
                <c:pt idx="403">
                  <c:v>281.60051851846106</c:v>
                </c:pt>
                <c:pt idx="404">
                  <c:v>281.7232592592033</c:v>
                </c:pt>
                <c:pt idx="405">
                  <c:v>281.84599999994555</c:v>
                </c:pt>
                <c:pt idx="406">
                  <c:v>281.96874074068785</c:v>
                </c:pt>
                <c:pt idx="407">
                  <c:v>282.09148148143015</c:v>
                </c:pt>
                <c:pt idx="408">
                  <c:v>282.21422222217251</c:v>
                </c:pt>
                <c:pt idx="409">
                  <c:v>282.33696296291487</c:v>
                </c:pt>
                <c:pt idx="410">
                  <c:v>282.45970370365728</c:v>
                </c:pt>
                <c:pt idx="411">
                  <c:v>282.58244444439975</c:v>
                </c:pt>
                <c:pt idx="412">
                  <c:v>282.70518518514223</c:v>
                </c:pt>
                <c:pt idx="413">
                  <c:v>282.82792592588476</c:v>
                </c:pt>
                <c:pt idx="414">
                  <c:v>282.95066666662734</c:v>
                </c:pt>
                <c:pt idx="415">
                  <c:v>283.07340740736993</c:v>
                </c:pt>
                <c:pt idx="416">
                  <c:v>283.19614814811257</c:v>
                </c:pt>
                <c:pt idx="417">
                  <c:v>283.31888888885527</c:v>
                </c:pt>
                <c:pt idx="418">
                  <c:v>283.44162962959797</c:v>
                </c:pt>
                <c:pt idx="419">
                  <c:v>283.56437037034073</c:v>
                </c:pt>
                <c:pt idx="420">
                  <c:v>283.68711111108354</c:v>
                </c:pt>
                <c:pt idx="421">
                  <c:v>283.80985185182635</c:v>
                </c:pt>
                <c:pt idx="422">
                  <c:v>283.93259259256922</c:v>
                </c:pt>
                <c:pt idx="423">
                  <c:v>284.05533333331215</c:v>
                </c:pt>
                <c:pt idx="424">
                  <c:v>284.17807407405508</c:v>
                </c:pt>
                <c:pt idx="425">
                  <c:v>284.30081481479806</c:v>
                </c:pt>
                <c:pt idx="426">
                  <c:v>284.4235555555411</c:v>
                </c:pt>
                <c:pt idx="427">
                  <c:v>284.54629629628414</c:v>
                </c:pt>
                <c:pt idx="428">
                  <c:v>284.66903703702724</c:v>
                </c:pt>
                <c:pt idx="429">
                  <c:v>284.79177777777039</c:v>
                </c:pt>
                <c:pt idx="430">
                  <c:v>284.91451851851355</c:v>
                </c:pt>
                <c:pt idx="431">
                  <c:v>285.03725925925676</c:v>
                </c:pt>
                <c:pt idx="432">
                  <c:v>285.16000000000003</c:v>
                </c:pt>
                <c:pt idx="433">
                  <c:v>284.55368421052663</c:v>
                </c:pt>
                <c:pt idx="434">
                  <c:v>283.94736842105323</c:v>
                </c:pt>
                <c:pt idx="435">
                  <c:v>283.34105263157983</c:v>
                </c:pt>
                <c:pt idx="436">
                  <c:v>282.73473684210637</c:v>
                </c:pt>
                <c:pt idx="437">
                  <c:v>282.12842105263286</c:v>
                </c:pt>
                <c:pt idx="438">
                  <c:v>281.52210526315935</c:v>
                </c:pt>
                <c:pt idx="439">
                  <c:v>280.91578947368578</c:v>
                </c:pt>
                <c:pt idx="440">
                  <c:v>280.30947368421215</c:v>
                </c:pt>
                <c:pt idx="441">
                  <c:v>279.70315789473852</c:v>
                </c:pt>
                <c:pt idx="442">
                  <c:v>279.09684210526484</c:v>
                </c:pt>
                <c:pt idx="443">
                  <c:v>278.4905263157911</c:v>
                </c:pt>
                <c:pt idx="444">
                  <c:v>277.88421052631736</c:v>
                </c:pt>
                <c:pt idx="445">
                  <c:v>277.27789473684356</c:v>
                </c:pt>
                <c:pt idx="446">
                  <c:v>276.67157894736971</c:v>
                </c:pt>
                <c:pt idx="447">
                  <c:v>276.06526315789586</c:v>
                </c:pt>
                <c:pt idx="448">
                  <c:v>275.45894736842195</c:v>
                </c:pt>
                <c:pt idx="449">
                  <c:v>274.85263157894798</c:v>
                </c:pt>
                <c:pt idx="450">
                  <c:v>274.24631578947401</c:v>
                </c:pt>
                <c:pt idx="451">
                  <c:v>273.64</c:v>
                </c:pt>
                <c:pt idx="452">
                  <c:v>273.67666666666685</c:v>
                </c:pt>
                <c:pt idx="453">
                  <c:v>273.71333333333371</c:v>
                </c:pt>
                <c:pt idx="454">
                  <c:v>273.75000000000057</c:v>
                </c:pt>
                <c:pt idx="455">
                  <c:v>273.78666666666737</c:v>
                </c:pt>
                <c:pt idx="456">
                  <c:v>273.82333333333418</c:v>
                </c:pt>
                <c:pt idx="457">
                  <c:v>273.86000000000092</c:v>
                </c:pt>
                <c:pt idx="458">
                  <c:v>273.89666666666761</c:v>
                </c:pt>
                <c:pt idx="459">
                  <c:v>273.9333333333343</c:v>
                </c:pt>
                <c:pt idx="460">
                  <c:v>273.97000000000094</c:v>
                </c:pt>
                <c:pt idx="461">
                  <c:v>274.00666666666751</c:v>
                </c:pt>
                <c:pt idx="462">
                  <c:v>274.04333333333409</c:v>
                </c:pt>
                <c:pt idx="463">
                  <c:v>274.08000000000061</c:v>
                </c:pt>
                <c:pt idx="464">
                  <c:v>274.11666666666707</c:v>
                </c:pt>
                <c:pt idx="465">
                  <c:v>274.15333333333353</c:v>
                </c:pt>
                <c:pt idx="466">
                  <c:v>274.19</c:v>
                </c:pt>
                <c:pt idx="467">
                  <c:v>274.09176470588204</c:v>
                </c:pt>
                <c:pt idx="468">
                  <c:v>273.99352941176414</c:v>
                </c:pt>
                <c:pt idx="469">
                  <c:v>273.8952941176463</c:v>
                </c:pt>
                <c:pt idx="470">
                  <c:v>273.79705882352846</c:v>
                </c:pt>
                <c:pt idx="471">
                  <c:v>273.69882352941067</c:v>
                </c:pt>
                <c:pt idx="472">
                  <c:v>273.60058823529295</c:v>
                </c:pt>
                <c:pt idx="473">
                  <c:v>273.50235294117522</c:v>
                </c:pt>
                <c:pt idx="474">
                  <c:v>273.40411764705755</c:v>
                </c:pt>
                <c:pt idx="475">
                  <c:v>273.30588235293993</c:v>
                </c:pt>
                <c:pt idx="476">
                  <c:v>273.20764705882232</c:v>
                </c:pt>
                <c:pt idx="477">
                  <c:v>273.10941176470476</c:v>
                </c:pt>
                <c:pt idx="478">
                  <c:v>273.0111764705872</c:v>
                </c:pt>
                <c:pt idx="479">
                  <c:v>272.9129411764697</c:v>
                </c:pt>
                <c:pt idx="480">
                  <c:v>272.8147058823522</c:v>
                </c:pt>
                <c:pt idx="481">
                  <c:v>272.71647058823476</c:v>
                </c:pt>
                <c:pt idx="482">
                  <c:v>272.61823529411737</c:v>
                </c:pt>
                <c:pt idx="483">
                  <c:v>272.52</c:v>
                </c:pt>
                <c:pt idx="484">
                  <c:v>271.00666666666689</c:v>
                </c:pt>
                <c:pt idx="485">
                  <c:v>269.49333333333379</c:v>
                </c:pt>
                <c:pt idx="486">
                  <c:v>267.98000000000064</c:v>
                </c:pt>
                <c:pt idx="487">
                  <c:v>266.46666666666749</c:v>
                </c:pt>
                <c:pt idx="488">
                  <c:v>264.95333333333429</c:v>
                </c:pt>
                <c:pt idx="489">
                  <c:v>263.44000000000102</c:v>
                </c:pt>
                <c:pt idx="490">
                  <c:v>261.92666666666776</c:v>
                </c:pt>
                <c:pt idx="491">
                  <c:v>260.41333333333444</c:v>
                </c:pt>
                <c:pt idx="492">
                  <c:v>258.90000000000106</c:v>
                </c:pt>
                <c:pt idx="493">
                  <c:v>257.38666666666768</c:v>
                </c:pt>
                <c:pt idx="494">
                  <c:v>255.87333333333427</c:v>
                </c:pt>
                <c:pt idx="495">
                  <c:v>254.36000000000087</c:v>
                </c:pt>
                <c:pt idx="496">
                  <c:v>252.84666666666743</c:v>
                </c:pt>
                <c:pt idx="497">
                  <c:v>251.33333333333397</c:v>
                </c:pt>
                <c:pt idx="498">
                  <c:v>249.8200000000005</c:v>
                </c:pt>
                <c:pt idx="499">
                  <c:v>248.30666666666701</c:v>
                </c:pt>
                <c:pt idx="500">
                  <c:v>246.79333333333352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B1-435E-951E-F193134819B0}"/>
            </c:ext>
          </c:extLst>
        </c:ser>
        <c:ser>
          <c:idx val="6"/>
          <c:order val="6"/>
          <c:tx>
            <c:strRef>
              <c:f>CloseType!$N$1</c:f>
              <c:strCache>
                <c:ptCount val="1"/>
                <c:pt idx="0">
                  <c:v> retLow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CloseType!$A$2:$A$504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CloseType!$N$2:$N$504</c:f>
              <c:numCache>
                <c:formatCode>_("$"* #,##0.00000_);_("$"* \(#,##0.00000\);_("$"* "-"??_);_(@_)</c:formatCode>
                <c:ptCount val="503"/>
                <c:pt idx="277">
                  <c:v>248.13</c:v>
                </c:pt>
                <c:pt idx="278">
                  <c:v>248.86533333333321</c:v>
                </c:pt>
                <c:pt idx="279">
                  <c:v>249.60066666666643</c:v>
                </c:pt>
                <c:pt idx="280">
                  <c:v>250.33599999999967</c:v>
                </c:pt>
                <c:pt idx="281">
                  <c:v>251.07133333333294</c:v>
                </c:pt>
                <c:pt idx="282">
                  <c:v>251.80666666666622</c:v>
                </c:pt>
                <c:pt idx="283">
                  <c:v>252.54199999999952</c:v>
                </c:pt>
                <c:pt idx="284">
                  <c:v>253.27733333333282</c:v>
                </c:pt>
                <c:pt idx="285">
                  <c:v>254.01266666666615</c:v>
                </c:pt>
                <c:pt idx="286">
                  <c:v>254.74799999999948</c:v>
                </c:pt>
                <c:pt idx="287">
                  <c:v>255.48333333333284</c:v>
                </c:pt>
                <c:pt idx="288">
                  <c:v>256.21866666666619</c:v>
                </c:pt>
                <c:pt idx="289">
                  <c:v>256.95399999999961</c:v>
                </c:pt>
                <c:pt idx="290">
                  <c:v>257.68933333333308</c:v>
                </c:pt>
                <c:pt idx="291">
                  <c:v>258.42466666666655</c:v>
                </c:pt>
                <c:pt idx="292">
                  <c:v>259.16000000000003</c:v>
                </c:pt>
                <c:pt idx="293">
                  <c:v>258.65049999999974</c:v>
                </c:pt>
                <c:pt idx="294">
                  <c:v>258.14099999999951</c:v>
                </c:pt>
                <c:pt idx="295">
                  <c:v>257.63149999999933</c:v>
                </c:pt>
                <c:pt idx="296">
                  <c:v>257.12199999999916</c:v>
                </c:pt>
                <c:pt idx="297">
                  <c:v>256.61249999999905</c:v>
                </c:pt>
                <c:pt idx="298">
                  <c:v>256.10299999999899</c:v>
                </c:pt>
                <c:pt idx="299">
                  <c:v>255.59349999999895</c:v>
                </c:pt>
                <c:pt idx="300">
                  <c:v>255.08399999999892</c:v>
                </c:pt>
                <c:pt idx="301">
                  <c:v>254.57449999999892</c:v>
                </c:pt>
                <c:pt idx="302">
                  <c:v>254.06499999999895</c:v>
                </c:pt>
                <c:pt idx="303">
                  <c:v>253.55549999999897</c:v>
                </c:pt>
                <c:pt idx="304">
                  <c:v>253.04599999999903</c:v>
                </c:pt>
                <c:pt idx="305">
                  <c:v>252.53649999999908</c:v>
                </c:pt>
                <c:pt idx="306">
                  <c:v>252.02699999999916</c:v>
                </c:pt>
                <c:pt idx="307">
                  <c:v>251.51749999999925</c:v>
                </c:pt>
                <c:pt idx="308">
                  <c:v>251.00799999999936</c:v>
                </c:pt>
                <c:pt idx="309">
                  <c:v>250.4984999999995</c:v>
                </c:pt>
                <c:pt idx="310">
                  <c:v>249.98899999999963</c:v>
                </c:pt>
                <c:pt idx="311">
                  <c:v>249.4794999999998</c:v>
                </c:pt>
                <c:pt idx="312">
                  <c:v>248.97</c:v>
                </c:pt>
                <c:pt idx="313">
                  <c:v>249.09288888888722</c:v>
                </c:pt>
                <c:pt idx="314">
                  <c:v>249.21577777777446</c:v>
                </c:pt>
                <c:pt idx="315">
                  <c:v>249.33866666666174</c:v>
                </c:pt>
                <c:pt idx="316">
                  <c:v>249.46155555554901</c:v>
                </c:pt>
                <c:pt idx="317">
                  <c:v>249.58444444443631</c:v>
                </c:pt>
                <c:pt idx="318">
                  <c:v>249.70733333332365</c:v>
                </c:pt>
                <c:pt idx="319">
                  <c:v>249.83022222221098</c:v>
                </c:pt>
                <c:pt idx="320">
                  <c:v>249.95311111109834</c:v>
                </c:pt>
                <c:pt idx="321">
                  <c:v>250.0759999999857</c:v>
                </c:pt>
                <c:pt idx="322">
                  <c:v>250.19888888887309</c:v>
                </c:pt>
                <c:pt idx="323">
                  <c:v>250.32177777776047</c:v>
                </c:pt>
                <c:pt idx="324">
                  <c:v>250.44466666664789</c:v>
                </c:pt>
                <c:pt idx="325">
                  <c:v>250.56755555553534</c:v>
                </c:pt>
                <c:pt idx="326">
                  <c:v>250.69044444442278</c:v>
                </c:pt>
                <c:pt idx="327">
                  <c:v>250.81333333331025</c:v>
                </c:pt>
                <c:pt idx="328">
                  <c:v>250.93622222219776</c:v>
                </c:pt>
                <c:pt idx="329">
                  <c:v>251.05911111108526</c:v>
                </c:pt>
                <c:pt idx="330">
                  <c:v>251.18199999997279</c:v>
                </c:pt>
                <c:pt idx="331">
                  <c:v>251.30488888886035</c:v>
                </c:pt>
                <c:pt idx="332">
                  <c:v>251.42777777774791</c:v>
                </c:pt>
                <c:pt idx="333">
                  <c:v>251.55066666663549</c:v>
                </c:pt>
                <c:pt idx="334">
                  <c:v>251.67355555552311</c:v>
                </c:pt>
                <c:pt idx="335">
                  <c:v>251.79644444441072</c:v>
                </c:pt>
                <c:pt idx="336">
                  <c:v>251.91933333329837</c:v>
                </c:pt>
                <c:pt idx="337">
                  <c:v>252.04222222218604</c:v>
                </c:pt>
                <c:pt idx="338">
                  <c:v>252.16511111107371</c:v>
                </c:pt>
                <c:pt idx="339">
                  <c:v>252.28799999996141</c:v>
                </c:pt>
                <c:pt idx="340">
                  <c:v>252.41088888884914</c:v>
                </c:pt>
                <c:pt idx="341">
                  <c:v>252.53377777773687</c:v>
                </c:pt>
                <c:pt idx="342">
                  <c:v>252.65666666662463</c:v>
                </c:pt>
                <c:pt idx="343">
                  <c:v>252.77955555551242</c:v>
                </c:pt>
                <c:pt idx="344">
                  <c:v>252.9024444444002</c:v>
                </c:pt>
                <c:pt idx="345">
                  <c:v>253.02533333328802</c:v>
                </c:pt>
                <c:pt idx="346">
                  <c:v>253.14822222217586</c:v>
                </c:pt>
                <c:pt idx="347">
                  <c:v>253.2711111110637</c:v>
                </c:pt>
                <c:pt idx="348">
                  <c:v>253.39399999995157</c:v>
                </c:pt>
                <c:pt idx="349">
                  <c:v>253.51688888883947</c:v>
                </c:pt>
                <c:pt idx="350">
                  <c:v>253.63977777772737</c:v>
                </c:pt>
                <c:pt idx="351">
                  <c:v>253.7626666666153</c:v>
                </c:pt>
                <c:pt idx="352">
                  <c:v>253.88555555550326</c:v>
                </c:pt>
                <c:pt idx="353">
                  <c:v>254.00844444439122</c:v>
                </c:pt>
                <c:pt idx="354">
                  <c:v>254.1313333332792</c:v>
                </c:pt>
                <c:pt idx="355">
                  <c:v>254.25422222216721</c:v>
                </c:pt>
                <c:pt idx="356">
                  <c:v>254.37711111105523</c:v>
                </c:pt>
                <c:pt idx="357">
                  <c:v>254.49999999994327</c:v>
                </c:pt>
                <c:pt idx="358">
                  <c:v>254.62288888883134</c:v>
                </c:pt>
                <c:pt idx="359">
                  <c:v>254.74577777771941</c:v>
                </c:pt>
                <c:pt idx="360">
                  <c:v>254.86866666660751</c:v>
                </c:pt>
                <c:pt idx="361">
                  <c:v>254.99155555549564</c:v>
                </c:pt>
                <c:pt idx="362">
                  <c:v>255.11444444438376</c:v>
                </c:pt>
                <c:pt idx="363">
                  <c:v>255.23733333327192</c:v>
                </c:pt>
                <c:pt idx="364">
                  <c:v>255.3602222221601</c:v>
                </c:pt>
                <c:pt idx="365">
                  <c:v>255.48311111104829</c:v>
                </c:pt>
                <c:pt idx="366">
                  <c:v>255.6059999999365</c:v>
                </c:pt>
                <c:pt idx="367">
                  <c:v>255.72888888882474</c:v>
                </c:pt>
                <c:pt idx="368">
                  <c:v>255.85177777771298</c:v>
                </c:pt>
                <c:pt idx="369">
                  <c:v>255.97466666660125</c:v>
                </c:pt>
                <c:pt idx="370">
                  <c:v>256.09755555548952</c:v>
                </c:pt>
                <c:pt idx="371">
                  <c:v>256.22044444437785</c:v>
                </c:pt>
                <c:pt idx="372">
                  <c:v>256.34333333326617</c:v>
                </c:pt>
                <c:pt idx="373">
                  <c:v>256.46622222215456</c:v>
                </c:pt>
                <c:pt idx="374">
                  <c:v>256.589111111043</c:v>
                </c:pt>
                <c:pt idx="375">
                  <c:v>256.71199999993144</c:v>
                </c:pt>
                <c:pt idx="376">
                  <c:v>256.83488888881993</c:v>
                </c:pt>
                <c:pt idx="377">
                  <c:v>256.95777777770849</c:v>
                </c:pt>
                <c:pt idx="378">
                  <c:v>257.08066666659704</c:v>
                </c:pt>
                <c:pt idx="379">
                  <c:v>257.20355555548565</c:v>
                </c:pt>
                <c:pt idx="380">
                  <c:v>257.32644444437432</c:v>
                </c:pt>
                <c:pt idx="381">
                  <c:v>257.44933333326298</c:v>
                </c:pt>
                <c:pt idx="382">
                  <c:v>257.57222222215171</c:v>
                </c:pt>
                <c:pt idx="383">
                  <c:v>257.69511111104049</c:v>
                </c:pt>
                <c:pt idx="384">
                  <c:v>257.81799999992927</c:v>
                </c:pt>
                <c:pt idx="385">
                  <c:v>257.94088888881811</c:v>
                </c:pt>
                <c:pt idx="386">
                  <c:v>258.063777777707</c:v>
                </c:pt>
                <c:pt idx="387">
                  <c:v>258.1866666665959</c:v>
                </c:pt>
                <c:pt idx="388">
                  <c:v>258.30955555548485</c:v>
                </c:pt>
                <c:pt idx="389">
                  <c:v>258.43244444437386</c:v>
                </c:pt>
                <c:pt idx="390">
                  <c:v>258.55533333326287</c:v>
                </c:pt>
                <c:pt idx="391">
                  <c:v>258.67822222215193</c:v>
                </c:pt>
                <c:pt idx="392">
                  <c:v>258.80111111104105</c:v>
                </c:pt>
                <c:pt idx="393">
                  <c:v>258.92399999993017</c:v>
                </c:pt>
                <c:pt idx="394">
                  <c:v>259.04688888881935</c:v>
                </c:pt>
                <c:pt idx="395">
                  <c:v>259.16977777770859</c:v>
                </c:pt>
                <c:pt idx="396">
                  <c:v>259.29266666659782</c:v>
                </c:pt>
                <c:pt idx="397">
                  <c:v>259.41555555548712</c:v>
                </c:pt>
                <c:pt idx="398">
                  <c:v>259.53844444437647</c:v>
                </c:pt>
                <c:pt idx="399">
                  <c:v>259.66133333326582</c:v>
                </c:pt>
                <c:pt idx="400">
                  <c:v>259.78422222215522</c:v>
                </c:pt>
                <c:pt idx="401">
                  <c:v>259.90711111104469</c:v>
                </c:pt>
                <c:pt idx="402">
                  <c:v>260.02999999993415</c:v>
                </c:pt>
                <c:pt idx="403">
                  <c:v>260.15288888882367</c:v>
                </c:pt>
                <c:pt idx="404">
                  <c:v>260.27577777771324</c:v>
                </c:pt>
                <c:pt idx="405">
                  <c:v>260.39866666660282</c:v>
                </c:pt>
                <c:pt idx="406">
                  <c:v>260.52155555549245</c:v>
                </c:pt>
                <c:pt idx="407">
                  <c:v>260.64444444438215</c:v>
                </c:pt>
                <c:pt idx="408">
                  <c:v>260.76733333327184</c:v>
                </c:pt>
                <c:pt idx="409">
                  <c:v>260.89022222216158</c:v>
                </c:pt>
                <c:pt idx="410">
                  <c:v>261.01311111105139</c:v>
                </c:pt>
                <c:pt idx="411">
                  <c:v>261.13599999994119</c:v>
                </c:pt>
                <c:pt idx="412">
                  <c:v>261.25888888883105</c:v>
                </c:pt>
                <c:pt idx="413">
                  <c:v>261.38177777772097</c:v>
                </c:pt>
                <c:pt idx="414">
                  <c:v>261.50466666661089</c:v>
                </c:pt>
                <c:pt idx="415">
                  <c:v>261.62755555550086</c:v>
                </c:pt>
                <c:pt idx="416">
                  <c:v>261.75044444439089</c:v>
                </c:pt>
                <c:pt idx="417">
                  <c:v>261.87333333328093</c:v>
                </c:pt>
                <c:pt idx="418">
                  <c:v>261.99622222217101</c:v>
                </c:pt>
                <c:pt idx="419">
                  <c:v>262.11911111106116</c:v>
                </c:pt>
                <c:pt idx="420">
                  <c:v>262.2419999999513</c:v>
                </c:pt>
                <c:pt idx="421">
                  <c:v>262.36488888884151</c:v>
                </c:pt>
                <c:pt idx="422">
                  <c:v>262.48777777773176</c:v>
                </c:pt>
                <c:pt idx="423">
                  <c:v>262.61066666662202</c:v>
                </c:pt>
                <c:pt idx="424">
                  <c:v>262.73355555551234</c:v>
                </c:pt>
                <c:pt idx="425">
                  <c:v>262.85644444440271</c:v>
                </c:pt>
                <c:pt idx="426">
                  <c:v>262.97933333329308</c:v>
                </c:pt>
                <c:pt idx="427">
                  <c:v>263.10222222218351</c:v>
                </c:pt>
                <c:pt idx="428">
                  <c:v>263.225111111074</c:v>
                </c:pt>
                <c:pt idx="429">
                  <c:v>263.34799999996449</c:v>
                </c:pt>
                <c:pt idx="430">
                  <c:v>263.47088888885503</c:v>
                </c:pt>
                <c:pt idx="431">
                  <c:v>263.59377777774563</c:v>
                </c:pt>
                <c:pt idx="432">
                  <c:v>263.71666666663623</c:v>
                </c:pt>
                <c:pt idx="433">
                  <c:v>263.83955555552689</c:v>
                </c:pt>
                <c:pt idx="434">
                  <c:v>263.9624444444176</c:v>
                </c:pt>
                <c:pt idx="435">
                  <c:v>264.08533333330831</c:v>
                </c:pt>
                <c:pt idx="436">
                  <c:v>264.20822222219908</c:v>
                </c:pt>
                <c:pt idx="437">
                  <c:v>264.33111111108991</c:v>
                </c:pt>
                <c:pt idx="438">
                  <c:v>264.45399999998074</c:v>
                </c:pt>
                <c:pt idx="439">
                  <c:v>264.57688888887162</c:v>
                </c:pt>
                <c:pt idx="440">
                  <c:v>264.69977777776256</c:v>
                </c:pt>
                <c:pt idx="441">
                  <c:v>264.8226666666535</c:v>
                </c:pt>
                <c:pt idx="442">
                  <c:v>264.9455555555445</c:v>
                </c:pt>
                <c:pt idx="443">
                  <c:v>265.06844444443556</c:v>
                </c:pt>
                <c:pt idx="444">
                  <c:v>265.19133333332661</c:v>
                </c:pt>
                <c:pt idx="445">
                  <c:v>265.31422222221772</c:v>
                </c:pt>
                <c:pt idx="446">
                  <c:v>265.43711111110883</c:v>
                </c:pt>
                <c:pt idx="447">
                  <c:v>265.56</c:v>
                </c:pt>
                <c:pt idx="448">
                  <c:v>264.88416666666649</c:v>
                </c:pt>
                <c:pt idx="449">
                  <c:v>264.20833333333303</c:v>
                </c:pt>
                <c:pt idx="450">
                  <c:v>263.53249999999957</c:v>
                </c:pt>
                <c:pt idx="451">
                  <c:v>262.85666666666617</c:v>
                </c:pt>
                <c:pt idx="452">
                  <c:v>262.18083333333277</c:v>
                </c:pt>
                <c:pt idx="453">
                  <c:v>261.50499999999943</c:v>
                </c:pt>
                <c:pt idx="454">
                  <c:v>260.82916666666614</c:v>
                </c:pt>
                <c:pt idx="455">
                  <c:v>260.15333333333285</c:v>
                </c:pt>
                <c:pt idx="456">
                  <c:v>259.47749999999962</c:v>
                </c:pt>
                <c:pt idx="457">
                  <c:v>258.80166666666639</c:v>
                </c:pt>
                <c:pt idx="458">
                  <c:v>258.12583333333316</c:v>
                </c:pt>
                <c:pt idx="459">
                  <c:v>257.45</c:v>
                </c:pt>
                <c:pt idx="460">
                  <c:v>257.41722222222188</c:v>
                </c:pt>
                <c:pt idx="461">
                  <c:v>257.38444444444383</c:v>
                </c:pt>
                <c:pt idx="462">
                  <c:v>257.35166666666584</c:v>
                </c:pt>
                <c:pt idx="463">
                  <c:v>257.31888888888784</c:v>
                </c:pt>
                <c:pt idx="464">
                  <c:v>257.2861111111099</c:v>
                </c:pt>
                <c:pt idx="465">
                  <c:v>257.25333333333202</c:v>
                </c:pt>
                <c:pt idx="466">
                  <c:v>257.22055555555414</c:v>
                </c:pt>
                <c:pt idx="467">
                  <c:v>257.18777777777632</c:v>
                </c:pt>
                <c:pt idx="468">
                  <c:v>257.15499999999855</c:v>
                </c:pt>
                <c:pt idx="469">
                  <c:v>257.12222222222078</c:v>
                </c:pt>
                <c:pt idx="470">
                  <c:v>257.08944444444307</c:v>
                </c:pt>
                <c:pt idx="471">
                  <c:v>257.05666666666542</c:v>
                </c:pt>
                <c:pt idx="472">
                  <c:v>257.02388888888777</c:v>
                </c:pt>
                <c:pt idx="473">
                  <c:v>256.99111111111017</c:v>
                </c:pt>
                <c:pt idx="474">
                  <c:v>256.95833333333258</c:v>
                </c:pt>
                <c:pt idx="475">
                  <c:v>256.92555555555504</c:v>
                </c:pt>
                <c:pt idx="476">
                  <c:v>256.8927777777775</c:v>
                </c:pt>
                <c:pt idx="477">
                  <c:v>256.86</c:v>
                </c:pt>
                <c:pt idx="478">
                  <c:v>255.51649999999984</c:v>
                </c:pt>
                <c:pt idx="479">
                  <c:v>254.17299999999969</c:v>
                </c:pt>
                <c:pt idx="480">
                  <c:v>252.82949999999954</c:v>
                </c:pt>
                <c:pt idx="481">
                  <c:v>251.48599999999942</c:v>
                </c:pt>
                <c:pt idx="482">
                  <c:v>250.14249999999933</c:v>
                </c:pt>
                <c:pt idx="483">
                  <c:v>248.79899999999924</c:v>
                </c:pt>
                <c:pt idx="484">
                  <c:v>247.45549999999918</c:v>
                </c:pt>
                <c:pt idx="485">
                  <c:v>246.11199999999914</c:v>
                </c:pt>
                <c:pt idx="486">
                  <c:v>244.76849999999911</c:v>
                </c:pt>
                <c:pt idx="487">
                  <c:v>243.4249999999991</c:v>
                </c:pt>
                <c:pt idx="488">
                  <c:v>242.08149999999912</c:v>
                </c:pt>
                <c:pt idx="489">
                  <c:v>240.73799999999915</c:v>
                </c:pt>
                <c:pt idx="490">
                  <c:v>239.3944999999992</c:v>
                </c:pt>
                <c:pt idx="491">
                  <c:v>238.05099999999928</c:v>
                </c:pt>
                <c:pt idx="492">
                  <c:v>236.70749999999936</c:v>
                </c:pt>
                <c:pt idx="493">
                  <c:v>235.36399999999946</c:v>
                </c:pt>
                <c:pt idx="494">
                  <c:v>234.02049999999957</c:v>
                </c:pt>
                <c:pt idx="495">
                  <c:v>232.67699999999971</c:v>
                </c:pt>
                <c:pt idx="496">
                  <c:v>231.33349999999984</c:v>
                </c:pt>
                <c:pt idx="497">
                  <c:v>229.99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B1-435E-951E-F19313481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CloseType!$C$1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CloseType!$C$2:$C$504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212.61</c:v>
                      </c:pt>
                      <c:pt idx="1">
                        <c:v>213.16</c:v>
                      </c:pt>
                      <c:pt idx="2">
                        <c:v>213.77</c:v>
                      </c:pt>
                      <c:pt idx="3">
                        <c:v>214.02</c:v>
                      </c:pt>
                      <c:pt idx="4">
                        <c:v>214.38</c:v>
                      </c:pt>
                      <c:pt idx="5">
                        <c:v>213.97</c:v>
                      </c:pt>
                      <c:pt idx="6">
                        <c:v>213.86</c:v>
                      </c:pt>
                      <c:pt idx="7">
                        <c:v>213.99</c:v>
                      </c:pt>
                      <c:pt idx="8">
                        <c:v>214.21</c:v>
                      </c:pt>
                      <c:pt idx="9">
                        <c:v>213.81</c:v>
                      </c:pt>
                      <c:pt idx="10">
                        <c:v>214.02</c:v>
                      </c:pt>
                      <c:pt idx="11">
                        <c:v>214.31</c:v>
                      </c:pt>
                      <c:pt idx="12">
                        <c:v>214.18</c:v>
                      </c:pt>
                      <c:pt idx="13">
                        <c:v>213.85</c:v>
                      </c:pt>
                      <c:pt idx="14">
                        <c:v>213.89</c:v>
                      </c:pt>
                      <c:pt idx="15">
                        <c:v>216.07</c:v>
                      </c:pt>
                      <c:pt idx="16">
                        <c:v>216.73</c:v>
                      </c:pt>
                      <c:pt idx="17">
                        <c:v>216.75</c:v>
                      </c:pt>
                      <c:pt idx="18">
                        <c:v>215.57</c:v>
                      </c:pt>
                      <c:pt idx="19">
                        <c:v>214.44</c:v>
                      </c:pt>
                      <c:pt idx="20">
                        <c:v>215.65</c:v>
                      </c:pt>
                      <c:pt idx="21">
                        <c:v>214.65</c:v>
                      </c:pt>
                      <c:pt idx="22">
                        <c:v>216.18</c:v>
                      </c:pt>
                      <c:pt idx="23">
                        <c:v>216.23</c:v>
                      </c:pt>
                      <c:pt idx="24">
                        <c:v>216.71</c:v>
                      </c:pt>
                      <c:pt idx="25">
                        <c:v>215.98</c:v>
                      </c:pt>
                      <c:pt idx="26">
                        <c:v>216.88</c:v>
                      </c:pt>
                      <c:pt idx="27">
                        <c:v>218.24</c:v>
                      </c:pt>
                      <c:pt idx="28">
                        <c:v>219.26</c:v>
                      </c:pt>
                      <c:pt idx="29">
                        <c:v>219.71</c:v>
                      </c:pt>
                      <c:pt idx="30">
                        <c:v>220.55</c:v>
                      </c:pt>
                      <c:pt idx="31">
                        <c:v>221.98</c:v>
                      </c:pt>
                      <c:pt idx="32">
                        <c:v>221.03</c:v>
                      </c:pt>
                      <c:pt idx="33">
                        <c:v>222.51</c:v>
                      </c:pt>
                      <c:pt idx="34">
                        <c:v>222.98</c:v>
                      </c:pt>
                      <c:pt idx="35">
                        <c:v>223.79</c:v>
                      </c:pt>
                      <c:pt idx="36">
                        <c:v>222.45</c:v>
                      </c:pt>
                      <c:pt idx="37">
                        <c:v>223.57</c:v>
                      </c:pt>
                      <c:pt idx="38">
                        <c:v>223.6</c:v>
                      </c:pt>
                      <c:pt idx="39">
                        <c:v>225.22</c:v>
                      </c:pt>
                      <c:pt idx="40">
                        <c:v>226.33</c:v>
                      </c:pt>
                      <c:pt idx="41">
                        <c:v>225.01</c:v>
                      </c:pt>
                      <c:pt idx="42">
                        <c:v>224.38</c:v>
                      </c:pt>
                      <c:pt idx="43">
                        <c:v>224.25</c:v>
                      </c:pt>
                      <c:pt idx="44">
                        <c:v>224.23</c:v>
                      </c:pt>
                      <c:pt idx="45">
                        <c:v>223.62</c:v>
                      </c:pt>
                      <c:pt idx="46">
                        <c:v>224.82</c:v>
                      </c:pt>
                      <c:pt idx="47">
                        <c:v>224.49</c:v>
                      </c:pt>
                      <c:pt idx="48">
                        <c:v>224.08</c:v>
                      </c:pt>
                      <c:pt idx="49">
                        <c:v>224.44</c:v>
                      </c:pt>
                      <c:pt idx="50">
                        <c:v>225.9</c:v>
                      </c:pt>
                      <c:pt idx="51">
                        <c:v>225.59</c:v>
                      </c:pt>
                      <c:pt idx="52">
                        <c:v>224.91</c:v>
                      </c:pt>
                      <c:pt idx="53">
                        <c:v>225.33</c:v>
                      </c:pt>
                      <c:pt idx="54">
                        <c:v>221.82</c:v>
                      </c:pt>
                      <c:pt idx="55">
                        <c:v>222.04</c:v>
                      </c:pt>
                      <c:pt idx="56">
                        <c:v>222.4</c:v>
                      </c:pt>
                      <c:pt idx="57">
                        <c:v>220.07</c:v>
                      </c:pt>
                      <c:pt idx="58">
                        <c:v>221.34</c:v>
                      </c:pt>
                      <c:pt idx="59">
                        <c:v>222.97</c:v>
                      </c:pt>
                      <c:pt idx="60">
                        <c:v>223.43</c:v>
                      </c:pt>
                      <c:pt idx="61">
                        <c:v>223.84</c:v>
                      </c:pt>
                      <c:pt idx="62">
                        <c:v>223.74</c:v>
                      </c:pt>
                      <c:pt idx="63">
                        <c:v>222.98</c:v>
                      </c:pt>
                      <c:pt idx="64">
                        <c:v>224.18</c:v>
                      </c:pt>
                      <c:pt idx="65">
                        <c:v>222.93</c:v>
                      </c:pt>
                      <c:pt idx="66">
                        <c:v>223.13</c:v>
                      </c:pt>
                      <c:pt idx="67">
                        <c:v>223.33</c:v>
                      </c:pt>
                      <c:pt idx="68">
                        <c:v>222.89</c:v>
                      </c:pt>
                      <c:pt idx="69">
                        <c:v>222.74</c:v>
                      </c:pt>
                      <c:pt idx="70">
                        <c:v>221.69</c:v>
                      </c:pt>
                      <c:pt idx="71">
                        <c:v>221.19</c:v>
                      </c:pt>
                      <c:pt idx="72">
                        <c:v>221.77</c:v>
                      </c:pt>
                      <c:pt idx="73">
                        <c:v>222.53</c:v>
                      </c:pt>
                      <c:pt idx="74">
                        <c:v>222.18</c:v>
                      </c:pt>
                      <c:pt idx="75">
                        <c:v>223.22</c:v>
                      </c:pt>
                      <c:pt idx="76">
                        <c:v>225.05</c:v>
                      </c:pt>
                      <c:pt idx="77">
                        <c:v>225.75</c:v>
                      </c:pt>
                      <c:pt idx="78">
                        <c:v>226.31</c:v>
                      </c:pt>
                      <c:pt idx="79">
                        <c:v>226.56</c:v>
                      </c:pt>
                      <c:pt idx="80">
                        <c:v>226.68</c:v>
                      </c:pt>
                      <c:pt idx="81">
                        <c:v>226.48</c:v>
                      </c:pt>
                      <c:pt idx="82">
                        <c:v>226.63</c:v>
                      </c:pt>
                      <c:pt idx="83">
                        <c:v>226.11</c:v>
                      </c:pt>
                      <c:pt idx="84">
                        <c:v>226.62</c:v>
                      </c:pt>
                      <c:pt idx="85">
                        <c:v>226.96</c:v>
                      </c:pt>
                      <c:pt idx="86">
                        <c:v>227.49</c:v>
                      </c:pt>
                      <c:pt idx="87">
                        <c:v>227.69</c:v>
                      </c:pt>
                      <c:pt idx="88">
                        <c:v>227.15</c:v>
                      </c:pt>
                      <c:pt idx="89">
                        <c:v>227.11</c:v>
                      </c:pt>
                      <c:pt idx="90">
                        <c:v>226.87</c:v>
                      </c:pt>
                      <c:pt idx="91">
                        <c:v>227.23</c:v>
                      </c:pt>
                      <c:pt idx="92">
                        <c:v>228.34</c:v>
                      </c:pt>
                      <c:pt idx="93">
                        <c:v>225.93</c:v>
                      </c:pt>
                      <c:pt idx="94">
                        <c:v>223.68</c:v>
                      </c:pt>
                      <c:pt idx="95">
                        <c:v>225.2</c:v>
                      </c:pt>
                      <c:pt idx="96">
                        <c:v>226.68</c:v>
                      </c:pt>
                      <c:pt idx="97">
                        <c:v>227.68</c:v>
                      </c:pt>
                      <c:pt idx="98">
                        <c:v>228.03</c:v>
                      </c:pt>
                      <c:pt idx="99">
                        <c:v>228.87</c:v>
                      </c:pt>
                      <c:pt idx="100">
                        <c:v>229.19</c:v>
                      </c:pt>
                      <c:pt idx="101">
                        <c:v>229</c:v>
                      </c:pt>
                      <c:pt idx="102">
                        <c:v>229.47</c:v>
                      </c:pt>
                      <c:pt idx="103">
                        <c:v>229.6</c:v>
                      </c:pt>
                      <c:pt idx="104">
                        <c:v>230.97</c:v>
                      </c:pt>
                      <c:pt idx="105">
                        <c:v>231.5</c:v>
                      </c:pt>
                      <c:pt idx="106">
                        <c:v>230.9</c:v>
                      </c:pt>
                      <c:pt idx="107">
                        <c:v>231.14</c:v>
                      </c:pt>
                      <c:pt idx="108">
                        <c:v>231.31</c:v>
                      </c:pt>
                      <c:pt idx="109">
                        <c:v>231.61</c:v>
                      </c:pt>
                      <c:pt idx="110">
                        <c:v>230.7</c:v>
                      </c:pt>
                      <c:pt idx="111">
                        <c:v>231.51</c:v>
                      </c:pt>
                      <c:pt idx="112">
                        <c:v>232.34</c:v>
                      </c:pt>
                      <c:pt idx="113">
                        <c:v>230.27</c:v>
                      </c:pt>
                      <c:pt idx="114">
                        <c:v>231.48</c:v>
                      </c:pt>
                      <c:pt idx="115">
                        <c:v>232.26</c:v>
                      </c:pt>
                      <c:pt idx="116">
                        <c:v>232.89</c:v>
                      </c:pt>
                      <c:pt idx="117">
                        <c:v>232.1</c:v>
                      </c:pt>
                      <c:pt idx="118">
                        <c:v>231.66</c:v>
                      </c:pt>
                      <c:pt idx="119">
                        <c:v>231.61</c:v>
                      </c:pt>
                      <c:pt idx="120">
                        <c:v>232.56</c:v>
                      </c:pt>
                      <c:pt idx="121">
                        <c:v>231.74</c:v>
                      </c:pt>
                      <c:pt idx="122">
                        <c:v>231.22</c:v>
                      </c:pt>
                      <c:pt idx="123">
                        <c:v>232.33</c:v>
                      </c:pt>
                      <c:pt idx="124">
                        <c:v>231.01</c:v>
                      </c:pt>
                      <c:pt idx="125">
                        <c:v>231.59</c:v>
                      </c:pt>
                      <c:pt idx="126">
                        <c:v>231.35</c:v>
                      </c:pt>
                      <c:pt idx="127">
                        <c:v>230.64</c:v>
                      </c:pt>
                      <c:pt idx="128">
                        <c:v>229.99</c:v>
                      </c:pt>
                      <c:pt idx="129">
                        <c:v>230.7</c:v>
                      </c:pt>
                      <c:pt idx="130">
                        <c:v>230.9</c:v>
                      </c:pt>
                      <c:pt idx="131">
                        <c:v>231.99</c:v>
                      </c:pt>
                      <c:pt idx="132">
                        <c:v>232.67</c:v>
                      </c:pt>
                      <c:pt idx="133">
                        <c:v>233.06</c:v>
                      </c:pt>
                      <c:pt idx="134">
                        <c:v>234.05</c:v>
                      </c:pt>
                      <c:pt idx="135">
                        <c:v>233.66</c:v>
                      </c:pt>
                      <c:pt idx="136">
                        <c:v>234.58</c:v>
                      </c:pt>
                      <c:pt idx="137">
                        <c:v>235.78</c:v>
                      </c:pt>
                      <c:pt idx="138">
                        <c:v>234.98</c:v>
                      </c:pt>
                      <c:pt idx="139">
                        <c:v>235.31</c:v>
                      </c:pt>
                      <c:pt idx="140">
                        <c:v>236.16</c:v>
                      </c:pt>
                      <c:pt idx="141">
                        <c:v>236.23</c:v>
                      </c:pt>
                      <c:pt idx="142">
                        <c:v>236.43</c:v>
                      </c:pt>
                      <c:pt idx="143">
                        <c:v>235.18</c:v>
                      </c:pt>
                      <c:pt idx="144">
                        <c:v>235.87</c:v>
                      </c:pt>
                      <c:pt idx="145">
                        <c:v>235.95</c:v>
                      </c:pt>
                      <c:pt idx="146">
                        <c:v>235.96</c:v>
                      </c:pt>
                      <c:pt idx="147">
                        <c:v>235.81</c:v>
                      </c:pt>
                      <c:pt idx="148">
                        <c:v>236.01</c:v>
                      </c:pt>
                      <c:pt idx="149">
                        <c:v>235.98</c:v>
                      </c:pt>
                      <c:pt idx="150">
                        <c:v>236</c:v>
                      </c:pt>
                      <c:pt idx="151">
                        <c:v>235.01</c:v>
                      </c:pt>
                      <c:pt idx="152">
                        <c:v>234.84</c:v>
                      </c:pt>
                      <c:pt idx="153">
                        <c:v>232.67</c:v>
                      </c:pt>
                      <c:pt idx="154">
                        <c:v>234.17</c:v>
                      </c:pt>
                      <c:pt idx="155">
                        <c:v>235.49</c:v>
                      </c:pt>
                      <c:pt idx="156">
                        <c:v>235.62</c:v>
                      </c:pt>
                      <c:pt idx="157">
                        <c:v>234.79</c:v>
                      </c:pt>
                      <c:pt idx="158">
                        <c:v>231.6</c:v>
                      </c:pt>
                      <c:pt idx="159">
                        <c:v>231.36</c:v>
                      </c:pt>
                      <c:pt idx="160">
                        <c:v>232.24</c:v>
                      </c:pt>
                      <c:pt idx="161">
                        <c:v>232.97</c:v>
                      </c:pt>
                      <c:pt idx="162">
                        <c:v>233.61</c:v>
                      </c:pt>
                      <c:pt idx="163">
                        <c:v>233.51</c:v>
                      </c:pt>
                      <c:pt idx="164">
                        <c:v>233.77</c:v>
                      </c:pt>
                      <c:pt idx="165">
                        <c:v>231.76</c:v>
                      </c:pt>
                      <c:pt idx="166">
                        <c:v>233.44</c:v>
                      </c:pt>
                      <c:pt idx="167">
                        <c:v>235.25</c:v>
                      </c:pt>
                      <c:pt idx="168">
                        <c:v>236.39</c:v>
                      </c:pt>
                      <c:pt idx="169">
                        <c:v>235.76</c:v>
                      </c:pt>
                      <c:pt idx="170">
                        <c:v>235.36</c:v>
                      </c:pt>
                      <c:pt idx="171">
                        <c:v>235.75</c:v>
                      </c:pt>
                      <c:pt idx="172">
                        <c:v>235.07</c:v>
                      </c:pt>
                      <c:pt idx="173">
                        <c:v>236.51</c:v>
                      </c:pt>
                      <c:pt idx="174">
                        <c:v>238.02</c:v>
                      </c:pt>
                      <c:pt idx="175">
                        <c:v>238.11</c:v>
                      </c:pt>
                      <c:pt idx="176">
                        <c:v>238.18</c:v>
                      </c:pt>
                      <c:pt idx="177">
                        <c:v>238.3</c:v>
                      </c:pt>
                      <c:pt idx="178">
                        <c:v>239.18</c:v>
                      </c:pt>
                      <c:pt idx="179">
                        <c:v>239.56</c:v>
                      </c:pt>
                      <c:pt idx="180">
                        <c:v>239.62</c:v>
                      </c:pt>
                      <c:pt idx="181">
                        <c:v>239.44</c:v>
                      </c:pt>
                      <c:pt idx="182">
                        <c:v>238.65</c:v>
                      </c:pt>
                      <c:pt idx="183">
                        <c:v>238.74</c:v>
                      </c:pt>
                      <c:pt idx="184">
                        <c:v>239</c:v>
                      </c:pt>
                      <c:pt idx="185">
                        <c:v>239.44</c:v>
                      </c:pt>
                      <c:pt idx="186">
                        <c:v>239.3</c:v>
                      </c:pt>
                      <c:pt idx="187">
                        <c:v>239.88</c:v>
                      </c:pt>
                      <c:pt idx="188">
                        <c:v>240.98</c:v>
                      </c:pt>
                      <c:pt idx="189">
                        <c:v>241.91</c:v>
                      </c:pt>
                      <c:pt idx="190">
                        <c:v>242.13</c:v>
                      </c:pt>
                      <c:pt idx="191">
                        <c:v>242.95</c:v>
                      </c:pt>
                      <c:pt idx="192">
                        <c:v>243.53</c:v>
                      </c:pt>
                      <c:pt idx="193">
                        <c:v>243.99</c:v>
                      </c:pt>
                      <c:pt idx="194">
                        <c:v>243.96</c:v>
                      </c:pt>
                      <c:pt idx="195">
                        <c:v>243.88</c:v>
                      </c:pt>
                      <c:pt idx="196">
                        <c:v>244.02</c:v>
                      </c:pt>
                      <c:pt idx="197">
                        <c:v>244.48</c:v>
                      </c:pt>
                      <c:pt idx="198">
                        <c:v>244.55</c:v>
                      </c:pt>
                      <c:pt idx="199">
                        <c:v>244.57</c:v>
                      </c:pt>
                      <c:pt idx="200">
                        <c:v>245.21</c:v>
                      </c:pt>
                      <c:pt idx="201">
                        <c:v>244.18</c:v>
                      </c:pt>
                      <c:pt idx="202">
                        <c:v>245.98</c:v>
                      </c:pt>
                      <c:pt idx="203">
                        <c:v>246.72</c:v>
                      </c:pt>
                      <c:pt idx="204">
                        <c:v>245.88</c:v>
                      </c:pt>
                      <c:pt idx="205">
                        <c:v>245.48</c:v>
                      </c:pt>
                      <c:pt idx="206">
                        <c:v>245.3</c:v>
                      </c:pt>
                      <c:pt idx="207">
                        <c:v>245.76</c:v>
                      </c:pt>
                      <c:pt idx="208">
                        <c:v>246.33</c:v>
                      </c:pt>
                      <c:pt idx="209">
                        <c:v>246.44</c:v>
                      </c:pt>
                      <c:pt idx="210">
                        <c:v>247.26</c:v>
                      </c:pt>
                      <c:pt idx="211">
                        <c:v>246.66</c:v>
                      </c:pt>
                      <c:pt idx="212">
                        <c:v>247</c:v>
                      </c:pt>
                      <c:pt idx="213">
                        <c:v>247.51</c:v>
                      </c:pt>
                      <c:pt idx="214">
                        <c:v>248.15</c:v>
                      </c:pt>
                      <c:pt idx="215">
                        <c:v>247.67</c:v>
                      </c:pt>
                      <c:pt idx="216">
                        <c:v>246.96</c:v>
                      </c:pt>
                      <c:pt idx="217">
                        <c:v>246.96</c:v>
                      </c:pt>
                      <c:pt idx="218">
                        <c:v>246.56</c:v>
                      </c:pt>
                      <c:pt idx="219">
                        <c:v>246.66</c:v>
                      </c:pt>
                      <c:pt idx="220">
                        <c:v>245.9</c:v>
                      </c:pt>
                      <c:pt idx="221">
                        <c:v>246.76</c:v>
                      </c:pt>
                      <c:pt idx="222">
                        <c:v>247.43</c:v>
                      </c:pt>
                      <c:pt idx="223">
                        <c:v>247.36</c:v>
                      </c:pt>
                      <c:pt idx="224">
                        <c:v>248.35</c:v>
                      </c:pt>
                      <c:pt idx="225">
                        <c:v>249.14</c:v>
                      </c:pt>
                      <c:pt idx="226">
                        <c:v>249.45</c:v>
                      </c:pt>
                      <c:pt idx="227">
                        <c:v>249.53</c:v>
                      </c:pt>
                      <c:pt idx="228">
                        <c:v>249.87</c:v>
                      </c:pt>
                      <c:pt idx="229">
                        <c:v>252.03</c:v>
                      </c:pt>
                      <c:pt idx="230">
                        <c:v>252.74</c:v>
                      </c:pt>
                      <c:pt idx="231">
                        <c:v>253.7</c:v>
                      </c:pt>
                      <c:pt idx="232">
                        <c:v>255.19</c:v>
                      </c:pt>
                      <c:pt idx="233">
                        <c:v>253.38</c:v>
                      </c:pt>
                      <c:pt idx="234">
                        <c:v>251.89</c:v>
                      </c:pt>
                      <c:pt idx="235">
                        <c:v>252.1</c:v>
                      </c:pt>
                      <c:pt idx="236">
                        <c:v>253.92</c:v>
                      </c:pt>
                      <c:pt idx="237">
                        <c:v>254.49</c:v>
                      </c:pt>
                      <c:pt idx="238">
                        <c:v>255.43</c:v>
                      </c:pt>
                      <c:pt idx="239">
                        <c:v>255.9</c:v>
                      </c:pt>
                      <c:pt idx="240">
                        <c:v>255.93</c:v>
                      </c:pt>
                      <c:pt idx="241">
                        <c:v>255.66</c:v>
                      </c:pt>
                      <c:pt idx="242">
                        <c:v>258.20999999999998</c:v>
                      </c:pt>
                      <c:pt idx="243">
                        <c:v>258.58</c:v>
                      </c:pt>
                      <c:pt idx="244">
                        <c:v>258.38</c:v>
                      </c:pt>
                      <c:pt idx="245">
                        <c:v>257.87</c:v>
                      </c:pt>
                      <c:pt idx="246">
                        <c:v>257.73</c:v>
                      </c:pt>
                      <c:pt idx="247">
                        <c:v>257.2</c:v>
                      </c:pt>
                      <c:pt idx="248">
                        <c:v>257.52</c:v>
                      </c:pt>
                      <c:pt idx="249">
                        <c:v>258.01</c:v>
                      </c:pt>
                      <c:pt idx="250">
                        <c:v>258.63</c:v>
                      </c:pt>
                      <c:pt idx="251">
                        <c:v>257.95999999999998</c:v>
                      </c:pt>
                      <c:pt idx="252">
                        <c:v>259.04000000000002</c:v>
                      </c:pt>
                      <c:pt idx="253">
                        <c:v>261.2</c:v>
                      </c:pt>
                      <c:pt idx="254">
                        <c:v>262.45999999999998</c:v>
                      </c:pt>
                      <c:pt idx="255">
                        <c:v>263.23</c:v>
                      </c:pt>
                      <c:pt idx="256">
                        <c:v>264.27999999999997</c:v>
                      </c:pt>
                      <c:pt idx="257">
                        <c:v>263.58999999999997</c:v>
                      </c:pt>
                      <c:pt idx="258">
                        <c:v>264.62</c:v>
                      </c:pt>
                      <c:pt idx="259">
                        <c:v>266.23</c:v>
                      </c:pt>
                      <c:pt idx="260">
                        <c:v>269.05</c:v>
                      </c:pt>
                      <c:pt idx="261">
                        <c:v>267.77999999999997</c:v>
                      </c:pt>
                      <c:pt idx="262">
                        <c:v>269.17</c:v>
                      </c:pt>
                      <c:pt idx="263">
                        <c:v>269.48</c:v>
                      </c:pt>
                      <c:pt idx="264">
                        <c:v>269.83999999999997</c:v>
                      </c:pt>
                      <c:pt idx="265">
                        <c:v>272.31</c:v>
                      </c:pt>
                      <c:pt idx="266">
                        <c:v>273.55</c:v>
                      </c:pt>
                      <c:pt idx="267">
                        <c:v>273.68</c:v>
                      </c:pt>
                      <c:pt idx="268">
                        <c:v>273.77</c:v>
                      </c:pt>
                      <c:pt idx="269">
                        <c:v>275.39</c:v>
                      </c:pt>
                      <c:pt idx="270">
                        <c:v>272.18</c:v>
                      </c:pt>
                      <c:pt idx="271">
                        <c:v>272.3</c:v>
                      </c:pt>
                      <c:pt idx="272">
                        <c:v>270.70999999999998</c:v>
                      </c:pt>
                      <c:pt idx="273">
                        <c:v>269.75</c:v>
                      </c:pt>
                      <c:pt idx="274">
                        <c:v>263.37</c:v>
                      </c:pt>
                      <c:pt idx="275">
                        <c:v>250.35</c:v>
                      </c:pt>
                      <c:pt idx="276">
                        <c:v>258.60000000000002</c:v>
                      </c:pt>
                      <c:pt idx="277">
                        <c:v>258.13</c:v>
                      </c:pt>
                      <c:pt idx="278">
                        <c:v>251.18</c:v>
                      </c:pt>
                      <c:pt idx="279">
                        <c:v>254.1</c:v>
                      </c:pt>
                      <c:pt idx="280">
                        <c:v>254.24</c:v>
                      </c:pt>
                      <c:pt idx="281">
                        <c:v>254.56</c:v>
                      </c:pt>
                      <c:pt idx="282">
                        <c:v>261.56</c:v>
                      </c:pt>
                      <c:pt idx="283">
                        <c:v>262.27999999999997</c:v>
                      </c:pt>
                      <c:pt idx="284">
                        <c:v>262</c:v>
                      </c:pt>
                      <c:pt idx="285">
                        <c:v>261.87</c:v>
                      </c:pt>
                      <c:pt idx="286">
                        <c:v>261.10000000000002</c:v>
                      </c:pt>
                      <c:pt idx="287">
                        <c:v>261.77</c:v>
                      </c:pt>
                      <c:pt idx="288">
                        <c:v>265.76</c:v>
                      </c:pt>
                      <c:pt idx="289">
                        <c:v>267.86</c:v>
                      </c:pt>
                      <c:pt idx="290">
                        <c:v>265.51</c:v>
                      </c:pt>
                      <c:pt idx="291">
                        <c:v>261.39999999999998</c:v>
                      </c:pt>
                      <c:pt idx="292">
                        <c:v>256</c:v>
                      </c:pt>
                      <c:pt idx="293">
                        <c:v>257.86</c:v>
                      </c:pt>
                      <c:pt idx="294">
                        <c:v>263.22000000000003</c:v>
                      </c:pt>
                      <c:pt idx="295">
                        <c:v>260.45</c:v>
                      </c:pt>
                      <c:pt idx="296">
                        <c:v>263.45999999999998</c:v>
                      </c:pt>
                      <c:pt idx="297">
                        <c:v>265.52999999999997</c:v>
                      </c:pt>
                      <c:pt idx="298">
                        <c:v>268.89999999999998</c:v>
                      </c:pt>
                      <c:pt idx="299">
                        <c:v>269.52</c:v>
                      </c:pt>
                      <c:pt idx="300">
                        <c:v>267.57</c:v>
                      </c:pt>
                      <c:pt idx="301">
                        <c:v>265.70999999999998</c:v>
                      </c:pt>
                      <c:pt idx="302">
                        <c:v>265.44</c:v>
                      </c:pt>
                      <c:pt idx="303">
                        <c:v>264.32</c:v>
                      </c:pt>
                      <c:pt idx="304">
                        <c:v>261.99</c:v>
                      </c:pt>
                      <c:pt idx="305">
                        <c:v>261.95999999999998</c:v>
                      </c:pt>
                      <c:pt idx="306">
                        <c:v>259.06</c:v>
                      </c:pt>
                      <c:pt idx="307">
                        <c:v>255.45</c:v>
                      </c:pt>
                      <c:pt idx="308">
                        <c:v>253.48</c:v>
                      </c:pt>
                      <c:pt idx="309">
                        <c:v>257.38</c:v>
                      </c:pt>
                      <c:pt idx="310">
                        <c:v>252.14</c:v>
                      </c:pt>
                      <c:pt idx="311">
                        <c:v>252.5</c:v>
                      </c:pt>
                      <c:pt idx="312">
                        <c:v>253.88</c:v>
                      </c:pt>
                      <c:pt idx="313">
                        <c:v>250.32</c:v>
                      </c:pt>
                      <c:pt idx="314">
                        <c:v>248.27</c:v>
                      </c:pt>
                      <c:pt idx="315">
                        <c:v>256.77999999999997</c:v>
                      </c:pt>
                      <c:pt idx="316">
                        <c:v>254.72</c:v>
                      </c:pt>
                      <c:pt idx="317">
                        <c:v>252.74</c:v>
                      </c:pt>
                      <c:pt idx="318">
                        <c:v>255.54</c:v>
                      </c:pt>
                      <c:pt idx="319">
                        <c:v>254.77</c:v>
                      </c:pt>
                      <c:pt idx="320">
                        <c:v>256.5</c:v>
                      </c:pt>
                      <c:pt idx="321">
                        <c:v>258.58</c:v>
                      </c:pt>
                      <c:pt idx="322">
                        <c:v>258.18</c:v>
                      </c:pt>
                      <c:pt idx="323">
                        <c:v>260.44</c:v>
                      </c:pt>
                      <c:pt idx="324">
                        <c:v>261.75</c:v>
                      </c:pt>
                      <c:pt idx="325">
                        <c:v>260.75</c:v>
                      </c:pt>
                      <c:pt idx="326">
                        <c:v>259.93</c:v>
                      </c:pt>
                      <c:pt idx="327">
                        <c:v>258.44</c:v>
                      </c:pt>
                      <c:pt idx="328">
                        <c:v>258.89</c:v>
                      </c:pt>
                      <c:pt idx="329">
                        <c:v>254.23</c:v>
                      </c:pt>
                      <c:pt idx="330">
                        <c:v>256.05</c:v>
                      </c:pt>
                      <c:pt idx="331">
                        <c:v>258.18</c:v>
                      </c:pt>
                      <c:pt idx="332">
                        <c:v>258.44</c:v>
                      </c:pt>
                      <c:pt idx="333">
                        <c:v>255.16</c:v>
                      </c:pt>
                      <c:pt idx="334">
                        <c:v>256.02</c:v>
                      </c:pt>
                      <c:pt idx="335">
                        <c:v>253.6</c:v>
                      </c:pt>
                      <c:pt idx="336">
                        <c:v>252.89</c:v>
                      </c:pt>
                      <c:pt idx="337">
                        <c:v>258.08</c:v>
                      </c:pt>
                      <c:pt idx="338">
                        <c:v>257.7</c:v>
                      </c:pt>
                      <c:pt idx="339">
                        <c:v>258.83999999999997</c:v>
                      </c:pt>
                      <c:pt idx="340">
                        <c:v>261.41000000000003</c:v>
                      </c:pt>
                      <c:pt idx="341">
                        <c:v>263.17</c:v>
                      </c:pt>
                      <c:pt idx="342">
                        <c:v>264.31</c:v>
                      </c:pt>
                      <c:pt idx="343">
                        <c:v>262.62</c:v>
                      </c:pt>
                      <c:pt idx="344">
                        <c:v>262.19</c:v>
                      </c:pt>
                      <c:pt idx="345">
                        <c:v>262.95999999999998</c:v>
                      </c:pt>
                      <c:pt idx="346">
                        <c:v>262.64999999999998</c:v>
                      </c:pt>
                      <c:pt idx="347">
                        <c:v>264</c:v>
                      </c:pt>
                      <c:pt idx="348">
                        <c:v>264.91000000000003</c:v>
                      </c:pt>
                      <c:pt idx="349">
                        <c:v>262.22000000000003</c:v>
                      </c:pt>
                      <c:pt idx="350">
                        <c:v>263.89999999999998</c:v>
                      </c:pt>
                      <c:pt idx="351">
                        <c:v>263.16000000000003</c:v>
                      </c:pt>
                      <c:pt idx="352">
                        <c:v>261.39</c:v>
                      </c:pt>
                      <c:pt idx="353">
                        <c:v>261.57</c:v>
                      </c:pt>
                      <c:pt idx="354">
                        <c:v>263.16000000000003</c:v>
                      </c:pt>
                      <c:pt idx="355">
                        <c:v>263.42</c:v>
                      </c:pt>
                      <c:pt idx="356">
                        <c:v>265.47000000000003</c:v>
                      </c:pt>
                      <c:pt idx="357">
                        <c:v>265.97000000000003</c:v>
                      </c:pt>
                      <c:pt idx="358">
                        <c:v>266.68</c:v>
                      </c:pt>
                      <c:pt idx="359">
                        <c:v>268.77</c:v>
                      </c:pt>
                      <c:pt idx="360">
                        <c:v>267.70999999999998</c:v>
                      </c:pt>
                      <c:pt idx="361">
                        <c:v>269.25</c:v>
                      </c:pt>
                      <c:pt idx="362">
                        <c:v>269.82</c:v>
                      </c:pt>
                      <c:pt idx="363">
                        <c:v>269.97000000000003</c:v>
                      </c:pt>
                      <c:pt idx="364">
                        <c:v>269.8</c:v>
                      </c:pt>
                      <c:pt idx="365">
                        <c:v>268.67</c:v>
                      </c:pt>
                      <c:pt idx="366">
                        <c:v>267.58999999999997</c:v>
                      </c:pt>
                      <c:pt idx="367">
                        <c:v>266.14</c:v>
                      </c:pt>
                      <c:pt idx="368">
                        <c:v>268.35000000000002</c:v>
                      </c:pt>
                      <c:pt idx="369">
                        <c:v>268.05</c:v>
                      </c:pt>
                      <c:pt idx="370">
                        <c:v>267.76</c:v>
                      </c:pt>
                      <c:pt idx="371">
                        <c:v>265.60000000000002</c:v>
                      </c:pt>
                      <c:pt idx="372">
                        <c:v>263.85000000000002</c:v>
                      </c:pt>
                      <c:pt idx="373">
                        <c:v>264.45</c:v>
                      </c:pt>
                      <c:pt idx="374">
                        <c:v>261.57</c:v>
                      </c:pt>
                      <c:pt idx="375">
                        <c:v>264.32</c:v>
                      </c:pt>
                      <c:pt idx="376">
                        <c:v>261.77999999999997</c:v>
                      </c:pt>
                      <c:pt idx="377">
                        <c:v>265.05</c:v>
                      </c:pt>
                      <c:pt idx="378">
                        <c:v>264.36</c:v>
                      </c:pt>
                      <c:pt idx="379">
                        <c:v>265.31</c:v>
                      </c:pt>
                      <c:pt idx="380">
                        <c:v>268.62</c:v>
                      </c:pt>
                      <c:pt idx="381">
                        <c:v>270.43</c:v>
                      </c:pt>
                      <c:pt idx="382">
                        <c:v>269.2</c:v>
                      </c:pt>
                      <c:pt idx="383">
                        <c:v>270.3</c:v>
                      </c:pt>
                      <c:pt idx="384">
                        <c:v>271.16000000000003</c:v>
                      </c:pt>
                      <c:pt idx="385">
                        <c:v>271.62</c:v>
                      </c:pt>
                      <c:pt idx="386">
                        <c:v>270.48</c:v>
                      </c:pt>
                      <c:pt idx="387">
                        <c:v>272.51</c:v>
                      </c:pt>
                      <c:pt idx="388">
                        <c:v>272.27</c:v>
                      </c:pt>
                      <c:pt idx="389">
                        <c:v>271.75</c:v>
                      </c:pt>
                      <c:pt idx="390">
                        <c:v>271.44</c:v>
                      </c:pt>
                      <c:pt idx="391">
                        <c:v>273.70999999999998</c:v>
                      </c:pt>
                      <c:pt idx="392">
                        <c:v>273.26</c:v>
                      </c:pt>
                      <c:pt idx="393">
                        <c:v>275.08</c:v>
                      </c:pt>
                      <c:pt idx="394">
                        <c:v>275.57</c:v>
                      </c:pt>
                      <c:pt idx="395">
                        <c:v>273.44</c:v>
                      </c:pt>
                      <c:pt idx="396">
                        <c:v>272.76</c:v>
                      </c:pt>
                      <c:pt idx="397">
                        <c:v>273.49</c:v>
                      </c:pt>
                      <c:pt idx="398">
                        <c:v>271.38</c:v>
                      </c:pt>
                      <c:pt idx="399">
                        <c:v>274.43</c:v>
                      </c:pt>
                      <c:pt idx="400">
                        <c:v>275.51</c:v>
                      </c:pt>
                      <c:pt idx="401">
                        <c:v>277.20999999999998</c:v>
                      </c:pt>
                      <c:pt idx="402">
                        <c:v>277.20999999999998</c:v>
                      </c:pt>
                      <c:pt idx="403">
                        <c:v>277.33999999999997</c:v>
                      </c:pt>
                      <c:pt idx="404">
                        <c:v>275.32</c:v>
                      </c:pt>
                      <c:pt idx="405">
                        <c:v>275.33999999999997</c:v>
                      </c:pt>
                      <c:pt idx="406">
                        <c:v>274.81</c:v>
                      </c:pt>
                      <c:pt idx="407">
                        <c:v>274.27999999999997</c:v>
                      </c:pt>
                      <c:pt idx="408">
                        <c:v>275.27</c:v>
                      </c:pt>
                      <c:pt idx="409">
                        <c:v>275.69</c:v>
                      </c:pt>
                      <c:pt idx="410">
                        <c:v>277.38</c:v>
                      </c:pt>
                      <c:pt idx="411">
                        <c:v>278.04000000000002</c:v>
                      </c:pt>
                      <c:pt idx="412">
                        <c:v>277.68</c:v>
                      </c:pt>
                      <c:pt idx="413">
                        <c:v>277.77</c:v>
                      </c:pt>
                      <c:pt idx="414">
                        <c:v>278.23</c:v>
                      </c:pt>
                      <c:pt idx="415">
                        <c:v>280.58</c:v>
                      </c:pt>
                      <c:pt idx="416">
                        <c:v>281.98</c:v>
                      </c:pt>
                      <c:pt idx="417">
                        <c:v>281.83999999999997</c:v>
                      </c:pt>
                      <c:pt idx="418">
                        <c:v>282.60000000000002</c:v>
                      </c:pt>
                      <c:pt idx="419">
                        <c:v>281.52999999999997</c:v>
                      </c:pt>
                      <c:pt idx="420">
                        <c:v>281.52999999999997</c:v>
                      </c:pt>
                      <c:pt idx="421">
                        <c:v>281.11</c:v>
                      </c:pt>
                      <c:pt idx="422">
                        <c:v>280.86</c:v>
                      </c:pt>
                      <c:pt idx="423">
                        <c:v>278.75</c:v>
                      </c:pt>
                      <c:pt idx="424">
                        <c:v>280.45999999999998</c:v>
                      </c:pt>
                      <c:pt idx="425">
                        <c:v>279.13</c:v>
                      </c:pt>
                      <c:pt idx="426">
                        <c:v>280.77</c:v>
                      </c:pt>
                      <c:pt idx="427">
                        <c:v>281.99</c:v>
                      </c:pt>
                      <c:pt idx="428">
                        <c:v>282.70999999999998</c:v>
                      </c:pt>
                      <c:pt idx="429">
                        <c:v>282.48</c:v>
                      </c:pt>
                      <c:pt idx="430">
                        <c:v>281.27999999999997</c:v>
                      </c:pt>
                      <c:pt idx="431">
                        <c:v>282.63</c:v>
                      </c:pt>
                      <c:pt idx="432">
                        <c:v>284.25</c:v>
                      </c:pt>
                      <c:pt idx="433">
                        <c:v>285.97000000000003</c:v>
                      </c:pt>
                      <c:pt idx="434">
                        <c:v>284.27</c:v>
                      </c:pt>
                      <c:pt idx="435">
                        <c:v>284.45</c:v>
                      </c:pt>
                      <c:pt idx="436">
                        <c:v>283.85000000000002</c:v>
                      </c:pt>
                      <c:pt idx="437">
                        <c:v>283.36</c:v>
                      </c:pt>
                      <c:pt idx="438">
                        <c:v>282.95</c:v>
                      </c:pt>
                      <c:pt idx="439">
                        <c:v>285.02</c:v>
                      </c:pt>
                      <c:pt idx="440">
                        <c:v>284.48</c:v>
                      </c:pt>
                      <c:pt idx="441">
                        <c:v>285.63</c:v>
                      </c:pt>
                      <c:pt idx="442">
                        <c:v>284.11</c:v>
                      </c:pt>
                      <c:pt idx="443">
                        <c:v>282.66000000000003</c:v>
                      </c:pt>
                      <c:pt idx="444">
                        <c:v>280.08</c:v>
                      </c:pt>
                      <c:pt idx="445">
                        <c:v>280.41000000000003</c:v>
                      </c:pt>
                      <c:pt idx="446">
                        <c:v>279.87</c:v>
                      </c:pt>
                      <c:pt idx="447">
                        <c:v>270.35000000000002</c:v>
                      </c:pt>
                      <c:pt idx="448">
                        <c:v>270.05</c:v>
                      </c:pt>
                      <c:pt idx="449">
                        <c:v>268.86</c:v>
                      </c:pt>
                      <c:pt idx="450">
                        <c:v>269.88</c:v>
                      </c:pt>
                      <c:pt idx="451">
                        <c:v>273.63</c:v>
                      </c:pt>
                      <c:pt idx="452">
                        <c:v>272.62</c:v>
                      </c:pt>
                      <c:pt idx="453">
                        <c:v>270.39999999999998</c:v>
                      </c:pt>
                      <c:pt idx="454">
                        <c:v>270.27</c:v>
                      </c:pt>
                      <c:pt idx="455">
                        <c:v>264.37</c:v>
                      </c:pt>
                      <c:pt idx="456">
                        <c:v>266.69</c:v>
                      </c:pt>
                      <c:pt idx="457">
                        <c:v>260.89</c:v>
                      </c:pt>
                      <c:pt idx="458">
                        <c:v>259.45999999999998</c:v>
                      </c:pt>
                      <c:pt idx="459">
                        <c:v>262.27</c:v>
                      </c:pt>
                      <c:pt idx="460">
                        <c:v>257.27</c:v>
                      </c:pt>
                      <c:pt idx="461">
                        <c:v>264.08</c:v>
                      </c:pt>
                      <c:pt idx="462">
                        <c:v>265.01</c:v>
                      </c:pt>
                      <c:pt idx="463">
                        <c:v>268.08</c:v>
                      </c:pt>
                      <c:pt idx="464">
                        <c:v>265.82</c:v>
                      </c:pt>
                      <c:pt idx="465">
                        <c:v>266.68</c:v>
                      </c:pt>
                      <c:pt idx="466">
                        <c:v>270.82</c:v>
                      </c:pt>
                      <c:pt idx="467">
                        <c:v>273.31</c:v>
                      </c:pt>
                      <c:pt idx="468">
                        <c:v>272.25</c:v>
                      </c:pt>
                      <c:pt idx="469">
                        <c:v>270.45999999999998</c:v>
                      </c:pt>
                      <c:pt idx="470">
                        <c:v>266.45999999999998</c:v>
                      </c:pt>
                      <c:pt idx="471">
                        <c:v>267.5</c:v>
                      </c:pt>
                      <c:pt idx="472">
                        <c:v>262.25</c:v>
                      </c:pt>
                      <c:pt idx="473">
                        <c:v>265.19</c:v>
                      </c:pt>
                      <c:pt idx="474">
                        <c:v>266.42</c:v>
                      </c:pt>
                      <c:pt idx="475">
                        <c:v>258.92</c:v>
                      </c:pt>
                      <c:pt idx="476">
                        <c:v>259.39999999999998</c:v>
                      </c:pt>
                      <c:pt idx="477">
                        <c:v>256.79000000000002</c:v>
                      </c:pt>
                      <c:pt idx="478">
                        <c:v>259.33</c:v>
                      </c:pt>
                      <c:pt idx="479">
                        <c:v>259.87</c:v>
                      </c:pt>
                      <c:pt idx="480">
                        <c:v>263.05</c:v>
                      </c:pt>
                      <c:pt idx="481">
                        <c:v>267.06</c:v>
                      </c:pt>
                      <c:pt idx="482">
                        <c:v>267.16000000000003</c:v>
                      </c:pt>
                      <c:pt idx="483">
                        <c:v>273.47000000000003</c:v>
                      </c:pt>
                      <c:pt idx="484">
                        <c:v>271.61</c:v>
                      </c:pt>
                      <c:pt idx="485">
                        <c:v>259.45999999999998</c:v>
                      </c:pt>
                      <c:pt idx="486">
                        <c:v>262.92</c:v>
                      </c:pt>
                      <c:pt idx="487">
                        <c:v>256.98</c:v>
                      </c:pt>
                      <c:pt idx="488">
                        <c:v>261.16000000000003</c:v>
                      </c:pt>
                      <c:pt idx="489">
                        <c:v>260.98</c:v>
                      </c:pt>
                      <c:pt idx="490">
                        <c:v>260.05</c:v>
                      </c:pt>
                      <c:pt idx="491">
                        <c:v>256.58</c:v>
                      </c:pt>
                      <c:pt idx="492">
                        <c:v>253.1</c:v>
                      </c:pt>
                      <c:pt idx="493">
                        <c:v>250.95</c:v>
                      </c:pt>
                      <c:pt idx="494">
                        <c:v>248.97</c:v>
                      </c:pt>
                      <c:pt idx="495">
                        <c:v>243.79</c:v>
                      </c:pt>
                      <c:pt idx="496">
                        <c:v>242.16</c:v>
                      </c:pt>
                      <c:pt idx="497">
                        <c:v>234.6</c:v>
                      </c:pt>
                      <c:pt idx="498">
                        <c:v>231.59</c:v>
                      </c:pt>
                      <c:pt idx="499">
                        <c:v>238.06</c:v>
                      </c:pt>
                      <c:pt idx="500">
                        <c:v>244.94</c:v>
                      </c:pt>
                      <c:pt idx="501">
                        <c:v>244.92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B1-435E-951E-F193134819B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CloseType!$D$1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CloseType!$D$2:$D$504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213.35</c:v>
                      </c:pt>
                      <c:pt idx="1">
                        <c:v>214.22</c:v>
                      </c:pt>
                      <c:pt idx="2">
                        <c:v>214.06</c:v>
                      </c:pt>
                      <c:pt idx="3">
                        <c:v>215.17</c:v>
                      </c:pt>
                      <c:pt idx="4">
                        <c:v>214.53</c:v>
                      </c:pt>
                      <c:pt idx="5">
                        <c:v>214.89</c:v>
                      </c:pt>
                      <c:pt idx="6">
                        <c:v>214.55</c:v>
                      </c:pt>
                      <c:pt idx="7">
                        <c:v>214.22</c:v>
                      </c:pt>
                      <c:pt idx="8">
                        <c:v>214.84</c:v>
                      </c:pt>
                      <c:pt idx="9">
                        <c:v>214.25</c:v>
                      </c:pt>
                      <c:pt idx="10">
                        <c:v>214.27</c:v>
                      </c:pt>
                      <c:pt idx="11">
                        <c:v>214.46</c:v>
                      </c:pt>
                      <c:pt idx="12">
                        <c:v>214.75</c:v>
                      </c:pt>
                      <c:pt idx="13">
                        <c:v>214.28</c:v>
                      </c:pt>
                      <c:pt idx="14">
                        <c:v>215.48</c:v>
                      </c:pt>
                      <c:pt idx="15">
                        <c:v>216.89</c:v>
                      </c:pt>
                      <c:pt idx="16">
                        <c:v>217.02</c:v>
                      </c:pt>
                      <c:pt idx="17">
                        <c:v>216.91</c:v>
                      </c:pt>
                      <c:pt idx="18">
                        <c:v>215.59</c:v>
                      </c:pt>
                      <c:pt idx="19">
                        <c:v>215.03</c:v>
                      </c:pt>
                      <c:pt idx="20">
                        <c:v>215.96</c:v>
                      </c:pt>
                      <c:pt idx="21">
                        <c:v>215.5</c:v>
                      </c:pt>
                      <c:pt idx="22">
                        <c:v>216.87</c:v>
                      </c:pt>
                      <c:pt idx="23">
                        <c:v>216.66</c:v>
                      </c:pt>
                      <c:pt idx="24">
                        <c:v>216.97</c:v>
                      </c:pt>
                      <c:pt idx="25">
                        <c:v>216.72</c:v>
                      </c:pt>
                      <c:pt idx="26">
                        <c:v>218.19</c:v>
                      </c:pt>
                      <c:pt idx="27">
                        <c:v>218.97</c:v>
                      </c:pt>
                      <c:pt idx="28">
                        <c:v>220.19</c:v>
                      </c:pt>
                      <c:pt idx="29">
                        <c:v>220.8</c:v>
                      </c:pt>
                      <c:pt idx="30">
                        <c:v>222.15</c:v>
                      </c:pt>
                      <c:pt idx="31">
                        <c:v>222.16</c:v>
                      </c:pt>
                      <c:pt idx="32">
                        <c:v>222.1</c:v>
                      </c:pt>
                      <c:pt idx="33">
                        <c:v>223.62</c:v>
                      </c:pt>
                      <c:pt idx="34">
                        <c:v>223.47</c:v>
                      </c:pt>
                      <c:pt idx="35">
                        <c:v>223.81</c:v>
                      </c:pt>
                      <c:pt idx="36">
                        <c:v>223.71</c:v>
                      </c:pt>
                      <c:pt idx="37">
                        <c:v>224.2</c:v>
                      </c:pt>
                      <c:pt idx="38">
                        <c:v>223.86</c:v>
                      </c:pt>
                      <c:pt idx="39">
                        <c:v>227.04</c:v>
                      </c:pt>
                      <c:pt idx="40">
                        <c:v>226.34</c:v>
                      </c:pt>
                      <c:pt idx="41">
                        <c:v>225.43</c:v>
                      </c:pt>
                      <c:pt idx="42">
                        <c:v>224.97</c:v>
                      </c:pt>
                      <c:pt idx="43">
                        <c:v>224.64</c:v>
                      </c:pt>
                      <c:pt idx="44">
                        <c:v>224.51</c:v>
                      </c:pt>
                      <c:pt idx="45">
                        <c:v>224.13</c:v>
                      </c:pt>
                      <c:pt idx="46">
                        <c:v>224.87</c:v>
                      </c:pt>
                      <c:pt idx="47">
                        <c:v>224.72</c:v>
                      </c:pt>
                      <c:pt idx="48">
                        <c:v>224.13</c:v>
                      </c:pt>
                      <c:pt idx="49">
                        <c:v>226.21</c:v>
                      </c:pt>
                      <c:pt idx="50">
                        <c:v>225.99</c:v>
                      </c:pt>
                      <c:pt idx="51">
                        <c:v>225.8</c:v>
                      </c:pt>
                      <c:pt idx="52">
                        <c:v>225.22</c:v>
                      </c:pt>
                      <c:pt idx="53">
                        <c:v>225.46</c:v>
                      </c:pt>
                      <c:pt idx="54">
                        <c:v>222.61</c:v>
                      </c:pt>
                      <c:pt idx="55">
                        <c:v>223.31</c:v>
                      </c:pt>
                      <c:pt idx="56">
                        <c:v>223.02</c:v>
                      </c:pt>
                      <c:pt idx="57">
                        <c:v>221.96</c:v>
                      </c:pt>
                      <c:pt idx="58">
                        <c:v>223.75</c:v>
                      </c:pt>
                      <c:pt idx="59">
                        <c:v>223.75</c:v>
                      </c:pt>
                      <c:pt idx="60">
                        <c:v>224.43</c:v>
                      </c:pt>
                      <c:pt idx="61">
                        <c:v>224.42</c:v>
                      </c:pt>
                      <c:pt idx="62">
                        <c:v>223.96</c:v>
                      </c:pt>
                      <c:pt idx="63">
                        <c:v>223.53</c:v>
                      </c:pt>
                      <c:pt idx="64">
                        <c:v>225.25</c:v>
                      </c:pt>
                      <c:pt idx="65">
                        <c:v>223.97</c:v>
                      </c:pt>
                      <c:pt idx="66">
                        <c:v>223.93</c:v>
                      </c:pt>
                      <c:pt idx="67">
                        <c:v>224.18</c:v>
                      </c:pt>
                      <c:pt idx="68">
                        <c:v>223.15</c:v>
                      </c:pt>
                      <c:pt idx="69">
                        <c:v>222.95</c:v>
                      </c:pt>
                      <c:pt idx="70">
                        <c:v>222.5</c:v>
                      </c:pt>
                      <c:pt idx="71">
                        <c:v>222.58</c:v>
                      </c:pt>
                      <c:pt idx="72">
                        <c:v>222.5</c:v>
                      </c:pt>
                      <c:pt idx="73">
                        <c:v>222.94</c:v>
                      </c:pt>
                      <c:pt idx="74">
                        <c:v>223.79</c:v>
                      </c:pt>
                      <c:pt idx="75">
                        <c:v>223.28</c:v>
                      </c:pt>
                      <c:pt idx="76">
                        <c:v>225.27</c:v>
                      </c:pt>
                      <c:pt idx="77">
                        <c:v>226.73</c:v>
                      </c:pt>
                      <c:pt idx="78">
                        <c:v>227.28</c:v>
                      </c:pt>
                      <c:pt idx="79">
                        <c:v>226.73</c:v>
                      </c:pt>
                      <c:pt idx="80">
                        <c:v>226.71</c:v>
                      </c:pt>
                      <c:pt idx="81">
                        <c:v>226.94</c:v>
                      </c:pt>
                      <c:pt idx="82">
                        <c:v>226.76</c:v>
                      </c:pt>
                      <c:pt idx="83">
                        <c:v>226.66</c:v>
                      </c:pt>
                      <c:pt idx="84">
                        <c:v>226.71</c:v>
                      </c:pt>
                      <c:pt idx="85">
                        <c:v>227.46</c:v>
                      </c:pt>
                      <c:pt idx="86">
                        <c:v>227.65</c:v>
                      </c:pt>
                      <c:pt idx="87">
                        <c:v>227.91</c:v>
                      </c:pt>
                      <c:pt idx="88">
                        <c:v>227.61</c:v>
                      </c:pt>
                      <c:pt idx="89">
                        <c:v>227.32</c:v>
                      </c:pt>
                      <c:pt idx="90">
                        <c:v>227.19</c:v>
                      </c:pt>
                      <c:pt idx="91">
                        <c:v>228.15</c:v>
                      </c:pt>
                      <c:pt idx="92">
                        <c:v>228.36</c:v>
                      </c:pt>
                      <c:pt idx="93">
                        <c:v>226.44</c:v>
                      </c:pt>
                      <c:pt idx="94">
                        <c:v>225.59</c:v>
                      </c:pt>
                      <c:pt idx="95">
                        <c:v>226.86</c:v>
                      </c:pt>
                      <c:pt idx="96">
                        <c:v>227.45</c:v>
                      </c:pt>
                      <c:pt idx="97">
                        <c:v>227.96</c:v>
                      </c:pt>
                      <c:pt idx="98">
                        <c:v>228.42</c:v>
                      </c:pt>
                      <c:pt idx="99">
                        <c:v>229.7</c:v>
                      </c:pt>
                      <c:pt idx="100">
                        <c:v>229.53</c:v>
                      </c:pt>
                      <c:pt idx="101">
                        <c:v>229.43</c:v>
                      </c:pt>
                      <c:pt idx="102">
                        <c:v>229.51</c:v>
                      </c:pt>
                      <c:pt idx="103">
                        <c:v>230.94</c:v>
                      </c:pt>
                      <c:pt idx="104">
                        <c:v>231.86</c:v>
                      </c:pt>
                      <c:pt idx="105">
                        <c:v>231.81</c:v>
                      </c:pt>
                      <c:pt idx="106">
                        <c:v>231.51</c:v>
                      </c:pt>
                      <c:pt idx="107">
                        <c:v>231.45</c:v>
                      </c:pt>
                      <c:pt idx="108">
                        <c:v>231.84</c:v>
                      </c:pt>
                      <c:pt idx="109">
                        <c:v>232.48</c:v>
                      </c:pt>
                      <c:pt idx="110">
                        <c:v>230.97</c:v>
                      </c:pt>
                      <c:pt idx="111">
                        <c:v>232.1</c:v>
                      </c:pt>
                      <c:pt idx="112">
                        <c:v>232.35</c:v>
                      </c:pt>
                      <c:pt idx="113">
                        <c:v>231.44</c:v>
                      </c:pt>
                      <c:pt idx="114">
                        <c:v>231.54</c:v>
                      </c:pt>
                      <c:pt idx="115">
                        <c:v>233.35</c:v>
                      </c:pt>
                      <c:pt idx="116">
                        <c:v>232.9</c:v>
                      </c:pt>
                      <c:pt idx="117">
                        <c:v>232.26</c:v>
                      </c:pt>
                      <c:pt idx="118">
                        <c:v>232.21</c:v>
                      </c:pt>
                      <c:pt idx="119">
                        <c:v>232.19</c:v>
                      </c:pt>
                      <c:pt idx="120">
                        <c:v>233.02</c:v>
                      </c:pt>
                      <c:pt idx="121">
                        <c:v>232.06</c:v>
                      </c:pt>
                      <c:pt idx="122">
                        <c:v>232.38</c:v>
                      </c:pt>
                      <c:pt idx="123">
                        <c:v>232.39</c:v>
                      </c:pt>
                      <c:pt idx="124">
                        <c:v>231.42</c:v>
                      </c:pt>
                      <c:pt idx="125">
                        <c:v>232.06</c:v>
                      </c:pt>
                      <c:pt idx="126">
                        <c:v>231.71</c:v>
                      </c:pt>
                      <c:pt idx="127">
                        <c:v>230.77</c:v>
                      </c:pt>
                      <c:pt idx="128">
                        <c:v>231.01</c:v>
                      </c:pt>
                      <c:pt idx="129">
                        <c:v>231.51</c:v>
                      </c:pt>
                      <c:pt idx="130">
                        <c:v>231.27</c:v>
                      </c:pt>
                      <c:pt idx="131">
                        <c:v>232.84</c:v>
                      </c:pt>
                      <c:pt idx="132">
                        <c:v>233.18</c:v>
                      </c:pt>
                      <c:pt idx="133">
                        <c:v>234.53</c:v>
                      </c:pt>
                      <c:pt idx="134">
                        <c:v>234.47</c:v>
                      </c:pt>
                      <c:pt idx="135">
                        <c:v>234.29</c:v>
                      </c:pt>
                      <c:pt idx="136">
                        <c:v>235.51</c:v>
                      </c:pt>
                      <c:pt idx="137">
                        <c:v>235.91</c:v>
                      </c:pt>
                      <c:pt idx="138">
                        <c:v>235.43</c:v>
                      </c:pt>
                      <c:pt idx="139">
                        <c:v>235.49</c:v>
                      </c:pt>
                      <c:pt idx="140">
                        <c:v>236.28</c:v>
                      </c:pt>
                      <c:pt idx="141">
                        <c:v>236.27</c:v>
                      </c:pt>
                      <c:pt idx="142">
                        <c:v>236.47</c:v>
                      </c:pt>
                      <c:pt idx="143">
                        <c:v>235.57</c:v>
                      </c:pt>
                      <c:pt idx="144">
                        <c:v>235.97</c:v>
                      </c:pt>
                      <c:pt idx="145">
                        <c:v>235.99</c:v>
                      </c:pt>
                      <c:pt idx="146">
                        <c:v>236.09</c:v>
                      </c:pt>
                      <c:pt idx="147">
                        <c:v>235.84</c:v>
                      </c:pt>
                      <c:pt idx="148">
                        <c:v>236.27</c:v>
                      </c:pt>
                      <c:pt idx="149">
                        <c:v>236.34</c:v>
                      </c:pt>
                      <c:pt idx="150">
                        <c:v>237.33</c:v>
                      </c:pt>
                      <c:pt idx="151">
                        <c:v>235.81</c:v>
                      </c:pt>
                      <c:pt idx="152">
                        <c:v>234.98</c:v>
                      </c:pt>
                      <c:pt idx="153">
                        <c:v>233.42</c:v>
                      </c:pt>
                      <c:pt idx="154">
                        <c:v>235.31</c:v>
                      </c:pt>
                      <c:pt idx="155">
                        <c:v>235.51</c:v>
                      </c:pt>
                      <c:pt idx="156">
                        <c:v>236.06</c:v>
                      </c:pt>
                      <c:pt idx="157">
                        <c:v>235.13</c:v>
                      </c:pt>
                      <c:pt idx="158">
                        <c:v>232.83</c:v>
                      </c:pt>
                      <c:pt idx="159">
                        <c:v>231.89</c:v>
                      </c:pt>
                      <c:pt idx="160">
                        <c:v>234.2</c:v>
                      </c:pt>
                      <c:pt idx="161">
                        <c:v>233.65</c:v>
                      </c:pt>
                      <c:pt idx="162">
                        <c:v>233.78</c:v>
                      </c:pt>
                      <c:pt idx="163">
                        <c:v>234.19</c:v>
                      </c:pt>
                      <c:pt idx="164">
                        <c:v>233.8</c:v>
                      </c:pt>
                      <c:pt idx="165">
                        <c:v>233.75</c:v>
                      </c:pt>
                      <c:pt idx="166">
                        <c:v>234.87</c:v>
                      </c:pt>
                      <c:pt idx="167">
                        <c:v>236.25</c:v>
                      </c:pt>
                      <c:pt idx="168">
                        <c:v>236.78</c:v>
                      </c:pt>
                      <c:pt idx="169">
                        <c:v>236.01</c:v>
                      </c:pt>
                      <c:pt idx="170">
                        <c:v>235.78</c:v>
                      </c:pt>
                      <c:pt idx="171">
                        <c:v>235.77</c:v>
                      </c:pt>
                      <c:pt idx="172">
                        <c:v>235.62</c:v>
                      </c:pt>
                      <c:pt idx="173">
                        <c:v>237.71</c:v>
                      </c:pt>
                      <c:pt idx="174">
                        <c:v>238.46</c:v>
                      </c:pt>
                      <c:pt idx="175">
                        <c:v>238.57</c:v>
                      </c:pt>
                      <c:pt idx="176">
                        <c:v>238.68</c:v>
                      </c:pt>
                      <c:pt idx="177">
                        <c:v>238.88</c:v>
                      </c:pt>
                      <c:pt idx="178">
                        <c:v>239.67</c:v>
                      </c:pt>
                      <c:pt idx="179">
                        <c:v>239.62</c:v>
                      </c:pt>
                      <c:pt idx="180">
                        <c:v>239.74</c:v>
                      </c:pt>
                      <c:pt idx="181">
                        <c:v>239.54</c:v>
                      </c:pt>
                      <c:pt idx="182">
                        <c:v>239.2</c:v>
                      </c:pt>
                      <c:pt idx="183">
                        <c:v>239.13</c:v>
                      </c:pt>
                      <c:pt idx="184">
                        <c:v>239.27</c:v>
                      </c:pt>
                      <c:pt idx="185">
                        <c:v>240.03</c:v>
                      </c:pt>
                      <c:pt idx="186">
                        <c:v>239.98</c:v>
                      </c:pt>
                      <c:pt idx="187">
                        <c:v>240.82</c:v>
                      </c:pt>
                      <c:pt idx="188">
                        <c:v>241.78</c:v>
                      </c:pt>
                      <c:pt idx="189">
                        <c:v>242.33</c:v>
                      </c:pt>
                      <c:pt idx="190">
                        <c:v>242.85</c:v>
                      </c:pt>
                      <c:pt idx="191">
                        <c:v>244.04</c:v>
                      </c:pt>
                      <c:pt idx="192">
                        <c:v>244.06</c:v>
                      </c:pt>
                      <c:pt idx="193">
                        <c:v>244.06</c:v>
                      </c:pt>
                      <c:pt idx="194">
                        <c:v>244.4</c:v>
                      </c:pt>
                      <c:pt idx="195">
                        <c:v>244.37</c:v>
                      </c:pt>
                      <c:pt idx="196">
                        <c:v>244.41</c:v>
                      </c:pt>
                      <c:pt idx="197">
                        <c:v>244.61</c:v>
                      </c:pt>
                      <c:pt idx="198">
                        <c:v>244.84</c:v>
                      </c:pt>
                      <c:pt idx="199">
                        <c:v>244.85</c:v>
                      </c:pt>
                      <c:pt idx="200">
                        <c:v>245.26</c:v>
                      </c:pt>
                      <c:pt idx="201">
                        <c:v>245.14</c:v>
                      </c:pt>
                      <c:pt idx="202">
                        <c:v>246.4</c:v>
                      </c:pt>
                      <c:pt idx="203">
                        <c:v>246.75</c:v>
                      </c:pt>
                      <c:pt idx="204">
                        <c:v>246.1</c:v>
                      </c:pt>
                      <c:pt idx="205">
                        <c:v>245.6</c:v>
                      </c:pt>
                      <c:pt idx="206">
                        <c:v>245.59</c:v>
                      </c:pt>
                      <c:pt idx="207">
                        <c:v>247.12</c:v>
                      </c:pt>
                      <c:pt idx="208">
                        <c:v>246.84</c:v>
                      </c:pt>
                      <c:pt idx="209">
                        <c:v>246.69</c:v>
                      </c:pt>
                      <c:pt idx="210">
                        <c:v>247.63</c:v>
                      </c:pt>
                      <c:pt idx="211">
                        <c:v>246.98</c:v>
                      </c:pt>
                      <c:pt idx="212">
                        <c:v>247.7</c:v>
                      </c:pt>
                      <c:pt idx="213">
                        <c:v>248.18</c:v>
                      </c:pt>
                      <c:pt idx="214">
                        <c:v>248.52</c:v>
                      </c:pt>
                      <c:pt idx="215">
                        <c:v>248.39</c:v>
                      </c:pt>
                      <c:pt idx="216">
                        <c:v>247.6</c:v>
                      </c:pt>
                      <c:pt idx="217">
                        <c:v>247.5</c:v>
                      </c:pt>
                      <c:pt idx="218">
                        <c:v>247.79</c:v>
                      </c:pt>
                      <c:pt idx="219">
                        <c:v>247.08</c:v>
                      </c:pt>
                      <c:pt idx="220">
                        <c:v>246.48</c:v>
                      </c:pt>
                      <c:pt idx="221">
                        <c:v>248.22</c:v>
                      </c:pt>
                      <c:pt idx="222">
                        <c:v>247.79</c:v>
                      </c:pt>
                      <c:pt idx="223">
                        <c:v>247.73</c:v>
                      </c:pt>
                      <c:pt idx="224">
                        <c:v>249.33</c:v>
                      </c:pt>
                      <c:pt idx="225">
                        <c:v>249.28</c:v>
                      </c:pt>
                      <c:pt idx="226">
                        <c:v>249.6</c:v>
                      </c:pt>
                      <c:pt idx="227">
                        <c:v>249.86</c:v>
                      </c:pt>
                      <c:pt idx="228">
                        <c:v>251.92</c:v>
                      </c:pt>
                      <c:pt idx="229">
                        <c:v>252.62</c:v>
                      </c:pt>
                      <c:pt idx="230">
                        <c:v>254.94</c:v>
                      </c:pt>
                      <c:pt idx="231">
                        <c:v>254.23</c:v>
                      </c:pt>
                      <c:pt idx="232">
                        <c:v>255.65</c:v>
                      </c:pt>
                      <c:pt idx="233">
                        <c:v>254.07</c:v>
                      </c:pt>
                      <c:pt idx="234">
                        <c:v>252.71</c:v>
                      </c:pt>
                      <c:pt idx="235">
                        <c:v>253.38</c:v>
                      </c:pt>
                      <c:pt idx="236">
                        <c:v>254.43</c:v>
                      </c:pt>
                      <c:pt idx="237">
                        <c:v>255.25</c:v>
                      </c:pt>
                      <c:pt idx="238">
                        <c:v>256.14999999999998</c:v>
                      </c:pt>
                      <c:pt idx="239">
                        <c:v>256.38</c:v>
                      </c:pt>
                      <c:pt idx="240">
                        <c:v>256.06</c:v>
                      </c:pt>
                      <c:pt idx="241">
                        <c:v>257.19</c:v>
                      </c:pt>
                      <c:pt idx="242">
                        <c:v>258.7</c:v>
                      </c:pt>
                      <c:pt idx="243">
                        <c:v>258.63</c:v>
                      </c:pt>
                      <c:pt idx="244">
                        <c:v>258.44</c:v>
                      </c:pt>
                      <c:pt idx="245">
                        <c:v>258.49</c:v>
                      </c:pt>
                      <c:pt idx="246">
                        <c:v>257.77</c:v>
                      </c:pt>
                      <c:pt idx="247">
                        <c:v>257.58</c:v>
                      </c:pt>
                      <c:pt idx="248">
                        <c:v>257.86</c:v>
                      </c:pt>
                      <c:pt idx="249">
                        <c:v>258.04000000000002</c:v>
                      </c:pt>
                      <c:pt idx="250">
                        <c:v>258.64999999999998</c:v>
                      </c:pt>
                      <c:pt idx="251">
                        <c:v>258.89999999999998</c:v>
                      </c:pt>
                      <c:pt idx="252">
                        <c:v>260.66000000000003</c:v>
                      </c:pt>
                      <c:pt idx="253">
                        <c:v>262.12</c:v>
                      </c:pt>
                      <c:pt idx="254">
                        <c:v>263.47000000000003</c:v>
                      </c:pt>
                      <c:pt idx="255">
                        <c:v>263.99</c:v>
                      </c:pt>
                      <c:pt idx="256">
                        <c:v>265.10000000000002</c:v>
                      </c:pt>
                      <c:pt idx="257">
                        <c:v>264.3</c:v>
                      </c:pt>
                      <c:pt idx="258">
                        <c:v>265.94</c:v>
                      </c:pt>
                      <c:pt idx="259">
                        <c:v>267.86</c:v>
                      </c:pt>
                      <c:pt idx="260">
                        <c:v>269.76</c:v>
                      </c:pt>
                      <c:pt idx="261">
                        <c:v>269.72000000000003</c:v>
                      </c:pt>
                      <c:pt idx="262">
                        <c:v>269.64</c:v>
                      </c:pt>
                      <c:pt idx="263">
                        <c:v>270.07</c:v>
                      </c:pt>
                      <c:pt idx="264">
                        <c:v>272.27</c:v>
                      </c:pt>
                      <c:pt idx="265">
                        <c:v>273.16000000000003</c:v>
                      </c:pt>
                      <c:pt idx="266">
                        <c:v>274.2</c:v>
                      </c:pt>
                      <c:pt idx="267">
                        <c:v>273.79000000000002</c:v>
                      </c:pt>
                      <c:pt idx="268">
                        <c:v>276.06</c:v>
                      </c:pt>
                      <c:pt idx="269">
                        <c:v>275.87</c:v>
                      </c:pt>
                      <c:pt idx="270">
                        <c:v>274.24</c:v>
                      </c:pt>
                      <c:pt idx="271">
                        <c:v>272.85000000000002</c:v>
                      </c:pt>
                      <c:pt idx="272">
                        <c:v>272.62</c:v>
                      </c:pt>
                      <c:pt idx="273">
                        <c:v>269.89999999999998</c:v>
                      </c:pt>
                      <c:pt idx="274">
                        <c:v>265.68</c:v>
                      </c:pt>
                      <c:pt idx="275">
                        <c:v>259.76</c:v>
                      </c:pt>
                      <c:pt idx="276">
                        <c:v>262.32</c:v>
                      </c:pt>
                      <c:pt idx="277">
                        <c:v>258.27999999999997</c:v>
                      </c:pt>
                      <c:pt idx="278">
                        <c:v>253.89</c:v>
                      </c:pt>
                      <c:pt idx="279">
                        <c:v>257.16000000000003</c:v>
                      </c:pt>
                      <c:pt idx="280">
                        <c:v>256.79000000000002</c:v>
                      </c:pt>
                      <c:pt idx="281">
                        <c:v>260.04000000000002</c:v>
                      </c:pt>
                      <c:pt idx="282">
                        <c:v>262.97000000000003</c:v>
                      </c:pt>
                      <c:pt idx="283">
                        <c:v>265.17</c:v>
                      </c:pt>
                      <c:pt idx="284">
                        <c:v>263.58</c:v>
                      </c:pt>
                      <c:pt idx="285">
                        <c:v>264.58999999999997</c:v>
                      </c:pt>
                      <c:pt idx="286">
                        <c:v>262.98</c:v>
                      </c:pt>
                      <c:pt idx="287">
                        <c:v>264.58</c:v>
                      </c:pt>
                      <c:pt idx="288">
                        <c:v>267.76</c:v>
                      </c:pt>
                      <c:pt idx="289">
                        <c:v>268.63</c:v>
                      </c:pt>
                      <c:pt idx="290">
                        <c:v>266.01</c:v>
                      </c:pt>
                      <c:pt idx="291">
                        <c:v>263.10000000000002</c:v>
                      </c:pt>
                      <c:pt idx="292">
                        <c:v>259.77</c:v>
                      </c:pt>
                      <c:pt idx="293">
                        <c:v>262.83</c:v>
                      </c:pt>
                      <c:pt idx="294">
                        <c:v>263.31</c:v>
                      </c:pt>
                      <c:pt idx="295">
                        <c:v>263.11</c:v>
                      </c:pt>
                      <c:pt idx="296">
                        <c:v>264.13</c:v>
                      </c:pt>
                      <c:pt idx="297">
                        <c:v>268.58999999999997</c:v>
                      </c:pt>
                      <c:pt idx="298">
                        <c:v>269.58999999999997</c:v>
                      </c:pt>
                      <c:pt idx="299">
                        <c:v>270.07</c:v>
                      </c:pt>
                      <c:pt idx="300">
                        <c:v>267.77</c:v>
                      </c:pt>
                      <c:pt idx="301">
                        <c:v>266.41000000000003</c:v>
                      </c:pt>
                      <c:pt idx="302">
                        <c:v>266.3</c:v>
                      </c:pt>
                      <c:pt idx="303">
                        <c:v>265.33999999999997</c:v>
                      </c:pt>
                      <c:pt idx="304">
                        <c:v>262.7</c:v>
                      </c:pt>
                      <c:pt idx="305">
                        <c:v>264.25</c:v>
                      </c:pt>
                      <c:pt idx="306">
                        <c:v>259.99</c:v>
                      </c:pt>
                      <c:pt idx="307">
                        <c:v>256.27</c:v>
                      </c:pt>
                      <c:pt idx="308">
                        <c:v>256.67</c:v>
                      </c:pt>
                      <c:pt idx="309">
                        <c:v>257.95999999999998</c:v>
                      </c:pt>
                      <c:pt idx="310">
                        <c:v>253.97</c:v>
                      </c:pt>
                      <c:pt idx="311">
                        <c:v>256.5</c:v>
                      </c:pt>
                      <c:pt idx="312">
                        <c:v>254.44</c:v>
                      </c:pt>
                      <c:pt idx="313">
                        <c:v>252.68</c:v>
                      </c:pt>
                      <c:pt idx="314">
                        <c:v>255.63</c:v>
                      </c:pt>
                      <c:pt idx="315">
                        <c:v>257.83999999999997</c:v>
                      </c:pt>
                      <c:pt idx="316">
                        <c:v>256.36</c:v>
                      </c:pt>
                      <c:pt idx="317">
                        <c:v>256.10000000000002</c:v>
                      </c:pt>
                      <c:pt idx="318">
                        <c:v>257.26</c:v>
                      </c:pt>
                      <c:pt idx="319">
                        <c:v>256.87</c:v>
                      </c:pt>
                      <c:pt idx="320">
                        <c:v>258.18</c:v>
                      </c:pt>
                      <c:pt idx="321">
                        <c:v>258.70999999999998</c:v>
                      </c:pt>
                      <c:pt idx="322">
                        <c:v>259.33999999999997</c:v>
                      </c:pt>
                      <c:pt idx="323">
                        <c:v>261.93</c:v>
                      </c:pt>
                      <c:pt idx="324">
                        <c:v>262.33999999999997</c:v>
                      </c:pt>
                      <c:pt idx="325">
                        <c:v>260.97000000000003</c:v>
                      </c:pt>
                      <c:pt idx="326">
                        <c:v>260.18</c:v>
                      </c:pt>
                      <c:pt idx="327">
                        <c:v>259.04000000000002</c:v>
                      </c:pt>
                      <c:pt idx="328">
                        <c:v>259.13</c:v>
                      </c:pt>
                      <c:pt idx="329">
                        <c:v>255.41</c:v>
                      </c:pt>
                      <c:pt idx="330">
                        <c:v>258.42</c:v>
                      </c:pt>
                      <c:pt idx="331">
                        <c:v>258.51</c:v>
                      </c:pt>
                      <c:pt idx="332">
                        <c:v>259.04000000000002</c:v>
                      </c:pt>
                      <c:pt idx="333">
                        <c:v>256.35000000000002</c:v>
                      </c:pt>
                      <c:pt idx="334">
                        <c:v>256.91000000000003</c:v>
                      </c:pt>
                      <c:pt idx="335">
                        <c:v>254.66</c:v>
                      </c:pt>
                      <c:pt idx="336">
                        <c:v>257.98</c:v>
                      </c:pt>
                      <c:pt idx="337">
                        <c:v>259.17</c:v>
                      </c:pt>
                      <c:pt idx="338">
                        <c:v>258.5</c:v>
                      </c:pt>
                      <c:pt idx="339">
                        <c:v>260.95</c:v>
                      </c:pt>
                      <c:pt idx="340">
                        <c:v>263.39999999999998</c:v>
                      </c:pt>
                      <c:pt idx="341">
                        <c:v>264.13</c:v>
                      </c:pt>
                      <c:pt idx="342">
                        <c:v>265.02999999999997</c:v>
                      </c:pt>
                      <c:pt idx="343">
                        <c:v>262.64</c:v>
                      </c:pt>
                      <c:pt idx="344">
                        <c:v>263.75</c:v>
                      </c:pt>
                      <c:pt idx="345">
                        <c:v>264.20999999999998</c:v>
                      </c:pt>
                      <c:pt idx="346">
                        <c:v>263.05</c:v>
                      </c:pt>
                      <c:pt idx="347">
                        <c:v>264.93</c:v>
                      </c:pt>
                      <c:pt idx="348">
                        <c:v>265.2</c:v>
                      </c:pt>
                      <c:pt idx="349">
                        <c:v>264.36</c:v>
                      </c:pt>
                      <c:pt idx="350">
                        <c:v>264.2</c:v>
                      </c:pt>
                      <c:pt idx="351">
                        <c:v>263.85000000000002</c:v>
                      </c:pt>
                      <c:pt idx="352">
                        <c:v>262.22000000000003</c:v>
                      </c:pt>
                      <c:pt idx="353">
                        <c:v>264.08999999999997</c:v>
                      </c:pt>
                      <c:pt idx="354">
                        <c:v>263.49</c:v>
                      </c:pt>
                      <c:pt idx="355">
                        <c:v>264.89999999999998</c:v>
                      </c:pt>
                      <c:pt idx="356">
                        <c:v>266.10000000000002</c:v>
                      </c:pt>
                      <c:pt idx="357">
                        <c:v>266.43</c:v>
                      </c:pt>
                      <c:pt idx="358">
                        <c:v>268.36</c:v>
                      </c:pt>
                      <c:pt idx="359">
                        <c:v>269.08999999999997</c:v>
                      </c:pt>
                      <c:pt idx="360">
                        <c:v>269.06</c:v>
                      </c:pt>
                      <c:pt idx="361">
                        <c:v>270.14999999999998</c:v>
                      </c:pt>
                      <c:pt idx="362">
                        <c:v>270.11</c:v>
                      </c:pt>
                      <c:pt idx="363">
                        <c:v>270.25</c:v>
                      </c:pt>
                      <c:pt idx="364">
                        <c:v>270.11</c:v>
                      </c:pt>
                      <c:pt idx="365">
                        <c:v>269.55</c:v>
                      </c:pt>
                      <c:pt idx="366">
                        <c:v>268.77</c:v>
                      </c:pt>
                      <c:pt idx="367">
                        <c:v>267.83999999999997</c:v>
                      </c:pt>
                      <c:pt idx="368">
                        <c:v>268.77999999999997</c:v>
                      </c:pt>
                      <c:pt idx="369">
                        <c:v>268.07</c:v>
                      </c:pt>
                      <c:pt idx="370">
                        <c:v>267.88</c:v>
                      </c:pt>
                      <c:pt idx="371">
                        <c:v>265.77</c:v>
                      </c:pt>
                      <c:pt idx="372">
                        <c:v>264.74</c:v>
                      </c:pt>
                      <c:pt idx="373">
                        <c:v>266.01</c:v>
                      </c:pt>
                      <c:pt idx="374">
                        <c:v>263.95999999999998</c:v>
                      </c:pt>
                      <c:pt idx="375">
                        <c:v>265.81</c:v>
                      </c:pt>
                      <c:pt idx="376">
                        <c:v>264.24</c:v>
                      </c:pt>
                      <c:pt idx="377">
                        <c:v>265.14999999999998</c:v>
                      </c:pt>
                      <c:pt idx="378">
                        <c:v>265.35000000000002</c:v>
                      </c:pt>
                      <c:pt idx="379">
                        <c:v>267.93</c:v>
                      </c:pt>
                      <c:pt idx="380">
                        <c:v>269.99</c:v>
                      </c:pt>
                      <c:pt idx="381">
                        <c:v>271.01</c:v>
                      </c:pt>
                      <c:pt idx="382">
                        <c:v>270.07</c:v>
                      </c:pt>
                      <c:pt idx="383">
                        <c:v>271.42</c:v>
                      </c:pt>
                      <c:pt idx="384">
                        <c:v>271.89999999999998</c:v>
                      </c:pt>
                      <c:pt idx="385">
                        <c:v>271.77999999999997</c:v>
                      </c:pt>
                      <c:pt idx="386">
                        <c:v>272.85000000000002</c:v>
                      </c:pt>
                      <c:pt idx="387">
                        <c:v>273.12</c:v>
                      </c:pt>
                      <c:pt idx="388">
                        <c:v>272.69</c:v>
                      </c:pt>
                      <c:pt idx="389">
                        <c:v>272.44</c:v>
                      </c:pt>
                      <c:pt idx="390">
                        <c:v>272.39</c:v>
                      </c:pt>
                      <c:pt idx="391">
                        <c:v>274.45999999999998</c:v>
                      </c:pt>
                      <c:pt idx="392">
                        <c:v>276.22000000000003</c:v>
                      </c:pt>
                      <c:pt idx="393">
                        <c:v>275.95999999999998</c:v>
                      </c:pt>
                      <c:pt idx="394">
                        <c:v>275.68</c:v>
                      </c:pt>
                      <c:pt idx="395">
                        <c:v>273.61</c:v>
                      </c:pt>
                      <c:pt idx="396">
                        <c:v>273.93</c:v>
                      </c:pt>
                      <c:pt idx="397">
                        <c:v>274.04000000000002</c:v>
                      </c:pt>
                      <c:pt idx="398">
                        <c:v>274.48</c:v>
                      </c:pt>
                      <c:pt idx="399">
                        <c:v>275.52</c:v>
                      </c:pt>
                      <c:pt idx="400">
                        <c:v>276.82</c:v>
                      </c:pt>
                      <c:pt idx="401">
                        <c:v>277.81</c:v>
                      </c:pt>
                      <c:pt idx="402">
                        <c:v>277.70999999999998</c:v>
                      </c:pt>
                      <c:pt idx="403">
                        <c:v>277.77</c:v>
                      </c:pt>
                      <c:pt idx="404">
                        <c:v>275.91000000000003</c:v>
                      </c:pt>
                      <c:pt idx="405">
                        <c:v>276.01</c:v>
                      </c:pt>
                      <c:pt idx="406">
                        <c:v>276.02</c:v>
                      </c:pt>
                      <c:pt idx="407">
                        <c:v>274.44</c:v>
                      </c:pt>
                      <c:pt idx="408">
                        <c:v>276.87</c:v>
                      </c:pt>
                      <c:pt idx="409">
                        <c:v>277.37</c:v>
                      </c:pt>
                      <c:pt idx="410">
                        <c:v>277.77</c:v>
                      </c:pt>
                      <c:pt idx="411">
                        <c:v>279.07</c:v>
                      </c:pt>
                      <c:pt idx="412">
                        <c:v>278.54000000000002</c:v>
                      </c:pt>
                      <c:pt idx="413">
                        <c:v>278.70999999999998</c:v>
                      </c:pt>
                      <c:pt idx="414">
                        <c:v>279.42</c:v>
                      </c:pt>
                      <c:pt idx="415">
                        <c:v>281.58999999999997</c:v>
                      </c:pt>
                      <c:pt idx="416">
                        <c:v>282.08999999999997</c:v>
                      </c:pt>
                      <c:pt idx="417">
                        <c:v>283.37</c:v>
                      </c:pt>
                      <c:pt idx="418">
                        <c:v>283</c:v>
                      </c:pt>
                      <c:pt idx="419">
                        <c:v>282.47000000000003</c:v>
                      </c:pt>
                      <c:pt idx="420">
                        <c:v>281.89</c:v>
                      </c:pt>
                      <c:pt idx="421">
                        <c:v>281.33</c:v>
                      </c:pt>
                      <c:pt idx="422">
                        <c:v>281.19</c:v>
                      </c:pt>
                      <c:pt idx="423">
                        <c:v>280.42</c:v>
                      </c:pt>
                      <c:pt idx="424">
                        <c:v>280.75</c:v>
                      </c:pt>
                      <c:pt idx="425">
                        <c:v>281.25</c:v>
                      </c:pt>
                      <c:pt idx="426">
                        <c:v>281.49</c:v>
                      </c:pt>
                      <c:pt idx="427">
                        <c:v>282.69</c:v>
                      </c:pt>
                      <c:pt idx="428">
                        <c:v>282.92</c:v>
                      </c:pt>
                      <c:pt idx="429">
                        <c:v>282.52</c:v>
                      </c:pt>
                      <c:pt idx="430">
                        <c:v>283.22000000000003</c:v>
                      </c:pt>
                      <c:pt idx="431">
                        <c:v>283.33</c:v>
                      </c:pt>
                      <c:pt idx="432">
                        <c:v>285.51</c:v>
                      </c:pt>
                      <c:pt idx="433">
                        <c:v>286.10000000000002</c:v>
                      </c:pt>
                      <c:pt idx="434">
                        <c:v>284.42</c:v>
                      </c:pt>
                      <c:pt idx="435">
                        <c:v>284.57</c:v>
                      </c:pt>
                      <c:pt idx="436">
                        <c:v>285.14</c:v>
                      </c:pt>
                      <c:pt idx="437">
                        <c:v>284.82</c:v>
                      </c:pt>
                      <c:pt idx="438">
                        <c:v>284.20999999999998</c:v>
                      </c:pt>
                      <c:pt idx="439">
                        <c:v>285.82</c:v>
                      </c:pt>
                      <c:pt idx="440">
                        <c:v>285.26</c:v>
                      </c:pt>
                      <c:pt idx="441">
                        <c:v>286.08999999999997</c:v>
                      </c:pt>
                      <c:pt idx="442">
                        <c:v>284.17</c:v>
                      </c:pt>
                      <c:pt idx="443">
                        <c:v>283.22000000000003</c:v>
                      </c:pt>
                      <c:pt idx="444">
                        <c:v>281.22000000000003</c:v>
                      </c:pt>
                      <c:pt idx="445">
                        <c:v>281.85000000000002</c:v>
                      </c:pt>
                      <c:pt idx="446">
                        <c:v>279.94</c:v>
                      </c:pt>
                      <c:pt idx="447">
                        <c:v>272.13</c:v>
                      </c:pt>
                      <c:pt idx="448">
                        <c:v>270.36</c:v>
                      </c:pt>
                      <c:pt idx="449">
                        <c:v>270.31</c:v>
                      </c:pt>
                      <c:pt idx="450">
                        <c:v>274</c:v>
                      </c:pt>
                      <c:pt idx="451">
                        <c:v>274.32</c:v>
                      </c:pt>
                      <c:pt idx="452">
                        <c:v>273.27</c:v>
                      </c:pt>
                      <c:pt idx="453">
                        <c:v>272.52</c:v>
                      </c:pt>
                      <c:pt idx="454">
                        <c:v>270.63</c:v>
                      </c:pt>
                      <c:pt idx="455">
                        <c:v>268.2</c:v>
                      </c:pt>
                      <c:pt idx="456">
                        <c:v>267.11</c:v>
                      </c:pt>
                      <c:pt idx="457">
                        <c:v>265.20999999999998</c:v>
                      </c:pt>
                      <c:pt idx="458">
                        <c:v>264.42</c:v>
                      </c:pt>
                      <c:pt idx="459">
                        <c:v>263.69</c:v>
                      </c:pt>
                      <c:pt idx="460">
                        <c:v>261.61</c:v>
                      </c:pt>
                      <c:pt idx="461">
                        <c:v>266.60000000000002</c:v>
                      </c:pt>
                      <c:pt idx="462">
                        <c:v>267.08</c:v>
                      </c:pt>
                      <c:pt idx="463">
                        <c:v>268.55</c:v>
                      </c:pt>
                      <c:pt idx="464">
                        <c:v>267.36</c:v>
                      </c:pt>
                      <c:pt idx="465">
                        <c:v>268.62</c:v>
                      </c:pt>
                      <c:pt idx="466">
                        <c:v>274.27</c:v>
                      </c:pt>
                      <c:pt idx="467">
                        <c:v>274.39</c:v>
                      </c:pt>
                      <c:pt idx="468">
                        <c:v>272.45999999999998</c:v>
                      </c:pt>
                      <c:pt idx="469">
                        <c:v>270.72000000000003</c:v>
                      </c:pt>
                      <c:pt idx="470">
                        <c:v>268.64</c:v>
                      </c:pt>
                      <c:pt idx="471">
                        <c:v>267.94</c:v>
                      </c:pt>
                      <c:pt idx="472">
                        <c:v>266.89999999999998</c:v>
                      </c:pt>
                      <c:pt idx="473">
                        <c:v>268.08</c:v>
                      </c:pt>
                      <c:pt idx="474">
                        <c:v>266.74</c:v>
                      </c:pt>
                      <c:pt idx="475">
                        <c:v>260.52</c:v>
                      </c:pt>
                      <c:pt idx="476">
                        <c:v>260.66000000000003</c:v>
                      </c:pt>
                      <c:pt idx="477">
                        <c:v>258.39</c:v>
                      </c:pt>
                      <c:pt idx="478">
                        <c:v>261.25</c:v>
                      </c:pt>
                      <c:pt idx="479">
                        <c:v>261.88</c:v>
                      </c:pt>
                      <c:pt idx="480">
                        <c:v>267.91000000000003</c:v>
                      </c:pt>
                      <c:pt idx="481">
                        <c:v>268.86</c:v>
                      </c:pt>
                      <c:pt idx="482">
                        <c:v>269.57</c:v>
                      </c:pt>
                      <c:pt idx="483">
                        <c:v>273.58999999999997</c:v>
                      </c:pt>
                      <c:pt idx="484">
                        <c:v>272.08</c:v>
                      </c:pt>
                      <c:pt idx="485">
                        <c:v>263.41000000000003</c:v>
                      </c:pt>
                      <c:pt idx="486">
                        <c:v>264.63</c:v>
                      </c:pt>
                      <c:pt idx="487">
                        <c:v>258.72000000000003</c:v>
                      </c:pt>
                      <c:pt idx="488">
                        <c:v>261.37</c:v>
                      </c:pt>
                      <c:pt idx="489">
                        <c:v>262.47000000000003</c:v>
                      </c:pt>
                      <c:pt idx="490">
                        <c:v>260.99</c:v>
                      </c:pt>
                      <c:pt idx="491">
                        <c:v>257.62</c:v>
                      </c:pt>
                      <c:pt idx="492">
                        <c:v>254.32</c:v>
                      </c:pt>
                      <c:pt idx="493">
                        <c:v>251.69</c:v>
                      </c:pt>
                      <c:pt idx="494">
                        <c:v>253.1</c:v>
                      </c:pt>
                      <c:pt idx="495">
                        <c:v>245.51</c:v>
                      </c:pt>
                      <c:pt idx="496">
                        <c:v>245.07</c:v>
                      </c:pt>
                      <c:pt idx="497">
                        <c:v>236.36</c:v>
                      </c:pt>
                      <c:pt idx="498">
                        <c:v>241.61</c:v>
                      </c:pt>
                      <c:pt idx="499">
                        <c:v>243.68</c:v>
                      </c:pt>
                      <c:pt idx="500">
                        <c:v>246.73</c:v>
                      </c:pt>
                      <c:pt idx="501">
                        <c:v>245.54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3B1-435E-951E-F193134819B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CloseType!$E$1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CloseType!$E$2:$E$504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211.52</c:v>
                      </c:pt>
                      <c:pt idx="1">
                        <c:v>213.15</c:v>
                      </c:pt>
                      <c:pt idx="2">
                        <c:v>213.02</c:v>
                      </c:pt>
                      <c:pt idx="3">
                        <c:v>213.42</c:v>
                      </c:pt>
                      <c:pt idx="4">
                        <c:v>213.91</c:v>
                      </c:pt>
                      <c:pt idx="5">
                        <c:v>213.52</c:v>
                      </c:pt>
                      <c:pt idx="6">
                        <c:v>213.13</c:v>
                      </c:pt>
                      <c:pt idx="7">
                        <c:v>212.53</c:v>
                      </c:pt>
                      <c:pt idx="8">
                        <c:v>214.17</c:v>
                      </c:pt>
                      <c:pt idx="9">
                        <c:v>213.33</c:v>
                      </c:pt>
                      <c:pt idx="10">
                        <c:v>213.42</c:v>
                      </c:pt>
                      <c:pt idx="11">
                        <c:v>212.96</c:v>
                      </c:pt>
                      <c:pt idx="12">
                        <c:v>213.49</c:v>
                      </c:pt>
                      <c:pt idx="13">
                        <c:v>212.83</c:v>
                      </c:pt>
                      <c:pt idx="14">
                        <c:v>213.77</c:v>
                      </c:pt>
                      <c:pt idx="15">
                        <c:v>215.89</c:v>
                      </c:pt>
                      <c:pt idx="16">
                        <c:v>216.36</c:v>
                      </c:pt>
                      <c:pt idx="17">
                        <c:v>216.12</c:v>
                      </c:pt>
                      <c:pt idx="18">
                        <c:v>213.9</c:v>
                      </c:pt>
                      <c:pt idx="19">
                        <c:v>213.82</c:v>
                      </c:pt>
                      <c:pt idx="20">
                        <c:v>214.4</c:v>
                      </c:pt>
                      <c:pt idx="21">
                        <c:v>214.29</c:v>
                      </c:pt>
                      <c:pt idx="22">
                        <c:v>215.84</c:v>
                      </c:pt>
                      <c:pt idx="23">
                        <c:v>215.92</c:v>
                      </c:pt>
                      <c:pt idx="24">
                        <c:v>216.09</c:v>
                      </c:pt>
                      <c:pt idx="25">
                        <c:v>215.7</c:v>
                      </c:pt>
                      <c:pt idx="26">
                        <c:v>216.84</c:v>
                      </c:pt>
                      <c:pt idx="27">
                        <c:v>217.88</c:v>
                      </c:pt>
                      <c:pt idx="28">
                        <c:v>219.23</c:v>
                      </c:pt>
                      <c:pt idx="29">
                        <c:v>219.33</c:v>
                      </c:pt>
                      <c:pt idx="30">
                        <c:v>220.5</c:v>
                      </c:pt>
                      <c:pt idx="31">
                        <c:v>220.93</c:v>
                      </c:pt>
                      <c:pt idx="32">
                        <c:v>221.01</c:v>
                      </c:pt>
                      <c:pt idx="33">
                        <c:v>222.5</c:v>
                      </c:pt>
                      <c:pt idx="34">
                        <c:v>222.8</c:v>
                      </c:pt>
                      <c:pt idx="35">
                        <c:v>222.55</c:v>
                      </c:pt>
                      <c:pt idx="36">
                        <c:v>222.41</c:v>
                      </c:pt>
                      <c:pt idx="37">
                        <c:v>223.29</c:v>
                      </c:pt>
                      <c:pt idx="38">
                        <c:v>222.98</c:v>
                      </c:pt>
                      <c:pt idx="39">
                        <c:v>225.2</c:v>
                      </c:pt>
                      <c:pt idx="40">
                        <c:v>225.05</c:v>
                      </c:pt>
                      <c:pt idx="41">
                        <c:v>224.6</c:v>
                      </c:pt>
                      <c:pt idx="42">
                        <c:v>223.92</c:v>
                      </c:pt>
                      <c:pt idx="43">
                        <c:v>223.68</c:v>
                      </c:pt>
                      <c:pt idx="44">
                        <c:v>223.34</c:v>
                      </c:pt>
                      <c:pt idx="45">
                        <c:v>222.72</c:v>
                      </c:pt>
                      <c:pt idx="46">
                        <c:v>223.52</c:v>
                      </c:pt>
                      <c:pt idx="47">
                        <c:v>224.13</c:v>
                      </c:pt>
                      <c:pt idx="48">
                        <c:v>223.14</c:v>
                      </c:pt>
                      <c:pt idx="49">
                        <c:v>224.18</c:v>
                      </c:pt>
                      <c:pt idx="50">
                        <c:v>224.95</c:v>
                      </c:pt>
                      <c:pt idx="51">
                        <c:v>224.91</c:v>
                      </c:pt>
                      <c:pt idx="52">
                        <c:v>224.24</c:v>
                      </c:pt>
                      <c:pt idx="53">
                        <c:v>221.64</c:v>
                      </c:pt>
                      <c:pt idx="54">
                        <c:v>221.13</c:v>
                      </c:pt>
                      <c:pt idx="55">
                        <c:v>221.66</c:v>
                      </c:pt>
                      <c:pt idx="56">
                        <c:v>221.05</c:v>
                      </c:pt>
                      <c:pt idx="57">
                        <c:v>219.77</c:v>
                      </c:pt>
                      <c:pt idx="58">
                        <c:v>221.22</c:v>
                      </c:pt>
                      <c:pt idx="59">
                        <c:v>222.72</c:v>
                      </c:pt>
                      <c:pt idx="60">
                        <c:v>223.24</c:v>
                      </c:pt>
                      <c:pt idx="61">
                        <c:v>223.63</c:v>
                      </c:pt>
                      <c:pt idx="62">
                        <c:v>221.95</c:v>
                      </c:pt>
                      <c:pt idx="63">
                        <c:v>222.56</c:v>
                      </c:pt>
                      <c:pt idx="64">
                        <c:v>222.55</c:v>
                      </c:pt>
                      <c:pt idx="65">
                        <c:v>222.44</c:v>
                      </c:pt>
                      <c:pt idx="66">
                        <c:v>222.64</c:v>
                      </c:pt>
                      <c:pt idx="67">
                        <c:v>222.73</c:v>
                      </c:pt>
                      <c:pt idx="68">
                        <c:v>221.41</c:v>
                      </c:pt>
                      <c:pt idx="69">
                        <c:v>221.82</c:v>
                      </c:pt>
                      <c:pt idx="70">
                        <c:v>220.62</c:v>
                      </c:pt>
                      <c:pt idx="71">
                        <c:v>220.97</c:v>
                      </c:pt>
                      <c:pt idx="72">
                        <c:v>221.16</c:v>
                      </c:pt>
                      <c:pt idx="73">
                        <c:v>221.26</c:v>
                      </c:pt>
                      <c:pt idx="74">
                        <c:v>221.83</c:v>
                      </c:pt>
                      <c:pt idx="75">
                        <c:v>222.16</c:v>
                      </c:pt>
                      <c:pt idx="76">
                        <c:v>222.57</c:v>
                      </c:pt>
                      <c:pt idx="77">
                        <c:v>225.65</c:v>
                      </c:pt>
                      <c:pt idx="78">
                        <c:v>226.16</c:v>
                      </c:pt>
                      <c:pt idx="79">
                        <c:v>225.81</c:v>
                      </c:pt>
                      <c:pt idx="80">
                        <c:v>225.76</c:v>
                      </c:pt>
                      <c:pt idx="81">
                        <c:v>226.02</c:v>
                      </c:pt>
                      <c:pt idx="82">
                        <c:v>226.12</c:v>
                      </c:pt>
                      <c:pt idx="83">
                        <c:v>225.55</c:v>
                      </c:pt>
                      <c:pt idx="84">
                        <c:v>225.62</c:v>
                      </c:pt>
                      <c:pt idx="85">
                        <c:v>226.48</c:v>
                      </c:pt>
                      <c:pt idx="86">
                        <c:v>226.94</c:v>
                      </c:pt>
                      <c:pt idx="87">
                        <c:v>226.82</c:v>
                      </c:pt>
                      <c:pt idx="88">
                        <c:v>226.92</c:v>
                      </c:pt>
                      <c:pt idx="89">
                        <c:v>225.95</c:v>
                      </c:pt>
                      <c:pt idx="90">
                        <c:v>226.47</c:v>
                      </c:pt>
                      <c:pt idx="91">
                        <c:v>227.21</c:v>
                      </c:pt>
                      <c:pt idx="92">
                        <c:v>227.38</c:v>
                      </c:pt>
                      <c:pt idx="93">
                        <c:v>223.7</c:v>
                      </c:pt>
                      <c:pt idx="94">
                        <c:v>223.39</c:v>
                      </c:pt>
                      <c:pt idx="95">
                        <c:v>225.14</c:v>
                      </c:pt>
                      <c:pt idx="96">
                        <c:v>226.61</c:v>
                      </c:pt>
                      <c:pt idx="97">
                        <c:v>227.26</c:v>
                      </c:pt>
                      <c:pt idx="98">
                        <c:v>227.66</c:v>
                      </c:pt>
                      <c:pt idx="99">
                        <c:v>228.64</c:v>
                      </c:pt>
                      <c:pt idx="100">
                        <c:v>229.1</c:v>
                      </c:pt>
                      <c:pt idx="101">
                        <c:v>228.83</c:v>
                      </c:pt>
                      <c:pt idx="102">
                        <c:v>228.34</c:v>
                      </c:pt>
                      <c:pt idx="103">
                        <c:v>229.28</c:v>
                      </c:pt>
                      <c:pt idx="104">
                        <c:v>230.65</c:v>
                      </c:pt>
                      <c:pt idx="105">
                        <c:v>231.3</c:v>
                      </c:pt>
                      <c:pt idx="106">
                        <c:v>230.69</c:v>
                      </c:pt>
                      <c:pt idx="107">
                        <c:v>230.41</c:v>
                      </c:pt>
                      <c:pt idx="108">
                        <c:v>230.74</c:v>
                      </c:pt>
                      <c:pt idx="109">
                        <c:v>229.58</c:v>
                      </c:pt>
                      <c:pt idx="110">
                        <c:v>229.99</c:v>
                      </c:pt>
                      <c:pt idx="111">
                        <c:v>231.13</c:v>
                      </c:pt>
                      <c:pt idx="112">
                        <c:v>230.85</c:v>
                      </c:pt>
                      <c:pt idx="113">
                        <c:v>229.97</c:v>
                      </c:pt>
                      <c:pt idx="114">
                        <c:v>230.4</c:v>
                      </c:pt>
                      <c:pt idx="115">
                        <c:v>232.16</c:v>
                      </c:pt>
                      <c:pt idx="116">
                        <c:v>231.69</c:v>
                      </c:pt>
                      <c:pt idx="117">
                        <c:v>231.14</c:v>
                      </c:pt>
                      <c:pt idx="118">
                        <c:v>231.36</c:v>
                      </c:pt>
                      <c:pt idx="119">
                        <c:v>231.19</c:v>
                      </c:pt>
                      <c:pt idx="120">
                        <c:v>231.74</c:v>
                      </c:pt>
                      <c:pt idx="121">
                        <c:v>230.09</c:v>
                      </c:pt>
                      <c:pt idx="122">
                        <c:v>230.97</c:v>
                      </c:pt>
                      <c:pt idx="123">
                        <c:v>228.8</c:v>
                      </c:pt>
                      <c:pt idx="124">
                        <c:v>230.34</c:v>
                      </c:pt>
                      <c:pt idx="125">
                        <c:v>230.95</c:v>
                      </c:pt>
                      <c:pt idx="126">
                        <c:v>230.46</c:v>
                      </c:pt>
                      <c:pt idx="127">
                        <c:v>229.16</c:v>
                      </c:pt>
                      <c:pt idx="128">
                        <c:v>229.38</c:v>
                      </c:pt>
                      <c:pt idx="129">
                        <c:v>230.52</c:v>
                      </c:pt>
                      <c:pt idx="130">
                        <c:v>229.65</c:v>
                      </c:pt>
                      <c:pt idx="131">
                        <c:v>231.99</c:v>
                      </c:pt>
                      <c:pt idx="132">
                        <c:v>232.42</c:v>
                      </c:pt>
                      <c:pt idx="133">
                        <c:v>232.95</c:v>
                      </c:pt>
                      <c:pt idx="134">
                        <c:v>233.92</c:v>
                      </c:pt>
                      <c:pt idx="135">
                        <c:v>233.29</c:v>
                      </c:pt>
                      <c:pt idx="136">
                        <c:v>234.57</c:v>
                      </c:pt>
                      <c:pt idx="137">
                        <c:v>235.01</c:v>
                      </c:pt>
                      <c:pt idx="138">
                        <c:v>234.73</c:v>
                      </c:pt>
                      <c:pt idx="139">
                        <c:v>234.83</c:v>
                      </c:pt>
                      <c:pt idx="140">
                        <c:v>235.67</c:v>
                      </c:pt>
                      <c:pt idx="141">
                        <c:v>235.64</c:v>
                      </c:pt>
                      <c:pt idx="142">
                        <c:v>234.26</c:v>
                      </c:pt>
                      <c:pt idx="143">
                        <c:v>234.68</c:v>
                      </c:pt>
                      <c:pt idx="144">
                        <c:v>235.07</c:v>
                      </c:pt>
                      <c:pt idx="145">
                        <c:v>235.24</c:v>
                      </c:pt>
                      <c:pt idx="146">
                        <c:v>234.91</c:v>
                      </c:pt>
                      <c:pt idx="147">
                        <c:v>235.17</c:v>
                      </c:pt>
                      <c:pt idx="148">
                        <c:v>235.49</c:v>
                      </c:pt>
                      <c:pt idx="149">
                        <c:v>235.87</c:v>
                      </c:pt>
                      <c:pt idx="150">
                        <c:v>235.35</c:v>
                      </c:pt>
                      <c:pt idx="151">
                        <c:v>234.62</c:v>
                      </c:pt>
                      <c:pt idx="152">
                        <c:v>232.37</c:v>
                      </c:pt>
                      <c:pt idx="153">
                        <c:v>232.41</c:v>
                      </c:pt>
                      <c:pt idx="154">
                        <c:v>234.13</c:v>
                      </c:pt>
                      <c:pt idx="155">
                        <c:v>234.71</c:v>
                      </c:pt>
                      <c:pt idx="156">
                        <c:v>234.99</c:v>
                      </c:pt>
                      <c:pt idx="157">
                        <c:v>231.79</c:v>
                      </c:pt>
                      <c:pt idx="158">
                        <c:v>230.94</c:v>
                      </c:pt>
                      <c:pt idx="159">
                        <c:v>230.58</c:v>
                      </c:pt>
                      <c:pt idx="160">
                        <c:v>232.22</c:v>
                      </c:pt>
                      <c:pt idx="161">
                        <c:v>232.81</c:v>
                      </c:pt>
                      <c:pt idx="162">
                        <c:v>232.41</c:v>
                      </c:pt>
                      <c:pt idx="163">
                        <c:v>233.02</c:v>
                      </c:pt>
                      <c:pt idx="164">
                        <c:v>232.74</c:v>
                      </c:pt>
                      <c:pt idx="165">
                        <c:v>231.63</c:v>
                      </c:pt>
                      <c:pt idx="166">
                        <c:v>233.24</c:v>
                      </c:pt>
                      <c:pt idx="167">
                        <c:v>234.61</c:v>
                      </c:pt>
                      <c:pt idx="168">
                        <c:v>236.15</c:v>
                      </c:pt>
                      <c:pt idx="169">
                        <c:v>233.56</c:v>
                      </c:pt>
                      <c:pt idx="170">
                        <c:v>234.78</c:v>
                      </c:pt>
                      <c:pt idx="171">
                        <c:v>234.94</c:v>
                      </c:pt>
                      <c:pt idx="172">
                        <c:v>234.85</c:v>
                      </c:pt>
                      <c:pt idx="173">
                        <c:v>236.49</c:v>
                      </c:pt>
                      <c:pt idx="174">
                        <c:v>237.82</c:v>
                      </c:pt>
                      <c:pt idx="175">
                        <c:v>237.98</c:v>
                      </c:pt>
                      <c:pt idx="176">
                        <c:v>237.99</c:v>
                      </c:pt>
                      <c:pt idx="177">
                        <c:v>238.19</c:v>
                      </c:pt>
                      <c:pt idx="178">
                        <c:v>238.87</c:v>
                      </c:pt>
                      <c:pt idx="179">
                        <c:v>239.17</c:v>
                      </c:pt>
                      <c:pt idx="180">
                        <c:v>238.52</c:v>
                      </c:pt>
                      <c:pt idx="181">
                        <c:v>238.78</c:v>
                      </c:pt>
                      <c:pt idx="182">
                        <c:v>238.62</c:v>
                      </c:pt>
                      <c:pt idx="183">
                        <c:v>237.72</c:v>
                      </c:pt>
                      <c:pt idx="184">
                        <c:v>238.41</c:v>
                      </c:pt>
                      <c:pt idx="185">
                        <c:v>238.47</c:v>
                      </c:pt>
                      <c:pt idx="186">
                        <c:v>239.2</c:v>
                      </c:pt>
                      <c:pt idx="187">
                        <c:v>239.68</c:v>
                      </c:pt>
                      <c:pt idx="188">
                        <c:v>240.8</c:v>
                      </c:pt>
                      <c:pt idx="189">
                        <c:v>241.69</c:v>
                      </c:pt>
                      <c:pt idx="190">
                        <c:v>242.01</c:v>
                      </c:pt>
                      <c:pt idx="191">
                        <c:v>242.62</c:v>
                      </c:pt>
                      <c:pt idx="192">
                        <c:v>243.25</c:v>
                      </c:pt>
                      <c:pt idx="193">
                        <c:v>243.05</c:v>
                      </c:pt>
                      <c:pt idx="194">
                        <c:v>243.37</c:v>
                      </c:pt>
                      <c:pt idx="195">
                        <c:v>243.7</c:v>
                      </c:pt>
                      <c:pt idx="196">
                        <c:v>243.74</c:v>
                      </c:pt>
                      <c:pt idx="197">
                        <c:v>244</c:v>
                      </c:pt>
                      <c:pt idx="198">
                        <c:v>244.18</c:v>
                      </c:pt>
                      <c:pt idx="199">
                        <c:v>244.33</c:v>
                      </c:pt>
                      <c:pt idx="200">
                        <c:v>244.83</c:v>
                      </c:pt>
                      <c:pt idx="201">
                        <c:v>243.72</c:v>
                      </c:pt>
                      <c:pt idx="202">
                        <c:v>245.09</c:v>
                      </c:pt>
                      <c:pt idx="203">
                        <c:v>245.33</c:v>
                      </c:pt>
                      <c:pt idx="204">
                        <c:v>245.45</c:v>
                      </c:pt>
                      <c:pt idx="205">
                        <c:v>243.39</c:v>
                      </c:pt>
                      <c:pt idx="206">
                        <c:v>244.81</c:v>
                      </c:pt>
                      <c:pt idx="207">
                        <c:v>244.95</c:v>
                      </c:pt>
                      <c:pt idx="208">
                        <c:v>245.7</c:v>
                      </c:pt>
                      <c:pt idx="209">
                        <c:v>246.08</c:v>
                      </c:pt>
                      <c:pt idx="210">
                        <c:v>246.33</c:v>
                      </c:pt>
                      <c:pt idx="211">
                        <c:v>245.49</c:v>
                      </c:pt>
                      <c:pt idx="212">
                        <c:v>246.55</c:v>
                      </c:pt>
                      <c:pt idx="213">
                        <c:v>247.43</c:v>
                      </c:pt>
                      <c:pt idx="214">
                        <c:v>247.31</c:v>
                      </c:pt>
                      <c:pt idx="215">
                        <c:v>247.37</c:v>
                      </c:pt>
                      <c:pt idx="216">
                        <c:v>245.65</c:v>
                      </c:pt>
                      <c:pt idx="217">
                        <c:v>246.62</c:v>
                      </c:pt>
                      <c:pt idx="218">
                        <c:v>246.52</c:v>
                      </c:pt>
                      <c:pt idx="219">
                        <c:v>245.8</c:v>
                      </c:pt>
                      <c:pt idx="220">
                        <c:v>244.95</c:v>
                      </c:pt>
                      <c:pt idx="221">
                        <c:v>246.72</c:v>
                      </c:pt>
                      <c:pt idx="222">
                        <c:v>247</c:v>
                      </c:pt>
                      <c:pt idx="223">
                        <c:v>247.09</c:v>
                      </c:pt>
                      <c:pt idx="224">
                        <c:v>247.47</c:v>
                      </c:pt>
                      <c:pt idx="225">
                        <c:v>248.73</c:v>
                      </c:pt>
                      <c:pt idx="226">
                        <c:v>249.29</c:v>
                      </c:pt>
                      <c:pt idx="227">
                        <c:v>249.14</c:v>
                      </c:pt>
                      <c:pt idx="228">
                        <c:v>249.77</c:v>
                      </c:pt>
                      <c:pt idx="229">
                        <c:v>251.25</c:v>
                      </c:pt>
                      <c:pt idx="230">
                        <c:v>252.66</c:v>
                      </c:pt>
                      <c:pt idx="231">
                        <c:v>249.87</c:v>
                      </c:pt>
                      <c:pt idx="232">
                        <c:v>253.05</c:v>
                      </c:pt>
                      <c:pt idx="233">
                        <c:v>252.05</c:v>
                      </c:pt>
                      <c:pt idx="234">
                        <c:v>251.74</c:v>
                      </c:pt>
                      <c:pt idx="235">
                        <c:v>251.96</c:v>
                      </c:pt>
                      <c:pt idx="236">
                        <c:v>253</c:v>
                      </c:pt>
                      <c:pt idx="237">
                        <c:v>254.39</c:v>
                      </c:pt>
                      <c:pt idx="238">
                        <c:v>255.22</c:v>
                      </c:pt>
                      <c:pt idx="239">
                        <c:v>255.51</c:v>
                      </c:pt>
                      <c:pt idx="240">
                        <c:v>254.51</c:v>
                      </c:pt>
                      <c:pt idx="241">
                        <c:v>255.6</c:v>
                      </c:pt>
                      <c:pt idx="242">
                        <c:v>258.10000000000002</c:v>
                      </c:pt>
                      <c:pt idx="243">
                        <c:v>257.24</c:v>
                      </c:pt>
                      <c:pt idx="244">
                        <c:v>256.86</c:v>
                      </c:pt>
                      <c:pt idx="245">
                        <c:v>257.44</c:v>
                      </c:pt>
                      <c:pt idx="246">
                        <c:v>257.06</c:v>
                      </c:pt>
                      <c:pt idx="247">
                        <c:v>257.04000000000002</c:v>
                      </c:pt>
                      <c:pt idx="248">
                        <c:v>257.16000000000003</c:v>
                      </c:pt>
                      <c:pt idx="249">
                        <c:v>257.58999999999997</c:v>
                      </c:pt>
                      <c:pt idx="250">
                        <c:v>256.81</c:v>
                      </c:pt>
                      <c:pt idx="251">
                        <c:v>257.54000000000002</c:v>
                      </c:pt>
                      <c:pt idx="252">
                        <c:v>259.04000000000002</c:v>
                      </c:pt>
                      <c:pt idx="253">
                        <c:v>260.57</c:v>
                      </c:pt>
                      <c:pt idx="254">
                        <c:v>261.92</c:v>
                      </c:pt>
                      <c:pt idx="255">
                        <c:v>262.91000000000003</c:v>
                      </c:pt>
                      <c:pt idx="256">
                        <c:v>263.97000000000003</c:v>
                      </c:pt>
                      <c:pt idx="257">
                        <c:v>262.86</c:v>
                      </c:pt>
                      <c:pt idx="258">
                        <c:v>264.44</c:v>
                      </c:pt>
                      <c:pt idx="259">
                        <c:v>265.89999999999998</c:v>
                      </c:pt>
                      <c:pt idx="260">
                        <c:v>266</c:v>
                      </c:pt>
                      <c:pt idx="261">
                        <c:v>266.76</c:v>
                      </c:pt>
                      <c:pt idx="262">
                        <c:v>268.31</c:v>
                      </c:pt>
                      <c:pt idx="263">
                        <c:v>268.85000000000002</c:v>
                      </c:pt>
                      <c:pt idx="264">
                        <c:v>269.77999999999997</c:v>
                      </c:pt>
                      <c:pt idx="265">
                        <c:v>271.95999999999998</c:v>
                      </c:pt>
                      <c:pt idx="266">
                        <c:v>271.45</c:v>
                      </c:pt>
                      <c:pt idx="267">
                        <c:v>271.99</c:v>
                      </c:pt>
                      <c:pt idx="268">
                        <c:v>273.49</c:v>
                      </c:pt>
                      <c:pt idx="269">
                        <c:v>274.01</c:v>
                      </c:pt>
                      <c:pt idx="270">
                        <c:v>270.85000000000002</c:v>
                      </c:pt>
                      <c:pt idx="271">
                        <c:v>270.33</c:v>
                      </c:pt>
                      <c:pt idx="272">
                        <c:v>270.33</c:v>
                      </c:pt>
                      <c:pt idx="273">
                        <c:v>265.25</c:v>
                      </c:pt>
                      <c:pt idx="274">
                        <c:v>253.6</c:v>
                      </c:pt>
                      <c:pt idx="275">
                        <c:v>249.16</c:v>
                      </c:pt>
                      <c:pt idx="276">
                        <c:v>257.70999999999998</c:v>
                      </c:pt>
                      <c:pt idx="277">
                        <c:v>248.09</c:v>
                      </c:pt>
                      <c:pt idx="278">
                        <c:v>243.59</c:v>
                      </c:pt>
                      <c:pt idx="279">
                        <c:v>252.02</c:v>
                      </c:pt>
                      <c:pt idx="280">
                        <c:v>253.6</c:v>
                      </c:pt>
                      <c:pt idx="281">
                        <c:v>254.55</c:v>
                      </c:pt>
                      <c:pt idx="282">
                        <c:v>258.86</c:v>
                      </c:pt>
                      <c:pt idx="283">
                        <c:v>262.23</c:v>
                      </c:pt>
                      <c:pt idx="284">
                        <c:v>260.52999999999997</c:v>
                      </c:pt>
                      <c:pt idx="285">
                        <c:v>259.99</c:v>
                      </c:pt>
                      <c:pt idx="286">
                        <c:v>259.7</c:v>
                      </c:pt>
                      <c:pt idx="287">
                        <c:v>261.25</c:v>
                      </c:pt>
                      <c:pt idx="288">
                        <c:v>265.11</c:v>
                      </c:pt>
                      <c:pt idx="289">
                        <c:v>264.24</c:v>
                      </c:pt>
                      <c:pt idx="290">
                        <c:v>261.29000000000002</c:v>
                      </c:pt>
                      <c:pt idx="291">
                        <c:v>256.19</c:v>
                      </c:pt>
                      <c:pt idx="292">
                        <c:v>255.05</c:v>
                      </c:pt>
                      <c:pt idx="293">
                        <c:v>257.74</c:v>
                      </c:pt>
                      <c:pt idx="294">
                        <c:v>261.18</c:v>
                      </c:pt>
                      <c:pt idx="295">
                        <c:v>260.24</c:v>
                      </c:pt>
                      <c:pt idx="296">
                        <c:v>262.37</c:v>
                      </c:pt>
                      <c:pt idx="297">
                        <c:v>265.19</c:v>
                      </c:pt>
                      <c:pt idx="298">
                        <c:v>267.83</c:v>
                      </c:pt>
                      <c:pt idx="299">
                        <c:v>265.85000000000002</c:v>
                      </c:pt>
                      <c:pt idx="300">
                        <c:v>264.54000000000002</c:v>
                      </c:pt>
                      <c:pt idx="301">
                        <c:v>264.31</c:v>
                      </c:pt>
                      <c:pt idx="302">
                        <c:v>265.08999999999997</c:v>
                      </c:pt>
                      <c:pt idx="303">
                        <c:v>259.75</c:v>
                      </c:pt>
                      <c:pt idx="304">
                        <c:v>261.26</c:v>
                      </c:pt>
                      <c:pt idx="305">
                        <c:v>261.27</c:v>
                      </c:pt>
                      <c:pt idx="306">
                        <c:v>254.66</c:v>
                      </c:pt>
                      <c:pt idx="307">
                        <c:v>249.32</c:v>
                      </c:pt>
                      <c:pt idx="308">
                        <c:v>250.84</c:v>
                      </c:pt>
                      <c:pt idx="309">
                        <c:v>250.29</c:v>
                      </c:pt>
                      <c:pt idx="310">
                        <c:v>250.04</c:v>
                      </c:pt>
                      <c:pt idx="311">
                        <c:v>251.26</c:v>
                      </c:pt>
                      <c:pt idx="312">
                        <c:v>246.26</c:v>
                      </c:pt>
                      <c:pt idx="313">
                        <c:v>248.36</c:v>
                      </c:pt>
                      <c:pt idx="314">
                        <c:v>248.13</c:v>
                      </c:pt>
                      <c:pt idx="315">
                        <c:v>255.59</c:v>
                      </c:pt>
                      <c:pt idx="316">
                        <c:v>249.48</c:v>
                      </c:pt>
                      <c:pt idx="317">
                        <c:v>251.35</c:v>
                      </c:pt>
                      <c:pt idx="318">
                        <c:v>254.3</c:v>
                      </c:pt>
                      <c:pt idx="319">
                        <c:v>254.69</c:v>
                      </c:pt>
                      <c:pt idx="320">
                        <c:v>256.31</c:v>
                      </c:pt>
                      <c:pt idx="321">
                        <c:v>255.29</c:v>
                      </c:pt>
                      <c:pt idx="322">
                        <c:v>257.29000000000002</c:v>
                      </c:pt>
                      <c:pt idx="323">
                        <c:v>259.88</c:v>
                      </c:pt>
                      <c:pt idx="324">
                        <c:v>260.95999999999998</c:v>
                      </c:pt>
                      <c:pt idx="325">
                        <c:v>258.88</c:v>
                      </c:pt>
                      <c:pt idx="326">
                        <c:v>256.83999999999997</c:v>
                      </c:pt>
                      <c:pt idx="327">
                        <c:v>256.58999999999997</c:v>
                      </c:pt>
                      <c:pt idx="328">
                        <c:v>252.65</c:v>
                      </c:pt>
                      <c:pt idx="329">
                        <c:v>252.24</c:v>
                      </c:pt>
                      <c:pt idx="330">
                        <c:v>255.56</c:v>
                      </c:pt>
                      <c:pt idx="331">
                        <c:v>256.73</c:v>
                      </c:pt>
                      <c:pt idx="332">
                        <c:v>255.7</c:v>
                      </c:pt>
                      <c:pt idx="333">
                        <c:v>253.46</c:v>
                      </c:pt>
                      <c:pt idx="334">
                        <c:v>254.08</c:v>
                      </c:pt>
                      <c:pt idx="335">
                        <c:v>250.5</c:v>
                      </c:pt>
                      <c:pt idx="336">
                        <c:v>252.53</c:v>
                      </c:pt>
                      <c:pt idx="337">
                        <c:v>257.32</c:v>
                      </c:pt>
                      <c:pt idx="338">
                        <c:v>256.39999999999998</c:v>
                      </c:pt>
                      <c:pt idx="339">
                        <c:v>258.27</c:v>
                      </c:pt>
                      <c:pt idx="340">
                        <c:v>261.3</c:v>
                      </c:pt>
                      <c:pt idx="341">
                        <c:v>262.61</c:v>
                      </c:pt>
                      <c:pt idx="342">
                        <c:v>263.37</c:v>
                      </c:pt>
                      <c:pt idx="343">
                        <c:v>261.11</c:v>
                      </c:pt>
                      <c:pt idx="344">
                        <c:v>262.16000000000003</c:v>
                      </c:pt>
                      <c:pt idx="345">
                        <c:v>262.18</c:v>
                      </c:pt>
                      <c:pt idx="346">
                        <c:v>261.98</c:v>
                      </c:pt>
                      <c:pt idx="347">
                        <c:v>262.39</c:v>
                      </c:pt>
                      <c:pt idx="348">
                        <c:v>263.25</c:v>
                      </c:pt>
                      <c:pt idx="349">
                        <c:v>262.04000000000002</c:v>
                      </c:pt>
                      <c:pt idx="350">
                        <c:v>261.83999999999997</c:v>
                      </c:pt>
                      <c:pt idx="351">
                        <c:v>262.61</c:v>
                      </c:pt>
                      <c:pt idx="352">
                        <c:v>258.92</c:v>
                      </c:pt>
                      <c:pt idx="353">
                        <c:v>261.49</c:v>
                      </c:pt>
                      <c:pt idx="354">
                        <c:v>261.33</c:v>
                      </c:pt>
                      <c:pt idx="355">
                        <c:v>263.33999999999997</c:v>
                      </c:pt>
                      <c:pt idx="356">
                        <c:v>265.2</c:v>
                      </c:pt>
                      <c:pt idx="357">
                        <c:v>265.13</c:v>
                      </c:pt>
                      <c:pt idx="358">
                        <c:v>266.01</c:v>
                      </c:pt>
                      <c:pt idx="359">
                        <c:v>267.22000000000003</c:v>
                      </c:pt>
                      <c:pt idx="360">
                        <c:v>267.52999999999997</c:v>
                      </c:pt>
                      <c:pt idx="361">
                        <c:v>269.12</c:v>
                      </c:pt>
                      <c:pt idx="362">
                        <c:v>269</c:v>
                      </c:pt>
                      <c:pt idx="363">
                        <c:v>268.63</c:v>
                      </c:pt>
                      <c:pt idx="364">
                        <c:v>268.88</c:v>
                      </c:pt>
                      <c:pt idx="365">
                        <c:v>267.45</c:v>
                      </c:pt>
                      <c:pt idx="366">
                        <c:v>267.07</c:v>
                      </c:pt>
                      <c:pt idx="367">
                        <c:v>265.69</c:v>
                      </c:pt>
                      <c:pt idx="368">
                        <c:v>267.69</c:v>
                      </c:pt>
                      <c:pt idx="369">
                        <c:v>265.83</c:v>
                      </c:pt>
                      <c:pt idx="370">
                        <c:v>266.62</c:v>
                      </c:pt>
                      <c:pt idx="371">
                        <c:v>261.38</c:v>
                      </c:pt>
                      <c:pt idx="372">
                        <c:v>263.02</c:v>
                      </c:pt>
                      <c:pt idx="373">
                        <c:v>261.45999999999998</c:v>
                      </c:pt>
                      <c:pt idx="374">
                        <c:v>260.79000000000002</c:v>
                      </c:pt>
                      <c:pt idx="375">
                        <c:v>263.37</c:v>
                      </c:pt>
                      <c:pt idx="376">
                        <c:v>261.52</c:v>
                      </c:pt>
                      <c:pt idx="377">
                        <c:v>262.67</c:v>
                      </c:pt>
                      <c:pt idx="378">
                        <c:v>263.19</c:v>
                      </c:pt>
                      <c:pt idx="379">
                        <c:v>264.89</c:v>
                      </c:pt>
                      <c:pt idx="380">
                        <c:v>268.57</c:v>
                      </c:pt>
                      <c:pt idx="381">
                        <c:v>270.11</c:v>
                      </c:pt>
                      <c:pt idx="382">
                        <c:v>268.58999999999997</c:v>
                      </c:pt>
                      <c:pt idx="383">
                        <c:v>269.64</c:v>
                      </c:pt>
                      <c:pt idx="384">
                        <c:v>270.67</c:v>
                      </c:pt>
                      <c:pt idx="385">
                        <c:v>270.83999999999997</c:v>
                      </c:pt>
                      <c:pt idx="386">
                        <c:v>270.43</c:v>
                      </c:pt>
                      <c:pt idx="387">
                        <c:v>272.02999999999997</c:v>
                      </c:pt>
                      <c:pt idx="388">
                        <c:v>271.45</c:v>
                      </c:pt>
                      <c:pt idx="389">
                        <c:v>271.48</c:v>
                      </c:pt>
                      <c:pt idx="390">
                        <c:v>271.06</c:v>
                      </c:pt>
                      <c:pt idx="391">
                        <c:v>272.58</c:v>
                      </c:pt>
                      <c:pt idx="392">
                        <c:v>273.20999999999998</c:v>
                      </c:pt>
                      <c:pt idx="393">
                        <c:v>274.97000000000003</c:v>
                      </c:pt>
                      <c:pt idx="394">
                        <c:v>272.33999999999997</c:v>
                      </c:pt>
                      <c:pt idx="395">
                        <c:v>271.35000000000002</c:v>
                      </c:pt>
                      <c:pt idx="396">
                        <c:v>272.33999999999997</c:v>
                      </c:pt>
                      <c:pt idx="397">
                        <c:v>272.10000000000002</c:v>
                      </c:pt>
                      <c:pt idx="398">
                        <c:v>271.14999999999998</c:v>
                      </c:pt>
                      <c:pt idx="399">
                        <c:v>274.23</c:v>
                      </c:pt>
                      <c:pt idx="400">
                        <c:v>275.08</c:v>
                      </c:pt>
                      <c:pt idx="401">
                        <c:v>277.06</c:v>
                      </c:pt>
                      <c:pt idx="402">
                        <c:v>276.77</c:v>
                      </c:pt>
                      <c:pt idx="403">
                        <c:v>276.74</c:v>
                      </c:pt>
                      <c:pt idx="404">
                        <c:v>274.26</c:v>
                      </c:pt>
                      <c:pt idx="405">
                        <c:v>273.69</c:v>
                      </c:pt>
                      <c:pt idx="406">
                        <c:v>274.38</c:v>
                      </c:pt>
                      <c:pt idx="407">
                        <c:v>272.13</c:v>
                      </c:pt>
                      <c:pt idx="408">
                        <c:v>275.23</c:v>
                      </c:pt>
                      <c:pt idx="409">
                        <c:v>275.24</c:v>
                      </c:pt>
                      <c:pt idx="410">
                        <c:v>276.89</c:v>
                      </c:pt>
                      <c:pt idx="411">
                        <c:v>277.52</c:v>
                      </c:pt>
                      <c:pt idx="412">
                        <c:v>277.39</c:v>
                      </c:pt>
                      <c:pt idx="413">
                        <c:v>277.24</c:v>
                      </c:pt>
                      <c:pt idx="414">
                        <c:v>278.17</c:v>
                      </c:pt>
                      <c:pt idx="415">
                        <c:v>280.39999999999998</c:v>
                      </c:pt>
                      <c:pt idx="416">
                        <c:v>281.10000000000002</c:v>
                      </c:pt>
                      <c:pt idx="417">
                        <c:v>281.57</c:v>
                      </c:pt>
                      <c:pt idx="418">
                        <c:v>281.32</c:v>
                      </c:pt>
                      <c:pt idx="419">
                        <c:v>280.99</c:v>
                      </c:pt>
                      <c:pt idx="420">
                        <c:v>280.39999999999998</c:v>
                      </c:pt>
                      <c:pt idx="421">
                        <c:v>279.63</c:v>
                      </c:pt>
                      <c:pt idx="422">
                        <c:v>278.77</c:v>
                      </c:pt>
                      <c:pt idx="423">
                        <c:v>278.49</c:v>
                      </c:pt>
                      <c:pt idx="424">
                        <c:v>279.62</c:v>
                      </c:pt>
                      <c:pt idx="425">
                        <c:v>278.75</c:v>
                      </c:pt>
                      <c:pt idx="426">
                        <c:v>279.95999999999998</c:v>
                      </c:pt>
                      <c:pt idx="427">
                        <c:v>281.68</c:v>
                      </c:pt>
                      <c:pt idx="428">
                        <c:v>281.68</c:v>
                      </c:pt>
                      <c:pt idx="429">
                        <c:v>280.74</c:v>
                      </c:pt>
                      <c:pt idx="430">
                        <c:v>281.25</c:v>
                      </c:pt>
                      <c:pt idx="431">
                        <c:v>282.48</c:v>
                      </c:pt>
                      <c:pt idx="432">
                        <c:v>282.88</c:v>
                      </c:pt>
                      <c:pt idx="433">
                        <c:v>284.72000000000003</c:v>
                      </c:pt>
                      <c:pt idx="434">
                        <c:v>283.32</c:v>
                      </c:pt>
                      <c:pt idx="435">
                        <c:v>283.43</c:v>
                      </c:pt>
                      <c:pt idx="436">
                        <c:v>282.38</c:v>
                      </c:pt>
                      <c:pt idx="437">
                        <c:v>283.06</c:v>
                      </c:pt>
                      <c:pt idx="438">
                        <c:v>282.91000000000003</c:v>
                      </c:pt>
                      <c:pt idx="439">
                        <c:v>283.91000000000003</c:v>
                      </c:pt>
                      <c:pt idx="440">
                        <c:v>284.07</c:v>
                      </c:pt>
                      <c:pt idx="441">
                        <c:v>284.25</c:v>
                      </c:pt>
                      <c:pt idx="442">
                        <c:v>280.68</c:v>
                      </c:pt>
                      <c:pt idx="443">
                        <c:v>279.27</c:v>
                      </c:pt>
                      <c:pt idx="444">
                        <c:v>278.57</c:v>
                      </c:pt>
                      <c:pt idx="445">
                        <c:v>279.81</c:v>
                      </c:pt>
                      <c:pt idx="446">
                        <c:v>271.13</c:v>
                      </c:pt>
                      <c:pt idx="447">
                        <c:v>263.8</c:v>
                      </c:pt>
                      <c:pt idx="448">
                        <c:v>265.76</c:v>
                      </c:pt>
                      <c:pt idx="449">
                        <c:v>267.64</c:v>
                      </c:pt>
                      <c:pt idx="450">
                        <c:v>269.37</c:v>
                      </c:pt>
                      <c:pt idx="451">
                        <c:v>270.82</c:v>
                      </c:pt>
                      <c:pt idx="452">
                        <c:v>268.29000000000002</c:v>
                      </c:pt>
                      <c:pt idx="453">
                        <c:v>268.77999999999997</c:v>
                      </c:pt>
                      <c:pt idx="454">
                        <c:v>267.75</c:v>
                      </c:pt>
                      <c:pt idx="455">
                        <c:v>262.08999999999997</c:v>
                      </c:pt>
                      <c:pt idx="456">
                        <c:v>258.27</c:v>
                      </c:pt>
                      <c:pt idx="457">
                        <c:v>259.77</c:v>
                      </c:pt>
                      <c:pt idx="458">
                        <c:v>255.92</c:v>
                      </c:pt>
                      <c:pt idx="459">
                        <c:v>253.54</c:v>
                      </c:pt>
                      <c:pt idx="460">
                        <c:v>256.73</c:v>
                      </c:pt>
                      <c:pt idx="461">
                        <c:v>263.56</c:v>
                      </c:pt>
                      <c:pt idx="462">
                        <c:v>263.81</c:v>
                      </c:pt>
                      <c:pt idx="463">
                        <c:v>263.04000000000002</c:v>
                      </c:pt>
                      <c:pt idx="464">
                        <c:v>264.76</c:v>
                      </c:pt>
                      <c:pt idx="465">
                        <c:v>266.62</c:v>
                      </c:pt>
                      <c:pt idx="466">
                        <c:v>270.35000000000002</c:v>
                      </c:pt>
                      <c:pt idx="467">
                        <c:v>272.44</c:v>
                      </c:pt>
                      <c:pt idx="468">
                        <c:v>269.47000000000003</c:v>
                      </c:pt>
                      <c:pt idx="469">
                        <c:v>265.39</c:v>
                      </c:pt>
                      <c:pt idx="470">
                        <c:v>264.66000000000003</c:v>
                      </c:pt>
                      <c:pt idx="471">
                        <c:v>261.93</c:v>
                      </c:pt>
                      <c:pt idx="472">
                        <c:v>260.52999999999997</c:v>
                      </c:pt>
                      <c:pt idx="473">
                        <c:v>264.62</c:v>
                      </c:pt>
                      <c:pt idx="474">
                        <c:v>261.56</c:v>
                      </c:pt>
                      <c:pt idx="475">
                        <c:v>256.76</c:v>
                      </c:pt>
                      <c:pt idx="476">
                        <c:v>258.58</c:v>
                      </c:pt>
                      <c:pt idx="477">
                        <c:v>256.68</c:v>
                      </c:pt>
                      <c:pt idx="478">
                        <c:v>258.89999999999998</c:v>
                      </c:pt>
                      <c:pt idx="479">
                        <c:v>259.20999999999998</c:v>
                      </c:pt>
                      <c:pt idx="480">
                        <c:v>261.81</c:v>
                      </c:pt>
                      <c:pt idx="481">
                        <c:v>265.82</c:v>
                      </c:pt>
                      <c:pt idx="482">
                        <c:v>266.81</c:v>
                      </c:pt>
                      <c:pt idx="483">
                        <c:v>270.77</c:v>
                      </c:pt>
                      <c:pt idx="484">
                        <c:v>263.35000000000002</c:v>
                      </c:pt>
                      <c:pt idx="485">
                        <c:v>256.07</c:v>
                      </c:pt>
                      <c:pt idx="486">
                        <c:v>256.25</c:v>
                      </c:pt>
                      <c:pt idx="487">
                        <c:v>252.34</c:v>
                      </c:pt>
                      <c:pt idx="488">
                        <c:v>256.11</c:v>
                      </c:pt>
                      <c:pt idx="489">
                        <c:v>258.93</c:v>
                      </c:pt>
                      <c:pt idx="490">
                        <c:v>257.70999999999998</c:v>
                      </c:pt>
                      <c:pt idx="491">
                        <c:v>253.54</c:v>
                      </c:pt>
                      <c:pt idx="492">
                        <c:v>247.37</c:v>
                      </c:pt>
                      <c:pt idx="493">
                        <c:v>247.13</c:v>
                      </c:pt>
                      <c:pt idx="494">
                        <c:v>243.3</c:v>
                      </c:pt>
                      <c:pt idx="495">
                        <c:v>238.71</c:v>
                      </c:pt>
                      <c:pt idx="496">
                        <c:v>235.52</c:v>
                      </c:pt>
                      <c:pt idx="497">
                        <c:v>229.92</c:v>
                      </c:pt>
                      <c:pt idx="498">
                        <c:v>229.42</c:v>
                      </c:pt>
                      <c:pt idx="499">
                        <c:v>234.52</c:v>
                      </c:pt>
                      <c:pt idx="500">
                        <c:v>241.87</c:v>
                      </c:pt>
                      <c:pt idx="501">
                        <c:v>242.87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3B1-435E-951E-F193134819B0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290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HighLowType!$F$1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HighLowType!$F$2:$F$504</c:f>
              <c:numCache>
                <c:formatCode>_("$"* #,##0.00_);_("$"* \(#,##0.00\);_("$"* "-"??_);_(@_)</c:formatCode>
                <c:ptCount val="503"/>
                <c:pt idx="0">
                  <c:v>212.8</c:v>
                </c:pt>
                <c:pt idx="1">
                  <c:v>214.06</c:v>
                </c:pt>
                <c:pt idx="2">
                  <c:v>213.89</c:v>
                </c:pt>
                <c:pt idx="3">
                  <c:v>214.66</c:v>
                </c:pt>
                <c:pt idx="4">
                  <c:v>213.95</c:v>
                </c:pt>
                <c:pt idx="5">
                  <c:v>213.95</c:v>
                </c:pt>
                <c:pt idx="6">
                  <c:v>214.55</c:v>
                </c:pt>
                <c:pt idx="7">
                  <c:v>214.02</c:v>
                </c:pt>
                <c:pt idx="8">
                  <c:v>214.51</c:v>
                </c:pt>
                <c:pt idx="9">
                  <c:v>213.75</c:v>
                </c:pt>
                <c:pt idx="10">
                  <c:v>214.22</c:v>
                </c:pt>
                <c:pt idx="11">
                  <c:v>213.43</c:v>
                </c:pt>
                <c:pt idx="12">
                  <c:v>214.21</c:v>
                </c:pt>
                <c:pt idx="13">
                  <c:v>213.66</c:v>
                </c:pt>
                <c:pt idx="14">
                  <c:v>215.03</c:v>
                </c:pt>
                <c:pt idx="15">
                  <c:v>216.89</c:v>
                </c:pt>
                <c:pt idx="16">
                  <c:v>216.66</c:v>
                </c:pt>
                <c:pt idx="17">
                  <c:v>216.32</c:v>
                </c:pt>
                <c:pt idx="18">
                  <c:v>214.98</c:v>
                </c:pt>
                <c:pt idx="19">
                  <c:v>214.96</c:v>
                </c:pt>
                <c:pt idx="20">
                  <c:v>215.05</c:v>
                </c:pt>
                <c:pt idx="21">
                  <c:v>215.19</c:v>
                </c:pt>
                <c:pt idx="22">
                  <c:v>216.67</c:v>
                </c:pt>
                <c:pt idx="23">
                  <c:v>216.28</c:v>
                </c:pt>
                <c:pt idx="24">
                  <c:v>216.29</c:v>
                </c:pt>
                <c:pt idx="25">
                  <c:v>216.58</c:v>
                </c:pt>
                <c:pt idx="26">
                  <c:v>217.86</c:v>
                </c:pt>
                <c:pt idx="27">
                  <c:v>218.72</c:v>
                </c:pt>
                <c:pt idx="28">
                  <c:v>219.91</c:v>
                </c:pt>
                <c:pt idx="29">
                  <c:v>220.79</c:v>
                </c:pt>
                <c:pt idx="30">
                  <c:v>221.94</c:v>
                </c:pt>
                <c:pt idx="31">
                  <c:v>221.75</c:v>
                </c:pt>
                <c:pt idx="32">
                  <c:v>222.1</c:v>
                </c:pt>
                <c:pt idx="33">
                  <c:v>223.43</c:v>
                </c:pt>
                <c:pt idx="34">
                  <c:v>223.23</c:v>
                </c:pt>
                <c:pt idx="35">
                  <c:v>223.38</c:v>
                </c:pt>
                <c:pt idx="36">
                  <c:v>223.66</c:v>
                </c:pt>
                <c:pt idx="37">
                  <c:v>224.01</c:v>
                </c:pt>
                <c:pt idx="38">
                  <c:v>223.41</c:v>
                </c:pt>
                <c:pt idx="39">
                  <c:v>226.53</c:v>
                </c:pt>
                <c:pt idx="40">
                  <c:v>225.11</c:v>
                </c:pt>
                <c:pt idx="41">
                  <c:v>225.25</c:v>
                </c:pt>
                <c:pt idx="42">
                  <c:v>224.58</c:v>
                </c:pt>
                <c:pt idx="43">
                  <c:v>223.91</c:v>
                </c:pt>
                <c:pt idx="44">
                  <c:v>223.49</c:v>
                </c:pt>
                <c:pt idx="45">
                  <c:v>223.78</c:v>
                </c:pt>
                <c:pt idx="46">
                  <c:v>224.56</c:v>
                </c:pt>
                <c:pt idx="47">
                  <c:v>224.67</c:v>
                </c:pt>
                <c:pt idx="48">
                  <c:v>223.81</c:v>
                </c:pt>
                <c:pt idx="49">
                  <c:v>225.75</c:v>
                </c:pt>
                <c:pt idx="50">
                  <c:v>225.31</c:v>
                </c:pt>
                <c:pt idx="51">
                  <c:v>224.91</c:v>
                </c:pt>
                <c:pt idx="52">
                  <c:v>224.66</c:v>
                </c:pt>
                <c:pt idx="53">
                  <c:v>221.78</c:v>
                </c:pt>
                <c:pt idx="54">
                  <c:v>222.3</c:v>
                </c:pt>
                <c:pt idx="55">
                  <c:v>222.06</c:v>
                </c:pt>
                <c:pt idx="56">
                  <c:v>221.9</c:v>
                </c:pt>
                <c:pt idx="57">
                  <c:v>221.67</c:v>
                </c:pt>
                <c:pt idx="58">
                  <c:v>223.29</c:v>
                </c:pt>
                <c:pt idx="59">
                  <c:v>223.5</c:v>
                </c:pt>
                <c:pt idx="60">
                  <c:v>224.21</c:v>
                </c:pt>
                <c:pt idx="61">
                  <c:v>223.69</c:v>
                </c:pt>
                <c:pt idx="62">
                  <c:v>223.3</c:v>
                </c:pt>
                <c:pt idx="63">
                  <c:v>223.44</c:v>
                </c:pt>
                <c:pt idx="64">
                  <c:v>222.78</c:v>
                </c:pt>
                <c:pt idx="65">
                  <c:v>223.4</c:v>
                </c:pt>
                <c:pt idx="66">
                  <c:v>223.17</c:v>
                </c:pt>
                <c:pt idx="67">
                  <c:v>223.31</c:v>
                </c:pt>
                <c:pt idx="68">
                  <c:v>223.04</c:v>
                </c:pt>
                <c:pt idx="69">
                  <c:v>222.06</c:v>
                </c:pt>
                <c:pt idx="70">
                  <c:v>220.62</c:v>
                </c:pt>
                <c:pt idx="71">
                  <c:v>222.58</c:v>
                </c:pt>
                <c:pt idx="72">
                  <c:v>221.91</c:v>
                </c:pt>
                <c:pt idx="73">
                  <c:v>221.5</c:v>
                </c:pt>
                <c:pt idx="74">
                  <c:v>223.31</c:v>
                </c:pt>
                <c:pt idx="75">
                  <c:v>222.6</c:v>
                </c:pt>
                <c:pt idx="76">
                  <c:v>225.04</c:v>
                </c:pt>
                <c:pt idx="77">
                  <c:v>226.35</c:v>
                </c:pt>
                <c:pt idx="78">
                  <c:v>226.21</c:v>
                </c:pt>
                <c:pt idx="79">
                  <c:v>226.4</c:v>
                </c:pt>
                <c:pt idx="80">
                  <c:v>225.91</c:v>
                </c:pt>
                <c:pt idx="81">
                  <c:v>226.48</c:v>
                </c:pt>
                <c:pt idx="82">
                  <c:v>226.56</c:v>
                </c:pt>
                <c:pt idx="83">
                  <c:v>226.29</c:v>
                </c:pt>
                <c:pt idx="84">
                  <c:v>226.55</c:v>
                </c:pt>
                <c:pt idx="85">
                  <c:v>227.44</c:v>
                </c:pt>
                <c:pt idx="86">
                  <c:v>227.41</c:v>
                </c:pt>
                <c:pt idx="87">
                  <c:v>227.2</c:v>
                </c:pt>
                <c:pt idx="88">
                  <c:v>227.61</c:v>
                </c:pt>
                <c:pt idx="89">
                  <c:v>227.14</c:v>
                </c:pt>
                <c:pt idx="90">
                  <c:v>226.76</c:v>
                </c:pt>
                <c:pt idx="91">
                  <c:v>228.01</c:v>
                </c:pt>
                <c:pt idx="92">
                  <c:v>227.8</c:v>
                </c:pt>
                <c:pt idx="93">
                  <c:v>223.76</c:v>
                </c:pt>
                <c:pt idx="94">
                  <c:v>224.66</c:v>
                </c:pt>
                <c:pt idx="95">
                  <c:v>226.12</c:v>
                </c:pt>
                <c:pt idx="96">
                  <c:v>227.27</c:v>
                </c:pt>
                <c:pt idx="97">
                  <c:v>227.78</c:v>
                </c:pt>
                <c:pt idx="98">
                  <c:v>228.31</c:v>
                </c:pt>
                <c:pt idx="99">
                  <c:v>229.4</c:v>
                </c:pt>
                <c:pt idx="100">
                  <c:v>229.35</c:v>
                </c:pt>
                <c:pt idx="101">
                  <c:v>229.15</c:v>
                </c:pt>
                <c:pt idx="102">
                  <c:v>229.09</c:v>
                </c:pt>
                <c:pt idx="103">
                  <c:v>230.92</c:v>
                </c:pt>
                <c:pt idx="104">
                  <c:v>231.69</c:v>
                </c:pt>
                <c:pt idx="105">
                  <c:v>231.51</c:v>
                </c:pt>
                <c:pt idx="106">
                  <c:v>230.77</c:v>
                </c:pt>
                <c:pt idx="107">
                  <c:v>231.2</c:v>
                </c:pt>
                <c:pt idx="108">
                  <c:v>231.32</c:v>
                </c:pt>
                <c:pt idx="109">
                  <c:v>230.96</c:v>
                </c:pt>
                <c:pt idx="110">
                  <c:v>230.92</c:v>
                </c:pt>
                <c:pt idx="111">
                  <c:v>232.05</c:v>
                </c:pt>
                <c:pt idx="112">
                  <c:v>231.75</c:v>
                </c:pt>
                <c:pt idx="113">
                  <c:v>231.31</c:v>
                </c:pt>
                <c:pt idx="114">
                  <c:v>231.36</c:v>
                </c:pt>
                <c:pt idx="115">
                  <c:v>233.28</c:v>
                </c:pt>
                <c:pt idx="116">
                  <c:v>231.71</c:v>
                </c:pt>
                <c:pt idx="117">
                  <c:v>231.65</c:v>
                </c:pt>
                <c:pt idx="118">
                  <c:v>231.55</c:v>
                </c:pt>
                <c:pt idx="119">
                  <c:v>231.82</c:v>
                </c:pt>
                <c:pt idx="120">
                  <c:v>231.98</c:v>
                </c:pt>
                <c:pt idx="121">
                  <c:v>230.11</c:v>
                </c:pt>
                <c:pt idx="122">
                  <c:v>232.17</c:v>
                </c:pt>
                <c:pt idx="123">
                  <c:v>230.13</c:v>
                </c:pt>
                <c:pt idx="124">
                  <c:v>230.56</c:v>
                </c:pt>
                <c:pt idx="125">
                  <c:v>230.95</c:v>
                </c:pt>
                <c:pt idx="126">
                  <c:v>231.48</c:v>
                </c:pt>
                <c:pt idx="127">
                  <c:v>229.36</c:v>
                </c:pt>
                <c:pt idx="128">
                  <c:v>230.85</c:v>
                </c:pt>
                <c:pt idx="129">
                  <c:v>231.1</c:v>
                </c:pt>
                <c:pt idx="130">
                  <c:v>230.93</c:v>
                </c:pt>
                <c:pt idx="131">
                  <c:v>232.66</c:v>
                </c:pt>
                <c:pt idx="132">
                  <c:v>233.05</c:v>
                </c:pt>
                <c:pt idx="133">
                  <c:v>234.14</c:v>
                </c:pt>
                <c:pt idx="134">
                  <c:v>234.11</c:v>
                </c:pt>
                <c:pt idx="135">
                  <c:v>234.24</c:v>
                </c:pt>
                <c:pt idx="136">
                  <c:v>235.5</c:v>
                </c:pt>
                <c:pt idx="137">
                  <c:v>235.61</c:v>
                </c:pt>
                <c:pt idx="138">
                  <c:v>235.4</c:v>
                </c:pt>
                <c:pt idx="139">
                  <c:v>235.34</c:v>
                </c:pt>
                <c:pt idx="140">
                  <c:v>235.91</c:v>
                </c:pt>
                <c:pt idx="141">
                  <c:v>235.92</c:v>
                </c:pt>
                <c:pt idx="142">
                  <c:v>235.7</c:v>
                </c:pt>
                <c:pt idx="143">
                  <c:v>235.43</c:v>
                </c:pt>
                <c:pt idx="144">
                  <c:v>235.29</c:v>
                </c:pt>
                <c:pt idx="145">
                  <c:v>235.82</c:v>
                </c:pt>
                <c:pt idx="146">
                  <c:v>235.93</c:v>
                </c:pt>
                <c:pt idx="147">
                  <c:v>235.48</c:v>
                </c:pt>
                <c:pt idx="148">
                  <c:v>235.9</c:v>
                </c:pt>
                <c:pt idx="149">
                  <c:v>236.34</c:v>
                </c:pt>
                <c:pt idx="150">
                  <c:v>235.76</c:v>
                </c:pt>
                <c:pt idx="151">
                  <c:v>235.75</c:v>
                </c:pt>
                <c:pt idx="152">
                  <c:v>232.42</c:v>
                </c:pt>
                <c:pt idx="153">
                  <c:v>232.77</c:v>
                </c:pt>
                <c:pt idx="154">
                  <c:v>235.07</c:v>
                </c:pt>
                <c:pt idx="155">
                  <c:v>235.05</c:v>
                </c:pt>
                <c:pt idx="156">
                  <c:v>235.46</c:v>
                </c:pt>
                <c:pt idx="157">
                  <c:v>231.79</c:v>
                </c:pt>
                <c:pt idx="158">
                  <c:v>231.42</c:v>
                </c:pt>
                <c:pt idx="159">
                  <c:v>231.6</c:v>
                </c:pt>
                <c:pt idx="160">
                  <c:v>234.03</c:v>
                </c:pt>
                <c:pt idx="161">
                  <c:v>233.19</c:v>
                </c:pt>
                <c:pt idx="162">
                  <c:v>232.64</c:v>
                </c:pt>
                <c:pt idx="163">
                  <c:v>233.19</c:v>
                </c:pt>
                <c:pt idx="164">
                  <c:v>233.2</c:v>
                </c:pt>
                <c:pt idx="165">
                  <c:v>233.46</c:v>
                </c:pt>
                <c:pt idx="166">
                  <c:v>234.57</c:v>
                </c:pt>
                <c:pt idx="167">
                  <c:v>235.98</c:v>
                </c:pt>
                <c:pt idx="168">
                  <c:v>236.31</c:v>
                </c:pt>
                <c:pt idx="169">
                  <c:v>234.62</c:v>
                </c:pt>
                <c:pt idx="170">
                  <c:v>235.42</c:v>
                </c:pt>
                <c:pt idx="171">
                  <c:v>235.39</c:v>
                </c:pt>
                <c:pt idx="172">
                  <c:v>235.11</c:v>
                </c:pt>
                <c:pt idx="173">
                  <c:v>237.62</c:v>
                </c:pt>
                <c:pt idx="174">
                  <c:v>238.42</c:v>
                </c:pt>
                <c:pt idx="175">
                  <c:v>238.54</c:v>
                </c:pt>
                <c:pt idx="176">
                  <c:v>238.46</c:v>
                </c:pt>
                <c:pt idx="177">
                  <c:v>238.78</c:v>
                </c:pt>
                <c:pt idx="178">
                  <c:v>239.29</c:v>
                </c:pt>
                <c:pt idx="179">
                  <c:v>239.53</c:v>
                </c:pt>
                <c:pt idx="180">
                  <c:v>239.61</c:v>
                </c:pt>
                <c:pt idx="181">
                  <c:v>238.97</c:v>
                </c:pt>
                <c:pt idx="182">
                  <c:v>239.02</c:v>
                </c:pt>
                <c:pt idx="183">
                  <c:v>238.53</c:v>
                </c:pt>
                <c:pt idx="184">
                  <c:v>238.68</c:v>
                </c:pt>
                <c:pt idx="185">
                  <c:v>239.6</c:v>
                </c:pt>
                <c:pt idx="186">
                  <c:v>239.89</c:v>
                </c:pt>
                <c:pt idx="187">
                  <c:v>240.74</c:v>
                </c:pt>
                <c:pt idx="188">
                  <c:v>241.78</c:v>
                </c:pt>
                <c:pt idx="189">
                  <c:v>242.3</c:v>
                </c:pt>
                <c:pt idx="190">
                  <c:v>242.58</c:v>
                </c:pt>
                <c:pt idx="191">
                  <c:v>244.02</c:v>
                </c:pt>
                <c:pt idx="192">
                  <c:v>243.74</c:v>
                </c:pt>
                <c:pt idx="193">
                  <c:v>243.34</c:v>
                </c:pt>
                <c:pt idx="194">
                  <c:v>243.98</c:v>
                </c:pt>
                <c:pt idx="195">
                  <c:v>244.37</c:v>
                </c:pt>
                <c:pt idx="196">
                  <c:v>244</c:v>
                </c:pt>
                <c:pt idx="197">
                  <c:v>244.3</c:v>
                </c:pt>
                <c:pt idx="198">
                  <c:v>244.63</c:v>
                </c:pt>
                <c:pt idx="199">
                  <c:v>244.8</c:v>
                </c:pt>
                <c:pt idx="200">
                  <c:v>245.04</c:v>
                </c:pt>
                <c:pt idx="201">
                  <c:v>245.1</c:v>
                </c:pt>
                <c:pt idx="202">
                  <c:v>246.37</c:v>
                </c:pt>
                <c:pt idx="203">
                  <c:v>245.41</c:v>
                </c:pt>
                <c:pt idx="204">
                  <c:v>245.84</c:v>
                </c:pt>
                <c:pt idx="205">
                  <c:v>244.63</c:v>
                </c:pt>
                <c:pt idx="206">
                  <c:v>244.94</c:v>
                </c:pt>
                <c:pt idx="207">
                  <c:v>246.94</c:v>
                </c:pt>
                <c:pt idx="208">
                  <c:v>246.02</c:v>
                </c:pt>
                <c:pt idx="209">
                  <c:v>246.41</c:v>
                </c:pt>
                <c:pt idx="210">
                  <c:v>246.73</c:v>
                </c:pt>
                <c:pt idx="211">
                  <c:v>246.83</c:v>
                </c:pt>
                <c:pt idx="212">
                  <c:v>247.65</c:v>
                </c:pt>
                <c:pt idx="213">
                  <c:v>248.04</c:v>
                </c:pt>
                <c:pt idx="214">
                  <c:v>247.86</c:v>
                </c:pt>
                <c:pt idx="215">
                  <c:v>248.29</c:v>
                </c:pt>
                <c:pt idx="216">
                  <c:v>247.39</c:v>
                </c:pt>
                <c:pt idx="217">
                  <c:v>247.31</c:v>
                </c:pt>
                <c:pt idx="218">
                  <c:v>247.54</c:v>
                </c:pt>
                <c:pt idx="219">
                  <c:v>246.96</c:v>
                </c:pt>
                <c:pt idx="220">
                  <c:v>245.73</c:v>
                </c:pt>
                <c:pt idx="221">
                  <c:v>247.82</c:v>
                </c:pt>
                <c:pt idx="222">
                  <c:v>247.09</c:v>
                </c:pt>
                <c:pt idx="223">
                  <c:v>247.51</c:v>
                </c:pt>
                <c:pt idx="224">
                  <c:v>249.13</c:v>
                </c:pt>
                <c:pt idx="225">
                  <c:v>248.91</c:v>
                </c:pt>
                <c:pt idx="226">
                  <c:v>249.48</c:v>
                </c:pt>
                <c:pt idx="227">
                  <c:v>249.36</c:v>
                </c:pt>
                <c:pt idx="228">
                  <c:v>251.89</c:v>
                </c:pt>
                <c:pt idx="229">
                  <c:v>251.74</c:v>
                </c:pt>
                <c:pt idx="230">
                  <c:v>253.94</c:v>
                </c:pt>
                <c:pt idx="231">
                  <c:v>253.41</c:v>
                </c:pt>
                <c:pt idx="232">
                  <c:v>253.11</c:v>
                </c:pt>
                <c:pt idx="233">
                  <c:v>252.2</c:v>
                </c:pt>
                <c:pt idx="234">
                  <c:v>252.24</c:v>
                </c:pt>
                <c:pt idx="235">
                  <c:v>253.04</c:v>
                </c:pt>
                <c:pt idx="236">
                  <c:v>254.42</c:v>
                </c:pt>
                <c:pt idx="237">
                  <c:v>255.19</c:v>
                </c:pt>
                <c:pt idx="238">
                  <c:v>255.64</c:v>
                </c:pt>
                <c:pt idx="239">
                  <c:v>255.61</c:v>
                </c:pt>
                <c:pt idx="240">
                  <c:v>254.56</c:v>
                </c:pt>
                <c:pt idx="241">
                  <c:v>256.68</c:v>
                </c:pt>
                <c:pt idx="242">
                  <c:v>258.31</c:v>
                </c:pt>
                <c:pt idx="243">
                  <c:v>257.32</c:v>
                </c:pt>
                <c:pt idx="244">
                  <c:v>257.18</c:v>
                </c:pt>
                <c:pt idx="245">
                  <c:v>257.70999999999998</c:v>
                </c:pt>
                <c:pt idx="246">
                  <c:v>257.64999999999998</c:v>
                </c:pt>
                <c:pt idx="247">
                  <c:v>257.33999999999997</c:v>
                </c:pt>
                <c:pt idx="248">
                  <c:v>257.45999999999998</c:v>
                </c:pt>
                <c:pt idx="249">
                  <c:v>257.99</c:v>
                </c:pt>
                <c:pt idx="250">
                  <c:v>257.02</c:v>
                </c:pt>
                <c:pt idx="251">
                  <c:v>258.86</c:v>
                </c:pt>
                <c:pt idx="252">
                  <c:v>260.5</c:v>
                </c:pt>
                <c:pt idx="253">
                  <c:v>261.58999999999997</c:v>
                </c:pt>
                <c:pt idx="254">
                  <c:v>263.33999999999997</c:v>
                </c:pt>
                <c:pt idx="255">
                  <c:v>263.82</c:v>
                </c:pt>
                <c:pt idx="256">
                  <c:v>264.42</c:v>
                </c:pt>
                <c:pt idx="257">
                  <c:v>264.01</c:v>
                </c:pt>
                <c:pt idx="258">
                  <c:v>265.94</c:v>
                </c:pt>
                <c:pt idx="259">
                  <c:v>267.67</c:v>
                </c:pt>
                <c:pt idx="260">
                  <c:v>266.76</c:v>
                </c:pt>
                <c:pt idx="261">
                  <c:v>269.3</c:v>
                </c:pt>
                <c:pt idx="262">
                  <c:v>268.85000000000002</c:v>
                </c:pt>
                <c:pt idx="263">
                  <c:v>270.07</c:v>
                </c:pt>
                <c:pt idx="264">
                  <c:v>272.27</c:v>
                </c:pt>
                <c:pt idx="265">
                  <c:v>272.83999999999997</c:v>
                </c:pt>
                <c:pt idx="266">
                  <c:v>272.74</c:v>
                </c:pt>
                <c:pt idx="267">
                  <c:v>272.85000000000002</c:v>
                </c:pt>
                <c:pt idx="268">
                  <c:v>276.01</c:v>
                </c:pt>
                <c:pt idx="269">
                  <c:v>274.18</c:v>
                </c:pt>
                <c:pt idx="270">
                  <c:v>271.37</c:v>
                </c:pt>
                <c:pt idx="271">
                  <c:v>271.51</c:v>
                </c:pt>
                <c:pt idx="272">
                  <c:v>271.2</c:v>
                </c:pt>
                <c:pt idx="273">
                  <c:v>265.29000000000002</c:v>
                </c:pt>
                <c:pt idx="274">
                  <c:v>254.2</c:v>
                </c:pt>
                <c:pt idx="275">
                  <c:v>259.20999999999998</c:v>
                </c:pt>
                <c:pt idx="276">
                  <c:v>257.8</c:v>
                </c:pt>
                <c:pt idx="277">
                  <c:v>248.13</c:v>
                </c:pt>
                <c:pt idx="278">
                  <c:v>251.86</c:v>
                </c:pt>
                <c:pt idx="279">
                  <c:v>255.56</c:v>
                </c:pt>
                <c:pt idx="280">
                  <c:v>256.19</c:v>
                </c:pt>
                <c:pt idx="281">
                  <c:v>259.64999999999998</c:v>
                </c:pt>
                <c:pt idx="282">
                  <c:v>262.95999999999998</c:v>
                </c:pt>
                <c:pt idx="283">
                  <c:v>263.04000000000002</c:v>
                </c:pt>
                <c:pt idx="284">
                  <c:v>261.39</c:v>
                </c:pt>
                <c:pt idx="285">
                  <c:v>260.08999999999997</c:v>
                </c:pt>
                <c:pt idx="286">
                  <c:v>260.43</c:v>
                </c:pt>
                <c:pt idx="287">
                  <c:v>264.58</c:v>
                </c:pt>
                <c:pt idx="288">
                  <c:v>267.64999999999998</c:v>
                </c:pt>
                <c:pt idx="289">
                  <c:v>264.31</c:v>
                </c:pt>
                <c:pt idx="290">
                  <c:v>261.63</c:v>
                </c:pt>
                <c:pt idx="291">
                  <c:v>257.83</c:v>
                </c:pt>
                <c:pt idx="292">
                  <c:v>259.16000000000003</c:v>
                </c:pt>
                <c:pt idx="293">
                  <c:v>262.14999999999998</c:v>
                </c:pt>
                <c:pt idx="294">
                  <c:v>262.82</c:v>
                </c:pt>
                <c:pt idx="295">
                  <c:v>262.72000000000003</c:v>
                </c:pt>
                <c:pt idx="296">
                  <c:v>263.99</c:v>
                </c:pt>
                <c:pt idx="297">
                  <c:v>268.58999999999997</c:v>
                </c:pt>
                <c:pt idx="298">
                  <c:v>268.25</c:v>
                </c:pt>
                <c:pt idx="299">
                  <c:v>266.52</c:v>
                </c:pt>
                <c:pt idx="300">
                  <c:v>265.14999999999998</c:v>
                </c:pt>
                <c:pt idx="301">
                  <c:v>264.86</c:v>
                </c:pt>
                <c:pt idx="302">
                  <c:v>265.14999999999998</c:v>
                </c:pt>
                <c:pt idx="303">
                  <c:v>261.56</c:v>
                </c:pt>
                <c:pt idx="304">
                  <c:v>262</c:v>
                </c:pt>
                <c:pt idx="305">
                  <c:v>261.5</c:v>
                </c:pt>
                <c:pt idx="306">
                  <c:v>254.96</c:v>
                </c:pt>
                <c:pt idx="307">
                  <c:v>249.53</c:v>
                </c:pt>
                <c:pt idx="308">
                  <c:v>256.36</c:v>
                </c:pt>
                <c:pt idx="309">
                  <c:v>252</c:v>
                </c:pt>
                <c:pt idx="310">
                  <c:v>251.25</c:v>
                </c:pt>
                <c:pt idx="311">
                  <c:v>254.46</c:v>
                </c:pt>
                <c:pt idx="312">
                  <c:v>248.97</c:v>
                </c:pt>
                <c:pt idx="313">
                  <c:v>252.16</c:v>
                </c:pt>
                <c:pt idx="314">
                  <c:v>254.86</c:v>
                </c:pt>
                <c:pt idx="315">
                  <c:v>256.87</c:v>
                </c:pt>
                <c:pt idx="316">
                  <c:v>251.14</c:v>
                </c:pt>
                <c:pt idx="317">
                  <c:v>252.38</c:v>
                </c:pt>
                <c:pt idx="318">
                  <c:v>256.39999999999998</c:v>
                </c:pt>
                <c:pt idx="319">
                  <c:v>255.05</c:v>
                </c:pt>
                <c:pt idx="320">
                  <c:v>257.14999999999998</c:v>
                </c:pt>
                <c:pt idx="321">
                  <c:v>256.39999999999998</c:v>
                </c:pt>
                <c:pt idx="322">
                  <c:v>258.5</c:v>
                </c:pt>
                <c:pt idx="323">
                  <c:v>261.27</c:v>
                </c:pt>
                <c:pt idx="324">
                  <c:v>261.45999999999998</c:v>
                </c:pt>
                <c:pt idx="325">
                  <c:v>260.01</c:v>
                </c:pt>
                <c:pt idx="326">
                  <c:v>257.81</c:v>
                </c:pt>
                <c:pt idx="327">
                  <c:v>257.77</c:v>
                </c:pt>
                <c:pt idx="328">
                  <c:v>254.3</c:v>
                </c:pt>
                <c:pt idx="329">
                  <c:v>254.93</c:v>
                </c:pt>
                <c:pt idx="330">
                  <c:v>257.52</c:v>
                </c:pt>
                <c:pt idx="331">
                  <c:v>257.76</c:v>
                </c:pt>
                <c:pt idx="332">
                  <c:v>255.78</c:v>
                </c:pt>
                <c:pt idx="333">
                  <c:v>256.23</c:v>
                </c:pt>
                <c:pt idx="334">
                  <c:v>254.51</c:v>
                </c:pt>
                <c:pt idx="335">
                  <c:v>253.95</c:v>
                </c:pt>
                <c:pt idx="336">
                  <c:v>257.24</c:v>
                </c:pt>
                <c:pt idx="337">
                  <c:v>258.11</c:v>
                </c:pt>
                <c:pt idx="338">
                  <c:v>258.11</c:v>
                </c:pt>
                <c:pt idx="339">
                  <c:v>260.60000000000002</c:v>
                </c:pt>
                <c:pt idx="340">
                  <c:v>263.04000000000002</c:v>
                </c:pt>
                <c:pt idx="341">
                  <c:v>263.83999999999997</c:v>
                </c:pt>
                <c:pt idx="342">
                  <c:v>263.97000000000003</c:v>
                </c:pt>
                <c:pt idx="343">
                  <c:v>262.14999999999998</c:v>
                </c:pt>
                <c:pt idx="344">
                  <c:v>263.25</c:v>
                </c:pt>
                <c:pt idx="345">
                  <c:v>263.02999999999997</c:v>
                </c:pt>
                <c:pt idx="346">
                  <c:v>262.37</c:v>
                </c:pt>
                <c:pt idx="347">
                  <c:v>264.33999999999997</c:v>
                </c:pt>
                <c:pt idx="348">
                  <c:v>263.61</c:v>
                </c:pt>
                <c:pt idx="349">
                  <c:v>264.33</c:v>
                </c:pt>
                <c:pt idx="350">
                  <c:v>263.79000000000002</c:v>
                </c:pt>
                <c:pt idx="351">
                  <c:v>263.16000000000003</c:v>
                </c:pt>
                <c:pt idx="352">
                  <c:v>260.14</c:v>
                </c:pt>
                <c:pt idx="353">
                  <c:v>263.61</c:v>
                </c:pt>
                <c:pt idx="354">
                  <c:v>261.99</c:v>
                </c:pt>
                <c:pt idx="355">
                  <c:v>264.57</c:v>
                </c:pt>
                <c:pt idx="356">
                  <c:v>265.82</c:v>
                </c:pt>
                <c:pt idx="357">
                  <c:v>266.02</c:v>
                </c:pt>
                <c:pt idx="358">
                  <c:v>268.24</c:v>
                </c:pt>
                <c:pt idx="359">
                  <c:v>268.20999999999998</c:v>
                </c:pt>
                <c:pt idx="360">
                  <c:v>269</c:v>
                </c:pt>
                <c:pt idx="361">
                  <c:v>269.36</c:v>
                </c:pt>
                <c:pt idx="362">
                  <c:v>269.70999999999998</c:v>
                </c:pt>
                <c:pt idx="363">
                  <c:v>268.85000000000002</c:v>
                </c:pt>
                <c:pt idx="364">
                  <c:v>269.52999999999997</c:v>
                </c:pt>
                <c:pt idx="365">
                  <c:v>269.18</c:v>
                </c:pt>
                <c:pt idx="366">
                  <c:v>268.63</c:v>
                </c:pt>
                <c:pt idx="367">
                  <c:v>267.60000000000002</c:v>
                </c:pt>
                <c:pt idx="368">
                  <c:v>268.06</c:v>
                </c:pt>
                <c:pt idx="369">
                  <c:v>266.38</c:v>
                </c:pt>
                <c:pt idx="370">
                  <c:v>266.86</c:v>
                </c:pt>
                <c:pt idx="371">
                  <c:v>263.23</c:v>
                </c:pt>
                <c:pt idx="372">
                  <c:v>263.81</c:v>
                </c:pt>
                <c:pt idx="373">
                  <c:v>261.63</c:v>
                </c:pt>
                <c:pt idx="374">
                  <c:v>263.12</c:v>
                </c:pt>
                <c:pt idx="375">
                  <c:v>263.5</c:v>
                </c:pt>
                <c:pt idx="376">
                  <c:v>264.06</c:v>
                </c:pt>
                <c:pt idx="377">
                  <c:v>263.13</c:v>
                </c:pt>
                <c:pt idx="378">
                  <c:v>265.27999999999997</c:v>
                </c:pt>
                <c:pt idx="379">
                  <c:v>267.52</c:v>
                </c:pt>
                <c:pt idx="380">
                  <c:v>269.93</c:v>
                </c:pt>
                <c:pt idx="381">
                  <c:v>270.89999999999998</c:v>
                </c:pt>
                <c:pt idx="382">
                  <c:v>268.92</c:v>
                </c:pt>
                <c:pt idx="383">
                  <c:v>271.36</c:v>
                </c:pt>
                <c:pt idx="384">
                  <c:v>271.57</c:v>
                </c:pt>
                <c:pt idx="385">
                  <c:v>271.33</c:v>
                </c:pt>
                <c:pt idx="386">
                  <c:v>272.43</c:v>
                </c:pt>
                <c:pt idx="387">
                  <c:v>273</c:v>
                </c:pt>
                <c:pt idx="388">
                  <c:v>271.97000000000003</c:v>
                </c:pt>
                <c:pt idx="389">
                  <c:v>271.66000000000003</c:v>
                </c:pt>
                <c:pt idx="390">
                  <c:v>272.16000000000003</c:v>
                </c:pt>
                <c:pt idx="391">
                  <c:v>273.52999999999997</c:v>
                </c:pt>
                <c:pt idx="392">
                  <c:v>275.87</c:v>
                </c:pt>
                <c:pt idx="393">
                  <c:v>275.20999999999998</c:v>
                </c:pt>
                <c:pt idx="394">
                  <c:v>273.35000000000002</c:v>
                </c:pt>
                <c:pt idx="395">
                  <c:v>271.92</c:v>
                </c:pt>
                <c:pt idx="396">
                  <c:v>273.26</c:v>
                </c:pt>
                <c:pt idx="397">
                  <c:v>272.81</c:v>
                </c:pt>
                <c:pt idx="398">
                  <c:v>274.29000000000002</c:v>
                </c:pt>
                <c:pt idx="399">
                  <c:v>275.47000000000003</c:v>
                </c:pt>
                <c:pt idx="400">
                  <c:v>276.48</c:v>
                </c:pt>
                <c:pt idx="401">
                  <c:v>277.39</c:v>
                </c:pt>
                <c:pt idx="402">
                  <c:v>277.27</c:v>
                </c:pt>
                <c:pt idx="403">
                  <c:v>276.89999999999998</c:v>
                </c:pt>
                <c:pt idx="404">
                  <c:v>275.04000000000002</c:v>
                </c:pt>
                <c:pt idx="405">
                  <c:v>274.01</c:v>
                </c:pt>
                <c:pt idx="406">
                  <c:v>275.76</c:v>
                </c:pt>
                <c:pt idx="407">
                  <c:v>273.7</c:v>
                </c:pt>
                <c:pt idx="408">
                  <c:v>275.91000000000003</c:v>
                </c:pt>
                <c:pt idx="409">
                  <c:v>276.89</c:v>
                </c:pt>
                <c:pt idx="410">
                  <c:v>277.48</c:v>
                </c:pt>
                <c:pt idx="411">
                  <c:v>278.13</c:v>
                </c:pt>
                <c:pt idx="412">
                  <c:v>277.95999999999998</c:v>
                </c:pt>
                <c:pt idx="413">
                  <c:v>277.58999999999997</c:v>
                </c:pt>
                <c:pt idx="414">
                  <c:v>279.27</c:v>
                </c:pt>
                <c:pt idx="415">
                  <c:v>281.47000000000003</c:v>
                </c:pt>
                <c:pt idx="416">
                  <c:v>281.61</c:v>
                </c:pt>
                <c:pt idx="417">
                  <c:v>283.12</c:v>
                </c:pt>
                <c:pt idx="418">
                  <c:v>281.98</c:v>
                </c:pt>
                <c:pt idx="419">
                  <c:v>281.98</c:v>
                </c:pt>
                <c:pt idx="420">
                  <c:v>281.5</c:v>
                </c:pt>
                <c:pt idx="421">
                  <c:v>280.74</c:v>
                </c:pt>
                <c:pt idx="422">
                  <c:v>279.89999999999998</c:v>
                </c:pt>
                <c:pt idx="423">
                  <c:v>279.35000000000002</c:v>
                </c:pt>
                <c:pt idx="424">
                  <c:v>279.83999999999997</c:v>
                </c:pt>
                <c:pt idx="425">
                  <c:v>280.76</c:v>
                </c:pt>
                <c:pt idx="426">
                  <c:v>280.83</c:v>
                </c:pt>
                <c:pt idx="427">
                  <c:v>282.49</c:v>
                </c:pt>
                <c:pt idx="428">
                  <c:v>282.54000000000002</c:v>
                </c:pt>
                <c:pt idx="429">
                  <c:v>281.04000000000002</c:v>
                </c:pt>
                <c:pt idx="430">
                  <c:v>282.57</c:v>
                </c:pt>
                <c:pt idx="431">
                  <c:v>282.87</c:v>
                </c:pt>
                <c:pt idx="432">
                  <c:v>285.16000000000003</c:v>
                </c:pt>
                <c:pt idx="433">
                  <c:v>284.89999999999998</c:v>
                </c:pt>
                <c:pt idx="434">
                  <c:v>283.95</c:v>
                </c:pt>
                <c:pt idx="435">
                  <c:v>283.69</c:v>
                </c:pt>
                <c:pt idx="436">
                  <c:v>282.83999999999997</c:v>
                </c:pt>
                <c:pt idx="437">
                  <c:v>283.63</c:v>
                </c:pt>
                <c:pt idx="438">
                  <c:v>283.66000000000003</c:v>
                </c:pt>
                <c:pt idx="439">
                  <c:v>284.64999999999998</c:v>
                </c:pt>
                <c:pt idx="440">
                  <c:v>284.48</c:v>
                </c:pt>
                <c:pt idx="441">
                  <c:v>284.64</c:v>
                </c:pt>
                <c:pt idx="442">
                  <c:v>282.41000000000003</c:v>
                </c:pt>
                <c:pt idx="443">
                  <c:v>280.83</c:v>
                </c:pt>
                <c:pt idx="444">
                  <c:v>280.83</c:v>
                </c:pt>
                <c:pt idx="445">
                  <c:v>280.42</c:v>
                </c:pt>
                <c:pt idx="446">
                  <c:v>271.54000000000002</c:v>
                </c:pt>
                <c:pt idx="447">
                  <c:v>265.56</c:v>
                </c:pt>
                <c:pt idx="448">
                  <c:v>269.25</c:v>
                </c:pt>
                <c:pt idx="449">
                  <c:v>267.74</c:v>
                </c:pt>
                <c:pt idx="450">
                  <c:v>273.58999999999997</c:v>
                </c:pt>
                <c:pt idx="451">
                  <c:v>273.64</c:v>
                </c:pt>
                <c:pt idx="452">
                  <c:v>269.69</c:v>
                </c:pt>
                <c:pt idx="453">
                  <c:v>269.54000000000002</c:v>
                </c:pt>
                <c:pt idx="454">
                  <c:v>268.33</c:v>
                </c:pt>
                <c:pt idx="455">
                  <c:v>266.97000000000003</c:v>
                </c:pt>
                <c:pt idx="456">
                  <c:v>258.88</c:v>
                </c:pt>
                <c:pt idx="457">
                  <c:v>263.52</c:v>
                </c:pt>
                <c:pt idx="458">
                  <c:v>258.89</c:v>
                </c:pt>
                <c:pt idx="459">
                  <c:v>257.45</c:v>
                </c:pt>
                <c:pt idx="460">
                  <c:v>261.27</c:v>
                </c:pt>
                <c:pt idx="461">
                  <c:v>264.06</c:v>
                </c:pt>
                <c:pt idx="462">
                  <c:v>266.87</c:v>
                </c:pt>
                <c:pt idx="463">
                  <c:v>265.29000000000002</c:v>
                </c:pt>
                <c:pt idx="464">
                  <c:v>266.75</c:v>
                </c:pt>
                <c:pt idx="465">
                  <c:v>268.44</c:v>
                </c:pt>
                <c:pt idx="466">
                  <c:v>274.19</c:v>
                </c:pt>
                <c:pt idx="467">
                  <c:v>273.69</c:v>
                </c:pt>
                <c:pt idx="468">
                  <c:v>271.02</c:v>
                </c:pt>
                <c:pt idx="469">
                  <c:v>265.95</c:v>
                </c:pt>
                <c:pt idx="470">
                  <c:v>265.45</c:v>
                </c:pt>
                <c:pt idx="471">
                  <c:v>263.64</c:v>
                </c:pt>
                <c:pt idx="472">
                  <c:v>266.39</c:v>
                </c:pt>
                <c:pt idx="473">
                  <c:v>267.08</c:v>
                </c:pt>
                <c:pt idx="474">
                  <c:v>262.57</c:v>
                </c:pt>
                <c:pt idx="475">
                  <c:v>257.70999999999998</c:v>
                </c:pt>
                <c:pt idx="476">
                  <c:v>258.58</c:v>
                </c:pt>
                <c:pt idx="477">
                  <c:v>256.86</c:v>
                </c:pt>
                <c:pt idx="478">
                  <c:v>261</c:v>
                </c:pt>
                <c:pt idx="479">
                  <c:v>261.88</c:v>
                </c:pt>
                <c:pt idx="480">
                  <c:v>267.91000000000003</c:v>
                </c:pt>
                <c:pt idx="481">
                  <c:v>267.33</c:v>
                </c:pt>
                <c:pt idx="482">
                  <c:v>268.95999999999998</c:v>
                </c:pt>
                <c:pt idx="483">
                  <c:v>272.52</c:v>
                </c:pt>
                <c:pt idx="484">
                  <c:v>263.69</c:v>
                </c:pt>
                <c:pt idx="485">
                  <c:v>263.29000000000002</c:v>
                </c:pt>
                <c:pt idx="486">
                  <c:v>257.17</c:v>
                </c:pt>
                <c:pt idx="487">
                  <c:v>257.66000000000003</c:v>
                </c:pt>
                <c:pt idx="488">
                  <c:v>257.72000000000003</c:v>
                </c:pt>
                <c:pt idx="489">
                  <c:v>259.01</c:v>
                </c:pt>
                <c:pt idx="490">
                  <c:v>258.93</c:v>
                </c:pt>
                <c:pt idx="491">
                  <c:v>254.15</c:v>
                </c:pt>
                <c:pt idx="492">
                  <c:v>249.16</c:v>
                </c:pt>
                <c:pt idx="493">
                  <c:v>248.89</c:v>
                </c:pt>
                <c:pt idx="494">
                  <c:v>245.16</c:v>
                </c:pt>
                <c:pt idx="495">
                  <c:v>241.17</c:v>
                </c:pt>
                <c:pt idx="496">
                  <c:v>236.23</c:v>
                </c:pt>
                <c:pt idx="497">
                  <c:v>229.99</c:v>
                </c:pt>
                <c:pt idx="498">
                  <c:v>241.61</c:v>
                </c:pt>
                <c:pt idx="499">
                  <c:v>243.46</c:v>
                </c:pt>
                <c:pt idx="500">
                  <c:v>243.15</c:v>
                </c:pt>
                <c:pt idx="501">
                  <c:v>245.28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1-41F8-8F0A-A72EA0D674CD}"/>
            </c:ext>
          </c:extLst>
        </c:ser>
        <c:ser>
          <c:idx val="4"/>
          <c:order val="4"/>
          <c:tx>
            <c:strRef>
              <c:f>HighLowType!$K$1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HighLowType!$K$2:$K$504</c:f>
              <c:numCache>
                <c:formatCode>_("$"* #,##0.0000_);_("$"* \(#,##0.0000\);_("$"* "-"??_);_(@_)</c:formatCode>
                <c:ptCount val="503"/>
                <c:pt idx="0">
                  <c:v>212.8</c:v>
                </c:pt>
                <c:pt idx="1">
                  <c:v>213.16512820512787</c:v>
                </c:pt>
                <c:pt idx="2">
                  <c:v>213.53025641025576</c:v>
                </c:pt>
                <c:pt idx="3">
                  <c:v>213.89538461538365</c:v>
                </c:pt>
                <c:pt idx="4">
                  <c:v>214.26051282051156</c:v>
                </c:pt>
                <c:pt idx="5">
                  <c:v>214.62564102563951</c:v>
                </c:pt>
                <c:pt idx="6">
                  <c:v>214.99076923076746</c:v>
                </c:pt>
                <c:pt idx="7">
                  <c:v>215.35589743589543</c:v>
                </c:pt>
                <c:pt idx="8">
                  <c:v>215.7210256410234</c:v>
                </c:pt>
                <c:pt idx="9">
                  <c:v>216.0861538461514</c:v>
                </c:pt>
                <c:pt idx="10">
                  <c:v>216.45128205127941</c:v>
                </c:pt>
                <c:pt idx="11">
                  <c:v>216.81641025640744</c:v>
                </c:pt>
                <c:pt idx="12">
                  <c:v>217.1815384615355</c:v>
                </c:pt>
                <c:pt idx="13">
                  <c:v>217.54666666666355</c:v>
                </c:pt>
                <c:pt idx="14">
                  <c:v>217.91179487179164</c:v>
                </c:pt>
                <c:pt idx="15">
                  <c:v>218.27692307691976</c:v>
                </c:pt>
                <c:pt idx="16">
                  <c:v>218.64205128204787</c:v>
                </c:pt>
                <c:pt idx="17">
                  <c:v>219.00717948717602</c:v>
                </c:pt>
                <c:pt idx="18">
                  <c:v>219.37230769230419</c:v>
                </c:pt>
                <c:pt idx="19">
                  <c:v>219.73743589743236</c:v>
                </c:pt>
                <c:pt idx="20">
                  <c:v>220.10256410256056</c:v>
                </c:pt>
                <c:pt idx="21">
                  <c:v>220.46769230768879</c:v>
                </c:pt>
                <c:pt idx="22">
                  <c:v>220.83282051281702</c:v>
                </c:pt>
                <c:pt idx="23">
                  <c:v>221.19794871794528</c:v>
                </c:pt>
                <c:pt idx="24">
                  <c:v>221.56307692307357</c:v>
                </c:pt>
                <c:pt idx="25">
                  <c:v>221.92820512820185</c:v>
                </c:pt>
                <c:pt idx="26">
                  <c:v>222.29333333333017</c:v>
                </c:pt>
                <c:pt idx="27">
                  <c:v>222.65846153845851</c:v>
                </c:pt>
                <c:pt idx="28">
                  <c:v>223.02358974358685</c:v>
                </c:pt>
                <c:pt idx="29">
                  <c:v>223.38871794871523</c:v>
                </c:pt>
                <c:pt idx="30">
                  <c:v>223.75384615384363</c:v>
                </c:pt>
                <c:pt idx="31">
                  <c:v>224.11897435897203</c:v>
                </c:pt>
                <c:pt idx="32">
                  <c:v>224.48410256410045</c:v>
                </c:pt>
                <c:pt idx="33">
                  <c:v>224.84923076922891</c:v>
                </c:pt>
                <c:pt idx="34">
                  <c:v>225.21435897435737</c:v>
                </c:pt>
                <c:pt idx="35">
                  <c:v>225.57948717948585</c:v>
                </c:pt>
                <c:pt idx="36">
                  <c:v>225.94461538461437</c:v>
                </c:pt>
                <c:pt idx="37">
                  <c:v>226.30974358974288</c:v>
                </c:pt>
                <c:pt idx="38">
                  <c:v>226.67487179487142</c:v>
                </c:pt>
                <c:pt idx="39">
                  <c:v>227.04</c:v>
                </c:pt>
                <c:pt idx="40">
                  <c:v>226.63611111111123</c:v>
                </c:pt>
                <c:pt idx="41">
                  <c:v>226.23222222222248</c:v>
                </c:pt>
                <c:pt idx="42">
                  <c:v>225.82833333333372</c:v>
                </c:pt>
                <c:pt idx="43">
                  <c:v>225.42444444444493</c:v>
                </c:pt>
                <c:pt idx="44">
                  <c:v>225.02055555555611</c:v>
                </c:pt>
                <c:pt idx="45">
                  <c:v>224.6166666666673</c:v>
                </c:pt>
                <c:pt idx="46">
                  <c:v>224.21277777777846</c:v>
                </c:pt>
                <c:pt idx="47">
                  <c:v>223.80888888888958</c:v>
                </c:pt>
                <c:pt idx="48">
                  <c:v>223.40500000000071</c:v>
                </c:pt>
                <c:pt idx="49">
                  <c:v>223.00111111111181</c:v>
                </c:pt>
                <c:pt idx="50">
                  <c:v>222.59722222222288</c:v>
                </c:pt>
                <c:pt idx="51">
                  <c:v>222.19333333333395</c:v>
                </c:pt>
                <c:pt idx="52">
                  <c:v>221.789444444445</c:v>
                </c:pt>
                <c:pt idx="53">
                  <c:v>221.38555555555604</c:v>
                </c:pt>
                <c:pt idx="54">
                  <c:v>220.98166666666705</c:v>
                </c:pt>
                <c:pt idx="55">
                  <c:v>220.57777777777807</c:v>
                </c:pt>
                <c:pt idx="56">
                  <c:v>220.17388888888905</c:v>
                </c:pt>
                <c:pt idx="57">
                  <c:v>219.77</c:v>
                </c:pt>
                <c:pt idx="58">
                  <c:v>220.03677725118706</c:v>
                </c:pt>
                <c:pt idx="59">
                  <c:v>220.30355450237411</c:v>
                </c:pt>
                <c:pt idx="60">
                  <c:v>220.57033175356116</c:v>
                </c:pt>
                <c:pt idx="61">
                  <c:v>220.83710900474819</c:v>
                </c:pt>
                <c:pt idx="62">
                  <c:v>221.10388625593518</c:v>
                </c:pt>
                <c:pt idx="63">
                  <c:v>221.37066350712217</c:v>
                </c:pt>
                <c:pt idx="64">
                  <c:v>221.63744075830914</c:v>
                </c:pt>
                <c:pt idx="65">
                  <c:v>221.90421800949608</c:v>
                </c:pt>
                <c:pt idx="66">
                  <c:v>222.17099526068301</c:v>
                </c:pt>
                <c:pt idx="67">
                  <c:v>222.43777251186992</c:v>
                </c:pt>
                <c:pt idx="68">
                  <c:v>222.7045497630568</c:v>
                </c:pt>
                <c:pt idx="69">
                  <c:v>222.97132701424368</c:v>
                </c:pt>
                <c:pt idx="70">
                  <c:v>223.23810426543054</c:v>
                </c:pt>
                <c:pt idx="71">
                  <c:v>223.50488151661736</c:v>
                </c:pt>
                <c:pt idx="72">
                  <c:v>223.77165876780418</c:v>
                </c:pt>
                <c:pt idx="73">
                  <c:v>224.03843601899098</c:v>
                </c:pt>
                <c:pt idx="74">
                  <c:v>224.30521327017775</c:v>
                </c:pt>
                <c:pt idx="75">
                  <c:v>224.57199052136451</c:v>
                </c:pt>
                <c:pt idx="76">
                  <c:v>224.83876777255125</c:v>
                </c:pt>
                <c:pt idx="77">
                  <c:v>225.10554502373796</c:v>
                </c:pt>
                <c:pt idx="78">
                  <c:v>225.37232227492467</c:v>
                </c:pt>
                <c:pt idx="79">
                  <c:v>225.63909952611135</c:v>
                </c:pt>
                <c:pt idx="80">
                  <c:v>225.905876777298</c:v>
                </c:pt>
                <c:pt idx="81">
                  <c:v>226.17265402848466</c:v>
                </c:pt>
                <c:pt idx="82">
                  <c:v>226.43943127967128</c:v>
                </c:pt>
                <c:pt idx="83">
                  <c:v>226.70620853085788</c:v>
                </c:pt>
                <c:pt idx="84">
                  <c:v>226.97298578204447</c:v>
                </c:pt>
                <c:pt idx="85">
                  <c:v>227.23976303323104</c:v>
                </c:pt>
                <c:pt idx="86">
                  <c:v>227.50654028441758</c:v>
                </c:pt>
                <c:pt idx="87">
                  <c:v>227.77331753560412</c:v>
                </c:pt>
                <c:pt idx="88">
                  <c:v>228.04009478679063</c:v>
                </c:pt>
                <c:pt idx="89">
                  <c:v>228.30687203797712</c:v>
                </c:pt>
                <c:pt idx="90">
                  <c:v>228.5736492891636</c:v>
                </c:pt>
                <c:pt idx="91">
                  <c:v>228.84042654035005</c:v>
                </c:pt>
                <c:pt idx="92">
                  <c:v>229.10720379153648</c:v>
                </c:pt>
                <c:pt idx="93">
                  <c:v>229.3739810427229</c:v>
                </c:pt>
                <c:pt idx="94">
                  <c:v>229.6407582939093</c:v>
                </c:pt>
                <c:pt idx="95">
                  <c:v>229.90753554509567</c:v>
                </c:pt>
                <c:pt idx="96">
                  <c:v>230.17431279628204</c:v>
                </c:pt>
                <c:pt idx="97">
                  <c:v>230.44109004746838</c:v>
                </c:pt>
                <c:pt idx="98">
                  <c:v>230.70786729865469</c:v>
                </c:pt>
                <c:pt idx="99">
                  <c:v>230.974644549841</c:v>
                </c:pt>
                <c:pt idx="100">
                  <c:v>231.24142180102729</c:v>
                </c:pt>
                <c:pt idx="101">
                  <c:v>231.50819905221354</c:v>
                </c:pt>
                <c:pt idx="102">
                  <c:v>231.7749763033998</c:v>
                </c:pt>
                <c:pt idx="103">
                  <c:v>232.04175355458602</c:v>
                </c:pt>
                <c:pt idx="104">
                  <c:v>232.30853080577222</c:v>
                </c:pt>
                <c:pt idx="105">
                  <c:v>232.57530805695842</c:v>
                </c:pt>
                <c:pt idx="106">
                  <c:v>232.84208530814459</c:v>
                </c:pt>
                <c:pt idx="107">
                  <c:v>233.10886255933073</c:v>
                </c:pt>
                <c:pt idx="108">
                  <c:v>233.37563981051687</c:v>
                </c:pt>
                <c:pt idx="109">
                  <c:v>233.64241706170299</c:v>
                </c:pt>
                <c:pt idx="110">
                  <c:v>233.90919431288907</c:v>
                </c:pt>
                <c:pt idx="111">
                  <c:v>234.17597156407516</c:v>
                </c:pt>
                <c:pt idx="112">
                  <c:v>234.44274881526121</c:v>
                </c:pt>
                <c:pt idx="113">
                  <c:v>234.70952606644724</c:v>
                </c:pt>
                <c:pt idx="114">
                  <c:v>234.97630331763327</c:v>
                </c:pt>
                <c:pt idx="115">
                  <c:v>235.24308056881927</c:v>
                </c:pt>
                <c:pt idx="116">
                  <c:v>235.50985782000524</c:v>
                </c:pt>
                <c:pt idx="117">
                  <c:v>235.77663507119121</c:v>
                </c:pt>
                <c:pt idx="118">
                  <c:v>236.04341232237715</c:v>
                </c:pt>
                <c:pt idx="119">
                  <c:v>236.31018957356306</c:v>
                </c:pt>
                <c:pt idx="120">
                  <c:v>236.57696682474898</c:v>
                </c:pt>
                <c:pt idx="121">
                  <c:v>236.84374407593486</c:v>
                </c:pt>
                <c:pt idx="122">
                  <c:v>237.11052132712072</c:v>
                </c:pt>
                <c:pt idx="123">
                  <c:v>237.37729857830658</c:v>
                </c:pt>
                <c:pt idx="124">
                  <c:v>237.64407582949241</c:v>
                </c:pt>
                <c:pt idx="125">
                  <c:v>237.91085308067821</c:v>
                </c:pt>
                <c:pt idx="126">
                  <c:v>238.17763033186401</c:v>
                </c:pt>
                <c:pt idx="127">
                  <c:v>238.44440758304978</c:v>
                </c:pt>
                <c:pt idx="128">
                  <c:v>238.71118483423552</c:v>
                </c:pt>
                <c:pt idx="129">
                  <c:v>238.97796208542127</c:v>
                </c:pt>
                <c:pt idx="130">
                  <c:v>239.24473933660698</c:v>
                </c:pt>
                <c:pt idx="131">
                  <c:v>239.51151658779267</c:v>
                </c:pt>
                <c:pt idx="132">
                  <c:v>239.77829383897836</c:v>
                </c:pt>
                <c:pt idx="133">
                  <c:v>240.04507109016402</c:v>
                </c:pt>
                <c:pt idx="134">
                  <c:v>240.31184834134964</c:v>
                </c:pt>
                <c:pt idx="135">
                  <c:v>240.57862559253527</c:v>
                </c:pt>
                <c:pt idx="136">
                  <c:v>240.84540284372088</c:v>
                </c:pt>
                <c:pt idx="137">
                  <c:v>241.11218009490645</c:v>
                </c:pt>
                <c:pt idx="138">
                  <c:v>241.37895734609202</c:v>
                </c:pt>
                <c:pt idx="139">
                  <c:v>241.64573459727757</c:v>
                </c:pt>
                <c:pt idx="140">
                  <c:v>241.91251184846308</c:v>
                </c:pt>
                <c:pt idx="141">
                  <c:v>242.1792890996486</c:v>
                </c:pt>
                <c:pt idx="142">
                  <c:v>242.44606635083409</c:v>
                </c:pt>
                <c:pt idx="143">
                  <c:v>242.71284360201955</c:v>
                </c:pt>
                <c:pt idx="144">
                  <c:v>242.97962085320501</c:v>
                </c:pt>
                <c:pt idx="145">
                  <c:v>243.24639810439044</c:v>
                </c:pt>
                <c:pt idx="146">
                  <c:v>243.51317535557584</c:v>
                </c:pt>
                <c:pt idx="147">
                  <c:v>243.77995260676124</c:v>
                </c:pt>
                <c:pt idx="148">
                  <c:v>244.04672985794662</c:v>
                </c:pt>
                <c:pt idx="149">
                  <c:v>244.31350710913196</c:v>
                </c:pt>
                <c:pt idx="150">
                  <c:v>244.58028436031731</c:v>
                </c:pt>
                <c:pt idx="151">
                  <c:v>244.84706161150262</c:v>
                </c:pt>
                <c:pt idx="152">
                  <c:v>245.11383886268791</c:v>
                </c:pt>
                <c:pt idx="153">
                  <c:v>245.3806161138732</c:v>
                </c:pt>
                <c:pt idx="154">
                  <c:v>245.64739336505846</c:v>
                </c:pt>
                <c:pt idx="155">
                  <c:v>245.91417061624369</c:v>
                </c:pt>
                <c:pt idx="156">
                  <c:v>246.18094786742893</c:v>
                </c:pt>
                <c:pt idx="157">
                  <c:v>246.44772511861413</c:v>
                </c:pt>
                <c:pt idx="158">
                  <c:v>246.71450236979931</c:v>
                </c:pt>
                <c:pt idx="159">
                  <c:v>246.98127962098448</c:v>
                </c:pt>
                <c:pt idx="160">
                  <c:v>247.24805687216963</c:v>
                </c:pt>
                <c:pt idx="161">
                  <c:v>247.51483412335475</c:v>
                </c:pt>
                <c:pt idx="162">
                  <c:v>247.78161137453986</c:v>
                </c:pt>
                <c:pt idx="163">
                  <c:v>248.04838862572495</c:v>
                </c:pt>
                <c:pt idx="164">
                  <c:v>248.31516587691002</c:v>
                </c:pt>
                <c:pt idx="165">
                  <c:v>248.58194312809508</c:v>
                </c:pt>
                <c:pt idx="166">
                  <c:v>248.84872037928011</c:v>
                </c:pt>
                <c:pt idx="167">
                  <c:v>249.11549763046511</c:v>
                </c:pt>
                <c:pt idx="168">
                  <c:v>249.38227488165012</c:v>
                </c:pt>
                <c:pt idx="169">
                  <c:v>249.6490521328351</c:v>
                </c:pt>
                <c:pt idx="170">
                  <c:v>249.91582938402004</c:v>
                </c:pt>
                <c:pt idx="171">
                  <c:v>250.18260663520499</c:v>
                </c:pt>
                <c:pt idx="172">
                  <c:v>250.44938388638991</c:v>
                </c:pt>
                <c:pt idx="173">
                  <c:v>250.7161611375748</c:v>
                </c:pt>
                <c:pt idx="174">
                  <c:v>250.98293838875969</c:v>
                </c:pt>
                <c:pt idx="175">
                  <c:v>251.24971563994455</c:v>
                </c:pt>
                <c:pt idx="176">
                  <c:v>251.51649289112939</c:v>
                </c:pt>
                <c:pt idx="177">
                  <c:v>251.78327014231422</c:v>
                </c:pt>
                <c:pt idx="178">
                  <c:v>252.05004739349903</c:v>
                </c:pt>
                <c:pt idx="179">
                  <c:v>252.31682464468381</c:v>
                </c:pt>
                <c:pt idx="180">
                  <c:v>252.58360189586858</c:v>
                </c:pt>
                <c:pt idx="181">
                  <c:v>252.85037914705333</c:v>
                </c:pt>
                <c:pt idx="182">
                  <c:v>253.11715639823805</c:v>
                </c:pt>
                <c:pt idx="183">
                  <c:v>253.38393364942277</c:v>
                </c:pt>
                <c:pt idx="184">
                  <c:v>253.65071090060746</c:v>
                </c:pt>
                <c:pt idx="185">
                  <c:v>253.91748815179213</c:v>
                </c:pt>
                <c:pt idx="186">
                  <c:v>254.18426540297679</c:v>
                </c:pt>
                <c:pt idx="187">
                  <c:v>254.45104265416143</c:v>
                </c:pt>
                <c:pt idx="188">
                  <c:v>254.71781990534603</c:v>
                </c:pt>
                <c:pt idx="189">
                  <c:v>254.98459715653064</c:v>
                </c:pt>
                <c:pt idx="190">
                  <c:v>255.25137440771522</c:v>
                </c:pt>
                <c:pt idx="191">
                  <c:v>255.51815165889977</c:v>
                </c:pt>
                <c:pt idx="192">
                  <c:v>255.78492891008432</c:v>
                </c:pt>
                <c:pt idx="193">
                  <c:v>256.05170616126884</c:v>
                </c:pt>
                <c:pt idx="194">
                  <c:v>256.3184834124533</c:v>
                </c:pt>
                <c:pt idx="195">
                  <c:v>256.58526066363777</c:v>
                </c:pt>
                <c:pt idx="196">
                  <c:v>256.85203791482218</c:v>
                </c:pt>
                <c:pt idx="197">
                  <c:v>257.11881516600653</c:v>
                </c:pt>
                <c:pt idx="198">
                  <c:v>257.38559241719088</c:v>
                </c:pt>
                <c:pt idx="199">
                  <c:v>257.65236966837517</c:v>
                </c:pt>
                <c:pt idx="200">
                  <c:v>257.91914691955941</c:v>
                </c:pt>
                <c:pt idx="201">
                  <c:v>258.18592417074365</c:v>
                </c:pt>
                <c:pt idx="202">
                  <c:v>258.45270142192783</c:v>
                </c:pt>
                <c:pt idx="203">
                  <c:v>258.71947867311195</c:v>
                </c:pt>
                <c:pt idx="204">
                  <c:v>258.98625592429607</c:v>
                </c:pt>
                <c:pt idx="205">
                  <c:v>259.25303317548014</c:v>
                </c:pt>
                <c:pt idx="206">
                  <c:v>259.51981042666415</c:v>
                </c:pt>
                <c:pt idx="207">
                  <c:v>259.78658767784816</c:v>
                </c:pt>
                <c:pt idx="208">
                  <c:v>260.05336492903211</c:v>
                </c:pt>
                <c:pt idx="209">
                  <c:v>260.32014218021601</c:v>
                </c:pt>
                <c:pt idx="210">
                  <c:v>260.58691943139991</c:v>
                </c:pt>
                <c:pt idx="211">
                  <c:v>260.85369668258375</c:v>
                </c:pt>
                <c:pt idx="212">
                  <c:v>261.12047393376753</c:v>
                </c:pt>
                <c:pt idx="213">
                  <c:v>261.38725118495131</c:v>
                </c:pt>
                <c:pt idx="214">
                  <c:v>261.65402843613504</c:v>
                </c:pt>
                <c:pt idx="215">
                  <c:v>261.9208056873187</c:v>
                </c:pt>
                <c:pt idx="216">
                  <c:v>262.18758293850237</c:v>
                </c:pt>
                <c:pt idx="217">
                  <c:v>262.45436018968599</c:v>
                </c:pt>
                <c:pt idx="218">
                  <c:v>262.72113744086954</c:v>
                </c:pt>
                <c:pt idx="219">
                  <c:v>262.9879146920531</c:v>
                </c:pt>
                <c:pt idx="220">
                  <c:v>263.25469194323659</c:v>
                </c:pt>
                <c:pt idx="221">
                  <c:v>263.52146919442004</c:v>
                </c:pt>
                <c:pt idx="222">
                  <c:v>263.78824644560348</c:v>
                </c:pt>
                <c:pt idx="223">
                  <c:v>264.05502369678686</c:v>
                </c:pt>
                <c:pt idx="224">
                  <c:v>264.32180094797019</c:v>
                </c:pt>
                <c:pt idx="225">
                  <c:v>264.58857819915352</c:v>
                </c:pt>
                <c:pt idx="226">
                  <c:v>264.85535545033679</c:v>
                </c:pt>
                <c:pt idx="227">
                  <c:v>265.12213270152</c:v>
                </c:pt>
                <c:pt idx="228">
                  <c:v>265.38890995270322</c:v>
                </c:pt>
                <c:pt idx="229">
                  <c:v>265.65568720388637</c:v>
                </c:pt>
                <c:pt idx="230">
                  <c:v>265.92246445506947</c:v>
                </c:pt>
                <c:pt idx="231">
                  <c:v>266.18924170625257</c:v>
                </c:pt>
                <c:pt idx="232">
                  <c:v>266.45601895743562</c:v>
                </c:pt>
                <c:pt idx="233">
                  <c:v>266.7227962086186</c:v>
                </c:pt>
                <c:pt idx="234">
                  <c:v>266.98957345980159</c:v>
                </c:pt>
                <c:pt idx="235">
                  <c:v>267.25635071098452</c:v>
                </c:pt>
                <c:pt idx="236">
                  <c:v>267.52312796216739</c:v>
                </c:pt>
                <c:pt idx="237">
                  <c:v>267.78990521335027</c:v>
                </c:pt>
                <c:pt idx="238">
                  <c:v>268.05668246453308</c:v>
                </c:pt>
                <c:pt idx="239">
                  <c:v>268.32345971571584</c:v>
                </c:pt>
                <c:pt idx="240">
                  <c:v>268.5902369668986</c:v>
                </c:pt>
                <c:pt idx="241">
                  <c:v>268.8570142180813</c:v>
                </c:pt>
                <c:pt idx="242">
                  <c:v>269.12379146926395</c:v>
                </c:pt>
                <c:pt idx="243">
                  <c:v>269.39056872044659</c:v>
                </c:pt>
                <c:pt idx="244">
                  <c:v>269.65734597162918</c:v>
                </c:pt>
                <c:pt idx="245">
                  <c:v>269.92412322281172</c:v>
                </c:pt>
                <c:pt idx="246">
                  <c:v>270.19090047399425</c:v>
                </c:pt>
                <c:pt idx="247">
                  <c:v>270.45767772517672</c:v>
                </c:pt>
                <c:pt idx="248">
                  <c:v>270.72445497635914</c:v>
                </c:pt>
                <c:pt idx="249">
                  <c:v>270.99123222754156</c:v>
                </c:pt>
                <c:pt idx="250">
                  <c:v>271.25800947872392</c:v>
                </c:pt>
                <c:pt idx="251">
                  <c:v>271.52478672990622</c:v>
                </c:pt>
                <c:pt idx="252">
                  <c:v>271.79156398108853</c:v>
                </c:pt>
                <c:pt idx="253">
                  <c:v>272.05834123227078</c:v>
                </c:pt>
                <c:pt idx="254">
                  <c:v>272.32511848345297</c:v>
                </c:pt>
                <c:pt idx="255">
                  <c:v>272.59189573463516</c:v>
                </c:pt>
                <c:pt idx="256">
                  <c:v>272.85867298581729</c:v>
                </c:pt>
                <c:pt idx="257">
                  <c:v>273.12545023699937</c:v>
                </c:pt>
                <c:pt idx="258">
                  <c:v>273.39222748818145</c:v>
                </c:pt>
                <c:pt idx="259">
                  <c:v>273.65900473936347</c:v>
                </c:pt>
                <c:pt idx="260">
                  <c:v>273.92578199054543</c:v>
                </c:pt>
                <c:pt idx="261">
                  <c:v>274.19255924172739</c:v>
                </c:pt>
                <c:pt idx="262">
                  <c:v>274.4593364929093</c:v>
                </c:pt>
                <c:pt idx="263">
                  <c:v>274.72611374409115</c:v>
                </c:pt>
                <c:pt idx="264">
                  <c:v>274.992890995273</c:v>
                </c:pt>
                <c:pt idx="265">
                  <c:v>275.25966824645479</c:v>
                </c:pt>
                <c:pt idx="266">
                  <c:v>275.52644549763653</c:v>
                </c:pt>
                <c:pt idx="267">
                  <c:v>275.79322274881827</c:v>
                </c:pt>
                <c:pt idx="268">
                  <c:v>276.06</c:v>
                </c:pt>
                <c:pt idx="269">
                  <c:v>272.2171428571429</c:v>
                </c:pt>
                <c:pt idx="270">
                  <c:v>268.3742857142858</c:v>
                </c:pt>
                <c:pt idx="271">
                  <c:v>264.53142857142871</c:v>
                </c:pt>
                <c:pt idx="272">
                  <c:v>260.68857142857155</c:v>
                </c:pt>
                <c:pt idx="273">
                  <c:v>256.84571428571439</c:v>
                </c:pt>
                <c:pt idx="274">
                  <c:v>253.00285714285718</c:v>
                </c:pt>
                <c:pt idx="275">
                  <c:v>249.16</c:v>
                </c:pt>
                <c:pt idx="276">
                  <c:v>262.32</c:v>
                </c:pt>
                <c:pt idx="277">
                  <c:v>252.95499999999998</c:v>
                </c:pt>
                <c:pt idx="278">
                  <c:v>243.59</c:v>
                </c:pt>
                <c:pt idx="279">
                  <c:v>245.86636363636376</c:v>
                </c:pt>
                <c:pt idx="280">
                  <c:v>248.14272727272748</c:v>
                </c:pt>
                <c:pt idx="281">
                  <c:v>250.41909090909121</c:v>
                </c:pt>
                <c:pt idx="282">
                  <c:v>252.69545454545491</c:v>
                </c:pt>
                <c:pt idx="283">
                  <c:v>254.97181818181861</c:v>
                </c:pt>
                <c:pt idx="284">
                  <c:v>257.24818181818227</c:v>
                </c:pt>
                <c:pt idx="285">
                  <c:v>259.52454545454589</c:v>
                </c:pt>
                <c:pt idx="286">
                  <c:v>261.80090909090944</c:v>
                </c:pt>
                <c:pt idx="287">
                  <c:v>264.077272727273</c:v>
                </c:pt>
                <c:pt idx="288">
                  <c:v>266.3536363636365</c:v>
                </c:pt>
                <c:pt idx="289">
                  <c:v>268.63</c:v>
                </c:pt>
                <c:pt idx="290">
                  <c:v>264.10333333333335</c:v>
                </c:pt>
                <c:pt idx="291">
                  <c:v>259.57666666666671</c:v>
                </c:pt>
                <c:pt idx="292">
                  <c:v>255.05</c:v>
                </c:pt>
                <c:pt idx="293">
                  <c:v>257.19571428571442</c:v>
                </c:pt>
                <c:pt idx="294">
                  <c:v>259.34142857142876</c:v>
                </c:pt>
                <c:pt idx="295">
                  <c:v>261.48714285714306</c:v>
                </c:pt>
                <c:pt idx="296">
                  <c:v>263.63285714285735</c:v>
                </c:pt>
                <c:pt idx="297">
                  <c:v>265.77857142857158</c:v>
                </c:pt>
                <c:pt idx="298">
                  <c:v>267.92428571428582</c:v>
                </c:pt>
                <c:pt idx="299">
                  <c:v>270.07</c:v>
                </c:pt>
                <c:pt idx="300">
                  <c:v>267.47625000000005</c:v>
                </c:pt>
                <c:pt idx="301">
                  <c:v>264.88250000000011</c:v>
                </c:pt>
                <c:pt idx="302">
                  <c:v>262.28875000000016</c:v>
                </c:pt>
                <c:pt idx="303">
                  <c:v>259.69500000000016</c:v>
                </c:pt>
                <c:pt idx="304">
                  <c:v>257.10125000000016</c:v>
                </c:pt>
                <c:pt idx="305">
                  <c:v>254.50750000000011</c:v>
                </c:pt>
                <c:pt idx="306">
                  <c:v>251.91375000000005</c:v>
                </c:pt>
                <c:pt idx="307">
                  <c:v>249.32</c:v>
                </c:pt>
                <c:pt idx="308">
                  <c:v>253.64</c:v>
                </c:pt>
                <c:pt idx="309">
                  <c:v>257.95999999999998</c:v>
                </c:pt>
                <c:pt idx="310">
                  <c:v>254.06</c:v>
                </c:pt>
                <c:pt idx="311">
                  <c:v>250.16</c:v>
                </c:pt>
                <c:pt idx="312">
                  <c:v>246.26</c:v>
                </c:pt>
                <c:pt idx="313">
                  <c:v>250.12</c:v>
                </c:pt>
                <c:pt idx="314">
                  <c:v>253.98</c:v>
                </c:pt>
                <c:pt idx="315">
                  <c:v>257.83999999999997</c:v>
                </c:pt>
                <c:pt idx="316">
                  <c:v>249.48</c:v>
                </c:pt>
                <c:pt idx="317">
                  <c:v>251.08750000000003</c:v>
                </c:pt>
                <c:pt idx="318">
                  <c:v>252.69500000000008</c:v>
                </c:pt>
                <c:pt idx="319">
                  <c:v>254.30250000000012</c:v>
                </c:pt>
                <c:pt idx="320">
                  <c:v>255.91000000000014</c:v>
                </c:pt>
                <c:pt idx="321">
                  <c:v>257.51750000000015</c:v>
                </c:pt>
                <c:pt idx="322">
                  <c:v>259.12500000000011</c:v>
                </c:pt>
                <c:pt idx="323">
                  <c:v>260.73250000000007</c:v>
                </c:pt>
                <c:pt idx="324">
                  <c:v>262.33999999999997</c:v>
                </c:pt>
                <c:pt idx="325">
                  <c:v>261.26363636363646</c:v>
                </c:pt>
                <c:pt idx="326">
                  <c:v>260.1872727272729</c:v>
                </c:pt>
                <c:pt idx="327">
                  <c:v>259.11090909090933</c:v>
                </c:pt>
                <c:pt idx="328">
                  <c:v>258.03454545454576</c:v>
                </c:pt>
                <c:pt idx="329">
                  <c:v>256.95818181818214</c:v>
                </c:pt>
                <c:pt idx="330">
                  <c:v>255.88181818181849</c:v>
                </c:pt>
                <c:pt idx="331">
                  <c:v>254.80545454545484</c:v>
                </c:pt>
                <c:pt idx="332">
                  <c:v>253.72909090909116</c:v>
                </c:pt>
                <c:pt idx="333">
                  <c:v>252.65272727272745</c:v>
                </c:pt>
                <c:pt idx="334">
                  <c:v>251.57636363636374</c:v>
                </c:pt>
                <c:pt idx="335">
                  <c:v>250.5</c:v>
                </c:pt>
                <c:pt idx="336">
                  <c:v>251.20535714285751</c:v>
                </c:pt>
                <c:pt idx="337">
                  <c:v>251.91071428571502</c:v>
                </c:pt>
                <c:pt idx="338">
                  <c:v>252.6160714285725</c:v>
                </c:pt>
                <c:pt idx="339">
                  <c:v>253.32142857142998</c:v>
                </c:pt>
                <c:pt idx="340">
                  <c:v>254.02678571428743</c:v>
                </c:pt>
                <c:pt idx="341">
                  <c:v>254.73214285714485</c:v>
                </c:pt>
                <c:pt idx="342">
                  <c:v>255.43750000000227</c:v>
                </c:pt>
                <c:pt idx="343">
                  <c:v>256.14285714285967</c:v>
                </c:pt>
                <c:pt idx="344">
                  <c:v>256.84821428571706</c:v>
                </c:pt>
                <c:pt idx="345">
                  <c:v>257.5535714285744</c:v>
                </c:pt>
                <c:pt idx="346">
                  <c:v>258.25892857143168</c:v>
                </c:pt>
                <c:pt idx="347">
                  <c:v>258.96428571428896</c:v>
                </c:pt>
                <c:pt idx="348">
                  <c:v>259.66964285714619</c:v>
                </c:pt>
                <c:pt idx="349">
                  <c:v>260.37500000000335</c:v>
                </c:pt>
                <c:pt idx="350">
                  <c:v>261.08035714286052</c:v>
                </c:pt>
                <c:pt idx="351">
                  <c:v>261.78571428571763</c:v>
                </c:pt>
                <c:pt idx="352">
                  <c:v>262.49107142857468</c:v>
                </c:pt>
                <c:pt idx="353">
                  <c:v>263.19642857143174</c:v>
                </c:pt>
                <c:pt idx="354">
                  <c:v>263.90178571428874</c:v>
                </c:pt>
                <c:pt idx="355">
                  <c:v>264.60714285714567</c:v>
                </c:pt>
                <c:pt idx="356">
                  <c:v>265.31250000000261</c:v>
                </c:pt>
                <c:pt idx="357">
                  <c:v>266.0178571428595</c:v>
                </c:pt>
                <c:pt idx="358">
                  <c:v>266.72321428571632</c:v>
                </c:pt>
                <c:pt idx="359">
                  <c:v>267.42857142857315</c:v>
                </c:pt>
                <c:pt idx="360">
                  <c:v>268.13392857142992</c:v>
                </c:pt>
                <c:pt idx="361">
                  <c:v>268.83928571428663</c:v>
                </c:pt>
                <c:pt idx="362">
                  <c:v>269.54464285714334</c:v>
                </c:pt>
                <c:pt idx="363">
                  <c:v>270.25</c:v>
                </c:pt>
                <c:pt idx="364">
                  <c:v>269.39000000000016</c:v>
                </c:pt>
                <c:pt idx="365">
                  <c:v>268.53000000000031</c:v>
                </c:pt>
                <c:pt idx="366">
                  <c:v>267.67000000000041</c:v>
                </c:pt>
                <c:pt idx="367">
                  <c:v>266.81000000000046</c:v>
                </c:pt>
                <c:pt idx="368">
                  <c:v>265.9500000000005</c:v>
                </c:pt>
                <c:pt idx="369">
                  <c:v>265.09000000000049</c:v>
                </c:pt>
                <c:pt idx="370">
                  <c:v>264.23000000000047</c:v>
                </c:pt>
                <c:pt idx="371">
                  <c:v>263.3700000000004</c:v>
                </c:pt>
                <c:pt idx="372">
                  <c:v>262.51000000000033</c:v>
                </c:pt>
                <c:pt idx="373">
                  <c:v>261.6500000000002</c:v>
                </c:pt>
                <c:pt idx="374">
                  <c:v>260.79000000000002</c:v>
                </c:pt>
                <c:pt idx="375">
                  <c:v>261.21898305084858</c:v>
                </c:pt>
                <c:pt idx="376">
                  <c:v>261.64796610169708</c:v>
                </c:pt>
                <c:pt idx="377">
                  <c:v>262.07694915254552</c:v>
                </c:pt>
                <c:pt idx="378">
                  <c:v>262.50593220339397</c:v>
                </c:pt>
                <c:pt idx="379">
                  <c:v>262.93491525424236</c:v>
                </c:pt>
                <c:pt idx="380">
                  <c:v>263.36389830509069</c:v>
                </c:pt>
                <c:pt idx="381">
                  <c:v>263.79288135593902</c:v>
                </c:pt>
                <c:pt idx="382">
                  <c:v>264.22186440678729</c:v>
                </c:pt>
                <c:pt idx="383">
                  <c:v>264.65084745763551</c:v>
                </c:pt>
                <c:pt idx="384">
                  <c:v>265.07983050848372</c:v>
                </c:pt>
                <c:pt idx="385">
                  <c:v>265.50881355933188</c:v>
                </c:pt>
                <c:pt idx="386">
                  <c:v>265.93779661017999</c:v>
                </c:pt>
                <c:pt idx="387">
                  <c:v>266.36677966102809</c:v>
                </c:pt>
                <c:pt idx="388">
                  <c:v>266.79576271187614</c:v>
                </c:pt>
                <c:pt idx="389">
                  <c:v>267.22474576272413</c:v>
                </c:pt>
                <c:pt idx="390">
                  <c:v>267.65372881357212</c:v>
                </c:pt>
                <c:pt idx="391">
                  <c:v>268.08271186442005</c:v>
                </c:pt>
                <c:pt idx="392">
                  <c:v>268.51169491526792</c:v>
                </c:pt>
                <c:pt idx="393">
                  <c:v>268.9406779661158</c:v>
                </c:pt>
                <c:pt idx="394">
                  <c:v>269.36966101696362</c:v>
                </c:pt>
                <c:pt idx="395">
                  <c:v>269.79864406781138</c:v>
                </c:pt>
                <c:pt idx="396">
                  <c:v>270.22762711865914</c:v>
                </c:pt>
                <c:pt idx="397">
                  <c:v>270.65661016950685</c:v>
                </c:pt>
                <c:pt idx="398">
                  <c:v>271.0855932203545</c:v>
                </c:pt>
                <c:pt idx="399">
                  <c:v>271.51457627120215</c:v>
                </c:pt>
                <c:pt idx="400">
                  <c:v>271.94355932204974</c:v>
                </c:pt>
                <c:pt idx="401">
                  <c:v>272.37254237289727</c:v>
                </c:pt>
                <c:pt idx="402">
                  <c:v>272.80152542374481</c:v>
                </c:pt>
                <c:pt idx="403">
                  <c:v>273.23050847459228</c:v>
                </c:pt>
                <c:pt idx="404">
                  <c:v>273.65949152543971</c:v>
                </c:pt>
                <c:pt idx="405">
                  <c:v>274.08847457628713</c:v>
                </c:pt>
                <c:pt idx="406">
                  <c:v>274.51745762713449</c:v>
                </c:pt>
                <c:pt idx="407">
                  <c:v>274.94644067798185</c:v>
                </c:pt>
                <c:pt idx="408">
                  <c:v>275.37542372882916</c:v>
                </c:pt>
                <c:pt idx="409">
                  <c:v>275.80440677967647</c:v>
                </c:pt>
                <c:pt idx="410">
                  <c:v>276.23338983052372</c:v>
                </c:pt>
                <c:pt idx="411">
                  <c:v>276.66237288137091</c:v>
                </c:pt>
                <c:pt idx="412">
                  <c:v>277.09135593221811</c:v>
                </c:pt>
                <c:pt idx="413">
                  <c:v>277.52033898306524</c:v>
                </c:pt>
                <c:pt idx="414">
                  <c:v>277.94932203391232</c:v>
                </c:pt>
                <c:pt idx="415">
                  <c:v>278.3783050847594</c:v>
                </c:pt>
                <c:pt idx="416">
                  <c:v>278.80728813560643</c:v>
                </c:pt>
                <c:pt idx="417">
                  <c:v>279.23627118645339</c:v>
                </c:pt>
                <c:pt idx="418">
                  <c:v>279.66525423730036</c:v>
                </c:pt>
                <c:pt idx="419">
                  <c:v>280.09423728814727</c:v>
                </c:pt>
                <c:pt idx="420">
                  <c:v>280.52322033899412</c:v>
                </c:pt>
                <c:pt idx="421">
                  <c:v>280.95220338984097</c:v>
                </c:pt>
                <c:pt idx="422">
                  <c:v>281.38118644068777</c:v>
                </c:pt>
                <c:pt idx="423">
                  <c:v>281.81016949153451</c:v>
                </c:pt>
                <c:pt idx="424">
                  <c:v>282.23915254238125</c:v>
                </c:pt>
                <c:pt idx="425">
                  <c:v>282.66813559322793</c:v>
                </c:pt>
                <c:pt idx="426">
                  <c:v>283.09711864407456</c:v>
                </c:pt>
                <c:pt idx="427">
                  <c:v>283.52610169492118</c:v>
                </c:pt>
                <c:pt idx="428">
                  <c:v>283.95508474576775</c:v>
                </c:pt>
                <c:pt idx="429">
                  <c:v>284.38406779661426</c:v>
                </c:pt>
                <c:pt idx="430">
                  <c:v>284.81305084746077</c:v>
                </c:pt>
                <c:pt idx="431">
                  <c:v>285.24203389830723</c:v>
                </c:pt>
                <c:pt idx="432">
                  <c:v>285.67101694915362</c:v>
                </c:pt>
                <c:pt idx="433">
                  <c:v>286.10000000000002</c:v>
                </c:pt>
                <c:pt idx="434">
                  <c:v>284.50714285714309</c:v>
                </c:pt>
                <c:pt idx="435">
                  <c:v>282.91428571428611</c:v>
                </c:pt>
                <c:pt idx="436">
                  <c:v>281.32142857142912</c:v>
                </c:pt>
                <c:pt idx="437">
                  <c:v>279.72857142857208</c:v>
                </c:pt>
                <c:pt idx="438">
                  <c:v>278.13571428571504</c:v>
                </c:pt>
                <c:pt idx="439">
                  <c:v>276.54285714285794</c:v>
                </c:pt>
                <c:pt idx="440">
                  <c:v>274.95000000000084</c:v>
                </c:pt>
                <c:pt idx="441">
                  <c:v>273.35714285714369</c:v>
                </c:pt>
                <c:pt idx="442">
                  <c:v>271.76428571428647</c:v>
                </c:pt>
                <c:pt idx="443">
                  <c:v>270.17142857142926</c:v>
                </c:pt>
                <c:pt idx="444">
                  <c:v>268.57857142857199</c:v>
                </c:pt>
                <c:pt idx="445">
                  <c:v>266.98571428571466</c:v>
                </c:pt>
                <c:pt idx="446">
                  <c:v>265.39285714285734</c:v>
                </c:pt>
                <c:pt idx="447">
                  <c:v>263.8</c:v>
                </c:pt>
                <c:pt idx="448">
                  <c:v>266.43000000000006</c:v>
                </c:pt>
                <c:pt idx="449">
                  <c:v>269.06000000000006</c:v>
                </c:pt>
                <c:pt idx="450">
                  <c:v>271.69000000000005</c:v>
                </c:pt>
                <c:pt idx="451">
                  <c:v>274.32</c:v>
                </c:pt>
                <c:pt idx="452">
                  <c:v>271.72250000000008</c:v>
                </c:pt>
                <c:pt idx="453">
                  <c:v>269.12500000000011</c:v>
                </c:pt>
                <c:pt idx="454">
                  <c:v>266.52750000000015</c:v>
                </c:pt>
                <c:pt idx="455">
                  <c:v>263.93000000000018</c:v>
                </c:pt>
                <c:pt idx="456">
                  <c:v>261.33250000000015</c:v>
                </c:pt>
                <c:pt idx="457">
                  <c:v>258.73500000000013</c:v>
                </c:pt>
                <c:pt idx="458">
                  <c:v>256.13750000000005</c:v>
                </c:pt>
                <c:pt idx="459">
                  <c:v>253.54</c:v>
                </c:pt>
                <c:pt idx="460">
                  <c:v>256.14625000000007</c:v>
                </c:pt>
                <c:pt idx="461">
                  <c:v>258.75250000000017</c:v>
                </c:pt>
                <c:pt idx="462">
                  <c:v>261.35875000000021</c:v>
                </c:pt>
                <c:pt idx="463">
                  <c:v>263.9650000000002</c:v>
                </c:pt>
                <c:pt idx="464">
                  <c:v>266.57125000000019</c:v>
                </c:pt>
                <c:pt idx="465">
                  <c:v>269.17750000000012</c:v>
                </c:pt>
                <c:pt idx="466">
                  <c:v>271.78375000000005</c:v>
                </c:pt>
                <c:pt idx="467">
                  <c:v>274.39</c:v>
                </c:pt>
                <c:pt idx="468">
                  <c:v>272.61900000000014</c:v>
                </c:pt>
                <c:pt idx="469">
                  <c:v>270.84800000000024</c:v>
                </c:pt>
                <c:pt idx="470">
                  <c:v>269.07700000000034</c:v>
                </c:pt>
                <c:pt idx="471">
                  <c:v>267.30600000000038</c:v>
                </c:pt>
                <c:pt idx="472">
                  <c:v>265.53500000000037</c:v>
                </c:pt>
                <c:pt idx="473">
                  <c:v>263.76400000000035</c:v>
                </c:pt>
                <c:pt idx="474">
                  <c:v>261.99300000000028</c:v>
                </c:pt>
                <c:pt idx="475">
                  <c:v>260.22200000000021</c:v>
                </c:pt>
                <c:pt idx="476">
                  <c:v>258.45100000000014</c:v>
                </c:pt>
                <c:pt idx="477">
                  <c:v>256.68</c:v>
                </c:pt>
                <c:pt idx="478">
                  <c:v>259.49833333333345</c:v>
                </c:pt>
                <c:pt idx="479">
                  <c:v>262.31666666666683</c:v>
                </c:pt>
                <c:pt idx="480">
                  <c:v>265.13500000000016</c:v>
                </c:pt>
                <c:pt idx="481">
                  <c:v>267.95333333333349</c:v>
                </c:pt>
                <c:pt idx="482">
                  <c:v>270.77166666666676</c:v>
                </c:pt>
                <c:pt idx="483">
                  <c:v>273.58999999999997</c:v>
                </c:pt>
                <c:pt idx="484">
                  <c:v>264.83</c:v>
                </c:pt>
                <c:pt idx="485">
                  <c:v>256.07</c:v>
                </c:pt>
                <c:pt idx="486">
                  <c:v>264.63</c:v>
                </c:pt>
                <c:pt idx="487">
                  <c:v>252.34</c:v>
                </c:pt>
                <c:pt idx="488">
                  <c:v>257.40500000000003</c:v>
                </c:pt>
                <c:pt idx="489">
                  <c:v>262.47000000000003</c:v>
                </c:pt>
                <c:pt idx="490">
                  <c:v>258.7977777777777</c:v>
                </c:pt>
                <c:pt idx="491">
                  <c:v>255.12555555555542</c:v>
                </c:pt>
                <c:pt idx="492">
                  <c:v>251.45333333333318</c:v>
                </c:pt>
                <c:pt idx="493">
                  <c:v>247.78111111111093</c:v>
                </c:pt>
                <c:pt idx="494">
                  <c:v>244.10888888888871</c:v>
                </c:pt>
                <c:pt idx="495">
                  <c:v>240.43666666666653</c:v>
                </c:pt>
                <c:pt idx="496">
                  <c:v>236.76444444444434</c:v>
                </c:pt>
                <c:pt idx="497">
                  <c:v>233.09222222222218</c:v>
                </c:pt>
                <c:pt idx="498">
                  <c:v>229.42</c:v>
                </c:pt>
                <c:pt idx="499">
                  <c:v>234.79333333333329</c:v>
                </c:pt>
                <c:pt idx="500">
                  <c:v>240.16666666666663</c:v>
                </c:pt>
                <c:pt idx="501">
                  <c:v>245.54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1-41F8-8F0A-A72EA0D674CD}"/>
            </c:ext>
          </c:extLst>
        </c:ser>
        <c:ser>
          <c:idx val="5"/>
          <c:order val="5"/>
          <c:tx>
            <c:strRef>
              <c:f>HighLowType!$M$1</c:f>
              <c:strCache>
                <c:ptCount val="1"/>
                <c:pt idx="0">
                  <c:v> retHigh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HighLowType!$M$2:$M$504</c:f>
              <c:numCache>
                <c:formatCode>_("$"* #,##0.00000_);_("$"* \(#,##0.00000\);_("$"* "-"??_);_(@_)</c:formatCode>
                <c:ptCount val="503"/>
                <c:pt idx="39">
                  <c:v>227.04</c:v>
                </c:pt>
                <c:pt idx="40">
                  <c:v>227.25406113536866</c:v>
                </c:pt>
                <c:pt idx="41">
                  <c:v>227.46812227073735</c:v>
                </c:pt>
                <c:pt idx="42">
                  <c:v>227.68218340610608</c:v>
                </c:pt>
                <c:pt idx="43">
                  <c:v>227.8962445414748</c:v>
                </c:pt>
                <c:pt idx="44">
                  <c:v>228.11030567684355</c:v>
                </c:pt>
                <c:pt idx="45">
                  <c:v>228.32436681221233</c:v>
                </c:pt>
                <c:pt idx="46">
                  <c:v>228.53842794758111</c:v>
                </c:pt>
                <c:pt idx="47">
                  <c:v>228.75248908294992</c:v>
                </c:pt>
                <c:pt idx="48">
                  <c:v>228.96655021831873</c:v>
                </c:pt>
                <c:pt idx="49">
                  <c:v>229.18061135368757</c:v>
                </c:pt>
                <c:pt idx="50">
                  <c:v>229.3946724890564</c:v>
                </c:pt>
                <c:pt idx="51">
                  <c:v>229.60873362442527</c:v>
                </c:pt>
                <c:pt idx="52">
                  <c:v>229.82279475979416</c:v>
                </c:pt>
                <c:pt idx="53">
                  <c:v>230.03685589516306</c:v>
                </c:pt>
                <c:pt idx="54">
                  <c:v>230.25091703053198</c:v>
                </c:pt>
                <c:pt idx="55">
                  <c:v>230.46497816590093</c:v>
                </c:pt>
                <c:pt idx="56">
                  <c:v>230.67903930126988</c:v>
                </c:pt>
                <c:pt idx="57">
                  <c:v>230.89310043663886</c:v>
                </c:pt>
                <c:pt idx="58">
                  <c:v>231.10716157200787</c:v>
                </c:pt>
                <c:pt idx="59">
                  <c:v>231.32122270737688</c:v>
                </c:pt>
                <c:pt idx="60">
                  <c:v>231.53528384274591</c:v>
                </c:pt>
                <c:pt idx="61">
                  <c:v>231.74934497811498</c:v>
                </c:pt>
                <c:pt idx="62">
                  <c:v>231.96340611348404</c:v>
                </c:pt>
                <c:pt idx="63">
                  <c:v>232.17746724885313</c:v>
                </c:pt>
                <c:pt idx="64">
                  <c:v>232.39152838422225</c:v>
                </c:pt>
                <c:pt idx="65">
                  <c:v>232.60558951959138</c:v>
                </c:pt>
                <c:pt idx="66">
                  <c:v>232.81965065496053</c:v>
                </c:pt>
                <c:pt idx="67">
                  <c:v>233.0337117903297</c:v>
                </c:pt>
                <c:pt idx="68">
                  <c:v>233.24777292569888</c:v>
                </c:pt>
                <c:pt idx="69">
                  <c:v>233.46183406106809</c:v>
                </c:pt>
                <c:pt idx="70">
                  <c:v>233.67589519643732</c:v>
                </c:pt>
                <c:pt idx="71">
                  <c:v>233.88995633180656</c:v>
                </c:pt>
                <c:pt idx="72">
                  <c:v>234.10401746717582</c:v>
                </c:pt>
                <c:pt idx="73">
                  <c:v>234.31807860254511</c:v>
                </c:pt>
                <c:pt idx="74">
                  <c:v>234.53213973791441</c:v>
                </c:pt>
                <c:pt idx="75">
                  <c:v>234.74620087328373</c:v>
                </c:pt>
                <c:pt idx="76">
                  <c:v>234.96026200865307</c:v>
                </c:pt>
                <c:pt idx="77">
                  <c:v>235.17432314402242</c:v>
                </c:pt>
                <c:pt idx="78">
                  <c:v>235.3883842793918</c:v>
                </c:pt>
                <c:pt idx="79">
                  <c:v>235.60244541476121</c:v>
                </c:pt>
                <c:pt idx="80">
                  <c:v>235.81650655013061</c:v>
                </c:pt>
                <c:pt idx="81">
                  <c:v>236.03056768550005</c:v>
                </c:pt>
                <c:pt idx="82">
                  <c:v>236.24462882086951</c:v>
                </c:pt>
                <c:pt idx="83">
                  <c:v>236.45868995623897</c:v>
                </c:pt>
                <c:pt idx="84">
                  <c:v>236.67275109160846</c:v>
                </c:pt>
                <c:pt idx="85">
                  <c:v>236.88681222697798</c:v>
                </c:pt>
                <c:pt idx="86">
                  <c:v>237.1008733623475</c:v>
                </c:pt>
                <c:pt idx="87">
                  <c:v>237.31493449771705</c:v>
                </c:pt>
                <c:pt idx="88">
                  <c:v>237.52899563308662</c:v>
                </c:pt>
                <c:pt idx="89">
                  <c:v>237.7430567684562</c:v>
                </c:pt>
                <c:pt idx="90">
                  <c:v>237.9571179038258</c:v>
                </c:pt>
                <c:pt idx="91">
                  <c:v>238.17117903919544</c:v>
                </c:pt>
                <c:pt idx="92">
                  <c:v>238.38524017456507</c:v>
                </c:pt>
                <c:pt idx="93">
                  <c:v>238.59930130993473</c:v>
                </c:pt>
                <c:pt idx="94">
                  <c:v>238.81336244530442</c:v>
                </c:pt>
                <c:pt idx="95">
                  <c:v>239.02742358067411</c:v>
                </c:pt>
                <c:pt idx="96">
                  <c:v>239.24148471604383</c:v>
                </c:pt>
                <c:pt idx="97">
                  <c:v>239.45554585141358</c:v>
                </c:pt>
                <c:pt idx="98">
                  <c:v>239.66960698678332</c:v>
                </c:pt>
                <c:pt idx="99">
                  <c:v>239.8836681221531</c:v>
                </c:pt>
                <c:pt idx="100">
                  <c:v>240.0977292575229</c:v>
                </c:pt>
                <c:pt idx="101">
                  <c:v>240.3117903928927</c:v>
                </c:pt>
                <c:pt idx="102">
                  <c:v>240.52585152826254</c:v>
                </c:pt>
                <c:pt idx="103">
                  <c:v>240.7399126636324</c:v>
                </c:pt>
                <c:pt idx="104">
                  <c:v>240.95397379900226</c:v>
                </c:pt>
                <c:pt idx="105">
                  <c:v>241.16803493437214</c:v>
                </c:pt>
                <c:pt idx="106">
                  <c:v>241.38209606974206</c:v>
                </c:pt>
                <c:pt idx="107">
                  <c:v>241.59615720511198</c:v>
                </c:pt>
                <c:pt idx="108">
                  <c:v>241.81021834048192</c:v>
                </c:pt>
                <c:pt idx="109">
                  <c:v>242.0242794758519</c:v>
                </c:pt>
                <c:pt idx="110">
                  <c:v>242.23834061122187</c:v>
                </c:pt>
                <c:pt idx="111">
                  <c:v>242.45240174659187</c:v>
                </c:pt>
                <c:pt idx="112">
                  <c:v>242.66646288196191</c:v>
                </c:pt>
                <c:pt idx="113">
                  <c:v>242.88052401733194</c:v>
                </c:pt>
                <c:pt idx="114">
                  <c:v>243.094585152702</c:v>
                </c:pt>
                <c:pt idx="115">
                  <c:v>243.30864628807208</c:v>
                </c:pt>
                <c:pt idx="116">
                  <c:v>243.52270742344217</c:v>
                </c:pt>
                <c:pt idx="117">
                  <c:v>243.73676855881229</c:v>
                </c:pt>
                <c:pt idx="118">
                  <c:v>243.95082969418243</c:v>
                </c:pt>
                <c:pt idx="119">
                  <c:v>244.16489082955258</c:v>
                </c:pt>
                <c:pt idx="120">
                  <c:v>244.37895196492275</c:v>
                </c:pt>
                <c:pt idx="121">
                  <c:v>244.59301310029295</c:v>
                </c:pt>
                <c:pt idx="122">
                  <c:v>244.80707423566315</c:v>
                </c:pt>
                <c:pt idx="123">
                  <c:v>245.02113537103338</c:v>
                </c:pt>
                <c:pt idx="124">
                  <c:v>245.23519650640364</c:v>
                </c:pt>
                <c:pt idx="125">
                  <c:v>245.4492576417739</c:v>
                </c:pt>
                <c:pt idx="126">
                  <c:v>245.66331877714418</c:v>
                </c:pt>
                <c:pt idx="127">
                  <c:v>245.8773799125145</c:v>
                </c:pt>
                <c:pt idx="128">
                  <c:v>246.09144104788481</c:v>
                </c:pt>
                <c:pt idx="129">
                  <c:v>246.30550218325516</c:v>
                </c:pt>
                <c:pt idx="130">
                  <c:v>246.51956331862553</c:v>
                </c:pt>
                <c:pt idx="131">
                  <c:v>246.7336244539959</c:v>
                </c:pt>
                <c:pt idx="132">
                  <c:v>246.9476855893663</c:v>
                </c:pt>
                <c:pt idx="133">
                  <c:v>247.16174672473673</c:v>
                </c:pt>
                <c:pt idx="134">
                  <c:v>247.37580786010716</c:v>
                </c:pt>
                <c:pt idx="135">
                  <c:v>247.58986899547762</c:v>
                </c:pt>
                <c:pt idx="136">
                  <c:v>247.8039301308481</c:v>
                </c:pt>
                <c:pt idx="137">
                  <c:v>248.01799126621859</c:v>
                </c:pt>
                <c:pt idx="138">
                  <c:v>248.2320524015891</c:v>
                </c:pt>
                <c:pt idx="139">
                  <c:v>248.44611353695964</c:v>
                </c:pt>
                <c:pt idx="140">
                  <c:v>248.66017467233019</c:v>
                </c:pt>
                <c:pt idx="141">
                  <c:v>248.87423580770076</c:v>
                </c:pt>
                <c:pt idx="142">
                  <c:v>249.08829694307136</c:v>
                </c:pt>
                <c:pt idx="143">
                  <c:v>249.30235807844196</c:v>
                </c:pt>
                <c:pt idx="144">
                  <c:v>249.51641921381258</c:v>
                </c:pt>
                <c:pt idx="145">
                  <c:v>249.73048034918324</c:v>
                </c:pt>
                <c:pt idx="146">
                  <c:v>249.94454148455389</c:v>
                </c:pt>
                <c:pt idx="147">
                  <c:v>250.15860261992458</c:v>
                </c:pt>
                <c:pt idx="148">
                  <c:v>250.37266375529529</c:v>
                </c:pt>
                <c:pt idx="149">
                  <c:v>250.58672489066601</c:v>
                </c:pt>
                <c:pt idx="150">
                  <c:v>250.80078602603675</c:v>
                </c:pt>
                <c:pt idx="151">
                  <c:v>251.01484716140752</c:v>
                </c:pt>
                <c:pt idx="152">
                  <c:v>251.22890829677829</c:v>
                </c:pt>
                <c:pt idx="153">
                  <c:v>251.44296943214908</c:v>
                </c:pt>
                <c:pt idx="154">
                  <c:v>251.65703056751991</c:v>
                </c:pt>
                <c:pt idx="155">
                  <c:v>251.87109170289074</c:v>
                </c:pt>
                <c:pt idx="156">
                  <c:v>252.08515283826159</c:v>
                </c:pt>
                <c:pt idx="157">
                  <c:v>252.29921397363248</c:v>
                </c:pt>
                <c:pt idx="158">
                  <c:v>252.51327510900336</c:v>
                </c:pt>
                <c:pt idx="159">
                  <c:v>252.72733624437427</c:v>
                </c:pt>
                <c:pt idx="160">
                  <c:v>252.94139737974521</c:v>
                </c:pt>
                <c:pt idx="161">
                  <c:v>253.15545851511615</c:v>
                </c:pt>
                <c:pt idx="162">
                  <c:v>253.36951965048712</c:v>
                </c:pt>
                <c:pt idx="163">
                  <c:v>253.58358078585812</c:v>
                </c:pt>
                <c:pt idx="164">
                  <c:v>253.79764192122911</c:v>
                </c:pt>
                <c:pt idx="165">
                  <c:v>254.01170305660014</c:v>
                </c:pt>
                <c:pt idx="166">
                  <c:v>254.22576419197119</c:v>
                </c:pt>
                <c:pt idx="167">
                  <c:v>254.43982532734225</c:v>
                </c:pt>
                <c:pt idx="168">
                  <c:v>254.65388646271333</c:v>
                </c:pt>
                <c:pt idx="169">
                  <c:v>254.86794759808444</c:v>
                </c:pt>
                <c:pt idx="170">
                  <c:v>255.08200873345555</c:v>
                </c:pt>
                <c:pt idx="171">
                  <c:v>255.29606986882669</c:v>
                </c:pt>
                <c:pt idx="172">
                  <c:v>255.51013100419786</c:v>
                </c:pt>
                <c:pt idx="173">
                  <c:v>255.72419213956903</c:v>
                </c:pt>
                <c:pt idx="174">
                  <c:v>255.93825327494022</c:v>
                </c:pt>
                <c:pt idx="175">
                  <c:v>256.15231441031142</c:v>
                </c:pt>
                <c:pt idx="176">
                  <c:v>256.36637554568267</c:v>
                </c:pt>
                <c:pt idx="177">
                  <c:v>256.58043668105398</c:v>
                </c:pt>
                <c:pt idx="178">
                  <c:v>256.79449781642529</c:v>
                </c:pt>
                <c:pt idx="179">
                  <c:v>257.00855895179666</c:v>
                </c:pt>
                <c:pt idx="180">
                  <c:v>257.22262008716808</c:v>
                </c:pt>
                <c:pt idx="181">
                  <c:v>257.43668122253951</c:v>
                </c:pt>
                <c:pt idx="182">
                  <c:v>257.65074235791099</c:v>
                </c:pt>
                <c:pt idx="183">
                  <c:v>257.86480349328252</c:v>
                </c:pt>
                <c:pt idx="184">
                  <c:v>258.07886462865406</c:v>
                </c:pt>
                <c:pt idx="185">
                  <c:v>258.29292576402565</c:v>
                </c:pt>
                <c:pt idx="186">
                  <c:v>258.5069868993973</c:v>
                </c:pt>
                <c:pt idx="187">
                  <c:v>258.72104803476896</c:v>
                </c:pt>
                <c:pt idx="188">
                  <c:v>258.93510917014066</c:v>
                </c:pt>
                <c:pt idx="189">
                  <c:v>259.14917030551243</c:v>
                </c:pt>
                <c:pt idx="190">
                  <c:v>259.36323144088419</c:v>
                </c:pt>
                <c:pt idx="191">
                  <c:v>259.57729257625601</c:v>
                </c:pt>
                <c:pt idx="192">
                  <c:v>259.79135371162789</c:v>
                </c:pt>
                <c:pt idx="193">
                  <c:v>260.00541484699977</c:v>
                </c:pt>
                <c:pt idx="194">
                  <c:v>260.2194759823717</c:v>
                </c:pt>
                <c:pt idx="195">
                  <c:v>260.4335371177437</c:v>
                </c:pt>
                <c:pt idx="196">
                  <c:v>260.64759825311569</c:v>
                </c:pt>
                <c:pt idx="197">
                  <c:v>260.86165938848774</c:v>
                </c:pt>
                <c:pt idx="198">
                  <c:v>261.07572052385984</c:v>
                </c:pt>
                <c:pt idx="199">
                  <c:v>261.28978165923195</c:v>
                </c:pt>
                <c:pt idx="200">
                  <c:v>261.50384279460411</c:v>
                </c:pt>
                <c:pt idx="201">
                  <c:v>261.71790392997633</c:v>
                </c:pt>
                <c:pt idx="202">
                  <c:v>261.93196506534855</c:v>
                </c:pt>
                <c:pt idx="203">
                  <c:v>262.14602620072083</c:v>
                </c:pt>
                <c:pt idx="204">
                  <c:v>262.36008733609316</c:v>
                </c:pt>
                <c:pt idx="205">
                  <c:v>262.57414847146549</c:v>
                </c:pt>
                <c:pt idx="206">
                  <c:v>262.78820960683788</c:v>
                </c:pt>
                <c:pt idx="207">
                  <c:v>263.00227074221033</c:v>
                </c:pt>
                <c:pt idx="208">
                  <c:v>263.21633187758277</c:v>
                </c:pt>
                <c:pt idx="209">
                  <c:v>263.43039301295528</c:v>
                </c:pt>
                <c:pt idx="210">
                  <c:v>263.64445414832784</c:v>
                </c:pt>
                <c:pt idx="211">
                  <c:v>263.8585152837004</c:v>
                </c:pt>
                <c:pt idx="212">
                  <c:v>264.07257641907302</c:v>
                </c:pt>
                <c:pt idx="213">
                  <c:v>264.28663755444569</c:v>
                </c:pt>
                <c:pt idx="214">
                  <c:v>264.50069868981836</c:v>
                </c:pt>
                <c:pt idx="215">
                  <c:v>264.71475982519109</c:v>
                </c:pt>
                <c:pt idx="216">
                  <c:v>264.92882096056388</c:v>
                </c:pt>
                <c:pt idx="217">
                  <c:v>265.14288209593667</c:v>
                </c:pt>
                <c:pt idx="218">
                  <c:v>265.35694323130951</c:v>
                </c:pt>
                <c:pt idx="219">
                  <c:v>265.57100436668242</c:v>
                </c:pt>
                <c:pt idx="220">
                  <c:v>265.78506550205532</c:v>
                </c:pt>
                <c:pt idx="221">
                  <c:v>265.99912663742828</c:v>
                </c:pt>
                <c:pt idx="222">
                  <c:v>266.21318777280129</c:v>
                </c:pt>
                <c:pt idx="223">
                  <c:v>266.42724890817431</c:v>
                </c:pt>
                <c:pt idx="224">
                  <c:v>266.64131004354738</c:v>
                </c:pt>
                <c:pt idx="225">
                  <c:v>266.85537117892051</c:v>
                </c:pt>
                <c:pt idx="226">
                  <c:v>267.06943231429364</c:v>
                </c:pt>
                <c:pt idx="227">
                  <c:v>267.28349344966682</c:v>
                </c:pt>
                <c:pt idx="228">
                  <c:v>267.49755458504006</c:v>
                </c:pt>
                <c:pt idx="229">
                  <c:v>267.71161572041331</c:v>
                </c:pt>
                <c:pt idx="230">
                  <c:v>267.92567685578661</c:v>
                </c:pt>
                <c:pt idx="231">
                  <c:v>268.13973799115996</c:v>
                </c:pt>
                <c:pt idx="232">
                  <c:v>268.35379912653332</c:v>
                </c:pt>
                <c:pt idx="233">
                  <c:v>268.56786026190673</c:v>
                </c:pt>
                <c:pt idx="234">
                  <c:v>268.7819213972802</c:v>
                </c:pt>
                <c:pt idx="235">
                  <c:v>268.99598253265367</c:v>
                </c:pt>
                <c:pt idx="236">
                  <c:v>269.2100436680272</c:v>
                </c:pt>
                <c:pt idx="237">
                  <c:v>269.42410480340078</c:v>
                </c:pt>
                <c:pt idx="238">
                  <c:v>269.63816593877436</c:v>
                </c:pt>
                <c:pt idx="239">
                  <c:v>269.852227074148</c:v>
                </c:pt>
                <c:pt idx="240">
                  <c:v>270.0662882095217</c:v>
                </c:pt>
                <c:pt idx="241">
                  <c:v>270.2803493448954</c:v>
                </c:pt>
                <c:pt idx="242">
                  <c:v>270.49441048026915</c:v>
                </c:pt>
                <c:pt idx="243">
                  <c:v>270.70847161564296</c:v>
                </c:pt>
                <c:pt idx="244">
                  <c:v>270.92253275101677</c:v>
                </c:pt>
                <c:pt idx="245">
                  <c:v>271.13659388639064</c:v>
                </c:pt>
                <c:pt idx="246">
                  <c:v>271.35065502176457</c:v>
                </c:pt>
                <c:pt idx="247">
                  <c:v>271.56471615713849</c:v>
                </c:pt>
                <c:pt idx="248">
                  <c:v>271.77877729251247</c:v>
                </c:pt>
                <c:pt idx="249">
                  <c:v>271.99283842788651</c:v>
                </c:pt>
                <c:pt idx="250">
                  <c:v>272.20689956326055</c:v>
                </c:pt>
                <c:pt idx="251">
                  <c:v>272.42096069863464</c:v>
                </c:pt>
                <c:pt idx="252">
                  <c:v>272.6350218340088</c:v>
                </c:pt>
                <c:pt idx="253">
                  <c:v>272.84908296938295</c:v>
                </c:pt>
                <c:pt idx="254">
                  <c:v>273.06314410475716</c:v>
                </c:pt>
                <c:pt idx="255">
                  <c:v>273.27720524013142</c:v>
                </c:pt>
                <c:pt idx="256">
                  <c:v>273.49126637550569</c:v>
                </c:pt>
                <c:pt idx="257">
                  <c:v>273.70532751088001</c:v>
                </c:pt>
                <c:pt idx="258">
                  <c:v>273.91938864625439</c:v>
                </c:pt>
                <c:pt idx="259">
                  <c:v>274.13344978162877</c:v>
                </c:pt>
                <c:pt idx="260">
                  <c:v>274.34751091700321</c:v>
                </c:pt>
                <c:pt idx="261">
                  <c:v>274.5615720523777</c:v>
                </c:pt>
                <c:pt idx="262">
                  <c:v>274.77563318775219</c:v>
                </c:pt>
                <c:pt idx="263">
                  <c:v>274.98969432312674</c:v>
                </c:pt>
                <c:pt idx="264">
                  <c:v>275.20375545850135</c:v>
                </c:pt>
                <c:pt idx="265">
                  <c:v>275.41781659387595</c:v>
                </c:pt>
                <c:pt idx="266">
                  <c:v>275.63187772925062</c:v>
                </c:pt>
                <c:pt idx="267">
                  <c:v>275.84593886462528</c:v>
                </c:pt>
                <c:pt idx="268">
                  <c:v>276.06</c:v>
                </c:pt>
                <c:pt idx="269">
                  <c:v>274.34250000000009</c:v>
                </c:pt>
                <c:pt idx="270">
                  <c:v>272.62500000000017</c:v>
                </c:pt>
                <c:pt idx="271">
                  <c:v>270.90750000000025</c:v>
                </c:pt>
                <c:pt idx="272">
                  <c:v>269.19000000000028</c:v>
                </c:pt>
                <c:pt idx="273">
                  <c:v>267.47250000000025</c:v>
                </c:pt>
                <c:pt idx="274">
                  <c:v>265.75500000000022</c:v>
                </c:pt>
                <c:pt idx="275">
                  <c:v>264.03750000000014</c:v>
                </c:pt>
                <c:pt idx="276">
                  <c:v>262.32</c:v>
                </c:pt>
                <c:pt idx="277">
                  <c:v>262.80538461538447</c:v>
                </c:pt>
                <c:pt idx="278">
                  <c:v>263.29076923076889</c:v>
                </c:pt>
                <c:pt idx="279">
                  <c:v>263.77615384615336</c:v>
                </c:pt>
                <c:pt idx="280">
                  <c:v>264.26153846153784</c:v>
                </c:pt>
                <c:pt idx="281">
                  <c:v>264.74692307692237</c:v>
                </c:pt>
                <c:pt idx="282">
                  <c:v>265.23230769230696</c:v>
                </c:pt>
                <c:pt idx="283">
                  <c:v>265.71769230769155</c:v>
                </c:pt>
                <c:pt idx="284">
                  <c:v>266.2030769230762</c:v>
                </c:pt>
                <c:pt idx="285">
                  <c:v>266.6884615384609</c:v>
                </c:pt>
                <c:pt idx="286">
                  <c:v>267.1738461538456</c:v>
                </c:pt>
                <c:pt idx="287">
                  <c:v>267.65923076923036</c:v>
                </c:pt>
                <c:pt idx="288">
                  <c:v>268.14461538461518</c:v>
                </c:pt>
                <c:pt idx="289">
                  <c:v>268.63</c:v>
                </c:pt>
                <c:pt idx="290">
                  <c:v>268.77399999999989</c:v>
                </c:pt>
                <c:pt idx="291">
                  <c:v>268.91799999999978</c:v>
                </c:pt>
                <c:pt idx="292">
                  <c:v>269.06199999999967</c:v>
                </c:pt>
                <c:pt idx="293">
                  <c:v>269.20599999999962</c:v>
                </c:pt>
                <c:pt idx="294">
                  <c:v>269.34999999999957</c:v>
                </c:pt>
                <c:pt idx="295">
                  <c:v>269.49399999999957</c:v>
                </c:pt>
                <c:pt idx="296">
                  <c:v>269.63799999999964</c:v>
                </c:pt>
                <c:pt idx="297">
                  <c:v>269.7819999999997</c:v>
                </c:pt>
                <c:pt idx="298">
                  <c:v>269.92599999999982</c:v>
                </c:pt>
                <c:pt idx="299">
                  <c:v>270.07</c:v>
                </c:pt>
                <c:pt idx="300">
                  <c:v>268.85900000000015</c:v>
                </c:pt>
                <c:pt idx="301">
                  <c:v>267.64800000000025</c:v>
                </c:pt>
                <c:pt idx="302">
                  <c:v>266.43700000000035</c:v>
                </c:pt>
                <c:pt idx="303">
                  <c:v>265.2260000000004</c:v>
                </c:pt>
                <c:pt idx="304">
                  <c:v>264.01500000000044</c:v>
                </c:pt>
                <c:pt idx="305">
                  <c:v>262.80400000000043</c:v>
                </c:pt>
                <c:pt idx="306">
                  <c:v>261.59300000000036</c:v>
                </c:pt>
                <c:pt idx="307">
                  <c:v>260.38200000000029</c:v>
                </c:pt>
                <c:pt idx="308">
                  <c:v>259.17100000000016</c:v>
                </c:pt>
                <c:pt idx="309">
                  <c:v>257.95999999999998</c:v>
                </c:pt>
                <c:pt idx="310">
                  <c:v>257.94000000000005</c:v>
                </c:pt>
                <c:pt idx="311">
                  <c:v>257.92000000000007</c:v>
                </c:pt>
                <c:pt idx="312">
                  <c:v>257.90000000000009</c:v>
                </c:pt>
                <c:pt idx="313">
                  <c:v>257.88000000000005</c:v>
                </c:pt>
                <c:pt idx="314">
                  <c:v>257.86</c:v>
                </c:pt>
                <c:pt idx="315">
                  <c:v>257.83999999999997</c:v>
                </c:pt>
                <c:pt idx="316">
                  <c:v>258.3399999999998</c:v>
                </c:pt>
                <c:pt idx="317">
                  <c:v>258.83999999999969</c:v>
                </c:pt>
                <c:pt idx="318">
                  <c:v>259.33999999999963</c:v>
                </c:pt>
                <c:pt idx="319">
                  <c:v>259.83999999999958</c:v>
                </c:pt>
                <c:pt idx="320">
                  <c:v>260.33999999999958</c:v>
                </c:pt>
                <c:pt idx="321">
                  <c:v>260.83999999999963</c:v>
                </c:pt>
                <c:pt idx="322">
                  <c:v>261.33999999999969</c:v>
                </c:pt>
                <c:pt idx="323">
                  <c:v>261.8399999999998</c:v>
                </c:pt>
                <c:pt idx="324">
                  <c:v>262.33999999999997</c:v>
                </c:pt>
                <c:pt idx="325">
                  <c:v>262.54282051281984</c:v>
                </c:pt>
                <c:pt idx="326">
                  <c:v>262.74564102563971</c:v>
                </c:pt>
                <c:pt idx="327">
                  <c:v>262.94846153845958</c:v>
                </c:pt>
                <c:pt idx="328">
                  <c:v>263.15128205127951</c:v>
                </c:pt>
                <c:pt idx="329">
                  <c:v>263.35410256409949</c:v>
                </c:pt>
                <c:pt idx="330">
                  <c:v>263.55692307691947</c:v>
                </c:pt>
                <c:pt idx="331">
                  <c:v>263.75974358973951</c:v>
                </c:pt>
                <c:pt idx="332">
                  <c:v>263.96256410255961</c:v>
                </c:pt>
                <c:pt idx="333">
                  <c:v>264.16538461537971</c:v>
                </c:pt>
                <c:pt idx="334">
                  <c:v>264.36820512819986</c:v>
                </c:pt>
                <c:pt idx="335">
                  <c:v>264.57102564102007</c:v>
                </c:pt>
                <c:pt idx="336">
                  <c:v>264.77384615384028</c:v>
                </c:pt>
                <c:pt idx="337">
                  <c:v>264.97666666666055</c:v>
                </c:pt>
                <c:pt idx="338">
                  <c:v>265.17948717948087</c:v>
                </c:pt>
                <c:pt idx="339">
                  <c:v>265.3823076923012</c:v>
                </c:pt>
                <c:pt idx="340">
                  <c:v>265.58512820512158</c:v>
                </c:pt>
                <c:pt idx="341">
                  <c:v>265.78794871794202</c:v>
                </c:pt>
                <c:pt idx="342">
                  <c:v>265.99076923076245</c:v>
                </c:pt>
                <c:pt idx="343">
                  <c:v>266.19358974358295</c:v>
                </c:pt>
                <c:pt idx="344">
                  <c:v>266.39641025640344</c:v>
                </c:pt>
                <c:pt idx="345">
                  <c:v>266.59923076922399</c:v>
                </c:pt>
                <c:pt idx="346">
                  <c:v>266.80205128204454</c:v>
                </c:pt>
                <c:pt idx="347">
                  <c:v>267.00487179486515</c:v>
                </c:pt>
                <c:pt idx="348">
                  <c:v>267.20769230768582</c:v>
                </c:pt>
                <c:pt idx="349">
                  <c:v>267.41051282050648</c:v>
                </c:pt>
                <c:pt idx="350">
                  <c:v>267.6133333333272</c:v>
                </c:pt>
                <c:pt idx="351">
                  <c:v>267.81615384614798</c:v>
                </c:pt>
                <c:pt idx="352">
                  <c:v>268.01897435896876</c:v>
                </c:pt>
                <c:pt idx="353">
                  <c:v>268.2217948717896</c:v>
                </c:pt>
                <c:pt idx="354">
                  <c:v>268.42461538461049</c:v>
                </c:pt>
                <c:pt idx="355">
                  <c:v>268.62743589743138</c:v>
                </c:pt>
                <c:pt idx="356">
                  <c:v>268.83025641025233</c:v>
                </c:pt>
                <c:pt idx="357">
                  <c:v>269.03307692307334</c:v>
                </c:pt>
                <c:pt idx="358">
                  <c:v>269.23589743589434</c:v>
                </c:pt>
                <c:pt idx="359">
                  <c:v>269.43871794871541</c:v>
                </c:pt>
                <c:pt idx="360">
                  <c:v>269.64153846153653</c:v>
                </c:pt>
                <c:pt idx="361">
                  <c:v>269.84435897435765</c:v>
                </c:pt>
                <c:pt idx="362">
                  <c:v>270.04717948717882</c:v>
                </c:pt>
                <c:pt idx="363">
                  <c:v>270.25</c:v>
                </c:pt>
                <c:pt idx="364">
                  <c:v>270.47642857142728</c:v>
                </c:pt>
                <c:pt idx="365">
                  <c:v>270.70285714285461</c:v>
                </c:pt>
                <c:pt idx="366">
                  <c:v>270.92928571428195</c:v>
                </c:pt>
                <c:pt idx="367">
                  <c:v>271.15571428570934</c:v>
                </c:pt>
                <c:pt idx="368">
                  <c:v>271.38214285713678</c:v>
                </c:pt>
                <c:pt idx="369">
                  <c:v>271.60857142856423</c:v>
                </c:pt>
                <c:pt idx="370">
                  <c:v>271.83499999999174</c:v>
                </c:pt>
                <c:pt idx="371">
                  <c:v>272.0614285714193</c:v>
                </c:pt>
                <c:pt idx="372">
                  <c:v>272.28785714284686</c:v>
                </c:pt>
                <c:pt idx="373">
                  <c:v>272.51428571427448</c:v>
                </c:pt>
                <c:pt idx="374">
                  <c:v>272.74071428570215</c:v>
                </c:pt>
                <c:pt idx="375">
                  <c:v>272.96714285712983</c:v>
                </c:pt>
                <c:pt idx="376">
                  <c:v>273.19357142855756</c:v>
                </c:pt>
                <c:pt idx="377">
                  <c:v>273.41999999998535</c:v>
                </c:pt>
                <c:pt idx="378">
                  <c:v>273.64642857141314</c:v>
                </c:pt>
                <c:pt idx="379">
                  <c:v>273.87285714284099</c:v>
                </c:pt>
                <c:pt idx="380">
                  <c:v>274.09928571426889</c:v>
                </c:pt>
                <c:pt idx="381">
                  <c:v>274.32571428569679</c:v>
                </c:pt>
                <c:pt idx="382">
                  <c:v>274.55214285712475</c:v>
                </c:pt>
                <c:pt idx="383">
                  <c:v>274.77857142855277</c:v>
                </c:pt>
                <c:pt idx="384">
                  <c:v>275.00499999998078</c:v>
                </c:pt>
                <c:pt idx="385">
                  <c:v>275.23142857140886</c:v>
                </c:pt>
                <c:pt idx="386">
                  <c:v>275.45785714283699</c:v>
                </c:pt>
                <c:pt idx="387">
                  <c:v>275.68428571426512</c:v>
                </c:pt>
                <c:pt idx="388">
                  <c:v>275.9107142856933</c:v>
                </c:pt>
                <c:pt idx="389">
                  <c:v>276.13714285712155</c:v>
                </c:pt>
                <c:pt idx="390">
                  <c:v>276.36357142854979</c:v>
                </c:pt>
                <c:pt idx="391">
                  <c:v>276.58999999997809</c:v>
                </c:pt>
                <c:pt idx="392">
                  <c:v>276.81642857140645</c:v>
                </c:pt>
                <c:pt idx="393">
                  <c:v>277.04285714283481</c:v>
                </c:pt>
                <c:pt idx="394">
                  <c:v>277.26928571426322</c:v>
                </c:pt>
                <c:pt idx="395">
                  <c:v>277.49571428569169</c:v>
                </c:pt>
                <c:pt idx="396">
                  <c:v>277.72214285712016</c:v>
                </c:pt>
                <c:pt idx="397">
                  <c:v>277.94857142854869</c:v>
                </c:pt>
                <c:pt idx="398">
                  <c:v>278.17499999997727</c:v>
                </c:pt>
                <c:pt idx="399">
                  <c:v>278.40142857140586</c:v>
                </c:pt>
                <c:pt idx="400">
                  <c:v>278.6278571428345</c:v>
                </c:pt>
                <c:pt idx="401">
                  <c:v>278.8542857142632</c:v>
                </c:pt>
                <c:pt idx="402">
                  <c:v>279.0807142856919</c:v>
                </c:pt>
                <c:pt idx="403">
                  <c:v>279.30714285712065</c:v>
                </c:pt>
                <c:pt idx="404">
                  <c:v>279.53357142854946</c:v>
                </c:pt>
                <c:pt idx="405">
                  <c:v>279.75999999997828</c:v>
                </c:pt>
                <c:pt idx="406">
                  <c:v>279.98642857140715</c:v>
                </c:pt>
                <c:pt idx="407">
                  <c:v>280.21285714283607</c:v>
                </c:pt>
                <c:pt idx="408">
                  <c:v>280.439285714265</c:v>
                </c:pt>
                <c:pt idx="409">
                  <c:v>280.66571428569398</c:v>
                </c:pt>
                <c:pt idx="410">
                  <c:v>280.89214285712296</c:v>
                </c:pt>
                <c:pt idx="411">
                  <c:v>281.118571428552</c:v>
                </c:pt>
                <c:pt idx="412">
                  <c:v>281.34499999998104</c:v>
                </c:pt>
                <c:pt idx="413">
                  <c:v>281.57142857141014</c:v>
                </c:pt>
                <c:pt idx="414">
                  <c:v>281.79785714283929</c:v>
                </c:pt>
                <c:pt idx="415">
                  <c:v>282.02428571426844</c:v>
                </c:pt>
                <c:pt idx="416">
                  <c:v>282.25071428569765</c:v>
                </c:pt>
                <c:pt idx="417">
                  <c:v>282.47714285712692</c:v>
                </c:pt>
                <c:pt idx="418">
                  <c:v>282.70357142855619</c:v>
                </c:pt>
                <c:pt idx="419">
                  <c:v>282.92999999998551</c:v>
                </c:pt>
                <c:pt idx="420">
                  <c:v>283.15642857141489</c:v>
                </c:pt>
                <c:pt idx="421">
                  <c:v>283.38285714284427</c:v>
                </c:pt>
                <c:pt idx="422">
                  <c:v>283.60928571427371</c:v>
                </c:pt>
                <c:pt idx="423">
                  <c:v>283.8357142857032</c:v>
                </c:pt>
                <c:pt idx="424">
                  <c:v>284.0621428571327</c:v>
                </c:pt>
                <c:pt idx="425">
                  <c:v>284.28857142856225</c:v>
                </c:pt>
                <c:pt idx="426">
                  <c:v>284.51499999999186</c:v>
                </c:pt>
                <c:pt idx="427">
                  <c:v>284.74142857142147</c:v>
                </c:pt>
                <c:pt idx="428">
                  <c:v>284.96785714285113</c:v>
                </c:pt>
                <c:pt idx="429">
                  <c:v>285.19428571428085</c:v>
                </c:pt>
                <c:pt idx="430">
                  <c:v>285.42071428571057</c:v>
                </c:pt>
                <c:pt idx="431">
                  <c:v>285.64714285714035</c:v>
                </c:pt>
                <c:pt idx="432">
                  <c:v>285.87357142857019</c:v>
                </c:pt>
                <c:pt idx="433">
                  <c:v>286.10000000000002</c:v>
                </c:pt>
                <c:pt idx="434">
                  <c:v>285.4455555555553</c:v>
                </c:pt>
                <c:pt idx="435">
                  <c:v>284.79111111111058</c:v>
                </c:pt>
                <c:pt idx="436">
                  <c:v>284.13666666666592</c:v>
                </c:pt>
                <c:pt idx="437">
                  <c:v>283.48222222222125</c:v>
                </c:pt>
                <c:pt idx="438">
                  <c:v>282.82777777777665</c:v>
                </c:pt>
                <c:pt idx="439">
                  <c:v>282.1733333333321</c:v>
                </c:pt>
                <c:pt idx="440">
                  <c:v>281.51888888888755</c:v>
                </c:pt>
                <c:pt idx="441">
                  <c:v>280.86444444444305</c:v>
                </c:pt>
                <c:pt idx="442">
                  <c:v>280.20999999999862</c:v>
                </c:pt>
                <c:pt idx="443">
                  <c:v>279.55555555555418</c:v>
                </c:pt>
                <c:pt idx="444">
                  <c:v>278.9011111111098</c:v>
                </c:pt>
                <c:pt idx="445">
                  <c:v>278.24666666666548</c:v>
                </c:pt>
                <c:pt idx="446">
                  <c:v>277.59222222222115</c:v>
                </c:pt>
                <c:pt idx="447">
                  <c:v>276.93777777777689</c:v>
                </c:pt>
                <c:pt idx="448">
                  <c:v>276.28333333333262</c:v>
                </c:pt>
                <c:pt idx="449">
                  <c:v>275.62888888888841</c:v>
                </c:pt>
                <c:pt idx="450">
                  <c:v>274.9744444444442</c:v>
                </c:pt>
                <c:pt idx="451">
                  <c:v>274.32</c:v>
                </c:pt>
                <c:pt idx="452">
                  <c:v>274.32437499999969</c:v>
                </c:pt>
                <c:pt idx="453">
                  <c:v>274.32874999999945</c:v>
                </c:pt>
                <c:pt idx="454">
                  <c:v>274.33312499999926</c:v>
                </c:pt>
                <c:pt idx="455">
                  <c:v>274.33749999999907</c:v>
                </c:pt>
                <c:pt idx="456">
                  <c:v>274.34187499999894</c:v>
                </c:pt>
                <c:pt idx="457">
                  <c:v>274.34624999999886</c:v>
                </c:pt>
                <c:pt idx="458">
                  <c:v>274.35062499999879</c:v>
                </c:pt>
                <c:pt idx="459">
                  <c:v>274.35499999999877</c:v>
                </c:pt>
                <c:pt idx="460">
                  <c:v>274.35937499999881</c:v>
                </c:pt>
                <c:pt idx="461">
                  <c:v>274.36374999999884</c:v>
                </c:pt>
                <c:pt idx="462">
                  <c:v>274.36812499999894</c:v>
                </c:pt>
                <c:pt idx="463">
                  <c:v>274.37249999999909</c:v>
                </c:pt>
                <c:pt idx="464">
                  <c:v>274.37687499999925</c:v>
                </c:pt>
                <c:pt idx="465">
                  <c:v>274.38124999999945</c:v>
                </c:pt>
                <c:pt idx="466">
                  <c:v>274.38562499999972</c:v>
                </c:pt>
                <c:pt idx="467">
                  <c:v>274.39</c:v>
                </c:pt>
                <c:pt idx="468">
                  <c:v>274.33999999999975</c:v>
                </c:pt>
                <c:pt idx="469">
                  <c:v>274.28999999999951</c:v>
                </c:pt>
                <c:pt idx="470">
                  <c:v>274.23999999999933</c:v>
                </c:pt>
                <c:pt idx="471">
                  <c:v>274.1899999999992</c:v>
                </c:pt>
                <c:pt idx="472">
                  <c:v>274.13999999999908</c:v>
                </c:pt>
                <c:pt idx="473">
                  <c:v>274.08999999999901</c:v>
                </c:pt>
                <c:pt idx="474">
                  <c:v>274.03999999999894</c:v>
                </c:pt>
                <c:pt idx="475">
                  <c:v>273.98999999999893</c:v>
                </c:pt>
                <c:pt idx="476">
                  <c:v>273.93999999999892</c:v>
                </c:pt>
                <c:pt idx="477">
                  <c:v>273.88999999999896</c:v>
                </c:pt>
                <c:pt idx="478">
                  <c:v>273.83999999999907</c:v>
                </c:pt>
                <c:pt idx="479">
                  <c:v>273.78999999999917</c:v>
                </c:pt>
                <c:pt idx="480">
                  <c:v>273.73999999999933</c:v>
                </c:pt>
                <c:pt idx="481">
                  <c:v>273.68999999999954</c:v>
                </c:pt>
                <c:pt idx="482">
                  <c:v>273.63999999999976</c:v>
                </c:pt>
                <c:pt idx="483">
                  <c:v>273.58999999999997</c:v>
                </c:pt>
                <c:pt idx="484">
                  <c:v>270.60333333333335</c:v>
                </c:pt>
                <c:pt idx="485">
                  <c:v>267.61666666666667</c:v>
                </c:pt>
                <c:pt idx="486">
                  <c:v>264.63</c:v>
                </c:pt>
                <c:pt idx="487">
                  <c:v>263.90999999999997</c:v>
                </c:pt>
                <c:pt idx="488">
                  <c:v>263.19</c:v>
                </c:pt>
                <c:pt idx="489">
                  <c:v>262.47000000000003</c:v>
                </c:pt>
                <c:pt idx="490">
                  <c:v>261.05916666666678</c:v>
                </c:pt>
                <c:pt idx="491">
                  <c:v>259.64833333333354</c:v>
                </c:pt>
                <c:pt idx="492">
                  <c:v>258.2375000000003</c:v>
                </c:pt>
                <c:pt idx="493">
                  <c:v>256.82666666666699</c:v>
                </c:pt>
                <c:pt idx="494">
                  <c:v>255.41583333333367</c:v>
                </c:pt>
                <c:pt idx="495">
                  <c:v>254.00500000000034</c:v>
                </c:pt>
                <c:pt idx="496">
                  <c:v>252.59416666666698</c:v>
                </c:pt>
                <c:pt idx="497">
                  <c:v>251.18333333333362</c:v>
                </c:pt>
                <c:pt idx="498">
                  <c:v>249.77250000000024</c:v>
                </c:pt>
                <c:pt idx="499">
                  <c:v>248.36166666666685</c:v>
                </c:pt>
                <c:pt idx="500">
                  <c:v>246.95083333333343</c:v>
                </c:pt>
                <c:pt idx="501">
                  <c:v>245.54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71-41F8-8F0A-A72EA0D674CD}"/>
            </c:ext>
          </c:extLst>
        </c:ser>
        <c:ser>
          <c:idx val="6"/>
          <c:order val="6"/>
          <c:tx>
            <c:strRef>
              <c:f>HighLowType!$N$1</c:f>
              <c:strCache>
                <c:ptCount val="1"/>
                <c:pt idx="0">
                  <c:v> retLow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HighLowType!$A$2:$A$504</c:f>
              <c:numCache>
                <c:formatCode>General</c:formatCode>
                <c:ptCount val="50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</c:numCache>
            </c:numRef>
          </c:cat>
          <c:val>
            <c:numRef>
              <c:f>HighLowType!$N$2:$N$504</c:f>
              <c:numCache>
                <c:formatCode>_("$"* #,##0.00000_);_("$"* \(#,##0.00000\);_("$"* "-"??_);_(@_)</c:formatCode>
                <c:ptCount val="503"/>
                <c:pt idx="57">
                  <c:v>219.77</c:v>
                </c:pt>
                <c:pt idx="58">
                  <c:v>219.90481651376354</c:v>
                </c:pt>
                <c:pt idx="59">
                  <c:v>220.03963302752703</c:v>
                </c:pt>
                <c:pt idx="60">
                  <c:v>220.1744495412905</c:v>
                </c:pt>
                <c:pt idx="61">
                  <c:v>220.30926605505397</c:v>
                </c:pt>
                <c:pt idx="62">
                  <c:v>220.44408256881741</c:v>
                </c:pt>
                <c:pt idx="63">
                  <c:v>220.57889908258082</c:v>
                </c:pt>
                <c:pt idx="64">
                  <c:v>220.71371559634423</c:v>
                </c:pt>
                <c:pt idx="65">
                  <c:v>220.84853211010761</c:v>
                </c:pt>
                <c:pt idx="66">
                  <c:v>220.98334862387097</c:v>
                </c:pt>
                <c:pt idx="67">
                  <c:v>221.11816513763432</c:v>
                </c:pt>
                <c:pt idx="68">
                  <c:v>221.25298165139765</c:v>
                </c:pt>
                <c:pt idx="69">
                  <c:v>221.38779816516094</c:v>
                </c:pt>
                <c:pt idx="70">
                  <c:v>221.52261467892424</c:v>
                </c:pt>
                <c:pt idx="71">
                  <c:v>221.65743119268751</c:v>
                </c:pt>
                <c:pt idx="72">
                  <c:v>221.79224770645075</c:v>
                </c:pt>
                <c:pt idx="73">
                  <c:v>221.92706422021399</c:v>
                </c:pt>
                <c:pt idx="74">
                  <c:v>222.0618807339772</c:v>
                </c:pt>
                <c:pt idx="75">
                  <c:v>222.19669724774039</c:v>
                </c:pt>
                <c:pt idx="76">
                  <c:v>222.33151376150357</c:v>
                </c:pt>
                <c:pt idx="77">
                  <c:v>222.46633027526673</c:v>
                </c:pt>
                <c:pt idx="78">
                  <c:v>222.60114678902985</c:v>
                </c:pt>
                <c:pt idx="79">
                  <c:v>222.73596330279298</c:v>
                </c:pt>
                <c:pt idx="80">
                  <c:v>222.87077981655608</c:v>
                </c:pt>
                <c:pt idx="81">
                  <c:v>223.00559633031915</c:v>
                </c:pt>
                <c:pt idx="82">
                  <c:v>223.14041284408222</c:v>
                </c:pt>
                <c:pt idx="83">
                  <c:v>223.27522935784526</c:v>
                </c:pt>
                <c:pt idx="84">
                  <c:v>223.41004587160828</c:v>
                </c:pt>
                <c:pt idx="85">
                  <c:v>223.54486238537129</c:v>
                </c:pt>
                <c:pt idx="86">
                  <c:v>223.67967889913427</c:v>
                </c:pt>
                <c:pt idx="87">
                  <c:v>223.81449541289723</c:v>
                </c:pt>
                <c:pt idx="88">
                  <c:v>223.94931192666019</c:v>
                </c:pt>
                <c:pt idx="89">
                  <c:v>224.08412844042311</c:v>
                </c:pt>
                <c:pt idx="90">
                  <c:v>224.21894495418601</c:v>
                </c:pt>
                <c:pt idx="91">
                  <c:v>224.35376146794891</c:v>
                </c:pt>
                <c:pt idx="92">
                  <c:v>224.48857798171179</c:v>
                </c:pt>
                <c:pt idx="93">
                  <c:v>224.62339449547463</c:v>
                </c:pt>
                <c:pt idx="94">
                  <c:v>224.75821100923747</c:v>
                </c:pt>
                <c:pt idx="95">
                  <c:v>224.89302752300028</c:v>
                </c:pt>
                <c:pt idx="96">
                  <c:v>225.02784403676307</c:v>
                </c:pt>
                <c:pt idx="97">
                  <c:v>225.16266055052586</c:v>
                </c:pt>
                <c:pt idx="98">
                  <c:v>225.29747706428861</c:v>
                </c:pt>
                <c:pt idx="99">
                  <c:v>225.43229357805134</c:v>
                </c:pt>
                <c:pt idx="100">
                  <c:v>225.56711009181407</c:v>
                </c:pt>
                <c:pt idx="101">
                  <c:v>225.70192660557677</c:v>
                </c:pt>
                <c:pt idx="102">
                  <c:v>225.83674311933945</c:v>
                </c:pt>
                <c:pt idx="103">
                  <c:v>225.97155963310212</c:v>
                </c:pt>
                <c:pt idx="104">
                  <c:v>226.10637614686476</c:v>
                </c:pt>
                <c:pt idx="105">
                  <c:v>226.24119266062738</c:v>
                </c:pt>
                <c:pt idx="106">
                  <c:v>226.37600917438999</c:v>
                </c:pt>
                <c:pt idx="107">
                  <c:v>226.51082568815258</c:v>
                </c:pt>
                <c:pt idx="108">
                  <c:v>226.64564220191514</c:v>
                </c:pt>
                <c:pt idx="109">
                  <c:v>226.7804587156777</c:v>
                </c:pt>
                <c:pt idx="110">
                  <c:v>226.91527522944023</c:v>
                </c:pt>
                <c:pt idx="111">
                  <c:v>227.05009174320273</c:v>
                </c:pt>
                <c:pt idx="112">
                  <c:v>227.18490825696523</c:v>
                </c:pt>
                <c:pt idx="113">
                  <c:v>227.3197247707277</c:v>
                </c:pt>
                <c:pt idx="114">
                  <c:v>227.45454128449015</c:v>
                </c:pt>
                <c:pt idx="115">
                  <c:v>227.58935779825259</c:v>
                </c:pt>
                <c:pt idx="116">
                  <c:v>227.72417431201501</c:v>
                </c:pt>
                <c:pt idx="117">
                  <c:v>227.8589908257774</c:v>
                </c:pt>
                <c:pt idx="118">
                  <c:v>227.99380733953979</c:v>
                </c:pt>
                <c:pt idx="119">
                  <c:v>228.12862385330214</c:v>
                </c:pt>
                <c:pt idx="120">
                  <c:v>228.26344036706448</c:v>
                </c:pt>
                <c:pt idx="121">
                  <c:v>228.39825688082681</c:v>
                </c:pt>
                <c:pt idx="122">
                  <c:v>228.53307339458911</c:v>
                </c:pt>
                <c:pt idx="123">
                  <c:v>228.66788990835138</c:v>
                </c:pt>
                <c:pt idx="124">
                  <c:v>228.80270642211366</c:v>
                </c:pt>
                <c:pt idx="125">
                  <c:v>228.9375229358759</c:v>
                </c:pt>
                <c:pt idx="126">
                  <c:v>229.07233944963812</c:v>
                </c:pt>
                <c:pt idx="127">
                  <c:v>229.20715596340034</c:v>
                </c:pt>
                <c:pt idx="128">
                  <c:v>229.34197247716253</c:v>
                </c:pt>
                <c:pt idx="129">
                  <c:v>229.47678899092469</c:v>
                </c:pt>
                <c:pt idx="130">
                  <c:v>229.61160550468685</c:v>
                </c:pt>
                <c:pt idx="131">
                  <c:v>229.74642201844898</c:v>
                </c:pt>
                <c:pt idx="132">
                  <c:v>229.88123853221109</c:v>
                </c:pt>
                <c:pt idx="133">
                  <c:v>230.01605504597319</c:v>
                </c:pt>
                <c:pt idx="134">
                  <c:v>230.15087155973526</c:v>
                </c:pt>
                <c:pt idx="135">
                  <c:v>230.28568807349731</c:v>
                </c:pt>
                <c:pt idx="136">
                  <c:v>230.42050458725936</c:v>
                </c:pt>
                <c:pt idx="137">
                  <c:v>230.55532110102138</c:v>
                </c:pt>
                <c:pt idx="138">
                  <c:v>230.69013761478337</c:v>
                </c:pt>
                <c:pt idx="139">
                  <c:v>230.82495412854536</c:v>
                </c:pt>
                <c:pt idx="140">
                  <c:v>230.95977064230732</c:v>
                </c:pt>
                <c:pt idx="141">
                  <c:v>231.09458715606925</c:v>
                </c:pt>
                <c:pt idx="142">
                  <c:v>231.22940366983119</c:v>
                </c:pt>
                <c:pt idx="143">
                  <c:v>231.36422018359309</c:v>
                </c:pt>
                <c:pt idx="144">
                  <c:v>231.49903669735497</c:v>
                </c:pt>
                <c:pt idx="145">
                  <c:v>231.63385321111684</c:v>
                </c:pt>
                <c:pt idx="146">
                  <c:v>231.76866972487869</c:v>
                </c:pt>
                <c:pt idx="147">
                  <c:v>231.90348623864051</c:v>
                </c:pt>
                <c:pt idx="148">
                  <c:v>232.03830275240233</c:v>
                </c:pt>
                <c:pt idx="149">
                  <c:v>232.17311926616412</c:v>
                </c:pt>
                <c:pt idx="150">
                  <c:v>232.30793577992588</c:v>
                </c:pt>
                <c:pt idx="151">
                  <c:v>232.44275229368765</c:v>
                </c:pt>
                <c:pt idx="152">
                  <c:v>232.57756880744938</c:v>
                </c:pt>
                <c:pt idx="153">
                  <c:v>232.71238532121109</c:v>
                </c:pt>
                <c:pt idx="154">
                  <c:v>232.84720183497279</c:v>
                </c:pt>
                <c:pt idx="155">
                  <c:v>232.98201834873447</c:v>
                </c:pt>
                <c:pt idx="156">
                  <c:v>233.11683486249612</c:v>
                </c:pt>
                <c:pt idx="157">
                  <c:v>233.25165137625777</c:v>
                </c:pt>
                <c:pt idx="158">
                  <c:v>233.38646789001939</c:v>
                </c:pt>
                <c:pt idx="159">
                  <c:v>233.52128440378098</c:v>
                </c:pt>
                <c:pt idx="160">
                  <c:v>233.65610091754257</c:v>
                </c:pt>
                <c:pt idx="161">
                  <c:v>233.79091743130414</c:v>
                </c:pt>
                <c:pt idx="162">
                  <c:v>233.92573394506567</c:v>
                </c:pt>
                <c:pt idx="163">
                  <c:v>234.06055045882721</c:v>
                </c:pt>
                <c:pt idx="164">
                  <c:v>234.19536697258872</c:v>
                </c:pt>
                <c:pt idx="165">
                  <c:v>234.33018348635019</c:v>
                </c:pt>
                <c:pt idx="166">
                  <c:v>234.46500000011167</c:v>
                </c:pt>
                <c:pt idx="167">
                  <c:v>234.59981651387312</c:v>
                </c:pt>
                <c:pt idx="168">
                  <c:v>234.73463302763454</c:v>
                </c:pt>
                <c:pt idx="169">
                  <c:v>234.86944954139597</c:v>
                </c:pt>
                <c:pt idx="170">
                  <c:v>235.00426605515736</c:v>
                </c:pt>
                <c:pt idx="171">
                  <c:v>235.13908256891872</c:v>
                </c:pt>
                <c:pt idx="172">
                  <c:v>235.27389908268009</c:v>
                </c:pt>
                <c:pt idx="173">
                  <c:v>235.40871559644143</c:v>
                </c:pt>
                <c:pt idx="174">
                  <c:v>235.54353211020273</c:v>
                </c:pt>
                <c:pt idx="175">
                  <c:v>235.67834862396404</c:v>
                </c:pt>
                <c:pt idx="176">
                  <c:v>235.81316513772532</c:v>
                </c:pt>
                <c:pt idx="177">
                  <c:v>235.94798165148657</c:v>
                </c:pt>
                <c:pt idx="178">
                  <c:v>236.08279816524782</c:v>
                </c:pt>
                <c:pt idx="179">
                  <c:v>236.21761467900905</c:v>
                </c:pt>
                <c:pt idx="180">
                  <c:v>236.35243119277024</c:v>
                </c:pt>
                <c:pt idx="181">
                  <c:v>236.48724770653143</c:v>
                </c:pt>
                <c:pt idx="182">
                  <c:v>236.6220642202926</c:v>
                </c:pt>
                <c:pt idx="183">
                  <c:v>236.75688073405377</c:v>
                </c:pt>
                <c:pt idx="184">
                  <c:v>236.8916972478149</c:v>
                </c:pt>
                <c:pt idx="185">
                  <c:v>237.02651376157604</c:v>
                </c:pt>
                <c:pt idx="186">
                  <c:v>237.16133027533715</c:v>
                </c:pt>
                <c:pt idx="187">
                  <c:v>237.29614678909823</c:v>
                </c:pt>
                <c:pt idx="188">
                  <c:v>237.43096330285931</c:v>
                </c:pt>
                <c:pt idx="189">
                  <c:v>237.56577981662036</c:v>
                </c:pt>
                <c:pt idx="190">
                  <c:v>237.70059633038139</c:v>
                </c:pt>
                <c:pt idx="191">
                  <c:v>237.83541284414241</c:v>
                </c:pt>
                <c:pt idx="192">
                  <c:v>237.97022935790341</c:v>
                </c:pt>
                <c:pt idx="193">
                  <c:v>238.10504587166437</c:v>
                </c:pt>
                <c:pt idx="194">
                  <c:v>238.23986238542534</c:v>
                </c:pt>
                <c:pt idx="195">
                  <c:v>238.37467889918628</c:v>
                </c:pt>
                <c:pt idx="196">
                  <c:v>238.50949541294719</c:v>
                </c:pt>
                <c:pt idx="197">
                  <c:v>238.6443119267081</c:v>
                </c:pt>
                <c:pt idx="198">
                  <c:v>238.77912844046898</c:v>
                </c:pt>
                <c:pt idx="199">
                  <c:v>238.91394495422983</c:v>
                </c:pt>
                <c:pt idx="200">
                  <c:v>239.04876146799069</c:v>
                </c:pt>
                <c:pt idx="201">
                  <c:v>239.18357798175151</c:v>
                </c:pt>
                <c:pt idx="202">
                  <c:v>239.31839449551231</c:v>
                </c:pt>
                <c:pt idx="203">
                  <c:v>239.4532110092731</c:v>
                </c:pt>
                <c:pt idx="204">
                  <c:v>239.58802752303387</c:v>
                </c:pt>
                <c:pt idx="205">
                  <c:v>239.72284403679461</c:v>
                </c:pt>
                <c:pt idx="206">
                  <c:v>239.85766055055535</c:v>
                </c:pt>
                <c:pt idx="207">
                  <c:v>239.99247706431606</c:v>
                </c:pt>
                <c:pt idx="208">
                  <c:v>240.12729357807675</c:v>
                </c:pt>
                <c:pt idx="209">
                  <c:v>240.26211009183743</c:v>
                </c:pt>
                <c:pt idx="210">
                  <c:v>240.39692660559808</c:v>
                </c:pt>
                <c:pt idx="211">
                  <c:v>240.53174311935871</c:v>
                </c:pt>
                <c:pt idx="212">
                  <c:v>240.66655963311933</c:v>
                </c:pt>
                <c:pt idx="213">
                  <c:v>240.80137614687993</c:v>
                </c:pt>
                <c:pt idx="214">
                  <c:v>240.9361926606405</c:v>
                </c:pt>
                <c:pt idx="215">
                  <c:v>241.07100917440107</c:v>
                </c:pt>
                <c:pt idx="216">
                  <c:v>241.20582568816161</c:v>
                </c:pt>
                <c:pt idx="217">
                  <c:v>241.34064220192212</c:v>
                </c:pt>
                <c:pt idx="218">
                  <c:v>241.47545871568263</c:v>
                </c:pt>
                <c:pt idx="219">
                  <c:v>241.61027522944312</c:v>
                </c:pt>
                <c:pt idx="220">
                  <c:v>241.74509174320357</c:v>
                </c:pt>
                <c:pt idx="221">
                  <c:v>241.87990825696403</c:v>
                </c:pt>
                <c:pt idx="222">
                  <c:v>242.01472477072446</c:v>
                </c:pt>
                <c:pt idx="223">
                  <c:v>242.14954128448485</c:v>
                </c:pt>
                <c:pt idx="224">
                  <c:v>242.28435779824525</c:v>
                </c:pt>
                <c:pt idx="225">
                  <c:v>242.41917431200562</c:v>
                </c:pt>
                <c:pt idx="226">
                  <c:v>242.55399082576596</c:v>
                </c:pt>
                <c:pt idx="227">
                  <c:v>242.68880733952631</c:v>
                </c:pt>
                <c:pt idx="228">
                  <c:v>242.82362385328662</c:v>
                </c:pt>
                <c:pt idx="229">
                  <c:v>242.9584403670469</c:v>
                </c:pt>
                <c:pt idx="230">
                  <c:v>243.09325688080719</c:v>
                </c:pt>
                <c:pt idx="231">
                  <c:v>243.22807339456745</c:v>
                </c:pt>
                <c:pt idx="232">
                  <c:v>243.36288990832767</c:v>
                </c:pt>
                <c:pt idx="233">
                  <c:v>243.4977064220879</c:v>
                </c:pt>
                <c:pt idx="234">
                  <c:v>243.6325229358481</c:v>
                </c:pt>
                <c:pt idx="235">
                  <c:v>243.76733944960827</c:v>
                </c:pt>
                <c:pt idx="236">
                  <c:v>243.90215596336844</c:v>
                </c:pt>
                <c:pt idx="237">
                  <c:v>244.03697247712859</c:v>
                </c:pt>
                <c:pt idx="238">
                  <c:v>244.1717889908887</c:v>
                </c:pt>
                <c:pt idx="239">
                  <c:v>244.30660550464881</c:v>
                </c:pt>
                <c:pt idx="240">
                  <c:v>244.4414220184089</c:v>
                </c:pt>
                <c:pt idx="241">
                  <c:v>244.57623853216896</c:v>
                </c:pt>
                <c:pt idx="242">
                  <c:v>244.71105504592902</c:v>
                </c:pt>
                <c:pt idx="243">
                  <c:v>244.84587155968904</c:v>
                </c:pt>
                <c:pt idx="244">
                  <c:v>244.98068807344904</c:v>
                </c:pt>
                <c:pt idx="245">
                  <c:v>245.11550458720905</c:v>
                </c:pt>
                <c:pt idx="246">
                  <c:v>245.25032110096902</c:v>
                </c:pt>
                <c:pt idx="247">
                  <c:v>245.38513761472896</c:v>
                </c:pt>
                <c:pt idx="248">
                  <c:v>245.51995412848891</c:v>
                </c:pt>
                <c:pt idx="249">
                  <c:v>245.65477064224882</c:v>
                </c:pt>
                <c:pt idx="250">
                  <c:v>245.78958715600871</c:v>
                </c:pt>
                <c:pt idx="251">
                  <c:v>245.92440366976859</c:v>
                </c:pt>
                <c:pt idx="252">
                  <c:v>246.05922018352845</c:v>
                </c:pt>
                <c:pt idx="253">
                  <c:v>246.19403669728828</c:v>
                </c:pt>
                <c:pt idx="254">
                  <c:v>246.32885321104811</c:v>
                </c:pt>
                <c:pt idx="255">
                  <c:v>246.46366972480791</c:v>
                </c:pt>
                <c:pt idx="256">
                  <c:v>246.59848623856769</c:v>
                </c:pt>
                <c:pt idx="257">
                  <c:v>246.73330275232746</c:v>
                </c:pt>
                <c:pt idx="258">
                  <c:v>246.86811926608721</c:v>
                </c:pt>
                <c:pt idx="259">
                  <c:v>247.00293577984692</c:v>
                </c:pt>
                <c:pt idx="260">
                  <c:v>247.13775229360664</c:v>
                </c:pt>
                <c:pt idx="261">
                  <c:v>247.27256880736633</c:v>
                </c:pt>
                <c:pt idx="262">
                  <c:v>247.40738532112599</c:v>
                </c:pt>
                <c:pt idx="263">
                  <c:v>247.54220183488565</c:v>
                </c:pt>
                <c:pt idx="264">
                  <c:v>247.67701834864528</c:v>
                </c:pt>
                <c:pt idx="265">
                  <c:v>247.81183486240488</c:v>
                </c:pt>
                <c:pt idx="266">
                  <c:v>247.94665137616448</c:v>
                </c:pt>
                <c:pt idx="267">
                  <c:v>248.08146788992406</c:v>
                </c:pt>
                <c:pt idx="268">
                  <c:v>248.2162844036836</c:v>
                </c:pt>
                <c:pt idx="269">
                  <c:v>248.35110091744315</c:v>
                </c:pt>
                <c:pt idx="270">
                  <c:v>248.48591743120267</c:v>
                </c:pt>
                <c:pt idx="271">
                  <c:v>248.62073394496215</c:v>
                </c:pt>
                <c:pt idx="272">
                  <c:v>248.75555045872164</c:v>
                </c:pt>
                <c:pt idx="273">
                  <c:v>248.8903669724811</c:v>
                </c:pt>
                <c:pt idx="274">
                  <c:v>249.02518348624056</c:v>
                </c:pt>
                <c:pt idx="275">
                  <c:v>249.16</c:v>
                </c:pt>
                <c:pt idx="276">
                  <c:v>247.30333333333334</c:v>
                </c:pt>
                <c:pt idx="277">
                  <c:v>245.44666666666666</c:v>
                </c:pt>
                <c:pt idx="278">
                  <c:v>243.59</c:v>
                </c:pt>
                <c:pt idx="279">
                  <c:v>244.40857142857135</c:v>
                </c:pt>
                <c:pt idx="280">
                  <c:v>245.2271428571427</c:v>
                </c:pt>
                <c:pt idx="281">
                  <c:v>246.04571428571404</c:v>
                </c:pt>
                <c:pt idx="282">
                  <c:v>246.86428571428542</c:v>
                </c:pt>
                <c:pt idx="283">
                  <c:v>247.68285714285679</c:v>
                </c:pt>
                <c:pt idx="284">
                  <c:v>248.50142857142819</c:v>
                </c:pt>
                <c:pt idx="285">
                  <c:v>249.3199999999996</c:v>
                </c:pt>
                <c:pt idx="286">
                  <c:v>250.13857142857103</c:v>
                </c:pt>
                <c:pt idx="287">
                  <c:v>250.95714285714249</c:v>
                </c:pt>
                <c:pt idx="288">
                  <c:v>251.77571428571395</c:v>
                </c:pt>
                <c:pt idx="289">
                  <c:v>252.59428571428543</c:v>
                </c:pt>
                <c:pt idx="290">
                  <c:v>253.41285714285695</c:v>
                </c:pt>
                <c:pt idx="291">
                  <c:v>254.23142857142847</c:v>
                </c:pt>
                <c:pt idx="292">
                  <c:v>255.05</c:v>
                </c:pt>
                <c:pt idx="293">
                  <c:v>254.66799999999989</c:v>
                </c:pt>
                <c:pt idx="294">
                  <c:v>254.2859999999998</c:v>
                </c:pt>
                <c:pt idx="295">
                  <c:v>253.90399999999971</c:v>
                </c:pt>
                <c:pt idx="296">
                  <c:v>253.52199999999965</c:v>
                </c:pt>
                <c:pt idx="297">
                  <c:v>253.13999999999959</c:v>
                </c:pt>
                <c:pt idx="298">
                  <c:v>252.75799999999956</c:v>
                </c:pt>
                <c:pt idx="299">
                  <c:v>252.37599999999952</c:v>
                </c:pt>
                <c:pt idx="300">
                  <c:v>251.99399999999952</c:v>
                </c:pt>
                <c:pt idx="301">
                  <c:v>251.61199999999954</c:v>
                </c:pt>
                <c:pt idx="302">
                  <c:v>251.22999999999956</c:v>
                </c:pt>
                <c:pt idx="303">
                  <c:v>250.84799999999962</c:v>
                </c:pt>
                <c:pt idx="304">
                  <c:v>250.4659999999997</c:v>
                </c:pt>
                <c:pt idx="305">
                  <c:v>250.08399999999978</c:v>
                </c:pt>
                <c:pt idx="306">
                  <c:v>249.70199999999988</c:v>
                </c:pt>
                <c:pt idx="307">
                  <c:v>249.32</c:v>
                </c:pt>
                <c:pt idx="308">
                  <c:v>248.70799999999997</c:v>
                </c:pt>
                <c:pt idx="309">
                  <c:v>248.09599999999995</c:v>
                </c:pt>
                <c:pt idx="310">
                  <c:v>247.48399999999995</c:v>
                </c:pt>
                <c:pt idx="311">
                  <c:v>246.87199999999996</c:v>
                </c:pt>
                <c:pt idx="312">
                  <c:v>246.26</c:v>
                </c:pt>
                <c:pt idx="313">
                  <c:v>247.06499999999997</c:v>
                </c:pt>
                <c:pt idx="314">
                  <c:v>247.86999999999995</c:v>
                </c:pt>
                <c:pt idx="315">
                  <c:v>248.67499999999995</c:v>
                </c:pt>
                <c:pt idx="316">
                  <c:v>249.48</c:v>
                </c:pt>
                <c:pt idx="317">
                  <c:v>249.53368421052613</c:v>
                </c:pt>
                <c:pt idx="318">
                  <c:v>249.5873684210523</c:v>
                </c:pt>
                <c:pt idx="319">
                  <c:v>249.6410526315785</c:v>
                </c:pt>
                <c:pt idx="320">
                  <c:v>249.6947368421047</c:v>
                </c:pt>
                <c:pt idx="321">
                  <c:v>249.74842105263093</c:v>
                </c:pt>
                <c:pt idx="322">
                  <c:v>249.80210526315719</c:v>
                </c:pt>
                <c:pt idx="323">
                  <c:v>249.85578947368344</c:v>
                </c:pt>
                <c:pt idx="324">
                  <c:v>249.90947368420973</c:v>
                </c:pt>
                <c:pt idx="325">
                  <c:v>249.96315789473604</c:v>
                </c:pt>
                <c:pt idx="326">
                  <c:v>250.01684210526236</c:v>
                </c:pt>
                <c:pt idx="327">
                  <c:v>250.0705263157887</c:v>
                </c:pt>
                <c:pt idx="328">
                  <c:v>250.12421052631507</c:v>
                </c:pt>
                <c:pt idx="329">
                  <c:v>250.17789473684144</c:v>
                </c:pt>
                <c:pt idx="330">
                  <c:v>250.23157894736784</c:v>
                </c:pt>
                <c:pt idx="331">
                  <c:v>250.28526315789424</c:v>
                </c:pt>
                <c:pt idx="332">
                  <c:v>250.33894736842066</c:v>
                </c:pt>
                <c:pt idx="333">
                  <c:v>250.39263157894709</c:v>
                </c:pt>
                <c:pt idx="334">
                  <c:v>250.44631578947354</c:v>
                </c:pt>
                <c:pt idx="335">
                  <c:v>250.5</c:v>
                </c:pt>
                <c:pt idx="336">
                  <c:v>250.76384615384575</c:v>
                </c:pt>
                <c:pt idx="337">
                  <c:v>251.0276923076915</c:v>
                </c:pt>
                <c:pt idx="338">
                  <c:v>251.29153846153727</c:v>
                </c:pt>
                <c:pt idx="339">
                  <c:v>251.55538461538305</c:v>
                </c:pt>
                <c:pt idx="340">
                  <c:v>251.81923076922885</c:v>
                </c:pt>
                <c:pt idx="341">
                  <c:v>252.08307692307466</c:v>
                </c:pt>
                <c:pt idx="342">
                  <c:v>252.34692307692049</c:v>
                </c:pt>
                <c:pt idx="343">
                  <c:v>252.61076923076632</c:v>
                </c:pt>
                <c:pt idx="344">
                  <c:v>252.87461538461218</c:v>
                </c:pt>
                <c:pt idx="345">
                  <c:v>253.13846153845807</c:v>
                </c:pt>
                <c:pt idx="346">
                  <c:v>253.40230769230396</c:v>
                </c:pt>
                <c:pt idx="347">
                  <c:v>253.66615384614988</c:v>
                </c:pt>
                <c:pt idx="348">
                  <c:v>253.92999999999583</c:v>
                </c:pt>
                <c:pt idx="349">
                  <c:v>254.19384615384178</c:v>
                </c:pt>
                <c:pt idx="350">
                  <c:v>254.45769230768775</c:v>
                </c:pt>
                <c:pt idx="351">
                  <c:v>254.72153846153375</c:v>
                </c:pt>
                <c:pt idx="352">
                  <c:v>254.98538461537976</c:v>
                </c:pt>
                <c:pt idx="353">
                  <c:v>255.24923076922579</c:v>
                </c:pt>
                <c:pt idx="354">
                  <c:v>255.51307692307185</c:v>
                </c:pt>
                <c:pt idx="355">
                  <c:v>255.77692307691791</c:v>
                </c:pt>
                <c:pt idx="356">
                  <c:v>256.040769230764</c:v>
                </c:pt>
                <c:pt idx="357">
                  <c:v>256.30461538461014</c:v>
                </c:pt>
                <c:pt idx="358">
                  <c:v>256.56846153845629</c:v>
                </c:pt>
                <c:pt idx="359">
                  <c:v>256.83230769230249</c:v>
                </c:pt>
                <c:pt idx="360">
                  <c:v>257.09615384614875</c:v>
                </c:pt>
                <c:pt idx="361">
                  <c:v>257.35999999999501</c:v>
                </c:pt>
                <c:pt idx="362">
                  <c:v>257.62384615384133</c:v>
                </c:pt>
                <c:pt idx="363">
                  <c:v>257.8876923076877</c:v>
                </c:pt>
                <c:pt idx="364">
                  <c:v>258.15153846153407</c:v>
                </c:pt>
                <c:pt idx="365">
                  <c:v>258.4153846153805</c:v>
                </c:pt>
                <c:pt idx="366">
                  <c:v>258.67923076922699</c:v>
                </c:pt>
                <c:pt idx="367">
                  <c:v>258.94307692307348</c:v>
                </c:pt>
                <c:pt idx="368">
                  <c:v>259.20692307692002</c:v>
                </c:pt>
                <c:pt idx="369">
                  <c:v>259.47076923076662</c:v>
                </c:pt>
                <c:pt idx="370">
                  <c:v>259.73461538461322</c:v>
                </c:pt>
                <c:pt idx="371">
                  <c:v>259.99846153845988</c:v>
                </c:pt>
                <c:pt idx="372">
                  <c:v>260.26230769230659</c:v>
                </c:pt>
                <c:pt idx="373">
                  <c:v>260.52615384615331</c:v>
                </c:pt>
                <c:pt idx="374">
                  <c:v>260.79000000000002</c:v>
                </c:pt>
                <c:pt idx="375">
                  <c:v>260.83123287671106</c:v>
                </c:pt>
                <c:pt idx="376">
                  <c:v>260.87246575342209</c:v>
                </c:pt>
                <c:pt idx="377">
                  <c:v>260.91369863013313</c:v>
                </c:pt>
                <c:pt idx="378">
                  <c:v>260.95493150684422</c:v>
                </c:pt>
                <c:pt idx="379">
                  <c:v>260.99616438355537</c:v>
                </c:pt>
                <c:pt idx="380">
                  <c:v>261.03739726026652</c:v>
                </c:pt>
                <c:pt idx="381">
                  <c:v>261.07863013697772</c:v>
                </c:pt>
                <c:pt idx="382">
                  <c:v>261.11986301368898</c:v>
                </c:pt>
                <c:pt idx="383">
                  <c:v>261.16109589040025</c:v>
                </c:pt>
                <c:pt idx="384">
                  <c:v>261.20232876711157</c:v>
                </c:pt>
                <c:pt idx="385">
                  <c:v>261.24356164382294</c:v>
                </c:pt>
                <c:pt idx="386">
                  <c:v>261.28479452053432</c:v>
                </c:pt>
                <c:pt idx="387">
                  <c:v>261.32602739724575</c:v>
                </c:pt>
                <c:pt idx="388">
                  <c:v>261.36726027395724</c:v>
                </c:pt>
                <c:pt idx="389">
                  <c:v>261.40849315066873</c:v>
                </c:pt>
                <c:pt idx="390">
                  <c:v>261.44972602738028</c:v>
                </c:pt>
                <c:pt idx="391">
                  <c:v>261.49095890409188</c:v>
                </c:pt>
                <c:pt idx="392">
                  <c:v>261.53219178080349</c:v>
                </c:pt>
                <c:pt idx="393">
                  <c:v>261.57342465751515</c:v>
                </c:pt>
                <c:pt idx="394">
                  <c:v>261.61465753422686</c:v>
                </c:pt>
                <c:pt idx="395">
                  <c:v>261.65589041093858</c:v>
                </c:pt>
                <c:pt idx="396">
                  <c:v>261.69712328765036</c:v>
                </c:pt>
                <c:pt idx="397">
                  <c:v>261.73835616436219</c:v>
                </c:pt>
                <c:pt idx="398">
                  <c:v>261.77958904107402</c:v>
                </c:pt>
                <c:pt idx="399">
                  <c:v>261.82082191778591</c:v>
                </c:pt>
                <c:pt idx="400">
                  <c:v>261.86205479449785</c:v>
                </c:pt>
                <c:pt idx="401">
                  <c:v>261.9032876712098</c:v>
                </c:pt>
                <c:pt idx="402">
                  <c:v>261.9445205479218</c:v>
                </c:pt>
                <c:pt idx="403">
                  <c:v>261.98575342463386</c:v>
                </c:pt>
                <c:pt idx="404">
                  <c:v>262.02698630134591</c:v>
                </c:pt>
                <c:pt idx="405">
                  <c:v>262.06821917805803</c:v>
                </c:pt>
                <c:pt idx="406">
                  <c:v>262.1094520547702</c:v>
                </c:pt>
                <c:pt idx="407">
                  <c:v>262.15068493148237</c:v>
                </c:pt>
                <c:pt idx="408">
                  <c:v>262.1919178081946</c:v>
                </c:pt>
                <c:pt idx="409">
                  <c:v>262.23315068490689</c:v>
                </c:pt>
                <c:pt idx="410">
                  <c:v>262.27438356161917</c:v>
                </c:pt>
                <c:pt idx="411">
                  <c:v>262.31561643833152</c:v>
                </c:pt>
                <c:pt idx="412">
                  <c:v>262.35684931504392</c:v>
                </c:pt>
                <c:pt idx="413">
                  <c:v>262.39808219175632</c:v>
                </c:pt>
                <c:pt idx="414">
                  <c:v>262.43931506846877</c:v>
                </c:pt>
                <c:pt idx="415">
                  <c:v>262.48054794518129</c:v>
                </c:pt>
                <c:pt idx="416">
                  <c:v>262.5217808218938</c:v>
                </c:pt>
                <c:pt idx="417">
                  <c:v>262.56301369860637</c:v>
                </c:pt>
                <c:pt idx="418">
                  <c:v>262.604246575319</c:v>
                </c:pt>
                <c:pt idx="419">
                  <c:v>262.64547945203162</c:v>
                </c:pt>
                <c:pt idx="420">
                  <c:v>262.68671232874431</c:v>
                </c:pt>
                <c:pt idx="421">
                  <c:v>262.72794520545699</c:v>
                </c:pt>
                <c:pt idx="422">
                  <c:v>262.76917808216973</c:v>
                </c:pt>
                <c:pt idx="423">
                  <c:v>262.81041095888247</c:v>
                </c:pt>
                <c:pt idx="424">
                  <c:v>262.85164383559527</c:v>
                </c:pt>
                <c:pt idx="425">
                  <c:v>262.89287671230812</c:v>
                </c:pt>
                <c:pt idx="426">
                  <c:v>262.93410958902098</c:v>
                </c:pt>
                <c:pt idx="427">
                  <c:v>262.97534246573389</c:v>
                </c:pt>
                <c:pt idx="428">
                  <c:v>263.01657534244686</c:v>
                </c:pt>
                <c:pt idx="429">
                  <c:v>263.05780821915982</c:v>
                </c:pt>
                <c:pt idx="430">
                  <c:v>263.09904109587285</c:v>
                </c:pt>
                <c:pt idx="431">
                  <c:v>263.14027397258593</c:v>
                </c:pt>
                <c:pt idx="432">
                  <c:v>263.18150684929901</c:v>
                </c:pt>
                <c:pt idx="433">
                  <c:v>263.22273972601215</c:v>
                </c:pt>
                <c:pt idx="434">
                  <c:v>263.26397260272535</c:v>
                </c:pt>
                <c:pt idx="435">
                  <c:v>263.30520547943854</c:v>
                </c:pt>
                <c:pt idx="436">
                  <c:v>263.34643835615179</c:v>
                </c:pt>
                <c:pt idx="437">
                  <c:v>263.3876712328651</c:v>
                </c:pt>
                <c:pt idx="438">
                  <c:v>263.42890410957841</c:v>
                </c:pt>
                <c:pt idx="439">
                  <c:v>263.47013698629178</c:v>
                </c:pt>
                <c:pt idx="440">
                  <c:v>263.5113698630052</c:v>
                </c:pt>
                <c:pt idx="441">
                  <c:v>263.55260273971862</c:v>
                </c:pt>
                <c:pt idx="442">
                  <c:v>263.5938356164321</c:v>
                </c:pt>
                <c:pt idx="443">
                  <c:v>263.63506849314564</c:v>
                </c:pt>
                <c:pt idx="444">
                  <c:v>263.67630136985917</c:v>
                </c:pt>
                <c:pt idx="445">
                  <c:v>263.71753424657277</c:v>
                </c:pt>
                <c:pt idx="446">
                  <c:v>263.75876712328636</c:v>
                </c:pt>
                <c:pt idx="447">
                  <c:v>263.8</c:v>
                </c:pt>
                <c:pt idx="448">
                  <c:v>262.94499999999982</c:v>
                </c:pt>
                <c:pt idx="449">
                  <c:v>262.08999999999969</c:v>
                </c:pt>
                <c:pt idx="450">
                  <c:v>261.23499999999956</c:v>
                </c:pt>
                <c:pt idx="451">
                  <c:v>260.37999999999948</c:v>
                </c:pt>
                <c:pt idx="452">
                  <c:v>259.52499999999941</c:v>
                </c:pt>
                <c:pt idx="453">
                  <c:v>258.66999999999939</c:v>
                </c:pt>
                <c:pt idx="454">
                  <c:v>257.81499999999943</c:v>
                </c:pt>
                <c:pt idx="455">
                  <c:v>256.95999999999947</c:v>
                </c:pt>
                <c:pt idx="456">
                  <c:v>256.10499999999956</c:v>
                </c:pt>
                <c:pt idx="457">
                  <c:v>255.24999999999972</c:v>
                </c:pt>
                <c:pt idx="458">
                  <c:v>254.39499999999987</c:v>
                </c:pt>
                <c:pt idx="459">
                  <c:v>253.54</c:v>
                </c:pt>
                <c:pt idx="460">
                  <c:v>253.71444444444427</c:v>
                </c:pt>
                <c:pt idx="461">
                  <c:v>253.88888888888857</c:v>
                </c:pt>
                <c:pt idx="462">
                  <c:v>254.06333333333291</c:v>
                </c:pt>
                <c:pt idx="463">
                  <c:v>254.23777777777724</c:v>
                </c:pt>
                <c:pt idx="464">
                  <c:v>254.4122222222216</c:v>
                </c:pt>
                <c:pt idx="465">
                  <c:v>254.58666666666599</c:v>
                </c:pt>
                <c:pt idx="466">
                  <c:v>254.76111111111038</c:v>
                </c:pt>
                <c:pt idx="467">
                  <c:v>254.9355555555548</c:v>
                </c:pt>
                <c:pt idx="468">
                  <c:v>255.10999999999925</c:v>
                </c:pt>
                <c:pt idx="469">
                  <c:v>255.28444444444369</c:v>
                </c:pt>
                <c:pt idx="470">
                  <c:v>255.45888888888817</c:v>
                </c:pt>
                <c:pt idx="471">
                  <c:v>255.63333333333264</c:v>
                </c:pt>
                <c:pt idx="472">
                  <c:v>255.80777777777715</c:v>
                </c:pt>
                <c:pt idx="473">
                  <c:v>255.98222222222165</c:v>
                </c:pt>
                <c:pt idx="474">
                  <c:v>256.15666666666618</c:v>
                </c:pt>
                <c:pt idx="475">
                  <c:v>256.33111111111077</c:v>
                </c:pt>
                <c:pt idx="476">
                  <c:v>256.50555555555536</c:v>
                </c:pt>
                <c:pt idx="477">
                  <c:v>256.68</c:v>
                </c:pt>
                <c:pt idx="478">
                  <c:v>256.60374999999988</c:v>
                </c:pt>
                <c:pt idx="479">
                  <c:v>256.5274999999998</c:v>
                </c:pt>
                <c:pt idx="480">
                  <c:v>256.45124999999979</c:v>
                </c:pt>
                <c:pt idx="481">
                  <c:v>256.37499999999977</c:v>
                </c:pt>
                <c:pt idx="482">
                  <c:v>256.29874999999981</c:v>
                </c:pt>
                <c:pt idx="483">
                  <c:v>256.22249999999985</c:v>
                </c:pt>
                <c:pt idx="484">
                  <c:v>256.1462499999999</c:v>
                </c:pt>
                <c:pt idx="485">
                  <c:v>256.07</c:v>
                </c:pt>
                <c:pt idx="486">
                  <c:v>254.20499999999998</c:v>
                </c:pt>
                <c:pt idx="487">
                  <c:v>252.34</c:v>
                </c:pt>
                <c:pt idx="488">
                  <c:v>250.25636363636357</c:v>
                </c:pt>
                <c:pt idx="489">
                  <c:v>248.17272727272714</c:v>
                </c:pt>
                <c:pt idx="490">
                  <c:v>246.08909090909071</c:v>
                </c:pt>
                <c:pt idx="491">
                  <c:v>244.00545454545431</c:v>
                </c:pt>
                <c:pt idx="492">
                  <c:v>241.92181818181794</c:v>
                </c:pt>
                <c:pt idx="493">
                  <c:v>239.83818181818157</c:v>
                </c:pt>
                <c:pt idx="494">
                  <c:v>237.75454545454522</c:v>
                </c:pt>
                <c:pt idx="495">
                  <c:v>235.67090909090891</c:v>
                </c:pt>
                <c:pt idx="496">
                  <c:v>233.58727272727259</c:v>
                </c:pt>
                <c:pt idx="497">
                  <c:v>231.5036363636363</c:v>
                </c:pt>
                <c:pt idx="498">
                  <c:v>229.42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71-41F8-8F0A-A72EA0D67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HighLowType!$C$1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HighLowType!$C$2:$C$504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212.61</c:v>
                      </c:pt>
                      <c:pt idx="1">
                        <c:v>213.16</c:v>
                      </c:pt>
                      <c:pt idx="2">
                        <c:v>213.77</c:v>
                      </c:pt>
                      <c:pt idx="3">
                        <c:v>214.02</c:v>
                      </c:pt>
                      <c:pt idx="4">
                        <c:v>214.38</c:v>
                      </c:pt>
                      <c:pt idx="5">
                        <c:v>213.97</c:v>
                      </c:pt>
                      <c:pt idx="6">
                        <c:v>213.86</c:v>
                      </c:pt>
                      <c:pt idx="7">
                        <c:v>213.99</c:v>
                      </c:pt>
                      <c:pt idx="8">
                        <c:v>214.21</c:v>
                      </c:pt>
                      <c:pt idx="9">
                        <c:v>213.81</c:v>
                      </c:pt>
                      <c:pt idx="10">
                        <c:v>214.02</c:v>
                      </c:pt>
                      <c:pt idx="11">
                        <c:v>214.31</c:v>
                      </c:pt>
                      <c:pt idx="12">
                        <c:v>214.18</c:v>
                      </c:pt>
                      <c:pt idx="13">
                        <c:v>213.85</c:v>
                      </c:pt>
                      <c:pt idx="14">
                        <c:v>213.89</c:v>
                      </c:pt>
                      <c:pt idx="15">
                        <c:v>216.07</c:v>
                      </c:pt>
                      <c:pt idx="16">
                        <c:v>216.73</c:v>
                      </c:pt>
                      <c:pt idx="17">
                        <c:v>216.75</c:v>
                      </c:pt>
                      <c:pt idx="18">
                        <c:v>215.57</c:v>
                      </c:pt>
                      <c:pt idx="19">
                        <c:v>214.44</c:v>
                      </c:pt>
                      <c:pt idx="20">
                        <c:v>215.65</c:v>
                      </c:pt>
                      <c:pt idx="21">
                        <c:v>214.65</c:v>
                      </c:pt>
                      <c:pt idx="22">
                        <c:v>216.18</c:v>
                      </c:pt>
                      <c:pt idx="23">
                        <c:v>216.23</c:v>
                      </c:pt>
                      <c:pt idx="24">
                        <c:v>216.71</c:v>
                      </c:pt>
                      <c:pt idx="25">
                        <c:v>215.98</c:v>
                      </c:pt>
                      <c:pt idx="26">
                        <c:v>216.88</c:v>
                      </c:pt>
                      <c:pt idx="27">
                        <c:v>218.24</c:v>
                      </c:pt>
                      <c:pt idx="28">
                        <c:v>219.26</c:v>
                      </c:pt>
                      <c:pt idx="29">
                        <c:v>219.71</c:v>
                      </c:pt>
                      <c:pt idx="30">
                        <c:v>220.55</c:v>
                      </c:pt>
                      <c:pt idx="31">
                        <c:v>221.98</c:v>
                      </c:pt>
                      <c:pt idx="32">
                        <c:v>221.03</c:v>
                      </c:pt>
                      <c:pt idx="33">
                        <c:v>222.51</c:v>
                      </c:pt>
                      <c:pt idx="34">
                        <c:v>222.98</c:v>
                      </c:pt>
                      <c:pt idx="35">
                        <c:v>223.79</c:v>
                      </c:pt>
                      <c:pt idx="36">
                        <c:v>222.45</c:v>
                      </c:pt>
                      <c:pt idx="37">
                        <c:v>223.57</c:v>
                      </c:pt>
                      <c:pt idx="38">
                        <c:v>223.6</c:v>
                      </c:pt>
                      <c:pt idx="39">
                        <c:v>225.22</c:v>
                      </c:pt>
                      <c:pt idx="40">
                        <c:v>226.33</c:v>
                      </c:pt>
                      <c:pt idx="41">
                        <c:v>225.01</c:v>
                      </c:pt>
                      <c:pt idx="42">
                        <c:v>224.38</c:v>
                      </c:pt>
                      <c:pt idx="43">
                        <c:v>224.25</c:v>
                      </c:pt>
                      <c:pt idx="44">
                        <c:v>224.23</c:v>
                      </c:pt>
                      <c:pt idx="45">
                        <c:v>223.62</c:v>
                      </c:pt>
                      <c:pt idx="46">
                        <c:v>224.82</c:v>
                      </c:pt>
                      <c:pt idx="47">
                        <c:v>224.49</c:v>
                      </c:pt>
                      <c:pt idx="48">
                        <c:v>224.08</c:v>
                      </c:pt>
                      <c:pt idx="49">
                        <c:v>224.44</c:v>
                      </c:pt>
                      <c:pt idx="50">
                        <c:v>225.9</c:v>
                      </c:pt>
                      <c:pt idx="51">
                        <c:v>225.59</c:v>
                      </c:pt>
                      <c:pt idx="52">
                        <c:v>224.91</c:v>
                      </c:pt>
                      <c:pt idx="53">
                        <c:v>225.33</c:v>
                      </c:pt>
                      <c:pt idx="54">
                        <c:v>221.82</c:v>
                      </c:pt>
                      <c:pt idx="55">
                        <c:v>222.04</c:v>
                      </c:pt>
                      <c:pt idx="56">
                        <c:v>222.4</c:v>
                      </c:pt>
                      <c:pt idx="57">
                        <c:v>220.07</c:v>
                      </c:pt>
                      <c:pt idx="58">
                        <c:v>221.34</c:v>
                      </c:pt>
                      <c:pt idx="59">
                        <c:v>222.97</c:v>
                      </c:pt>
                      <c:pt idx="60">
                        <c:v>223.43</c:v>
                      </c:pt>
                      <c:pt idx="61">
                        <c:v>223.84</c:v>
                      </c:pt>
                      <c:pt idx="62">
                        <c:v>223.74</c:v>
                      </c:pt>
                      <c:pt idx="63">
                        <c:v>222.98</c:v>
                      </c:pt>
                      <c:pt idx="64">
                        <c:v>224.18</c:v>
                      </c:pt>
                      <c:pt idx="65">
                        <c:v>222.93</c:v>
                      </c:pt>
                      <c:pt idx="66">
                        <c:v>223.13</c:v>
                      </c:pt>
                      <c:pt idx="67">
                        <c:v>223.33</c:v>
                      </c:pt>
                      <c:pt idx="68">
                        <c:v>222.89</c:v>
                      </c:pt>
                      <c:pt idx="69">
                        <c:v>222.74</c:v>
                      </c:pt>
                      <c:pt idx="70">
                        <c:v>221.69</c:v>
                      </c:pt>
                      <c:pt idx="71">
                        <c:v>221.19</c:v>
                      </c:pt>
                      <c:pt idx="72">
                        <c:v>221.77</c:v>
                      </c:pt>
                      <c:pt idx="73">
                        <c:v>222.53</c:v>
                      </c:pt>
                      <c:pt idx="74">
                        <c:v>222.18</c:v>
                      </c:pt>
                      <c:pt idx="75">
                        <c:v>223.22</c:v>
                      </c:pt>
                      <c:pt idx="76">
                        <c:v>225.05</c:v>
                      </c:pt>
                      <c:pt idx="77">
                        <c:v>225.75</c:v>
                      </c:pt>
                      <c:pt idx="78">
                        <c:v>226.31</c:v>
                      </c:pt>
                      <c:pt idx="79">
                        <c:v>226.56</c:v>
                      </c:pt>
                      <c:pt idx="80">
                        <c:v>226.68</c:v>
                      </c:pt>
                      <c:pt idx="81">
                        <c:v>226.48</c:v>
                      </c:pt>
                      <c:pt idx="82">
                        <c:v>226.63</c:v>
                      </c:pt>
                      <c:pt idx="83">
                        <c:v>226.11</c:v>
                      </c:pt>
                      <c:pt idx="84">
                        <c:v>226.62</c:v>
                      </c:pt>
                      <c:pt idx="85">
                        <c:v>226.96</c:v>
                      </c:pt>
                      <c:pt idx="86">
                        <c:v>227.49</c:v>
                      </c:pt>
                      <c:pt idx="87">
                        <c:v>227.69</c:v>
                      </c:pt>
                      <c:pt idx="88">
                        <c:v>227.15</c:v>
                      </c:pt>
                      <c:pt idx="89">
                        <c:v>227.11</c:v>
                      </c:pt>
                      <c:pt idx="90">
                        <c:v>226.87</c:v>
                      </c:pt>
                      <c:pt idx="91">
                        <c:v>227.23</c:v>
                      </c:pt>
                      <c:pt idx="92">
                        <c:v>228.34</c:v>
                      </c:pt>
                      <c:pt idx="93">
                        <c:v>225.93</c:v>
                      </c:pt>
                      <c:pt idx="94">
                        <c:v>223.68</c:v>
                      </c:pt>
                      <c:pt idx="95">
                        <c:v>225.2</c:v>
                      </c:pt>
                      <c:pt idx="96">
                        <c:v>226.68</c:v>
                      </c:pt>
                      <c:pt idx="97">
                        <c:v>227.68</c:v>
                      </c:pt>
                      <c:pt idx="98">
                        <c:v>228.03</c:v>
                      </c:pt>
                      <c:pt idx="99">
                        <c:v>228.87</c:v>
                      </c:pt>
                      <c:pt idx="100">
                        <c:v>229.19</c:v>
                      </c:pt>
                      <c:pt idx="101">
                        <c:v>229</c:v>
                      </c:pt>
                      <c:pt idx="102">
                        <c:v>229.47</c:v>
                      </c:pt>
                      <c:pt idx="103">
                        <c:v>229.6</c:v>
                      </c:pt>
                      <c:pt idx="104">
                        <c:v>230.97</c:v>
                      </c:pt>
                      <c:pt idx="105">
                        <c:v>231.5</c:v>
                      </c:pt>
                      <c:pt idx="106">
                        <c:v>230.9</c:v>
                      </c:pt>
                      <c:pt idx="107">
                        <c:v>231.14</c:v>
                      </c:pt>
                      <c:pt idx="108">
                        <c:v>231.31</c:v>
                      </c:pt>
                      <c:pt idx="109">
                        <c:v>231.61</c:v>
                      </c:pt>
                      <c:pt idx="110">
                        <c:v>230.7</c:v>
                      </c:pt>
                      <c:pt idx="111">
                        <c:v>231.51</c:v>
                      </c:pt>
                      <c:pt idx="112">
                        <c:v>232.34</c:v>
                      </c:pt>
                      <c:pt idx="113">
                        <c:v>230.27</c:v>
                      </c:pt>
                      <c:pt idx="114">
                        <c:v>231.48</c:v>
                      </c:pt>
                      <c:pt idx="115">
                        <c:v>232.26</c:v>
                      </c:pt>
                      <c:pt idx="116">
                        <c:v>232.89</c:v>
                      </c:pt>
                      <c:pt idx="117">
                        <c:v>232.1</c:v>
                      </c:pt>
                      <c:pt idx="118">
                        <c:v>231.66</c:v>
                      </c:pt>
                      <c:pt idx="119">
                        <c:v>231.61</c:v>
                      </c:pt>
                      <c:pt idx="120">
                        <c:v>232.56</c:v>
                      </c:pt>
                      <c:pt idx="121">
                        <c:v>231.74</c:v>
                      </c:pt>
                      <c:pt idx="122">
                        <c:v>231.22</c:v>
                      </c:pt>
                      <c:pt idx="123">
                        <c:v>232.33</c:v>
                      </c:pt>
                      <c:pt idx="124">
                        <c:v>231.01</c:v>
                      </c:pt>
                      <c:pt idx="125">
                        <c:v>231.59</c:v>
                      </c:pt>
                      <c:pt idx="126">
                        <c:v>231.35</c:v>
                      </c:pt>
                      <c:pt idx="127">
                        <c:v>230.64</c:v>
                      </c:pt>
                      <c:pt idx="128">
                        <c:v>229.99</c:v>
                      </c:pt>
                      <c:pt idx="129">
                        <c:v>230.7</c:v>
                      </c:pt>
                      <c:pt idx="130">
                        <c:v>230.9</c:v>
                      </c:pt>
                      <c:pt idx="131">
                        <c:v>231.99</c:v>
                      </c:pt>
                      <c:pt idx="132">
                        <c:v>232.67</c:v>
                      </c:pt>
                      <c:pt idx="133">
                        <c:v>233.06</c:v>
                      </c:pt>
                      <c:pt idx="134">
                        <c:v>234.05</c:v>
                      </c:pt>
                      <c:pt idx="135">
                        <c:v>233.66</c:v>
                      </c:pt>
                      <c:pt idx="136">
                        <c:v>234.58</c:v>
                      </c:pt>
                      <c:pt idx="137">
                        <c:v>235.78</c:v>
                      </c:pt>
                      <c:pt idx="138">
                        <c:v>234.98</c:v>
                      </c:pt>
                      <c:pt idx="139">
                        <c:v>235.31</c:v>
                      </c:pt>
                      <c:pt idx="140">
                        <c:v>236.16</c:v>
                      </c:pt>
                      <c:pt idx="141">
                        <c:v>236.23</c:v>
                      </c:pt>
                      <c:pt idx="142">
                        <c:v>236.43</c:v>
                      </c:pt>
                      <c:pt idx="143">
                        <c:v>235.18</c:v>
                      </c:pt>
                      <c:pt idx="144">
                        <c:v>235.87</c:v>
                      </c:pt>
                      <c:pt idx="145">
                        <c:v>235.95</c:v>
                      </c:pt>
                      <c:pt idx="146">
                        <c:v>235.96</c:v>
                      </c:pt>
                      <c:pt idx="147">
                        <c:v>235.81</c:v>
                      </c:pt>
                      <c:pt idx="148">
                        <c:v>236.01</c:v>
                      </c:pt>
                      <c:pt idx="149">
                        <c:v>235.98</c:v>
                      </c:pt>
                      <c:pt idx="150">
                        <c:v>236</c:v>
                      </c:pt>
                      <c:pt idx="151">
                        <c:v>235.01</c:v>
                      </c:pt>
                      <c:pt idx="152">
                        <c:v>234.84</c:v>
                      </c:pt>
                      <c:pt idx="153">
                        <c:v>232.67</c:v>
                      </c:pt>
                      <c:pt idx="154">
                        <c:v>234.17</c:v>
                      </c:pt>
                      <c:pt idx="155">
                        <c:v>235.49</c:v>
                      </c:pt>
                      <c:pt idx="156">
                        <c:v>235.62</c:v>
                      </c:pt>
                      <c:pt idx="157">
                        <c:v>234.79</c:v>
                      </c:pt>
                      <c:pt idx="158">
                        <c:v>231.6</c:v>
                      </c:pt>
                      <c:pt idx="159">
                        <c:v>231.36</c:v>
                      </c:pt>
                      <c:pt idx="160">
                        <c:v>232.24</c:v>
                      </c:pt>
                      <c:pt idx="161">
                        <c:v>232.97</c:v>
                      </c:pt>
                      <c:pt idx="162">
                        <c:v>233.61</c:v>
                      </c:pt>
                      <c:pt idx="163">
                        <c:v>233.51</c:v>
                      </c:pt>
                      <c:pt idx="164">
                        <c:v>233.77</c:v>
                      </c:pt>
                      <c:pt idx="165">
                        <c:v>231.76</c:v>
                      </c:pt>
                      <c:pt idx="166">
                        <c:v>233.44</c:v>
                      </c:pt>
                      <c:pt idx="167">
                        <c:v>235.25</c:v>
                      </c:pt>
                      <c:pt idx="168">
                        <c:v>236.39</c:v>
                      </c:pt>
                      <c:pt idx="169">
                        <c:v>235.76</c:v>
                      </c:pt>
                      <c:pt idx="170">
                        <c:v>235.36</c:v>
                      </c:pt>
                      <c:pt idx="171">
                        <c:v>235.75</c:v>
                      </c:pt>
                      <c:pt idx="172">
                        <c:v>235.07</c:v>
                      </c:pt>
                      <c:pt idx="173">
                        <c:v>236.51</c:v>
                      </c:pt>
                      <c:pt idx="174">
                        <c:v>238.02</c:v>
                      </c:pt>
                      <c:pt idx="175">
                        <c:v>238.11</c:v>
                      </c:pt>
                      <c:pt idx="176">
                        <c:v>238.18</c:v>
                      </c:pt>
                      <c:pt idx="177">
                        <c:v>238.3</c:v>
                      </c:pt>
                      <c:pt idx="178">
                        <c:v>239.18</c:v>
                      </c:pt>
                      <c:pt idx="179">
                        <c:v>239.56</c:v>
                      </c:pt>
                      <c:pt idx="180">
                        <c:v>239.62</c:v>
                      </c:pt>
                      <c:pt idx="181">
                        <c:v>239.44</c:v>
                      </c:pt>
                      <c:pt idx="182">
                        <c:v>238.65</c:v>
                      </c:pt>
                      <c:pt idx="183">
                        <c:v>238.74</c:v>
                      </c:pt>
                      <c:pt idx="184">
                        <c:v>239</c:v>
                      </c:pt>
                      <c:pt idx="185">
                        <c:v>239.44</c:v>
                      </c:pt>
                      <c:pt idx="186">
                        <c:v>239.3</c:v>
                      </c:pt>
                      <c:pt idx="187">
                        <c:v>239.88</c:v>
                      </c:pt>
                      <c:pt idx="188">
                        <c:v>240.98</c:v>
                      </c:pt>
                      <c:pt idx="189">
                        <c:v>241.91</c:v>
                      </c:pt>
                      <c:pt idx="190">
                        <c:v>242.13</c:v>
                      </c:pt>
                      <c:pt idx="191">
                        <c:v>242.95</c:v>
                      </c:pt>
                      <c:pt idx="192">
                        <c:v>243.53</c:v>
                      </c:pt>
                      <c:pt idx="193">
                        <c:v>243.99</c:v>
                      </c:pt>
                      <c:pt idx="194">
                        <c:v>243.96</c:v>
                      </c:pt>
                      <c:pt idx="195">
                        <c:v>243.88</c:v>
                      </c:pt>
                      <c:pt idx="196">
                        <c:v>244.02</c:v>
                      </c:pt>
                      <c:pt idx="197">
                        <c:v>244.48</c:v>
                      </c:pt>
                      <c:pt idx="198">
                        <c:v>244.55</c:v>
                      </c:pt>
                      <c:pt idx="199">
                        <c:v>244.57</c:v>
                      </c:pt>
                      <c:pt idx="200">
                        <c:v>245.21</c:v>
                      </c:pt>
                      <c:pt idx="201">
                        <c:v>244.18</c:v>
                      </c:pt>
                      <c:pt idx="202">
                        <c:v>245.98</c:v>
                      </c:pt>
                      <c:pt idx="203">
                        <c:v>246.72</c:v>
                      </c:pt>
                      <c:pt idx="204">
                        <c:v>245.88</c:v>
                      </c:pt>
                      <c:pt idx="205">
                        <c:v>245.48</c:v>
                      </c:pt>
                      <c:pt idx="206">
                        <c:v>245.3</c:v>
                      </c:pt>
                      <c:pt idx="207">
                        <c:v>245.76</c:v>
                      </c:pt>
                      <c:pt idx="208">
                        <c:v>246.33</c:v>
                      </c:pt>
                      <c:pt idx="209">
                        <c:v>246.44</c:v>
                      </c:pt>
                      <c:pt idx="210">
                        <c:v>247.26</c:v>
                      </c:pt>
                      <c:pt idx="211">
                        <c:v>246.66</c:v>
                      </c:pt>
                      <c:pt idx="212">
                        <c:v>247</c:v>
                      </c:pt>
                      <c:pt idx="213">
                        <c:v>247.51</c:v>
                      </c:pt>
                      <c:pt idx="214">
                        <c:v>248.15</c:v>
                      </c:pt>
                      <c:pt idx="215">
                        <c:v>247.67</c:v>
                      </c:pt>
                      <c:pt idx="216">
                        <c:v>246.96</c:v>
                      </c:pt>
                      <c:pt idx="217">
                        <c:v>246.96</c:v>
                      </c:pt>
                      <c:pt idx="218">
                        <c:v>246.56</c:v>
                      </c:pt>
                      <c:pt idx="219">
                        <c:v>246.66</c:v>
                      </c:pt>
                      <c:pt idx="220">
                        <c:v>245.9</c:v>
                      </c:pt>
                      <c:pt idx="221">
                        <c:v>246.76</c:v>
                      </c:pt>
                      <c:pt idx="222">
                        <c:v>247.43</c:v>
                      </c:pt>
                      <c:pt idx="223">
                        <c:v>247.36</c:v>
                      </c:pt>
                      <c:pt idx="224">
                        <c:v>248.35</c:v>
                      </c:pt>
                      <c:pt idx="225">
                        <c:v>249.14</c:v>
                      </c:pt>
                      <c:pt idx="226">
                        <c:v>249.45</c:v>
                      </c:pt>
                      <c:pt idx="227">
                        <c:v>249.53</c:v>
                      </c:pt>
                      <c:pt idx="228">
                        <c:v>249.87</c:v>
                      </c:pt>
                      <c:pt idx="229">
                        <c:v>252.03</c:v>
                      </c:pt>
                      <c:pt idx="230">
                        <c:v>252.74</c:v>
                      </c:pt>
                      <c:pt idx="231">
                        <c:v>253.7</c:v>
                      </c:pt>
                      <c:pt idx="232">
                        <c:v>255.19</c:v>
                      </c:pt>
                      <c:pt idx="233">
                        <c:v>253.38</c:v>
                      </c:pt>
                      <c:pt idx="234">
                        <c:v>251.89</c:v>
                      </c:pt>
                      <c:pt idx="235">
                        <c:v>252.1</c:v>
                      </c:pt>
                      <c:pt idx="236">
                        <c:v>253.92</c:v>
                      </c:pt>
                      <c:pt idx="237">
                        <c:v>254.49</c:v>
                      </c:pt>
                      <c:pt idx="238">
                        <c:v>255.43</c:v>
                      </c:pt>
                      <c:pt idx="239">
                        <c:v>255.9</c:v>
                      </c:pt>
                      <c:pt idx="240">
                        <c:v>255.93</c:v>
                      </c:pt>
                      <c:pt idx="241">
                        <c:v>255.66</c:v>
                      </c:pt>
                      <c:pt idx="242">
                        <c:v>258.20999999999998</c:v>
                      </c:pt>
                      <c:pt idx="243">
                        <c:v>258.58</c:v>
                      </c:pt>
                      <c:pt idx="244">
                        <c:v>258.38</c:v>
                      </c:pt>
                      <c:pt idx="245">
                        <c:v>257.87</c:v>
                      </c:pt>
                      <c:pt idx="246">
                        <c:v>257.73</c:v>
                      </c:pt>
                      <c:pt idx="247">
                        <c:v>257.2</c:v>
                      </c:pt>
                      <c:pt idx="248">
                        <c:v>257.52</c:v>
                      </c:pt>
                      <c:pt idx="249">
                        <c:v>258.01</c:v>
                      </c:pt>
                      <c:pt idx="250">
                        <c:v>258.63</c:v>
                      </c:pt>
                      <c:pt idx="251">
                        <c:v>257.95999999999998</c:v>
                      </c:pt>
                      <c:pt idx="252">
                        <c:v>259.04000000000002</c:v>
                      </c:pt>
                      <c:pt idx="253">
                        <c:v>261.2</c:v>
                      </c:pt>
                      <c:pt idx="254">
                        <c:v>262.45999999999998</c:v>
                      </c:pt>
                      <c:pt idx="255">
                        <c:v>263.23</c:v>
                      </c:pt>
                      <c:pt idx="256">
                        <c:v>264.27999999999997</c:v>
                      </c:pt>
                      <c:pt idx="257">
                        <c:v>263.58999999999997</c:v>
                      </c:pt>
                      <c:pt idx="258">
                        <c:v>264.62</c:v>
                      </c:pt>
                      <c:pt idx="259">
                        <c:v>266.23</c:v>
                      </c:pt>
                      <c:pt idx="260">
                        <c:v>269.05</c:v>
                      </c:pt>
                      <c:pt idx="261">
                        <c:v>267.77999999999997</c:v>
                      </c:pt>
                      <c:pt idx="262">
                        <c:v>269.17</c:v>
                      </c:pt>
                      <c:pt idx="263">
                        <c:v>269.48</c:v>
                      </c:pt>
                      <c:pt idx="264">
                        <c:v>269.83999999999997</c:v>
                      </c:pt>
                      <c:pt idx="265">
                        <c:v>272.31</c:v>
                      </c:pt>
                      <c:pt idx="266">
                        <c:v>273.55</c:v>
                      </c:pt>
                      <c:pt idx="267">
                        <c:v>273.68</c:v>
                      </c:pt>
                      <c:pt idx="268">
                        <c:v>273.77</c:v>
                      </c:pt>
                      <c:pt idx="269">
                        <c:v>275.39</c:v>
                      </c:pt>
                      <c:pt idx="270">
                        <c:v>272.18</c:v>
                      </c:pt>
                      <c:pt idx="271">
                        <c:v>272.3</c:v>
                      </c:pt>
                      <c:pt idx="272">
                        <c:v>270.70999999999998</c:v>
                      </c:pt>
                      <c:pt idx="273">
                        <c:v>269.75</c:v>
                      </c:pt>
                      <c:pt idx="274">
                        <c:v>263.37</c:v>
                      </c:pt>
                      <c:pt idx="275">
                        <c:v>250.35</c:v>
                      </c:pt>
                      <c:pt idx="276">
                        <c:v>258.60000000000002</c:v>
                      </c:pt>
                      <c:pt idx="277">
                        <c:v>258.13</c:v>
                      </c:pt>
                      <c:pt idx="278">
                        <c:v>251.18</c:v>
                      </c:pt>
                      <c:pt idx="279">
                        <c:v>254.1</c:v>
                      </c:pt>
                      <c:pt idx="280">
                        <c:v>254.24</c:v>
                      </c:pt>
                      <c:pt idx="281">
                        <c:v>254.56</c:v>
                      </c:pt>
                      <c:pt idx="282">
                        <c:v>261.56</c:v>
                      </c:pt>
                      <c:pt idx="283">
                        <c:v>262.27999999999997</c:v>
                      </c:pt>
                      <c:pt idx="284">
                        <c:v>262</c:v>
                      </c:pt>
                      <c:pt idx="285">
                        <c:v>261.87</c:v>
                      </c:pt>
                      <c:pt idx="286">
                        <c:v>261.10000000000002</c:v>
                      </c:pt>
                      <c:pt idx="287">
                        <c:v>261.77</c:v>
                      </c:pt>
                      <c:pt idx="288">
                        <c:v>265.76</c:v>
                      </c:pt>
                      <c:pt idx="289">
                        <c:v>267.86</c:v>
                      </c:pt>
                      <c:pt idx="290">
                        <c:v>265.51</c:v>
                      </c:pt>
                      <c:pt idx="291">
                        <c:v>261.39999999999998</c:v>
                      </c:pt>
                      <c:pt idx="292">
                        <c:v>256</c:v>
                      </c:pt>
                      <c:pt idx="293">
                        <c:v>257.86</c:v>
                      </c:pt>
                      <c:pt idx="294">
                        <c:v>263.22000000000003</c:v>
                      </c:pt>
                      <c:pt idx="295">
                        <c:v>260.45</c:v>
                      </c:pt>
                      <c:pt idx="296">
                        <c:v>263.45999999999998</c:v>
                      </c:pt>
                      <c:pt idx="297">
                        <c:v>265.52999999999997</c:v>
                      </c:pt>
                      <c:pt idx="298">
                        <c:v>268.89999999999998</c:v>
                      </c:pt>
                      <c:pt idx="299">
                        <c:v>269.52</c:v>
                      </c:pt>
                      <c:pt idx="300">
                        <c:v>267.57</c:v>
                      </c:pt>
                      <c:pt idx="301">
                        <c:v>265.70999999999998</c:v>
                      </c:pt>
                      <c:pt idx="302">
                        <c:v>265.44</c:v>
                      </c:pt>
                      <c:pt idx="303">
                        <c:v>264.32</c:v>
                      </c:pt>
                      <c:pt idx="304">
                        <c:v>261.99</c:v>
                      </c:pt>
                      <c:pt idx="305">
                        <c:v>261.95999999999998</c:v>
                      </c:pt>
                      <c:pt idx="306">
                        <c:v>259.06</c:v>
                      </c:pt>
                      <c:pt idx="307">
                        <c:v>255.45</c:v>
                      </c:pt>
                      <c:pt idx="308">
                        <c:v>253.48</c:v>
                      </c:pt>
                      <c:pt idx="309">
                        <c:v>257.38</c:v>
                      </c:pt>
                      <c:pt idx="310">
                        <c:v>252.14</c:v>
                      </c:pt>
                      <c:pt idx="311">
                        <c:v>252.5</c:v>
                      </c:pt>
                      <c:pt idx="312">
                        <c:v>253.88</c:v>
                      </c:pt>
                      <c:pt idx="313">
                        <c:v>250.32</c:v>
                      </c:pt>
                      <c:pt idx="314">
                        <c:v>248.27</c:v>
                      </c:pt>
                      <c:pt idx="315">
                        <c:v>256.77999999999997</c:v>
                      </c:pt>
                      <c:pt idx="316">
                        <c:v>254.72</c:v>
                      </c:pt>
                      <c:pt idx="317">
                        <c:v>252.74</c:v>
                      </c:pt>
                      <c:pt idx="318">
                        <c:v>255.54</c:v>
                      </c:pt>
                      <c:pt idx="319">
                        <c:v>254.77</c:v>
                      </c:pt>
                      <c:pt idx="320">
                        <c:v>256.5</c:v>
                      </c:pt>
                      <c:pt idx="321">
                        <c:v>258.58</c:v>
                      </c:pt>
                      <c:pt idx="322">
                        <c:v>258.18</c:v>
                      </c:pt>
                      <c:pt idx="323">
                        <c:v>260.44</c:v>
                      </c:pt>
                      <c:pt idx="324">
                        <c:v>261.75</c:v>
                      </c:pt>
                      <c:pt idx="325">
                        <c:v>260.75</c:v>
                      </c:pt>
                      <c:pt idx="326">
                        <c:v>259.93</c:v>
                      </c:pt>
                      <c:pt idx="327">
                        <c:v>258.44</c:v>
                      </c:pt>
                      <c:pt idx="328">
                        <c:v>258.89</c:v>
                      </c:pt>
                      <c:pt idx="329">
                        <c:v>254.23</c:v>
                      </c:pt>
                      <c:pt idx="330">
                        <c:v>256.05</c:v>
                      </c:pt>
                      <c:pt idx="331">
                        <c:v>258.18</c:v>
                      </c:pt>
                      <c:pt idx="332">
                        <c:v>258.44</c:v>
                      </c:pt>
                      <c:pt idx="333">
                        <c:v>255.16</c:v>
                      </c:pt>
                      <c:pt idx="334">
                        <c:v>256.02</c:v>
                      </c:pt>
                      <c:pt idx="335">
                        <c:v>253.6</c:v>
                      </c:pt>
                      <c:pt idx="336">
                        <c:v>252.89</c:v>
                      </c:pt>
                      <c:pt idx="337">
                        <c:v>258.08</c:v>
                      </c:pt>
                      <c:pt idx="338">
                        <c:v>257.7</c:v>
                      </c:pt>
                      <c:pt idx="339">
                        <c:v>258.83999999999997</c:v>
                      </c:pt>
                      <c:pt idx="340">
                        <c:v>261.41000000000003</c:v>
                      </c:pt>
                      <c:pt idx="341">
                        <c:v>263.17</c:v>
                      </c:pt>
                      <c:pt idx="342">
                        <c:v>264.31</c:v>
                      </c:pt>
                      <c:pt idx="343">
                        <c:v>262.62</c:v>
                      </c:pt>
                      <c:pt idx="344">
                        <c:v>262.19</c:v>
                      </c:pt>
                      <c:pt idx="345">
                        <c:v>262.95999999999998</c:v>
                      </c:pt>
                      <c:pt idx="346">
                        <c:v>262.64999999999998</c:v>
                      </c:pt>
                      <c:pt idx="347">
                        <c:v>264</c:v>
                      </c:pt>
                      <c:pt idx="348">
                        <c:v>264.91000000000003</c:v>
                      </c:pt>
                      <c:pt idx="349">
                        <c:v>262.22000000000003</c:v>
                      </c:pt>
                      <c:pt idx="350">
                        <c:v>263.89999999999998</c:v>
                      </c:pt>
                      <c:pt idx="351">
                        <c:v>263.16000000000003</c:v>
                      </c:pt>
                      <c:pt idx="352">
                        <c:v>261.39</c:v>
                      </c:pt>
                      <c:pt idx="353">
                        <c:v>261.57</c:v>
                      </c:pt>
                      <c:pt idx="354">
                        <c:v>263.16000000000003</c:v>
                      </c:pt>
                      <c:pt idx="355">
                        <c:v>263.42</c:v>
                      </c:pt>
                      <c:pt idx="356">
                        <c:v>265.47000000000003</c:v>
                      </c:pt>
                      <c:pt idx="357">
                        <c:v>265.97000000000003</c:v>
                      </c:pt>
                      <c:pt idx="358">
                        <c:v>266.68</c:v>
                      </c:pt>
                      <c:pt idx="359">
                        <c:v>268.77</c:v>
                      </c:pt>
                      <c:pt idx="360">
                        <c:v>267.70999999999998</c:v>
                      </c:pt>
                      <c:pt idx="361">
                        <c:v>269.25</c:v>
                      </c:pt>
                      <c:pt idx="362">
                        <c:v>269.82</c:v>
                      </c:pt>
                      <c:pt idx="363">
                        <c:v>269.97000000000003</c:v>
                      </c:pt>
                      <c:pt idx="364">
                        <c:v>269.8</c:v>
                      </c:pt>
                      <c:pt idx="365">
                        <c:v>268.67</c:v>
                      </c:pt>
                      <c:pt idx="366">
                        <c:v>267.58999999999997</c:v>
                      </c:pt>
                      <c:pt idx="367">
                        <c:v>266.14</c:v>
                      </c:pt>
                      <c:pt idx="368">
                        <c:v>268.35000000000002</c:v>
                      </c:pt>
                      <c:pt idx="369">
                        <c:v>268.05</c:v>
                      </c:pt>
                      <c:pt idx="370">
                        <c:v>267.76</c:v>
                      </c:pt>
                      <c:pt idx="371">
                        <c:v>265.60000000000002</c:v>
                      </c:pt>
                      <c:pt idx="372">
                        <c:v>263.85000000000002</c:v>
                      </c:pt>
                      <c:pt idx="373">
                        <c:v>264.45</c:v>
                      </c:pt>
                      <c:pt idx="374">
                        <c:v>261.57</c:v>
                      </c:pt>
                      <c:pt idx="375">
                        <c:v>264.32</c:v>
                      </c:pt>
                      <c:pt idx="376">
                        <c:v>261.77999999999997</c:v>
                      </c:pt>
                      <c:pt idx="377">
                        <c:v>265.05</c:v>
                      </c:pt>
                      <c:pt idx="378">
                        <c:v>264.36</c:v>
                      </c:pt>
                      <c:pt idx="379">
                        <c:v>265.31</c:v>
                      </c:pt>
                      <c:pt idx="380">
                        <c:v>268.62</c:v>
                      </c:pt>
                      <c:pt idx="381">
                        <c:v>270.43</c:v>
                      </c:pt>
                      <c:pt idx="382">
                        <c:v>269.2</c:v>
                      </c:pt>
                      <c:pt idx="383">
                        <c:v>270.3</c:v>
                      </c:pt>
                      <c:pt idx="384">
                        <c:v>271.16000000000003</c:v>
                      </c:pt>
                      <c:pt idx="385">
                        <c:v>271.62</c:v>
                      </c:pt>
                      <c:pt idx="386">
                        <c:v>270.48</c:v>
                      </c:pt>
                      <c:pt idx="387">
                        <c:v>272.51</c:v>
                      </c:pt>
                      <c:pt idx="388">
                        <c:v>272.27</c:v>
                      </c:pt>
                      <c:pt idx="389">
                        <c:v>271.75</c:v>
                      </c:pt>
                      <c:pt idx="390">
                        <c:v>271.44</c:v>
                      </c:pt>
                      <c:pt idx="391">
                        <c:v>273.70999999999998</c:v>
                      </c:pt>
                      <c:pt idx="392">
                        <c:v>273.26</c:v>
                      </c:pt>
                      <c:pt idx="393">
                        <c:v>275.08</c:v>
                      </c:pt>
                      <c:pt idx="394">
                        <c:v>275.57</c:v>
                      </c:pt>
                      <c:pt idx="395">
                        <c:v>273.44</c:v>
                      </c:pt>
                      <c:pt idx="396">
                        <c:v>272.76</c:v>
                      </c:pt>
                      <c:pt idx="397">
                        <c:v>273.49</c:v>
                      </c:pt>
                      <c:pt idx="398">
                        <c:v>271.38</c:v>
                      </c:pt>
                      <c:pt idx="399">
                        <c:v>274.43</c:v>
                      </c:pt>
                      <c:pt idx="400">
                        <c:v>275.51</c:v>
                      </c:pt>
                      <c:pt idx="401">
                        <c:v>277.20999999999998</c:v>
                      </c:pt>
                      <c:pt idx="402">
                        <c:v>277.20999999999998</c:v>
                      </c:pt>
                      <c:pt idx="403">
                        <c:v>277.33999999999997</c:v>
                      </c:pt>
                      <c:pt idx="404">
                        <c:v>275.32</c:v>
                      </c:pt>
                      <c:pt idx="405">
                        <c:v>275.33999999999997</c:v>
                      </c:pt>
                      <c:pt idx="406">
                        <c:v>274.81</c:v>
                      </c:pt>
                      <c:pt idx="407">
                        <c:v>274.27999999999997</c:v>
                      </c:pt>
                      <c:pt idx="408">
                        <c:v>275.27</c:v>
                      </c:pt>
                      <c:pt idx="409">
                        <c:v>275.69</c:v>
                      </c:pt>
                      <c:pt idx="410">
                        <c:v>277.38</c:v>
                      </c:pt>
                      <c:pt idx="411">
                        <c:v>278.04000000000002</c:v>
                      </c:pt>
                      <c:pt idx="412">
                        <c:v>277.68</c:v>
                      </c:pt>
                      <c:pt idx="413">
                        <c:v>277.77</c:v>
                      </c:pt>
                      <c:pt idx="414">
                        <c:v>278.23</c:v>
                      </c:pt>
                      <c:pt idx="415">
                        <c:v>280.58</c:v>
                      </c:pt>
                      <c:pt idx="416">
                        <c:v>281.98</c:v>
                      </c:pt>
                      <c:pt idx="417">
                        <c:v>281.83999999999997</c:v>
                      </c:pt>
                      <c:pt idx="418">
                        <c:v>282.60000000000002</c:v>
                      </c:pt>
                      <c:pt idx="419">
                        <c:v>281.52999999999997</c:v>
                      </c:pt>
                      <c:pt idx="420">
                        <c:v>281.52999999999997</c:v>
                      </c:pt>
                      <c:pt idx="421">
                        <c:v>281.11</c:v>
                      </c:pt>
                      <c:pt idx="422">
                        <c:v>280.86</c:v>
                      </c:pt>
                      <c:pt idx="423">
                        <c:v>278.75</c:v>
                      </c:pt>
                      <c:pt idx="424">
                        <c:v>280.45999999999998</c:v>
                      </c:pt>
                      <c:pt idx="425">
                        <c:v>279.13</c:v>
                      </c:pt>
                      <c:pt idx="426">
                        <c:v>280.77</c:v>
                      </c:pt>
                      <c:pt idx="427">
                        <c:v>281.99</c:v>
                      </c:pt>
                      <c:pt idx="428">
                        <c:v>282.70999999999998</c:v>
                      </c:pt>
                      <c:pt idx="429">
                        <c:v>282.48</c:v>
                      </c:pt>
                      <c:pt idx="430">
                        <c:v>281.27999999999997</c:v>
                      </c:pt>
                      <c:pt idx="431">
                        <c:v>282.63</c:v>
                      </c:pt>
                      <c:pt idx="432">
                        <c:v>284.25</c:v>
                      </c:pt>
                      <c:pt idx="433">
                        <c:v>285.97000000000003</c:v>
                      </c:pt>
                      <c:pt idx="434">
                        <c:v>284.27</c:v>
                      </c:pt>
                      <c:pt idx="435">
                        <c:v>284.45</c:v>
                      </c:pt>
                      <c:pt idx="436">
                        <c:v>283.85000000000002</c:v>
                      </c:pt>
                      <c:pt idx="437">
                        <c:v>283.36</c:v>
                      </c:pt>
                      <c:pt idx="438">
                        <c:v>282.95</c:v>
                      </c:pt>
                      <c:pt idx="439">
                        <c:v>285.02</c:v>
                      </c:pt>
                      <c:pt idx="440">
                        <c:v>284.48</c:v>
                      </c:pt>
                      <c:pt idx="441">
                        <c:v>285.63</c:v>
                      </c:pt>
                      <c:pt idx="442">
                        <c:v>284.11</c:v>
                      </c:pt>
                      <c:pt idx="443">
                        <c:v>282.66000000000003</c:v>
                      </c:pt>
                      <c:pt idx="444">
                        <c:v>280.08</c:v>
                      </c:pt>
                      <c:pt idx="445">
                        <c:v>280.41000000000003</c:v>
                      </c:pt>
                      <c:pt idx="446">
                        <c:v>279.87</c:v>
                      </c:pt>
                      <c:pt idx="447">
                        <c:v>270.35000000000002</c:v>
                      </c:pt>
                      <c:pt idx="448">
                        <c:v>270.05</c:v>
                      </c:pt>
                      <c:pt idx="449">
                        <c:v>268.86</c:v>
                      </c:pt>
                      <c:pt idx="450">
                        <c:v>269.88</c:v>
                      </c:pt>
                      <c:pt idx="451">
                        <c:v>273.63</c:v>
                      </c:pt>
                      <c:pt idx="452">
                        <c:v>272.62</c:v>
                      </c:pt>
                      <c:pt idx="453">
                        <c:v>270.39999999999998</c:v>
                      </c:pt>
                      <c:pt idx="454">
                        <c:v>270.27</c:v>
                      </c:pt>
                      <c:pt idx="455">
                        <c:v>264.37</c:v>
                      </c:pt>
                      <c:pt idx="456">
                        <c:v>266.69</c:v>
                      </c:pt>
                      <c:pt idx="457">
                        <c:v>260.89</c:v>
                      </c:pt>
                      <c:pt idx="458">
                        <c:v>259.45999999999998</c:v>
                      </c:pt>
                      <c:pt idx="459">
                        <c:v>262.27</c:v>
                      </c:pt>
                      <c:pt idx="460">
                        <c:v>257.27</c:v>
                      </c:pt>
                      <c:pt idx="461">
                        <c:v>264.08</c:v>
                      </c:pt>
                      <c:pt idx="462">
                        <c:v>265.01</c:v>
                      </c:pt>
                      <c:pt idx="463">
                        <c:v>268.08</c:v>
                      </c:pt>
                      <c:pt idx="464">
                        <c:v>265.82</c:v>
                      </c:pt>
                      <c:pt idx="465">
                        <c:v>266.68</c:v>
                      </c:pt>
                      <c:pt idx="466">
                        <c:v>270.82</c:v>
                      </c:pt>
                      <c:pt idx="467">
                        <c:v>273.31</c:v>
                      </c:pt>
                      <c:pt idx="468">
                        <c:v>272.25</c:v>
                      </c:pt>
                      <c:pt idx="469">
                        <c:v>270.45999999999998</c:v>
                      </c:pt>
                      <c:pt idx="470">
                        <c:v>266.45999999999998</c:v>
                      </c:pt>
                      <c:pt idx="471">
                        <c:v>267.5</c:v>
                      </c:pt>
                      <c:pt idx="472">
                        <c:v>262.25</c:v>
                      </c:pt>
                      <c:pt idx="473">
                        <c:v>265.19</c:v>
                      </c:pt>
                      <c:pt idx="474">
                        <c:v>266.42</c:v>
                      </c:pt>
                      <c:pt idx="475">
                        <c:v>258.92</c:v>
                      </c:pt>
                      <c:pt idx="476">
                        <c:v>259.39999999999998</c:v>
                      </c:pt>
                      <c:pt idx="477">
                        <c:v>256.79000000000002</c:v>
                      </c:pt>
                      <c:pt idx="478">
                        <c:v>259.33</c:v>
                      </c:pt>
                      <c:pt idx="479">
                        <c:v>259.87</c:v>
                      </c:pt>
                      <c:pt idx="480">
                        <c:v>263.05</c:v>
                      </c:pt>
                      <c:pt idx="481">
                        <c:v>267.06</c:v>
                      </c:pt>
                      <c:pt idx="482">
                        <c:v>267.16000000000003</c:v>
                      </c:pt>
                      <c:pt idx="483">
                        <c:v>273.47000000000003</c:v>
                      </c:pt>
                      <c:pt idx="484">
                        <c:v>271.61</c:v>
                      </c:pt>
                      <c:pt idx="485">
                        <c:v>259.45999999999998</c:v>
                      </c:pt>
                      <c:pt idx="486">
                        <c:v>262.92</c:v>
                      </c:pt>
                      <c:pt idx="487">
                        <c:v>256.98</c:v>
                      </c:pt>
                      <c:pt idx="488">
                        <c:v>261.16000000000003</c:v>
                      </c:pt>
                      <c:pt idx="489">
                        <c:v>260.98</c:v>
                      </c:pt>
                      <c:pt idx="490">
                        <c:v>260.05</c:v>
                      </c:pt>
                      <c:pt idx="491">
                        <c:v>256.58</c:v>
                      </c:pt>
                      <c:pt idx="492">
                        <c:v>253.1</c:v>
                      </c:pt>
                      <c:pt idx="493">
                        <c:v>250.95</c:v>
                      </c:pt>
                      <c:pt idx="494">
                        <c:v>248.97</c:v>
                      </c:pt>
                      <c:pt idx="495">
                        <c:v>243.79</c:v>
                      </c:pt>
                      <c:pt idx="496">
                        <c:v>242.16</c:v>
                      </c:pt>
                      <c:pt idx="497">
                        <c:v>234.6</c:v>
                      </c:pt>
                      <c:pt idx="498">
                        <c:v>231.59</c:v>
                      </c:pt>
                      <c:pt idx="499">
                        <c:v>238.06</c:v>
                      </c:pt>
                      <c:pt idx="500">
                        <c:v>244.94</c:v>
                      </c:pt>
                      <c:pt idx="501">
                        <c:v>244.92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371-41F8-8F0A-A72EA0D674C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HighLowType!$D$1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HighLowType!$D$2:$D$504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213.35</c:v>
                      </c:pt>
                      <c:pt idx="1">
                        <c:v>214.22</c:v>
                      </c:pt>
                      <c:pt idx="2">
                        <c:v>214.06</c:v>
                      </c:pt>
                      <c:pt idx="3">
                        <c:v>215.17</c:v>
                      </c:pt>
                      <c:pt idx="4">
                        <c:v>214.53</c:v>
                      </c:pt>
                      <c:pt idx="5">
                        <c:v>214.89</c:v>
                      </c:pt>
                      <c:pt idx="6">
                        <c:v>214.55</c:v>
                      </c:pt>
                      <c:pt idx="7">
                        <c:v>214.22</c:v>
                      </c:pt>
                      <c:pt idx="8">
                        <c:v>214.84</c:v>
                      </c:pt>
                      <c:pt idx="9">
                        <c:v>214.25</c:v>
                      </c:pt>
                      <c:pt idx="10">
                        <c:v>214.27</c:v>
                      </c:pt>
                      <c:pt idx="11">
                        <c:v>214.46</c:v>
                      </c:pt>
                      <c:pt idx="12">
                        <c:v>214.75</c:v>
                      </c:pt>
                      <c:pt idx="13">
                        <c:v>214.28</c:v>
                      </c:pt>
                      <c:pt idx="14">
                        <c:v>215.48</c:v>
                      </c:pt>
                      <c:pt idx="15">
                        <c:v>216.89</c:v>
                      </c:pt>
                      <c:pt idx="16">
                        <c:v>217.02</c:v>
                      </c:pt>
                      <c:pt idx="17">
                        <c:v>216.91</c:v>
                      </c:pt>
                      <c:pt idx="18">
                        <c:v>215.59</c:v>
                      </c:pt>
                      <c:pt idx="19">
                        <c:v>215.03</c:v>
                      </c:pt>
                      <c:pt idx="20">
                        <c:v>215.96</c:v>
                      </c:pt>
                      <c:pt idx="21">
                        <c:v>215.5</c:v>
                      </c:pt>
                      <c:pt idx="22">
                        <c:v>216.87</c:v>
                      </c:pt>
                      <c:pt idx="23">
                        <c:v>216.66</c:v>
                      </c:pt>
                      <c:pt idx="24">
                        <c:v>216.97</c:v>
                      </c:pt>
                      <c:pt idx="25">
                        <c:v>216.72</c:v>
                      </c:pt>
                      <c:pt idx="26">
                        <c:v>218.19</c:v>
                      </c:pt>
                      <c:pt idx="27">
                        <c:v>218.97</c:v>
                      </c:pt>
                      <c:pt idx="28">
                        <c:v>220.19</c:v>
                      </c:pt>
                      <c:pt idx="29">
                        <c:v>220.8</c:v>
                      </c:pt>
                      <c:pt idx="30">
                        <c:v>222.15</c:v>
                      </c:pt>
                      <c:pt idx="31">
                        <c:v>222.16</c:v>
                      </c:pt>
                      <c:pt idx="32">
                        <c:v>222.1</c:v>
                      </c:pt>
                      <c:pt idx="33">
                        <c:v>223.62</c:v>
                      </c:pt>
                      <c:pt idx="34">
                        <c:v>223.47</c:v>
                      </c:pt>
                      <c:pt idx="35">
                        <c:v>223.81</c:v>
                      </c:pt>
                      <c:pt idx="36">
                        <c:v>223.71</c:v>
                      </c:pt>
                      <c:pt idx="37">
                        <c:v>224.2</c:v>
                      </c:pt>
                      <c:pt idx="38">
                        <c:v>223.86</c:v>
                      </c:pt>
                      <c:pt idx="39">
                        <c:v>227.04</c:v>
                      </c:pt>
                      <c:pt idx="40">
                        <c:v>226.34</c:v>
                      </c:pt>
                      <c:pt idx="41">
                        <c:v>225.43</c:v>
                      </c:pt>
                      <c:pt idx="42">
                        <c:v>224.97</c:v>
                      </c:pt>
                      <c:pt idx="43">
                        <c:v>224.64</c:v>
                      </c:pt>
                      <c:pt idx="44">
                        <c:v>224.51</c:v>
                      </c:pt>
                      <c:pt idx="45">
                        <c:v>224.13</c:v>
                      </c:pt>
                      <c:pt idx="46">
                        <c:v>224.87</c:v>
                      </c:pt>
                      <c:pt idx="47">
                        <c:v>224.72</c:v>
                      </c:pt>
                      <c:pt idx="48">
                        <c:v>224.13</c:v>
                      </c:pt>
                      <c:pt idx="49">
                        <c:v>226.21</c:v>
                      </c:pt>
                      <c:pt idx="50">
                        <c:v>225.99</c:v>
                      </c:pt>
                      <c:pt idx="51">
                        <c:v>225.8</c:v>
                      </c:pt>
                      <c:pt idx="52">
                        <c:v>225.22</c:v>
                      </c:pt>
                      <c:pt idx="53">
                        <c:v>225.46</c:v>
                      </c:pt>
                      <c:pt idx="54">
                        <c:v>222.61</c:v>
                      </c:pt>
                      <c:pt idx="55">
                        <c:v>223.31</c:v>
                      </c:pt>
                      <c:pt idx="56">
                        <c:v>223.02</c:v>
                      </c:pt>
                      <c:pt idx="57">
                        <c:v>221.96</c:v>
                      </c:pt>
                      <c:pt idx="58">
                        <c:v>223.75</c:v>
                      </c:pt>
                      <c:pt idx="59">
                        <c:v>223.75</c:v>
                      </c:pt>
                      <c:pt idx="60">
                        <c:v>224.43</c:v>
                      </c:pt>
                      <c:pt idx="61">
                        <c:v>224.42</c:v>
                      </c:pt>
                      <c:pt idx="62">
                        <c:v>223.96</c:v>
                      </c:pt>
                      <c:pt idx="63">
                        <c:v>223.53</c:v>
                      </c:pt>
                      <c:pt idx="64">
                        <c:v>225.25</c:v>
                      </c:pt>
                      <c:pt idx="65">
                        <c:v>223.97</c:v>
                      </c:pt>
                      <c:pt idx="66">
                        <c:v>223.93</c:v>
                      </c:pt>
                      <c:pt idx="67">
                        <c:v>224.18</c:v>
                      </c:pt>
                      <c:pt idx="68">
                        <c:v>223.15</c:v>
                      </c:pt>
                      <c:pt idx="69">
                        <c:v>222.95</c:v>
                      </c:pt>
                      <c:pt idx="70">
                        <c:v>222.5</c:v>
                      </c:pt>
                      <c:pt idx="71">
                        <c:v>222.58</c:v>
                      </c:pt>
                      <c:pt idx="72">
                        <c:v>222.5</c:v>
                      </c:pt>
                      <c:pt idx="73">
                        <c:v>222.94</c:v>
                      </c:pt>
                      <c:pt idx="74">
                        <c:v>223.79</c:v>
                      </c:pt>
                      <c:pt idx="75">
                        <c:v>223.28</c:v>
                      </c:pt>
                      <c:pt idx="76">
                        <c:v>225.27</c:v>
                      </c:pt>
                      <c:pt idx="77">
                        <c:v>226.73</c:v>
                      </c:pt>
                      <c:pt idx="78">
                        <c:v>227.28</c:v>
                      </c:pt>
                      <c:pt idx="79">
                        <c:v>226.73</c:v>
                      </c:pt>
                      <c:pt idx="80">
                        <c:v>226.71</c:v>
                      </c:pt>
                      <c:pt idx="81">
                        <c:v>226.94</c:v>
                      </c:pt>
                      <c:pt idx="82">
                        <c:v>226.76</c:v>
                      </c:pt>
                      <c:pt idx="83">
                        <c:v>226.66</c:v>
                      </c:pt>
                      <c:pt idx="84">
                        <c:v>226.71</c:v>
                      </c:pt>
                      <c:pt idx="85">
                        <c:v>227.46</c:v>
                      </c:pt>
                      <c:pt idx="86">
                        <c:v>227.65</c:v>
                      </c:pt>
                      <c:pt idx="87">
                        <c:v>227.91</c:v>
                      </c:pt>
                      <c:pt idx="88">
                        <c:v>227.61</c:v>
                      </c:pt>
                      <c:pt idx="89">
                        <c:v>227.32</c:v>
                      </c:pt>
                      <c:pt idx="90">
                        <c:v>227.19</c:v>
                      </c:pt>
                      <c:pt idx="91">
                        <c:v>228.15</c:v>
                      </c:pt>
                      <c:pt idx="92">
                        <c:v>228.36</c:v>
                      </c:pt>
                      <c:pt idx="93">
                        <c:v>226.44</c:v>
                      </c:pt>
                      <c:pt idx="94">
                        <c:v>225.59</c:v>
                      </c:pt>
                      <c:pt idx="95">
                        <c:v>226.86</c:v>
                      </c:pt>
                      <c:pt idx="96">
                        <c:v>227.45</c:v>
                      </c:pt>
                      <c:pt idx="97">
                        <c:v>227.96</c:v>
                      </c:pt>
                      <c:pt idx="98">
                        <c:v>228.42</c:v>
                      </c:pt>
                      <c:pt idx="99">
                        <c:v>229.7</c:v>
                      </c:pt>
                      <c:pt idx="100">
                        <c:v>229.53</c:v>
                      </c:pt>
                      <c:pt idx="101">
                        <c:v>229.43</c:v>
                      </c:pt>
                      <c:pt idx="102">
                        <c:v>229.51</c:v>
                      </c:pt>
                      <c:pt idx="103">
                        <c:v>230.94</c:v>
                      </c:pt>
                      <c:pt idx="104">
                        <c:v>231.86</c:v>
                      </c:pt>
                      <c:pt idx="105">
                        <c:v>231.81</c:v>
                      </c:pt>
                      <c:pt idx="106">
                        <c:v>231.51</c:v>
                      </c:pt>
                      <c:pt idx="107">
                        <c:v>231.45</c:v>
                      </c:pt>
                      <c:pt idx="108">
                        <c:v>231.84</c:v>
                      </c:pt>
                      <c:pt idx="109">
                        <c:v>232.48</c:v>
                      </c:pt>
                      <c:pt idx="110">
                        <c:v>230.97</c:v>
                      </c:pt>
                      <c:pt idx="111">
                        <c:v>232.1</c:v>
                      </c:pt>
                      <c:pt idx="112">
                        <c:v>232.35</c:v>
                      </c:pt>
                      <c:pt idx="113">
                        <c:v>231.44</c:v>
                      </c:pt>
                      <c:pt idx="114">
                        <c:v>231.54</c:v>
                      </c:pt>
                      <c:pt idx="115">
                        <c:v>233.35</c:v>
                      </c:pt>
                      <c:pt idx="116">
                        <c:v>232.9</c:v>
                      </c:pt>
                      <c:pt idx="117">
                        <c:v>232.26</c:v>
                      </c:pt>
                      <c:pt idx="118">
                        <c:v>232.21</c:v>
                      </c:pt>
                      <c:pt idx="119">
                        <c:v>232.19</c:v>
                      </c:pt>
                      <c:pt idx="120">
                        <c:v>233.02</c:v>
                      </c:pt>
                      <c:pt idx="121">
                        <c:v>232.06</c:v>
                      </c:pt>
                      <c:pt idx="122">
                        <c:v>232.38</c:v>
                      </c:pt>
                      <c:pt idx="123">
                        <c:v>232.39</c:v>
                      </c:pt>
                      <c:pt idx="124">
                        <c:v>231.42</c:v>
                      </c:pt>
                      <c:pt idx="125">
                        <c:v>232.06</c:v>
                      </c:pt>
                      <c:pt idx="126">
                        <c:v>231.71</c:v>
                      </c:pt>
                      <c:pt idx="127">
                        <c:v>230.77</c:v>
                      </c:pt>
                      <c:pt idx="128">
                        <c:v>231.01</c:v>
                      </c:pt>
                      <c:pt idx="129">
                        <c:v>231.51</c:v>
                      </c:pt>
                      <c:pt idx="130">
                        <c:v>231.27</c:v>
                      </c:pt>
                      <c:pt idx="131">
                        <c:v>232.84</c:v>
                      </c:pt>
                      <c:pt idx="132">
                        <c:v>233.18</c:v>
                      </c:pt>
                      <c:pt idx="133">
                        <c:v>234.53</c:v>
                      </c:pt>
                      <c:pt idx="134">
                        <c:v>234.47</c:v>
                      </c:pt>
                      <c:pt idx="135">
                        <c:v>234.29</c:v>
                      </c:pt>
                      <c:pt idx="136">
                        <c:v>235.51</c:v>
                      </c:pt>
                      <c:pt idx="137">
                        <c:v>235.91</c:v>
                      </c:pt>
                      <c:pt idx="138">
                        <c:v>235.43</c:v>
                      </c:pt>
                      <c:pt idx="139">
                        <c:v>235.49</c:v>
                      </c:pt>
                      <c:pt idx="140">
                        <c:v>236.28</c:v>
                      </c:pt>
                      <c:pt idx="141">
                        <c:v>236.27</c:v>
                      </c:pt>
                      <c:pt idx="142">
                        <c:v>236.47</c:v>
                      </c:pt>
                      <c:pt idx="143">
                        <c:v>235.57</c:v>
                      </c:pt>
                      <c:pt idx="144">
                        <c:v>235.97</c:v>
                      </c:pt>
                      <c:pt idx="145">
                        <c:v>235.99</c:v>
                      </c:pt>
                      <c:pt idx="146">
                        <c:v>236.09</c:v>
                      </c:pt>
                      <c:pt idx="147">
                        <c:v>235.84</c:v>
                      </c:pt>
                      <c:pt idx="148">
                        <c:v>236.27</c:v>
                      </c:pt>
                      <c:pt idx="149">
                        <c:v>236.34</c:v>
                      </c:pt>
                      <c:pt idx="150">
                        <c:v>237.33</c:v>
                      </c:pt>
                      <c:pt idx="151">
                        <c:v>235.81</c:v>
                      </c:pt>
                      <c:pt idx="152">
                        <c:v>234.98</c:v>
                      </c:pt>
                      <c:pt idx="153">
                        <c:v>233.42</c:v>
                      </c:pt>
                      <c:pt idx="154">
                        <c:v>235.31</c:v>
                      </c:pt>
                      <c:pt idx="155">
                        <c:v>235.51</c:v>
                      </c:pt>
                      <c:pt idx="156">
                        <c:v>236.06</c:v>
                      </c:pt>
                      <c:pt idx="157">
                        <c:v>235.13</c:v>
                      </c:pt>
                      <c:pt idx="158">
                        <c:v>232.83</c:v>
                      </c:pt>
                      <c:pt idx="159">
                        <c:v>231.89</c:v>
                      </c:pt>
                      <c:pt idx="160">
                        <c:v>234.2</c:v>
                      </c:pt>
                      <c:pt idx="161">
                        <c:v>233.65</c:v>
                      </c:pt>
                      <c:pt idx="162">
                        <c:v>233.78</c:v>
                      </c:pt>
                      <c:pt idx="163">
                        <c:v>234.19</c:v>
                      </c:pt>
                      <c:pt idx="164">
                        <c:v>233.8</c:v>
                      </c:pt>
                      <c:pt idx="165">
                        <c:v>233.75</c:v>
                      </c:pt>
                      <c:pt idx="166">
                        <c:v>234.87</c:v>
                      </c:pt>
                      <c:pt idx="167">
                        <c:v>236.25</c:v>
                      </c:pt>
                      <c:pt idx="168">
                        <c:v>236.78</c:v>
                      </c:pt>
                      <c:pt idx="169">
                        <c:v>236.01</c:v>
                      </c:pt>
                      <c:pt idx="170">
                        <c:v>235.78</c:v>
                      </c:pt>
                      <c:pt idx="171">
                        <c:v>235.77</c:v>
                      </c:pt>
                      <c:pt idx="172">
                        <c:v>235.62</c:v>
                      </c:pt>
                      <c:pt idx="173">
                        <c:v>237.71</c:v>
                      </c:pt>
                      <c:pt idx="174">
                        <c:v>238.46</c:v>
                      </c:pt>
                      <c:pt idx="175">
                        <c:v>238.57</c:v>
                      </c:pt>
                      <c:pt idx="176">
                        <c:v>238.68</c:v>
                      </c:pt>
                      <c:pt idx="177">
                        <c:v>238.88</c:v>
                      </c:pt>
                      <c:pt idx="178">
                        <c:v>239.67</c:v>
                      </c:pt>
                      <c:pt idx="179">
                        <c:v>239.62</c:v>
                      </c:pt>
                      <c:pt idx="180">
                        <c:v>239.74</c:v>
                      </c:pt>
                      <c:pt idx="181">
                        <c:v>239.54</c:v>
                      </c:pt>
                      <c:pt idx="182">
                        <c:v>239.2</c:v>
                      </c:pt>
                      <c:pt idx="183">
                        <c:v>239.13</c:v>
                      </c:pt>
                      <c:pt idx="184">
                        <c:v>239.27</c:v>
                      </c:pt>
                      <c:pt idx="185">
                        <c:v>240.03</c:v>
                      </c:pt>
                      <c:pt idx="186">
                        <c:v>239.98</c:v>
                      </c:pt>
                      <c:pt idx="187">
                        <c:v>240.82</c:v>
                      </c:pt>
                      <c:pt idx="188">
                        <c:v>241.78</c:v>
                      </c:pt>
                      <c:pt idx="189">
                        <c:v>242.33</c:v>
                      </c:pt>
                      <c:pt idx="190">
                        <c:v>242.85</c:v>
                      </c:pt>
                      <c:pt idx="191">
                        <c:v>244.04</c:v>
                      </c:pt>
                      <c:pt idx="192">
                        <c:v>244.06</c:v>
                      </c:pt>
                      <c:pt idx="193">
                        <c:v>244.06</c:v>
                      </c:pt>
                      <c:pt idx="194">
                        <c:v>244.4</c:v>
                      </c:pt>
                      <c:pt idx="195">
                        <c:v>244.37</c:v>
                      </c:pt>
                      <c:pt idx="196">
                        <c:v>244.41</c:v>
                      </c:pt>
                      <c:pt idx="197">
                        <c:v>244.61</c:v>
                      </c:pt>
                      <c:pt idx="198">
                        <c:v>244.84</c:v>
                      </c:pt>
                      <c:pt idx="199">
                        <c:v>244.85</c:v>
                      </c:pt>
                      <c:pt idx="200">
                        <c:v>245.26</c:v>
                      </c:pt>
                      <c:pt idx="201">
                        <c:v>245.14</c:v>
                      </c:pt>
                      <c:pt idx="202">
                        <c:v>246.4</c:v>
                      </c:pt>
                      <c:pt idx="203">
                        <c:v>246.75</c:v>
                      </c:pt>
                      <c:pt idx="204">
                        <c:v>246.1</c:v>
                      </c:pt>
                      <c:pt idx="205">
                        <c:v>245.6</c:v>
                      </c:pt>
                      <c:pt idx="206">
                        <c:v>245.59</c:v>
                      </c:pt>
                      <c:pt idx="207">
                        <c:v>247.12</c:v>
                      </c:pt>
                      <c:pt idx="208">
                        <c:v>246.84</c:v>
                      </c:pt>
                      <c:pt idx="209">
                        <c:v>246.69</c:v>
                      </c:pt>
                      <c:pt idx="210">
                        <c:v>247.63</c:v>
                      </c:pt>
                      <c:pt idx="211">
                        <c:v>246.98</c:v>
                      </c:pt>
                      <c:pt idx="212">
                        <c:v>247.7</c:v>
                      </c:pt>
                      <c:pt idx="213">
                        <c:v>248.18</c:v>
                      </c:pt>
                      <c:pt idx="214">
                        <c:v>248.52</c:v>
                      </c:pt>
                      <c:pt idx="215">
                        <c:v>248.39</c:v>
                      </c:pt>
                      <c:pt idx="216">
                        <c:v>247.6</c:v>
                      </c:pt>
                      <c:pt idx="217">
                        <c:v>247.5</c:v>
                      </c:pt>
                      <c:pt idx="218">
                        <c:v>247.79</c:v>
                      </c:pt>
                      <c:pt idx="219">
                        <c:v>247.08</c:v>
                      </c:pt>
                      <c:pt idx="220">
                        <c:v>246.48</c:v>
                      </c:pt>
                      <c:pt idx="221">
                        <c:v>248.22</c:v>
                      </c:pt>
                      <c:pt idx="222">
                        <c:v>247.79</c:v>
                      </c:pt>
                      <c:pt idx="223">
                        <c:v>247.73</c:v>
                      </c:pt>
                      <c:pt idx="224">
                        <c:v>249.33</c:v>
                      </c:pt>
                      <c:pt idx="225">
                        <c:v>249.28</c:v>
                      </c:pt>
                      <c:pt idx="226">
                        <c:v>249.6</c:v>
                      </c:pt>
                      <c:pt idx="227">
                        <c:v>249.86</c:v>
                      </c:pt>
                      <c:pt idx="228">
                        <c:v>251.92</c:v>
                      </c:pt>
                      <c:pt idx="229">
                        <c:v>252.62</c:v>
                      </c:pt>
                      <c:pt idx="230">
                        <c:v>254.94</c:v>
                      </c:pt>
                      <c:pt idx="231">
                        <c:v>254.23</c:v>
                      </c:pt>
                      <c:pt idx="232">
                        <c:v>255.65</c:v>
                      </c:pt>
                      <c:pt idx="233">
                        <c:v>254.07</c:v>
                      </c:pt>
                      <c:pt idx="234">
                        <c:v>252.71</c:v>
                      </c:pt>
                      <c:pt idx="235">
                        <c:v>253.38</c:v>
                      </c:pt>
                      <c:pt idx="236">
                        <c:v>254.43</c:v>
                      </c:pt>
                      <c:pt idx="237">
                        <c:v>255.25</c:v>
                      </c:pt>
                      <c:pt idx="238">
                        <c:v>256.14999999999998</c:v>
                      </c:pt>
                      <c:pt idx="239">
                        <c:v>256.38</c:v>
                      </c:pt>
                      <c:pt idx="240">
                        <c:v>256.06</c:v>
                      </c:pt>
                      <c:pt idx="241">
                        <c:v>257.19</c:v>
                      </c:pt>
                      <c:pt idx="242">
                        <c:v>258.7</c:v>
                      </c:pt>
                      <c:pt idx="243">
                        <c:v>258.63</c:v>
                      </c:pt>
                      <c:pt idx="244">
                        <c:v>258.44</c:v>
                      </c:pt>
                      <c:pt idx="245">
                        <c:v>258.49</c:v>
                      </c:pt>
                      <c:pt idx="246">
                        <c:v>257.77</c:v>
                      </c:pt>
                      <c:pt idx="247">
                        <c:v>257.58</c:v>
                      </c:pt>
                      <c:pt idx="248">
                        <c:v>257.86</c:v>
                      </c:pt>
                      <c:pt idx="249">
                        <c:v>258.04000000000002</c:v>
                      </c:pt>
                      <c:pt idx="250">
                        <c:v>258.64999999999998</c:v>
                      </c:pt>
                      <c:pt idx="251">
                        <c:v>258.89999999999998</c:v>
                      </c:pt>
                      <c:pt idx="252">
                        <c:v>260.66000000000003</c:v>
                      </c:pt>
                      <c:pt idx="253">
                        <c:v>262.12</c:v>
                      </c:pt>
                      <c:pt idx="254">
                        <c:v>263.47000000000003</c:v>
                      </c:pt>
                      <c:pt idx="255">
                        <c:v>263.99</c:v>
                      </c:pt>
                      <c:pt idx="256">
                        <c:v>265.10000000000002</c:v>
                      </c:pt>
                      <c:pt idx="257">
                        <c:v>264.3</c:v>
                      </c:pt>
                      <c:pt idx="258">
                        <c:v>265.94</c:v>
                      </c:pt>
                      <c:pt idx="259">
                        <c:v>267.86</c:v>
                      </c:pt>
                      <c:pt idx="260">
                        <c:v>269.76</c:v>
                      </c:pt>
                      <c:pt idx="261">
                        <c:v>269.72000000000003</c:v>
                      </c:pt>
                      <c:pt idx="262">
                        <c:v>269.64</c:v>
                      </c:pt>
                      <c:pt idx="263">
                        <c:v>270.07</c:v>
                      </c:pt>
                      <c:pt idx="264">
                        <c:v>272.27</c:v>
                      </c:pt>
                      <c:pt idx="265">
                        <c:v>273.16000000000003</c:v>
                      </c:pt>
                      <c:pt idx="266">
                        <c:v>274.2</c:v>
                      </c:pt>
                      <c:pt idx="267">
                        <c:v>273.79000000000002</c:v>
                      </c:pt>
                      <c:pt idx="268">
                        <c:v>276.06</c:v>
                      </c:pt>
                      <c:pt idx="269">
                        <c:v>275.87</c:v>
                      </c:pt>
                      <c:pt idx="270">
                        <c:v>274.24</c:v>
                      </c:pt>
                      <c:pt idx="271">
                        <c:v>272.85000000000002</c:v>
                      </c:pt>
                      <c:pt idx="272">
                        <c:v>272.62</c:v>
                      </c:pt>
                      <c:pt idx="273">
                        <c:v>269.89999999999998</c:v>
                      </c:pt>
                      <c:pt idx="274">
                        <c:v>265.68</c:v>
                      </c:pt>
                      <c:pt idx="275">
                        <c:v>259.76</c:v>
                      </c:pt>
                      <c:pt idx="276">
                        <c:v>262.32</c:v>
                      </c:pt>
                      <c:pt idx="277">
                        <c:v>258.27999999999997</c:v>
                      </c:pt>
                      <c:pt idx="278">
                        <c:v>253.89</c:v>
                      </c:pt>
                      <c:pt idx="279">
                        <c:v>257.16000000000003</c:v>
                      </c:pt>
                      <c:pt idx="280">
                        <c:v>256.79000000000002</c:v>
                      </c:pt>
                      <c:pt idx="281">
                        <c:v>260.04000000000002</c:v>
                      </c:pt>
                      <c:pt idx="282">
                        <c:v>262.97000000000003</c:v>
                      </c:pt>
                      <c:pt idx="283">
                        <c:v>265.17</c:v>
                      </c:pt>
                      <c:pt idx="284">
                        <c:v>263.58</c:v>
                      </c:pt>
                      <c:pt idx="285">
                        <c:v>264.58999999999997</c:v>
                      </c:pt>
                      <c:pt idx="286">
                        <c:v>262.98</c:v>
                      </c:pt>
                      <c:pt idx="287">
                        <c:v>264.58</c:v>
                      </c:pt>
                      <c:pt idx="288">
                        <c:v>267.76</c:v>
                      </c:pt>
                      <c:pt idx="289">
                        <c:v>268.63</c:v>
                      </c:pt>
                      <c:pt idx="290">
                        <c:v>266.01</c:v>
                      </c:pt>
                      <c:pt idx="291">
                        <c:v>263.10000000000002</c:v>
                      </c:pt>
                      <c:pt idx="292">
                        <c:v>259.77</c:v>
                      </c:pt>
                      <c:pt idx="293">
                        <c:v>262.83</c:v>
                      </c:pt>
                      <c:pt idx="294">
                        <c:v>263.31</c:v>
                      </c:pt>
                      <c:pt idx="295">
                        <c:v>263.11</c:v>
                      </c:pt>
                      <c:pt idx="296">
                        <c:v>264.13</c:v>
                      </c:pt>
                      <c:pt idx="297">
                        <c:v>268.58999999999997</c:v>
                      </c:pt>
                      <c:pt idx="298">
                        <c:v>269.58999999999997</c:v>
                      </c:pt>
                      <c:pt idx="299">
                        <c:v>270.07</c:v>
                      </c:pt>
                      <c:pt idx="300">
                        <c:v>267.77</c:v>
                      </c:pt>
                      <c:pt idx="301">
                        <c:v>266.41000000000003</c:v>
                      </c:pt>
                      <c:pt idx="302">
                        <c:v>266.3</c:v>
                      </c:pt>
                      <c:pt idx="303">
                        <c:v>265.33999999999997</c:v>
                      </c:pt>
                      <c:pt idx="304">
                        <c:v>262.7</c:v>
                      </c:pt>
                      <c:pt idx="305">
                        <c:v>264.25</c:v>
                      </c:pt>
                      <c:pt idx="306">
                        <c:v>259.99</c:v>
                      </c:pt>
                      <c:pt idx="307">
                        <c:v>256.27</c:v>
                      </c:pt>
                      <c:pt idx="308">
                        <c:v>256.67</c:v>
                      </c:pt>
                      <c:pt idx="309">
                        <c:v>257.95999999999998</c:v>
                      </c:pt>
                      <c:pt idx="310">
                        <c:v>253.97</c:v>
                      </c:pt>
                      <c:pt idx="311">
                        <c:v>256.5</c:v>
                      </c:pt>
                      <c:pt idx="312">
                        <c:v>254.44</c:v>
                      </c:pt>
                      <c:pt idx="313">
                        <c:v>252.68</c:v>
                      </c:pt>
                      <c:pt idx="314">
                        <c:v>255.63</c:v>
                      </c:pt>
                      <c:pt idx="315">
                        <c:v>257.83999999999997</c:v>
                      </c:pt>
                      <c:pt idx="316">
                        <c:v>256.36</c:v>
                      </c:pt>
                      <c:pt idx="317">
                        <c:v>256.10000000000002</c:v>
                      </c:pt>
                      <c:pt idx="318">
                        <c:v>257.26</c:v>
                      </c:pt>
                      <c:pt idx="319">
                        <c:v>256.87</c:v>
                      </c:pt>
                      <c:pt idx="320">
                        <c:v>258.18</c:v>
                      </c:pt>
                      <c:pt idx="321">
                        <c:v>258.70999999999998</c:v>
                      </c:pt>
                      <c:pt idx="322">
                        <c:v>259.33999999999997</c:v>
                      </c:pt>
                      <c:pt idx="323">
                        <c:v>261.93</c:v>
                      </c:pt>
                      <c:pt idx="324">
                        <c:v>262.33999999999997</c:v>
                      </c:pt>
                      <c:pt idx="325">
                        <c:v>260.97000000000003</c:v>
                      </c:pt>
                      <c:pt idx="326">
                        <c:v>260.18</c:v>
                      </c:pt>
                      <c:pt idx="327">
                        <c:v>259.04000000000002</c:v>
                      </c:pt>
                      <c:pt idx="328">
                        <c:v>259.13</c:v>
                      </c:pt>
                      <c:pt idx="329">
                        <c:v>255.41</c:v>
                      </c:pt>
                      <c:pt idx="330">
                        <c:v>258.42</c:v>
                      </c:pt>
                      <c:pt idx="331">
                        <c:v>258.51</c:v>
                      </c:pt>
                      <c:pt idx="332">
                        <c:v>259.04000000000002</c:v>
                      </c:pt>
                      <c:pt idx="333">
                        <c:v>256.35000000000002</c:v>
                      </c:pt>
                      <c:pt idx="334">
                        <c:v>256.91000000000003</c:v>
                      </c:pt>
                      <c:pt idx="335">
                        <c:v>254.66</c:v>
                      </c:pt>
                      <c:pt idx="336">
                        <c:v>257.98</c:v>
                      </c:pt>
                      <c:pt idx="337">
                        <c:v>259.17</c:v>
                      </c:pt>
                      <c:pt idx="338">
                        <c:v>258.5</c:v>
                      </c:pt>
                      <c:pt idx="339">
                        <c:v>260.95</c:v>
                      </c:pt>
                      <c:pt idx="340">
                        <c:v>263.39999999999998</c:v>
                      </c:pt>
                      <c:pt idx="341">
                        <c:v>264.13</c:v>
                      </c:pt>
                      <c:pt idx="342">
                        <c:v>265.02999999999997</c:v>
                      </c:pt>
                      <c:pt idx="343">
                        <c:v>262.64</c:v>
                      </c:pt>
                      <c:pt idx="344">
                        <c:v>263.75</c:v>
                      </c:pt>
                      <c:pt idx="345">
                        <c:v>264.20999999999998</c:v>
                      </c:pt>
                      <c:pt idx="346">
                        <c:v>263.05</c:v>
                      </c:pt>
                      <c:pt idx="347">
                        <c:v>264.93</c:v>
                      </c:pt>
                      <c:pt idx="348">
                        <c:v>265.2</c:v>
                      </c:pt>
                      <c:pt idx="349">
                        <c:v>264.36</c:v>
                      </c:pt>
                      <c:pt idx="350">
                        <c:v>264.2</c:v>
                      </c:pt>
                      <c:pt idx="351">
                        <c:v>263.85000000000002</c:v>
                      </c:pt>
                      <c:pt idx="352">
                        <c:v>262.22000000000003</c:v>
                      </c:pt>
                      <c:pt idx="353">
                        <c:v>264.08999999999997</c:v>
                      </c:pt>
                      <c:pt idx="354">
                        <c:v>263.49</c:v>
                      </c:pt>
                      <c:pt idx="355">
                        <c:v>264.89999999999998</c:v>
                      </c:pt>
                      <c:pt idx="356">
                        <c:v>266.10000000000002</c:v>
                      </c:pt>
                      <c:pt idx="357">
                        <c:v>266.43</c:v>
                      </c:pt>
                      <c:pt idx="358">
                        <c:v>268.36</c:v>
                      </c:pt>
                      <c:pt idx="359">
                        <c:v>269.08999999999997</c:v>
                      </c:pt>
                      <c:pt idx="360">
                        <c:v>269.06</c:v>
                      </c:pt>
                      <c:pt idx="361">
                        <c:v>270.14999999999998</c:v>
                      </c:pt>
                      <c:pt idx="362">
                        <c:v>270.11</c:v>
                      </c:pt>
                      <c:pt idx="363">
                        <c:v>270.25</c:v>
                      </c:pt>
                      <c:pt idx="364">
                        <c:v>270.11</c:v>
                      </c:pt>
                      <c:pt idx="365">
                        <c:v>269.55</c:v>
                      </c:pt>
                      <c:pt idx="366">
                        <c:v>268.77</c:v>
                      </c:pt>
                      <c:pt idx="367">
                        <c:v>267.83999999999997</c:v>
                      </c:pt>
                      <c:pt idx="368">
                        <c:v>268.77999999999997</c:v>
                      </c:pt>
                      <c:pt idx="369">
                        <c:v>268.07</c:v>
                      </c:pt>
                      <c:pt idx="370">
                        <c:v>267.88</c:v>
                      </c:pt>
                      <c:pt idx="371">
                        <c:v>265.77</c:v>
                      </c:pt>
                      <c:pt idx="372">
                        <c:v>264.74</c:v>
                      </c:pt>
                      <c:pt idx="373">
                        <c:v>266.01</c:v>
                      </c:pt>
                      <c:pt idx="374">
                        <c:v>263.95999999999998</c:v>
                      </c:pt>
                      <c:pt idx="375">
                        <c:v>265.81</c:v>
                      </c:pt>
                      <c:pt idx="376">
                        <c:v>264.24</c:v>
                      </c:pt>
                      <c:pt idx="377">
                        <c:v>265.14999999999998</c:v>
                      </c:pt>
                      <c:pt idx="378">
                        <c:v>265.35000000000002</c:v>
                      </c:pt>
                      <c:pt idx="379">
                        <c:v>267.93</c:v>
                      </c:pt>
                      <c:pt idx="380">
                        <c:v>269.99</c:v>
                      </c:pt>
                      <c:pt idx="381">
                        <c:v>271.01</c:v>
                      </c:pt>
                      <c:pt idx="382">
                        <c:v>270.07</c:v>
                      </c:pt>
                      <c:pt idx="383">
                        <c:v>271.42</c:v>
                      </c:pt>
                      <c:pt idx="384">
                        <c:v>271.89999999999998</c:v>
                      </c:pt>
                      <c:pt idx="385">
                        <c:v>271.77999999999997</c:v>
                      </c:pt>
                      <c:pt idx="386">
                        <c:v>272.85000000000002</c:v>
                      </c:pt>
                      <c:pt idx="387">
                        <c:v>273.12</c:v>
                      </c:pt>
                      <c:pt idx="388">
                        <c:v>272.69</c:v>
                      </c:pt>
                      <c:pt idx="389">
                        <c:v>272.44</c:v>
                      </c:pt>
                      <c:pt idx="390">
                        <c:v>272.39</c:v>
                      </c:pt>
                      <c:pt idx="391">
                        <c:v>274.45999999999998</c:v>
                      </c:pt>
                      <c:pt idx="392">
                        <c:v>276.22000000000003</c:v>
                      </c:pt>
                      <c:pt idx="393">
                        <c:v>275.95999999999998</c:v>
                      </c:pt>
                      <c:pt idx="394">
                        <c:v>275.68</c:v>
                      </c:pt>
                      <c:pt idx="395">
                        <c:v>273.61</c:v>
                      </c:pt>
                      <c:pt idx="396">
                        <c:v>273.93</c:v>
                      </c:pt>
                      <c:pt idx="397">
                        <c:v>274.04000000000002</c:v>
                      </c:pt>
                      <c:pt idx="398">
                        <c:v>274.48</c:v>
                      </c:pt>
                      <c:pt idx="399">
                        <c:v>275.52</c:v>
                      </c:pt>
                      <c:pt idx="400">
                        <c:v>276.82</c:v>
                      </c:pt>
                      <c:pt idx="401">
                        <c:v>277.81</c:v>
                      </c:pt>
                      <c:pt idx="402">
                        <c:v>277.70999999999998</c:v>
                      </c:pt>
                      <c:pt idx="403">
                        <c:v>277.77</c:v>
                      </c:pt>
                      <c:pt idx="404">
                        <c:v>275.91000000000003</c:v>
                      </c:pt>
                      <c:pt idx="405">
                        <c:v>276.01</c:v>
                      </c:pt>
                      <c:pt idx="406">
                        <c:v>276.02</c:v>
                      </c:pt>
                      <c:pt idx="407">
                        <c:v>274.44</c:v>
                      </c:pt>
                      <c:pt idx="408">
                        <c:v>276.87</c:v>
                      </c:pt>
                      <c:pt idx="409">
                        <c:v>277.37</c:v>
                      </c:pt>
                      <c:pt idx="410">
                        <c:v>277.77</c:v>
                      </c:pt>
                      <c:pt idx="411">
                        <c:v>279.07</c:v>
                      </c:pt>
                      <c:pt idx="412">
                        <c:v>278.54000000000002</c:v>
                      </c:pt>
                      <c:pt idx="413">
                        <c:v>278.70999999999998</c:v>
                      </c:pt>
                      <c:pt idx="414">
                        <c:v>279.42</c:v>
                      </c:pt>
                      <c:pt idx="415">
                        <c:v>281.58999999999997</c:v>
                      </c:pt>
                      <c:pt idx="416">
                        <c:v>282.08999999999997</c:v>
                      </c:pt>
                      <c:pt idx="417">
                        <c:v>283.37</c:v>
                      </c:pt>
                      <c:pt idx="418">
                        <c:v>283</c:v>
                      </c:pt>
                      <c:pt idx="419">
                        <c:v>282.47000000000003</c:v>
                      </c:pt>
                      <c:pt idx="420">
                        <c:v>281.89</c:v>
                      </c:pt>
                      <c:pt idx="421">
                        <c:v>281.33</c:v>
                      </c:pt>
                      <c:pt idx="422">
                        <c:v>281.19</c:v>
                      </c:pt>
                      <c:pt idx="423">
                        <c:v>280.42</c:v>
                      </c:pt>
                      <c:pt idx="424">
                        <c:v>280.75</c:v>
                      </c:pt>
                      <c:pt idx="425">
                        <c:v>281.25</c:v>
                      </c:pt>
                      <c:pt idx="426">
                        <c:v>281.49</c:v>
                      </c:pt>
                      <c:pt idx="427">
                        <c:v>282.69</c:v>
                      </c:pt>
                      <c:pt idx="428">
                        <c:v>282.92</c:v>
                      </c:pt>
                      <c:pt idx="429">
                        <c:v>282.52</c:v>
                      </c:pt>
                      <c:pt idx="430">
                        <c:v>283.22000000000003</c:v>
                      </c:pt>
                      <c:pt idx="431">
                        <c:v>283.33</c:v>
                      </c:pt>
                      <c:pt idx="432">
                        <c:v>285.51</c:v>
                      </c:pt>
                      <c:pt idx="433">
                        <c:v>286.10000000000002</c:v>
                      </c:pt>
                      <c:pt idx="434">
                        <c:v>284.42</c:v>
                      </c:pt>
                      <c:pt idx="435">
                        <c:v>284.57</c:v>
                      </c:pt>
                      <c:pt idx="436">
                        <c:v>285.14</c:v>
                      </c:pt>
                      <c:pt idx="437">
                        <c:v>284.82</c:v>
                      </c:pt>
                      <c:pt idx="438">
                        <c:v>284.20999999999998</c:v>
                      </c:pt>
                      <c:pt idx="439">
                        <c:v>285.82</c:v>
                      </c:pt>
                      <c:pt idx="440">
                        <c:v>285.26</c:v>
                      </c:pt>
                      <c:pt idx="441">
                        <c:v>286.08999999999997</c:v>
                      </c:pt>
                      <c:pt idx="442">
                        <c:v>284.17</c:v>
                      </c:pt>
                      <c:pt idx="443">
                        <c:v>283.22000000000003</c:v>
                      </c:pt>
                      <c:pt idx="444">
                        <c:v>281.22000000000003</c:v>
                      </c:pt>
                      <c:pt idx="445">
                        <c:v>281.85000000000002</c:v>
                      </c:pt>
                      <c:pt idx="446">
                        <c:v>279.94</c:v>
                      </c:pt>
                      <c:pt idx="447">
                        <c:v>272.13</c:v>
                      </c:pt>
                      <c:pt idx="448">
                        <c:v>270.36</c:v>
                      </c:pt>
                      <c:pt idx="449">
                        <c:v>270.31</c:v>
                      </c:pt>
                      <c:pt idx="450">
                        <c:v>274</c:v>
                      </c:pt>
                      <c:pt idx="451">
                        <c:v>274.32</c:v>
                      </c:pt>
                      <c:pt idx="452">
                        <c:v>273.27</c:v>
                      </c:pt>
                      <c:pt idx="453">
                        <c:v>272.52</c:v>
                      </c:pt>
                      <c:pt idx="454">
                        <c:v>270.63</c:v>
                      </c:pt>
                      <c:pt idx="455">
                        <c:v>268.2</c:v>
                      </c:pt>
                      <c:pt idx="456">
                        <c:v>267.11</c:v>
                      </c:pt>
                      <c:pt idx="457">
                        <c:v>265.20999999999998</c:v>
                      </c:pt>
                      <c:pt idx="458">
                        <c:v>264.42</c:v>
                      </c:pt>
                      <c:pt idx="459">
                        <c:v>263.69</c:v>
                      </c:pt>
                      <c:pt idx="460">
                        <c:v>261.61</c:v>
                      </c:pt>
                      <c:pt idx="461">
                        <c:v>266.60000000000002</c:v>
                      </c:pt>
                      <c:pt idx="462">
                        <c:v>267.08</c:v>
                      </c:pt>
                      <c:pt idx="463">
                        <c:v>268.55</c:v>
                      </c:pt>
                      <c:pt idx="464">
                        <c:v>267.36</c:v>
                      </c:pt>
                      <c:pt idx="465">
                        <c:v>268.62</c:v>
                      </c:pt>
                      <c:pt idx="466">
                        <c:v>274.27</c:v>
                      </c:pt>
                      <c:pt idx="467">
                        <c:v>274.39</c:v>
                      </c:pt>
                      <c:pt idx="468">
                        <c:v>272.45999999999998</c:v>
                      </c:pt>
                      <c:pt idx="469">
                        <c:v>270.72000000000003</c:v>
                      </c:pt>
                      <c:pt idx="470">
                        <c:v>268.64</c:v>
                      </c:pt>
                      <c:pt idx="471">
                        <c:v>267.94</c:v>
                      </c:pt>
                      <c:pt idx="472">
                        <c:v>266.89999999999998</c:v>
                      </c:pt>
                      <c:pt idx="473">
                        <c:v>268.08</c:v>
                      </c:pt>
                      <c:pt idx="474">
                        <c:v>266.74</c:v>
                      </c:pt>
                      <c:pt idx="475">
                        <c:v>260.52</c:v>
                      </c:pt>
                      <c:pt idx="476">
                        <c:v>260.66000000000003</c:v>
                      </c:pt>
                      <c:pt idx="477">
                        <c:v>258.39</c:v>
                      </c:pt>
                      <c:pt idx="478">
                        <c:v>261.25</c:v>
                      </c:pt>
                      <c:pt idx="479">
                        <c:v>261.88</c:v>
                      </c:pt>
                      <c:pt idx="480">
                        <c:v>267.91000000000003</c:v>
                      </c:pt>
                      <c:pt idx="481">
                        <c:v>268.86</c:v>
                      </c:pt>
                      <c:pt idx="482">
                        <c:v>269.57</c:v>
                      </c:pt>
                      <c:pt idx="483">
                        <c:v>273.58999999999997</c:v>
                      </c:pt>
                      <c:pt idx="484">
                        <c:v>272.08</c:v>
                      </c:pt>
                      <c:pt idx="485">
                        <c:v>263.41000000000003</c:v>
                      </c:pt>
                      <c:pt idx="486">
                        <c:v>264.63</c:v>
                      </c:pt>
                      <c:pt idx="487">
                        <c:v>258.72000000000003</c:v>
                      </c:pt>
                      <c:pt idx="488">
                        <c:v>261.37</c:v>
                      </c:pt>
                      <c:pt idx="489">
                        <c:v>262.47000000000003</c:v>
                      </c:pt>
                      <c:pt idx="490">
                        <c:v>260.99</c:v>
                      </c:pt>
                      <c:pt idx="491">
                        <c:v>257.62</c:v>
                      </c:pt>
                      <c:pt idx="492">
                        <c:v>254.32</c:v>
                      </c:pt>
                      <c:pt idx="493">
                        <c:v>251.69</c:v>
                      </c:pt>
                      <c:pt idx="494">
                        <c:v>253.1</c:v>
                      </c:pt>
                      <c:pt idx="495">
                        <c:v>245.51</c:v>
                      </c:pt>
                      <c:pt idx="496">
                        <c:v>245.07</c:v>
                      </c:pt>
                      <c:pt idx="497">
                        <c:v>236.36</c:v>
                      </c:pt>
                      <c:pt idx="498">
                        <c:v>241.61</c:v>
                      </c:pt>
                      <c:pt idx="499">
                        <c:v>243.68</c:v>
                      </c:pt>
                      <c:pt idx="500">
                        <c:v>246.73</c:v>
                      </c:pt>
                      <c:pt idx="501">
                        <c:v>245.54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371-41F8-8F0A-A72EA0D674C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HighLowType!$E$1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HighLowType!$A$2:$A$504</c15:sqref>
                        </c15:formulaRef>
                      </c:ext>
                    </c:extLst>
                    <c:numCache>
                      <c:formatCode>General</c:formatCode>
                      <c:ptCount val="50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HighLowType!$E$2:$E$504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211.52</c:v>
                      </c:pt>
                      <c:pt idx="1">
                        <c:v>213.15</c:v>
                      </c:pt>
                      <c:pt idx="2">
                        <c:v>213.02</c:v>
                      </c:pt>
                      <c:pt idx="3">
                        <c:v>213.42</c:v>
                      </c:pt>
                      <c:pt idx="4">
                        <c:v>213.91</c:v>
                      </c:pt>
                      <c:pt idx="5">
                        <c:v>213.52</c:v>
                      </c:pt>
                      <c:pt idx="6">
                        <c:v>213.13</c:v>
                      </c:pt>
                      <c:pt idx="7">
                        <c:v>212.53</c:v>
                      </c:pt>
                      <c:pt idx="8">
                        <c:v>214.17</c:v>
                      </c:pt>
                      <c:pt idx="9">
                        <c:v>213.33</c:v>
                      </c:pt>
                      <c:pt idx="10">
                        <c:v>213.42</c:v>
                      </c:pt>
                      <c:pt idx="11">
                        <c:v>212.96</c:v>
                      </c:pt>
                      <c:pt idx="12">
                        <c:v>213.49</c:v>
                      </c:pt>
                      <c:pt idx="13">
                        <c:v>212.83</c:v>
                      </c:pt>
                      <c:pt idx="14">
                        <c:v>213.77</c:v>
                      </c:pt>
                      <c:pt idx="15">
                        <c:v>215.89</c:v>
                      </c:pt>
                      <c:pt idx="16">
                        <c:v>216.36</c:v>
                      </c:pt>
                      <c:pt idx="17">
                        <c:v>216.12</c:v>
                      </c:pt>
                      <c:pt idx="18">
                        <c:v>213.9</c:v>
                      </c:pt>
                      <c:pt idx="19">
                        <c:v>213.82</c:v>
                      </c:pt>
                      <c:pt idx="20">
                        <c:v>214.4</c:v>
                      </c:pt>
                      <c:pt idx="21">
                        <c:v>214.29</c:v>
                      </c:pt>
                      <c:pt idx="22">
                        <c:v>215.84</c:v>
                      </c:pt>
                      <c:pt idx="23">
                        <c:v>215.92</c:v>
                      </c:pt>
                      <c:pt idx="24">
                        <c:v>216.09</c:v>
                      </c:pt>
                      <c:pt idx="25">
                        <c:v>215.7</c:v>
                      </c:pt>
                      <c:pt idx="26">
                        <c:v>216.84</c:v>
                      </c:pt>
                      <c:pt idx="27">
                        <c:v>217.88</c:v>
                      </c:pt>
                      <c:pt idx="28">
                        <c:v>219.23</c:v>
                      </c:pt>
                      <c:pt idx="29">
                        <c:v>219.33</c:v>
                      </c:pt>
                      <c:pt idx="30">
                        <c:v>220.5</c:v>
                      </c:pt>
                      <c:pt idx="31">
                        <c:v>220.93</c:v>
                      </c:pt>
                      <c:pt idx="32">
                        <c:v>221.01</c:v>
                      </c:pt>
                      <c:pt idx="33">
                        <c:v>222.5</c:v>
                      </c:pt>
                      <c:pt idx="34">
                        <c:v>222.8</c:v>
                      </c:pt>
                      <c:pt idx="35">
                        <c:v>222.55</c:v>
                      </c:pt>
                      <c:pt idx="36">
                        <c:v>222.41</c:v>
                      </c:pt>
                      <c:pt idx="37">
                        <c:v>223.29</c:v>
                      </c:pt>
                      <c:pt idx="38">
                        <c:v>222.98</c:v>
                      </c:pt>
                      <c:pt idx="39">
                        <c:v>225.2</c:v>
                      </c:pt>
                      <c:pt idx="40">
                        <c:v>225.05</c:v>
                      </c:pt>
                      <c:pt idx="41">
                        <c:v>224.6</c:v>
                      </c:pt>
                      <c:pt idx="42">
                        <c:v>223.92</c:v>
                      </c:pt>
                      <c:pt idx="43">
                        <c:v>223.68</c:v>
                      </c:pt>
                      <c:pt idx="44">
                        <c:v>223.34</c:v>
                      </c:pt>
                      <c:pt idx="45">
                        <c:v>222.72</c:v>
                      </c:pt>
                      <c:pt idx="46">
                        <c:v>223.52</c:v>
                      </c:pt>
                      <c:pt idx="47">
                        <c:v>224.13</c:v>
                      </c:pt>
                      <c:pt idx="48">
                        <c:v>223.14</c:v>
                      </c:pt>
                      <c:pt idx="49">
                        <c:v>224.18</c:v>
                      </c:pt>
                      <c:pt idx="50">
                        <c:v>224.95</c:v>
                      </c:pt>
                      <c:pt idx="51">
                        <c:v>224.91</c:v>
                      </c:pt>
                      <c:pt idx="52">
                        <c:v>224.24</c:v>
                      </c:pt>
                      <c:pt idx="53">
                        <c:v>221.64</c:v>
                      </c:pt>
                      <c:pt idx="54">
                        <c:v>221.13</c:v>
                      </c:pt>
                      <c:pt idx="55">
                        <c:v>221.66</c:v>
                      </c:pt>
                      <c:pt idx="56">
                        <c:v>221.05</c:v>
                      </c:pt>
                      <c:pt idx="57">
                        <c:v>219.77</c:v>
                      </c:pt>
                      <c:pt idx="58">
                        <c:v>221.22</c:v>
                      </c:pt>
                      <c:pt idx="59">
                        <c:v>222.72</c:v>
                      </c:pt>
                      <c:pt idx="60">
                        <c:v>223.24</c:v>
                      </c:pt>
                      <c:pt idx="61">
                        <c:v>223.63</c:v>
                      </c:pt>
                      <c:pt idx="62">
                        <c:v>221.95</c:v>
                      </c:pt>
                      <c:pt idx="63">
                        <c:v>222.56</c:v>
                      </c:pt>
                      <c:pt idx="64">
                        <c:v>222.55</c:v>
                      </c:pt>
                      <c:pt idx="65">
                        <c:v>222.44</c:v>
                      </c:pt>
                      <c:pt idx="66">
                        <c:v>222.64</c:v>
                      </c:pt>
                      <c:pt idx="67">
                        <c:v>222.73</c:v>
                      </c:pt>
                      <c:pt idx="68">
                        <c:v>221.41</c:v>
                      </c:pt>
                      <c:pt idx="69">
                        <c:v>221.82</c:v>
                      </c:pt>
                      <c:pt idx="70">
                        <c:v>220.62</c:v>
                      </c:pt>
                      <c:pt idx="71">
                        <c:v>220.97</c:v>
                      </c:pt>
                      <c:pt idx="72">
                        <c:v>221.16</c:v>
                      </c:pt>
                      <c:pt idx="73">
                        <c:v>221.26</c:v>
                      </c:pt>
                      <c:pt idx="74">
                        <c:v>221.83</c:v>
                      </c:pt>
                      <c:pt idx="75">
                        <c:v>222.16</c:v>
                      </c:pt>
                      <c:pt idx="76">
                        <c:v>222.57</c:v>
                      </c:pt>
                      <c:pt idx="77">
                        <c:v>225.65</c:v>
                      </c:pt>
                      <c:pt idx="78">
                        <c:v>226.16</c:v>
                      </c:pt>
                      <c:pt idx="79">
                        <c:v>225.81</c:v>
                      </c:pt>
                      <c:pt idx="80">
                        <c:v>225.76</c:v>
                      </c:pt>
                      <c:pt idx="81">
                        <c:v>226.02</c:v>
                      </c:pt>
                      <c:pt idx="82">
                        <c:v>226.12</c:v>
                      </c:pt>
                      <c:pt idx="83">
                        <c:v>225.55</c:v>
                      </c:pt>
                      <c:pt idx="84">
                        <c:v>225.62</c:v>
                      </c:pt>
                      <c:pt idx="85">
                        <c:v>226.48</c:v>
                      </c:pt>
                      <c:pt idx="86">
                        <c:v>226.94</c:v>
                      </c:pt>
                      <c:pt idx="87">
                        <c:v>226.82</c:v>
                      </c:pt>
                      <c:pt idx="88">
                        <c:v>226.92</c:v>
                      </c:pt>
                      <c:pt idx="89">
                        <c:v>225.95</c:v>
                      </c:pt>
                      <c:pt idx="90">
                        <c:v>226.47</c:v>
                      </c:pt>
                      <c:pt idx="91">
                        <c:v>227.21</c:v>
                      </c:pt>
                      <c:pt idx="92">
                        <c:v>227.38</c:v>
                      </c:pt>
                      <c:pt idx="93">
                        <c:v>223.7</c:v>
                      </c:pt>
                      <c:pt idx="94">
                        <c:v>223.39</c:v>
                      </c:pt>
                      <c:pt idx="95">
                        <c:v>225.14</c:v>
                      </c:pt>
                      <c:pt idx="96">
                        <c:v>226.61</c:v>
                      </c:pt>
                      <c:pt idx="97">
                        <c:v>227.26</c:v>
                      </c:pt>
                      <c:pt idx="98">
                        <c:v>227.66</c:v>
                      </c:pt>
                      <c:pt idx="99">
                        <c:v>228.64</c:v>
                      </c:pt>
                      <c:pt idx="100">
                        <c:v>229.1</c:v>
                      </c:pt>
                      <c:pt idx="101">
                        <c:v>228.83</c:v>
                      </c:pt>
                      <c:pt idx="102">
                        <c:v>228.34</c:v>
                      </c:pt>
                      <c:pt idx="103">
                        <c:v>229.28</c:v>
                      </c:pt>
                      <c:pt idx="104">
                        <c:v>230.65</c:v>
                      </c:pt>
                      <c:pt idx="105">
                        <c:v>231.3</c:v>
                      </c:pt>
                      <c:pt idx="106">
                        <c:v>230.69</c:v>
                      </c:pt>
                      <c:pt idx="107">
                        <c:v>230.41</c:v>
                      </c:pt>
                      <c:pt idx="108">
                        <c:v>230.74</c:v>
                      </c:pt>
                      <c:pt idx="109">
                        <c:v>229.58</c:v>
                      </c:pt>
                      <c:pt idx="110">
                        <c:v>229.99</c:v>
                      </c:pt>
                      <c:pt idx="111">
                        <c:v>231.13</c:v>
                      </c:pt>
                      <c:pt idx="112">
                        <c:v>230.85</c:v>
                      </c:pt>
                      <c:pt idx="113">
                        <c:v>229.97</c:v>
                      </c:pt>
                      <c:pt idx="114">
                        <c:v>230.4</c:v>
                      </c:pt>
                      <c:pt idx="115">
                        <c:v>232.16</c:v>
                      </c:pt>
                      <c:pt idx="116">
                        <c:v>231.69</c:v>
                      </c:pt>
                      <c:pt idx="117">
                        <c:v>231.14</c:v>
                      </c:pt>
                      <c:pt idx="118">
                        <c:v>231.36</c:v>
                      </c:pt>
                      <c:pt idx="119">
                        <c:v>231.19</c:v>
                      </c:pt>
                      <c:pt idx="120">
                        <c:v>231.74</c:v>
                      </c:pt>
                      <c:pt idx="121">
                        <c:v>230.09</c:v>
                      </c:pt>
                      <c:pt idx="122">
                        <c:v>230.97</c:v>
                      </c:pt>
                      <c:pt idx="123">
                        <c:v>228.8</c:v>
                      </c:pt>
                      <c:pt idx="124">
                        <c:v>230.34</c:v>
                      </c:pt>
                      <c:pt idx="125">
                        <c:v>230.95</c:v>
                      </c:pt>
                      <c:pt idx="126">
                        <c:v>230.46</c:v>
                      </c:pt>
                      <c:pt idx="127">
                        <c:v>229.16</c:v>
                      </c:pt>
                      <c:pt idx="128">
                        <c:v>229.38</c:v>
                      </c:pt>
                      <c:pt idx="129">
                        <c:v>230.52</c:v>
                      </c:pt>
                      <c:pt idx="130">
                        <c:v>229.65</c:v>
                      </c:pt>
                      <c:pt idx="131">
                        <c:v>231.99</c:v>
                      </c:pt>
                      <c:pt idx="132">
                        <c:v>232.42</c:v>
                      </c:pt>
                      <c:pt idx="133">
                        <c:v>232.95</c:v>
                      </c:pt>
                      <c:pt idx="134">
                        <c:v>233.92</c:v>
                      </c:pt>
                      <c:pt idx="135">
                        <c:v>233.29</c:v>
                      </c:pt>
                      <c:pt idx="136">
                        <c:v>234.57</c:v>
                      </c:pt>
                      <c:pt idx="137">
                        <c:v>235.01</c:v>
                      </c:pt>
                      <c:pt idx="138">
                        <c:v>234.73</c:v>
                      </c:pt>
                      <c:pt idx="139">
                        <c:v>234.83</c:v>
                      </c:pt>
                      <c:pt idx="140">
                        <c:v>235.67</c:v>
                      </c:pt>
                      <c:pt idx="141">
                        <c:v>235.64</c:v>
                      </c:pt>
                      <c:pt idx="142">
                        <c:v>234.26</c:v>
                      </c:pt>
                      <c:pt idx="143">
                        <c:v>234.68</c:v>
                      </c:pt>
                      <c:pt idx="144">
                        <c:v>235.07</c:v>
                      </c:pt>
                      <c:pt idx="145">
                        <c:v>235.24</c:v>
                      </c:pt>
                      <c:pt idx="146">
                        <c:v>234.91</c:v>
                      </c:pt>
                      <c:pt idx="147">
                        <c:v>235.17</c:v>
                      </c:pt>
                      <c:pt idx="148">
                        <c:v>235.49</c:v>
                      </c:pt>
                      <c:pt idx="149">
                        <c:v>235.87</c:v>
                      </c:pt>
                      <c:pt idx="150">
                        <c:v>235.35</c:v>
                      </c:pt>
                      <c:pt idx="151">
                        <c:v>234.62</c:v>
                      </c:pt>
                      <c:pt idx="152">
                        <c:v>232.37</c:v>
                      </c:pt>
                      <c:pt idx="153">
                        <c:v>232.41</c:v>
                      </c:pt>
                      <c:pt idx="154">
                        <c:v>234.13</c:v>
                      </c:pt>
                      <c:pt idx="155">
                        <c:v>234.71</c:v>
                      </c:pt>
                      <c:pt idx="156">
                        <c:v>234.99</c:v>
                      </c:pt>
                      <c:pt idx="157">
                        <c:v>231.79</c:v>
                      </c:pt>
                      <c:pt idx="158">
                        <c:v>230.94</c:v>
                      </c:pt>
                      <c:pt idx="159">
                        <c:v>230.58</c:v>
                      </c:pt>
                      <c:pt idx="160">
                        <c:v>232.22</c:v>
                      </c:pt>
                      <c:pt idx="161">
                        <c:v>232.81</c:v>
                      </c:pt>
                      <c:pt idx="162">
                        <c:v>232.41</c:v>
                      </c:pt>
                      <c:pt idx="163">
                        <c:v>233.02</c:v>
                      </c:pt>
                      <c:pt idx="164">
                        <c:v>232.74</c:v>
                      </c:pt>
                      <c:pt idx="165">
                        <c:v>231.63</c:v>
                      </c:pt>
                      <c:pt idx="166">
                        <c:v>233.24</c:v>
                      </c:pt>
                      <c:pt idx="167">
                        <c:v>234.61</c:v>
                      </c:pt>
                      <c:pt idx="168">
                        <c:v>236.15</c:v>
                      </c:pt>
                      <c:pt idx="169">
                        <c:v>233.56</c:v>
                      </c:pt>
                      <c:pt idx="170">
                        <c:v>234.78</c:v>
                      </c:pt>
                      <c:pt idx="171">
                        <c:v>234.94</c:v>
                      </c:pt>
                      <c:pt idx="172">
                        <c:v>234.85</c:v>
                      </c:pt>
                      <c:pt idx="173">
                        <c:v>236.49</c:v>
                      </c:pt>
                      <c:pt idx="174">
                        <c:v>237.82</c:v>
                      </c:pt>
                      <c:pt idx="175">
                        <c:v>237.98</c:v>
                      </c:pt>
                      <c:pt idx="176">
                        <c:v>237.99</c:v>
                      </c:pt>
                      <c:pt idx="177">
                        <c:v>238.19</c:v>
                      </c:pt>
                      <c:pt idx="178">
                        <c:v>238.87</c:v>
                      </c:pt>
                      <c:pt idx="179">
                        <c:v>239.17</c:v>
                      </c:pt>
                      <c:pt idx="180">
                        <c:v>238.52</c:v>
                      </c:pt>
                      <c:pt idx="181">
                        <c:v>238.78</c:v>
                      </c:pt>
                      <c:pt idx="182">
                        <c:v>238.62</c:v>
                      </c:pt>
                      <c:pt idx="183">
                        <c:v>237.72</c:v>
                      </c:pt>
                      <c:pt idx="184">
                        <c:v>238.41</c:v>
                      </c:pt>
                      <c:pt idx="185">
                        <c:v>238.47</c:v>
                      </c:pt>
                      <c:pt idx="186">
                        <c:v>239.2</c:v>
                      </c:pt>
                      <c:pt idx="187">
                        <c:v>239.68</c:v>
                      </c:pt>
                      <c:pt idx="188">
                        <c:v>240.8</c:v>
                      </c:pt>
                      <c:pt idx="189">
                        <c:v>241.69</c:v>
                      </c:pt>
                      <c:pt idx="190">
                        <c:v>242.01</c:v>
                      </c:pt>
                      <c:pt idx="191">
                        <c:v>242.62</c:v>
                      </c:pt>
                      <c:pt idx="192">
                        <c:v>243.25</c:v>
                      </c:pt>
                      <c:pt idx="193">
                        <c:v>243.05</c:v>
                      </c:pt>
                      <c:pt idx="194">
                        <c:v>243.37</c:v>
                      </c:pt>
                      <c:pt idx="195">
                        <c:v>243.7</c:v>
                      </c:pt>
                      <c:pt idx="196">
                        <c:v>243.74</c:v>
                      </c:pt>
                      <c:pt idx="197">
                        <c:v>244</c:v>
                      </c:pt>
                      <c:pt idx="198">
                        <c:v>244.18</c:v>
                      </c:pt>
                      <c:pt idx="199">
                        <c:v>244.33</c:v>
                      </c:pt>
                      <c:pt idx="200">
                        <c:v>244.83</c:v>
                      </c:pt>
                      <c:pt idx="201">
                        <c:v>243.72</c:v>
                      </c:pt>
                      <c:pt idx="202">
                        <c:v>245.09</c:v>
                      </c:pt>
                      <c:pt idx="203">
                        <c:v>245.33</c:v>
                      </c:pt>
                      <c:pt idx="204">
                        <c:v>245.45</c:v>
                      </c:pt>
                      <c:pt idx="205">
                        <c:v>243.39</c:v>
                      </c:pt>
                      <c:pt idx="206">
                        <c:v>244.81</c:v>
                      </c:pt>
                      <c:pt idx="207">
                        <c:v>244.95</c:v>
                      </c:pt>
                      <c:pt idx="208">
                        <c:v>245.7</c:v>
                      </c:pt>
                      <c:pt idx="209">
                        <c:v>246.08</c:v>
                      </c:pt>
                      <c:pt idx="210">
                        <c:v>246.33</c:v>
                      </c:pt>
                      <c:pt idx="211">
                        <c:v>245.49</c:v>
                      </c:pt>
                      <c:pt idx="212">
                        <c:v>246.55</c:v>
                      </c:pt>
                      <c:pt idx="213">
                        <c:v>247.43</c:v>
                      </c:pt>
                      <c:pt idx="214">
                        <c:v>247.31</c:v>
                      </c:pt>
                      <c:pt idx="215">
                        <c:v>247.37</c:v>
                      </c:pt>
                      <c:pt idx="216">
                        <c:v>245.65</c:v>
                      </c:pt>
                      <c:pt idx="217">
                        <c:v>246.62</c:v>
                      </c:pt>
                      <c:pt idx="218">
                        <c:v>246.52</c:v>
                      </c:pt>
                      <c:pt idx="219">
                        <c:v>245.8</c:v>
                      </c:pt>
                      <c:pt idx="220">
                        <c:v>244.95</c:v>
                      </c:pt>
                      <c:pt idx="221">
                        <c:v>246.72</c:v>
                      </c:pt>
                      <c:pt idx="222">
                        <c:v>247</c:v>
                      </c:pt>
                      <c:pt idx="223">
                        <c:v>247.09</c:v>
                      </c:pt>
                      <c:pt idx="224">
                        <c:v>247.47</c:v>
                      </c:pt>
                      <c:pt idx="225">
                        <c:v>248.73</c:v>
                      </c:pt>
                      <c:pt idx="226">
                        <c:v>249.29</c:v>
                      </c:pt>
                      <c:pt idx="227">
                        <c:v>249.14</c:v>
                      </c:pt>
                      <c:pt idx="228">
                        <c:v>249.77</c:v>
                      </c:pt>
                      <c:pt idx="229">
                        <c:v>251.25</c:v>
                      </c:pt>
                      <c:pt idx="230">
                        <c:v>252.66</c:v>
                      </c:pt>
                      <c:pt idx="231">
                        <c:v>249.87</c:v>
                      </c:pt>
                      <c:pt idx="232">
                        <c:v>253.05</c:v>
                      </c:pt>
                      <c:pt idx="233">
                        <c:v>252.05</c:v>
                      </c:pt>
                      <c:pt idx="234">
                        <c:v>251.74</c:v>
                      </c:pt>
                      <c:pt idx="235">
                        <c:v>251.96</c:v>
                      </c:pt>
                      <c:pt idx="236">
                        <c:v>253</c:v>
                      </c:pt>
                      <c:pt idx="237">
                        <c:v>254.39</c:v>
                      </c:pt>
                      <c:pt idx="238">
                        <c:v>255.22</c:v>
                      </c:pt>
                      <c:pt idx="239">
                        <c:v>255.51</c:v>
                      </c:pt>
                      <c:pt idx="240">
                        <c:v>254.51</c:v>
                      </c:pt>
                      <c:pt idx="241">
                        <c:v>255.6</c:v>
                      </c:pt>
                      <c:pt idx="242">
                        <c:v>258.10000000000002</c:v>
                      </c:pt>
                      <c:pt idx="243">
                        <c:v>257.24</c:v>
                      </c:pt>
                      <c:pt idx="244">
                        <c:v>256.86</c:v>
                      </c:pt>
                      <c:pt idx="245">
                        <c:v>257.44</c:v>
                      </c:pt>
                      <c:pt idx="246">
                        <c:v>257.06</c:v>
                      </c:pt>
                      <c:pt idx="247">
                        <c:v>257.04000000000002</c:v>
                      </c:pt>
                      <c:pt idx="248">
                        <c:v>257.16000000000003</c:v>
                      </c:pt>
                      <c:pt idx="249">
                        <c:v>257.58999999999997</c:v>
                      </c:pt>
                      <c:pt idx="250">
                        <c:v>256.81</c:v>
                      </c:pt>
                      <c:pt idx="251">
                        <c:v>257.54000000000002</c:v>
                      </c:pt>
                      <c:pt idx="252">
                        <c:v>259.04000000000002</c:v>
                      </c:pt>
                      <c:pt idx="253">
                        <c:v>260.57</c:v>
                      </c:pt>
                      <c:pt idx="254">
                        <c:v>261.92</c:v>
                      </c:pt>
                      <c:pt idx="255">
                        <c:v>262.91000000000003</c:v>
                      </c:pt>
                      <c:pt idx="256">
                        <c:v>263.97000000000003</c:v>
                      </c:pt>
                      <c:pt idx="257">
                        <c:v>262.86</c:v>
                      </c:pt>
                      <c:pt idx="258">
                        <c:v>264.44</c:v>
                      </c:pt>
                      <c:pt idx="259">
                        <c:v>265.89999999999998</c:v>
                      </c:pt>
                      <c:pt idx="260">
                        <c:v>266</c:v>
                      </c:pt>
                      <c:pt idx="261">
                        <c:v>266.76</c:v>
                      </c:pt>
                      <c:pt idx="262">
                        <c:v>268.31</c:v>
                      </c:pt>
                      <c:pt idx="263">
                        <c:v>268.85000000000002</c:v>
                      </c:pt>
                      <c:pt idx="264">
                        <c:v>269.77999999999997</c:v>
                      </c:pt>
                      <c:pt idx="265">
                        <c:v>271.95999999999998</c:v>
                      </c:pt>
                      <c:pt idx="266">
                        <c:v>271.45</c:v>
                      </c:pt>
                      <c:pt idx="267">
                        <c:v>271.99</c:v>
                      </c:pt>
                      <c:pt idx="268">
                        <c:v>273.49</c:v>
                      </c:pt>
                      <c:pt idx="269">
                        <c:v>274.01</c:v>
                      </c:pt>
                      <c:pt idx="270">
                        <c:v>270.85000000000002</c:v>
                      </c:pt>
                      <c:pt idx="271">
                        <c:v>270.33</c:v>
                      </c:pt>
                      <c:pt idx="272">
                        <c:v>270.33</c:v>
                      </c:pt>
                      <c:pt idx="273">
                        <c:v>265.25</c:v>
                      </c:pt>
                      <c:pt idx="274">
                        <c:v>253.6</c:v>
                      </c:pt>
                      <c:pt idx="275">
                        <c:v>249.16</c:v>
                      </c:pt>
                      <c:pt idx="276">
                        <c:v>257.70999999999998</c:v>
                      </c:pt>
                      <c:pt idx="277">
                        <c:v>248.09</c:v>
                      </c:pt>
                      <c:pt idx="278">
                        <c:v>243.59</c:v>
                      </c:pt>
                      <c:pt idx="279">
                        <c:v>252.02</c:v>
                      </c:pt>
                      <c:pt idx="280">
                        <c:v>253.6</c:v>
                      </c:pt>
                      <c:pt idx="281">
                        <c:v>254.55</c:v>
                      </c:pt>
                      <c:pt idx="282">
                        <c:v>258.86</c:v>
                      </c:pt>
                      <c:pt idx="283">
                        <c:v>262.23</c:v>
                      </c:pt>
                      <c:pt idx="284">
                        <c:v>260.52999999999997</c:v>
                      </c:pt>
                      <c:pt idx="285">
                        <c:v>259.99</c:v>
                      </c:pt>
                      <c:pt idx="286">
                        <c:v>259.7</c:v>
                      </c:pt>
                      <c:pt idx="287">
                        <c:v>261.25</c:v>
                      </c:pt>
                      <c:pt idx="288">
                        <c:v>265.11</c:v>
                      </c:pt>
                      <c:pt idx="289">
                        <c:v>264.24</c:v>
                      </c:pt>
                      <c:pt idx="290">
                        <c:v>261.29000000000002</c:v>
                      </c:pt>
                      <c:pt idx="291">
                        <c:v>256.19</c:v>
                      </c:pt>
                      <c:pt idx="292">
                        <c:v>255.05</c:v>
                      </c:pt>
                      <c:pt idx="293">
                        <c:v>257.74</c:v>
                      </c:pt>
                      <c:pt idx="294">
                        <c:v>261.18</c:v>
                      </c:pt>
                      <c:pt idx="295">
                        <c:v>260.24</c:v>
                      </c:pt>
                      <c:pt idx="296">
                        <c:v>262.37</c:v>
                      </c:pt>
                      <c:pt idx="297">
                        <c:v>265.19</c:v>
                      </c:pt>
                      <c:pt idx="298">
                        <c:v>267.83</c:v>
                      </c:pt>
                      <c:pt idx="299">
                        <c:v>265.85000000000002</c:v>
                      </c:pt>
                      <c:pt idx="300">
                        <c:v>264.54000000000002</c:v>
                      </c:pt>
                      <c:pt idx="301">
                        <c:v>264.31</c:v>
                      </c:pt>
                      <c:pt idx="302">
                        <c:v>265.08999999999997</c:v>
                      </c:pt>
                      <c:pt idx="303">
                        <c:v>259.75</c:v>
                      </c:pt>
                      <c:pt idx="304">
                        <c:v>261.26</c:v>
                      </c:pt>
                      <c:pt idx="305">
                        <c:v>261.27</c:v>
                      </c:pt>
                      <c:pt idx="306">
                        <c:v>254.66</c:v>
                      </c:pt>
                      <c:pt idx="307">
                        <c:v>249.32</c:v>
                      </c:pt>
                      <c:pt idx="308">
                        <c:v>250.84</c:v>
                      </c:pt>
                      <c:pt idx="309">
                        <c:v>250.29</c:v>
                      </c:pt>
                      <c:pt idx="310">
                        <c:v>250.04</c:v>
                      </c:pt>
                      <c:pt idx="311">
                        <c:v>251.26</c:v>
                      </c:pt>
                      <c:pt idx="312">
                        <c:v>246.26</c:v>
                      </c:pt>
                      <c:pt idx="313">
                        <c:v>248.36</c:v>
                      </c:pt>
                      <c:pt idx="314">
                        <c:v>248.13</c:v>
                      </c:pt>
                      <c:pt idx="315">
                        <c:v>255.59</c:v>
                      </c:pt>
                      <c:pt idx="316">
                        <c:v>249.48</c:v>
                      </c:pt>
                      <c:pt idx="317">
                        <c:v>251.35</c:v>
                      </c:pt>
                      <c:pt idx="318">
                        <c:v>254.3</c:v>
                      </c:pt>
                      <c:pt idx="319">
                        <c:v>254.69</c:v>
                      </c:pt>
                      <c:pt idx="320">
                        <c:v>256.31</c:v>
                      </c:pt>
                      <c:pt idx="321">
                        <c:v>255.29</c:v>
                      </c:pt>
                      <c:pt idx="322">
                        <c:v>257.29000000000002</c:v>
                      </c:pt>
                      <c:pt idx="323">
                        <c:v>259.88</c:v>
                      </c:pt>
                      <c:pt idx="324">
                        <c:v>260.95999999999998</c:v>
                      </c:pt>
                      <c:pt idx="325">
                        <c:v>258.88</c:v>
                      </c:pt>
                      <c:pt idx="326">
                        <c:v>256.83999999999997</c:v>
                      </c:pt>
                      <c:pt idx="327">
                        <c:v>256.58999999999997</c:v>
                      </c:pt>
                      <c:pt idx="328">
                        <c:v>252.65</c:v>
                      </c:pt>
                      <c:pt idx="329">
                        <c:v>252.24</c:v>
                      </c:pt>
                      <c:pt idx="330">
                        <c:v>255.56</c:v>
                      </c:pt>
                      <c:pt idx="331">
                        <c:v>256.73</c:v>
                      </c:pt>
                      <c:pt idx="332">
                        <c:v>255.7</c:v>
                      </c:pt>
                      <c:pt idx="333">
                        <c:v>253.46</c:v>
                      </c:pt>
                      <c:pt idx="334">
                        <c:v>254.08</c:v>
                      </c:pt>
                      <c:pt idx="335">
                        <c:v>250.5</c:v>
                      </c:pt>
                      <c:pt idx="336">
                        <c:v>252.53</c:v>
                      </c:pt>
                      <c:pt idx="337">
                        <c:v>257.32</c:v>
                      </c:pt>
                      <c:pt idx="338">
                        <c:v>256.39999999999998</c:v>
                      </c:pt>
                      <c:pt idx="339">
                        <c:v>258.27</c:v>
                      </c:pt>
                      <c:pt idx="340">
                        <c:v>261.3</c:v>
                      </c:pt>
                      <c:pt idx="341">
                        <c:v>262.61</c:v>
                      </c:pt>
                      <c:pt idx="342">
                        <c:v>263.37</c:v>
                      </c:pt>
                      <c:pt idx="343">
                        <c:v>261.11</c:v>
                      </c:pt>
                      <c:pt idx="344">
                        <c:v>262.16000000000003</c:v>
                      </c:pt>
                      <c:pt idx="345">
                        <c:v>262.18</c:v>
                      </c:pt>
                      <c:pt idx="346">
                        <c:v>261.98</c:v>
                      </c:pt>
                      <c:pt idx="347">
                        <c:v>262.39</c:v>
                      </c:pt>
                      <c:pt idx="348">
                        <c:v>263.25</c:v>
                      </c:pt>
                      <c:pt idx="349">
                        <c:v>262.04000000000002</c:v>
                      </c:pt>
                      <c:pt idx="350">
                        <c:v>261.83999999999997</c:v>
                      </c:pt>
                      <c:pt idx="351">
                        <c:v>262.61</c:v>
                      </c:pt>
                      <c:pt idx="352">
                        <c:v>258.92</c:v>
                      </c:pt>
                      <c:pt idx="353">
                        <c:v>261.49</c:v>
                      </c:pt>
                      <c:pt idx="354">
                        <c:v>261.33</c:v>
                      </c:pt>
                      <c:pt idx="355">
                        <c:v>263.33999999999997</c:v>
                      </c:pt>
                      <c:pt idx="356">
                        <c:v>265.2</c:v>
                      </c:pt>
                      <c:pt idx="357">
                        <c:v>265.13</c:v>
                      </c:pt>
                      <c:pt idx="358">
                        <c:v>266.01</c:v>
                      </c:pt>
                      <c:pt idx="359">
                        <c:v>267.22000000000003</c:v>
                      </c:pt>
                      <c:pt idx="360">
                        <c:v>267.52999999999997</c:v>
                      </c:pt>
                      <c:pt idx="361">
                        <c:v>269.12</c:v>
                      </c:pt>
                      <c:pt idx="362">
                        <c:v>269</c:v>
                      </c:pt>
                      <c:pt idx="363">
                        <c:v>268.63</c:v>
                      </c:pt>
                      <c:pt idx="364">
                        <c:v>268.88</c:v>
                      </c:pt>
                      <c:pt idx="365">
                        <c:v>267.45</c:v>
                      </c:pt>
                      <c:pt idx="366">
                        <c:v>267.07</c:v>
                      </c:pt>
                      <c:pt idx="367">
                        <c:v>265.69</c:v>
                      </c:pt>
                      <c:pt idx="368">
                        <c:v>267.69</c:v>
                      </c:pt>
                      <c:pt idx="369">
                        <c:v>265.83</c:v>
                      </c:pt>
                      <c:pt idx="370">
                        <c:v>266.62</c:v>
                      </c:pt>
                      <c:pt idx="371">
                        <c:v>261.38</c:v>
                      </c:pt>
                      <c:pt idx="372">
                        <c:v>263.02</c:v>
                      </c:pt>
                      <c:pt idx="373">
                        <c:v>261.45999999999998</c:v>
                      </c:pt>
                      <c:pt idx="374">
                        <c:v>260.79000000000002</c:v>
                      </c:pt>
                      <c:pt idx="375">
                        <c:v>263.37</c:v>
                      </c:pt>
                      <c:pt idx="376">
                        <c:v>261.52</c:v>
                      </c:pt>
                      <c:pt idx="377">
                        <c:v>262.67</c:v>
                      </c:pt>
                      <c:pt idx="378">
                        <c:v>263.19</c:v>
                      </c:pt>
                      <c:pt idx="379">
                        <c:v>264.89</c:v>
                      </c:pt>
                      <c:pt idx="380">
                        <c:v>268.57</c:v>
                      </c:pt>
                      <c:pt idx="381">
                        <c:v>270.11</c:v>
                      </c:pt>
                      <c:pt idx="382">
                        <c:v>268.58999999999997</c:v>
                      </c:pt>
                      <c:pt idx="383">
                        <c:v>269.64</c:v>
                      </c:pt>
                      <c:pt idx="384">
                        <c:v>270.67</c:v>
                      </c:pt>
                      <c:pt idx="385">
                        <c:v>270.83999999999997</c:v>
                      </c:pt>
                      <c:pt idx="386">
                        <c:v>270.43</c:v>
                      </c:pt>
                      <c:pt idx="387">
                        <c:v>272.02999999999997</c:v>
                      </c:pt>
                      <c:pt idx="388">
                        <c:v>271.45</c:v>
                      </c:pt>
                      <c:pt idx="389">
                        <c:v>271.48</c:v>
                      </c:pt>
                      <c:pt idx="390">
                        <c:v>271.06</c:v>
                      </c:pt>
                      <c:pt idx="391">
                        <c:v>272.58</c:v>
                      </c:pt>
                      <c:pt idx="392">
                        <c:v>273.20999999999998</c:v>
                      </c:pt>
                      <c:pt idx="393">
                        <c:v>274.97000000000003</c:v>
                      </c:pt>
                      <c:pt idx="394">
                        <c:v>272.33999999999997</c:v>
                      </c:pt>
                      <c:pt idx="395">
                        <c:v>271.35000000000002</c:v>
                      </c:pt>
                      <c:pt idx="396">
                        <c:v>272.33999999999997</c:v>
                      </c:pt>
                      <c:pt idx="397">
                        <c:v>272.10000000000002</c:v>
                      </c:pt>
                      <c:pt idx="398">
                        <c:v>271.14999999999998</c:v>
                      </c:pt>
                      <c:pt idx="399">
                        <c:v>274.23</c:v>
                      </c:pt>
                      <c:pt idx="400">
                        <c:v>275.08</c:v>
                      </c:pt>
                      <c:pt idx="401">
                        <c:v>277.06</c:v>
                      </c:pt>
                      <c:pt idx="402">
                        <c:v>276.77</c:v>
                      </c:pt>
                      <c:pt idx="403">
                        <c:v>276.74</c:v>
                      </c:pt>
                      <c:pt idx="404">
                        <c:v>274.26</c:v>
                      </c:pt>
                      <c:pt idx="405">
                        <c:v>273.69</c:v>
                      </c:pt>
                      <c:pt idx="406">
                        <c:v>274.38</c:v>
                      </c:pt>
                      <c:pt idx="407">
                        <c:v>272.13</c:v>
                      </c:pt>
                      <c:pt idx="408">
                        <c:v>275.23</c:v>
                      </c:pt>
                      <c:pt idx="409">
                        <c:v>275.24</c:v>
                      </c:pt>
                      <c:pt idx="410">
                        <c:v>276.89</c:v>
                      </c:pt>
                      <c:pt idx="411">
                        <c:v>277.52</c:v>
                      </c:pt>
                      <c:pt idx="412">
                        <c:v>277.39</c:v>
                      </c:pt>
                      <c:pt idx="413">
                        <c:v>277.24</c:v>
                      </c:pt>
                      <c:pt idx="414">
                        <c:v>278.17</c:v>
                      </c:pt>
                      <c:pt idx="415">
                        <c:v>280.39999999999998</c:v>
                      </c:pt>
                      <c:pt idx="416">
                        <c:v>281.10000000000002</c:v>
                      </c:pt>
                      <c:pt idx="417">
                        <c:v>281.57</c:v>
                      </c:pt>
                      <c:pt idx="418">
                        <c:v>281.32</c:v>
                      </c:pt>
                      <c:pt idx="419">
                        <c:v>280.99</c:v>
                      </c:pt>
                      <c:pt idx="420">
                        <c:v>280.39999999999998</c:v>
                      </c:pt>
                      <c:pt idx="421">
                        <c:v>279.63</c:v>
                      </c:pt>
                      <c:pt idx="422">
                        <c:v>278.77</c:v>
                      </c:pt>
                      <c:pt idx="423">
                        <c:v>278.49</c:v>
                      </c:pt>
                      <c:pt idx="424">
                        <c:v>279.62</c:v>
                      </c:pt>
                      <c:pt idx="425">
                        <c:v>278.75</c:v>
                      </c:pt>
                      <c:pt idx="426">
                        <c:v>279.95999999999998</c:v>
                      </c:pt>
                      <c:pt idx="427">
                        <c:v>281.68</c:v>
                      </c:pt>
                      <c:pt idx="428">
                        <c:v>281.68</c:v>
                      </c:pt>
                      <c:pt idx="429">
                        <c:v>280.74</c:v>
                      </c:pt>
                      <c:pt idx="430">
                        <c:v>281.25</c:v>
                      </c:pt>
                      <c:pt idx="431">
                        <c:v>282.48</c:v>
                      </c:pt>
                      <c:pt idx="432">
                        <c:v>282.88</c:v>
                      </c:pt>
                      <c:pt idx="433">
                        <c:v>284.72000000000003</c:v>
                      </c:pt>
                      <c:pt idx="434">
                        <c:v>283.32</c:v>
                      </c:pt>
                      <c:pt idx="435">
                        <c:v>283.43</c:v>
                      </c:pt>
                      <c:pt idx="436">
                        <c:v>282.38</c:v>
                      </c:pt>
                      <c:pt idx="437">
                        <c:v>283.06</c:v>
                      </c:pt>
                      <c:pt idx="438">
                        <c:v>282.91000000000003</c:v>
                      </c:pt>
                      <c:pt idx="439">
                        <c:v>283.91000000000003</c:v>
                      </c:pt>
                      <c:pt idx="440">
                        <c:v>284.07</c:v>
                      </c:pt>
                      <c:pt idx="441">
                        <c:v>284.25</c:v>
                      </c:pt>
                      <c:pt idx="442">
                        <c:v>280.68</c:v>
                      </c:pt>
                      <c:pt idx="443">
                        <c:v>279.27</c:v>
                      </c:pt>
                      <c:pt idx="444">
                        <c:v>278.57</c:v>
                      </c:pt>
                      <c:pt idx="445">
                        <c:v>279.81</c:v>
                      </c:pt>
                      <c:pt idx="446">
                        <c:v>271.13</c:v>
                      </c:pt>
                      <c:pt idx="447">
                        <c:v>263.8</c:v>
                      </c:pt>
                      <c:pt idx="448">
                        <c:v>265.76</c:v>
                      </c:pt>
                      <c:pt idx="449">
                        <c:v>267.64</c:v>
                      </c:pt>
                      <c:pt idx="450">
                        <c:v>269.37</c:v>
                      </c:pt>
                      <c:pt idx="451">
                        <c:v>270.82</c:v>
                      </c:pt>
                      <c:pt idx="452">
                        <c:v>268.29000000000002</c:v>
                      </c:pt>
                      <c:pt idx="453">
                        <c:v>268.77999999999997</c:v>
                      </c:pt>
                      <c:pt idx="454">
                        <c:v>267.75</c:v>
                      </c:pt>
                      <c:pt idx="455">
                        <c:v>262.08999999999997</c:v>
                      </c:pt>
                      <c:pt idx="456">
                        <c:v>258.27</c:v>
                      </c:pt>
                      <c:pt idx="457">
                        <c:v>259.77</c:v>
                      </c:pt>
                      <c:pt idx="458">
                        <c:v>255.92</c:v>
                      </c:pt>
                      <c:pt idx="459">
                        <c:v>253.54</c:v>
                      </c:pt>
                      <c:pt idx="460">
                        <c:v>256.73</c:v>
                      </c:pt>
                      <c:pt idx="461">
                        <c:v>263.56</c:v>
                      </c:pt>
                      <c:pt idx="462">
                        <c:v>263.81</c:v>
                      </c:pt>
                      <c:pt idx="463">
                        <c:v>263.04000000000002</c:v>
                      </c:pt>
                      <c:pt idx="464">
                        <c:v>264.76</c:v>
                      </c:pt>
                      <c:pt idx="465">
                        <c:v>266.62</c:v>
                      </c:pt>
                      <c:pt idx="466">
                        <c:v>270.35000000000002</c:v>
                      </c:pt>
                      <c:pt idx="467">
                        <c:v>272.44</c:v>
                      </c:pt>
                      <c:pt idx="468">
                        <c:v>269.47000000000003</c:v>
                      </c:pt>
                      <c:pt idx="469">
                        <c:v>265.39</c:v>
                      </c:pt>
                      <c:pt idx="470">
                        <c:v>264.66000000000003</c:v>
                      </c:pt>
                      <c:pt idx="471">
                        <c:v>261.93</c:v>
                      </c:pt>
                      <c:pt idx="472">
                        <c:v>260.52999999999997</c:v>
                      </c:pt>
                      <c:pt idx="473">
                        <c:v>264.62</c:v>
                      </c:pt>
                      <c:pt idx="474">
                        <c:v>261.56</c:v>
                      </c:pt>
                      <c:pt idx="475">
                        <c:v>256.76</c:v>
                      </c:pt>
                      <c:pt idx="476">
                        <c:v>258.58</c:v>
                      </c:pt>
                      <c:pt idx="477">
                        <c:v>256.68</c:v>
                      </c:pt>
                      <c:pt idx="478">
                        <c:v>258.89999999999998</c:v>
                      </c:pt>
                      <c:pt idx="479">
                        <c:v>259.20999999999998</c:v>
                      </c:pt>
                      <c:pt idx="480">
                        <c:v>261.81</c:v>
                      </c:pt>
                      <c:pt idx="481">
                        <c:v>265.82</c:v>
                      </c:pt>
                      <c:pt idx="482">
                        <c:v>266.81</c:v>
                      </c:pt>
                      <c:pt idx="483">
                        <c:v>270.77</c:v>
                      </c:pt>
                      <c:pt idx="484">
                        <c:v>263.35000000000002</c:v>
                      </c:pt>
                      <c:pt idx="485">
                        <c:v>256.07</c:v>
                      </c:pt>
                      <c:pt idx="486">
                        <c:v>256.25</c:v>
                      </c:pt>
                      <c:pt idx="487">
                        <c:v>252.34</c:v>
                      </c:pt>
                      <c:pt idx="488">
                        <c:v>256.11</c:v>
                      </c:pt>
                      <c:pt idx="489">
                        <c:v>258.93</c:v>
                      </c:pt>
                      <c:pt idx="490">
                        <c:v>257.70999999999998</c:v>
                      </c:pt>
                      <c:pt idx="491">
                        <c:v>253.54</c:v>
                      </c:pt>
                      <c:pt idx="492">
                        <c:v>247.37</c:v>
                      </c:pt>
                      <c:pt idx="493">
                        <c:v>247.13</c:v>
                      </c:pt>
                      <c:pt idx="494">
                        <c:v>243.3</c:v>
                      </c:pt>
                      <c:pt idx="495">
                        <c:v>238.71</c:v>
                      </c:pt>
                      <c:pt idx="496">
                        <c:v>235.52</c:v>
                      </c:pt>
                      <c:pt idx="497">
                        <c:v>229.92</c:v>
                      </c:pt>
                      <c:pt idx="498">
                        <c:v>229.42</c:v>
                      </c:pt>
                      <c:pt idx="499">
                        <c:v>234.52</c:v>
                      </c:pt>
                      <c:pt idx="500">
                        <c:v>241.87</c:v>
                      </c:pt>
                      <c:pt idx="501">
                        <c:v>242.87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371-41F8-8F0A-A72EA0D674CD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290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NoEntry!$C$1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NoEntry!$A$2:$A$302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NoEntry!$C$2:$C$302</c:f>
              <c:numCache>
                <c:formatCode>_("$"* #,##0.00_);_("$"* \(#,##0.00\);_("$"* "-"??_);_(@_)</c:formatCode>
                <c:ptCount val="301"/>
                <c:pt idx="0">
                  <c:v>4256.01</c:v>
                </c:pt>
                <c:pt idx="1">
                  <c:v>4258.32</c:v>
                </c:pt>
                <c:pt idx="2">
                  <c:v>4251.1000000000004</c:v>
                </c:pt>
                <c:pt idx="3">
                  <c:v>4238.0200000000004</c:v>
                </c:pt>
                <c:pt idx="4">
                  <c:v>4239.1000000000004</c:v>
                </c:pt>
                <c:pt idx="5">
                  <c:v>4243.1099999999997</c:v>
                </c:pt>
                <c:pt idx="6">
                  <c:v>4241.79</c:v>
                </c:pt>
                <c:pt idx="7">
                  <c:v>4226.97</c:v>
                </c:pt>
                <c:pt idx="8">
                  <c:v>4233.3599999999997</c:v>
                </c:pt>
                <c:pt idx="9">
                  <c:v>4228.21</c:v>
                </c:pt>
                <c:pt idx="10">
                  <c:v>4224.53</c:v>
                </c:pt>
                <c:pt idx="11">
                  <c:v>4221.99</c:v>
                </c:pt>
                <c:pt idx="12">
                  <c:v>4206</c:v>
                </c:pt>
                <c:pt idx="13">
                  <c:v>4197.9799999999996</c:v>
                </c:pt>
                <c:pt idx="14">
                  <c:v>4168.01</c:v>
                </c:pt>
                <c:pt idx="15">
                  <c:v>4162.32</c:v>
                </c:pt>
                <c:pt idx="16">
                  <c:v>4149.55</c:v>
                </c:pt>
                <c:pt idx="17">
                  <c:v>4140</c:v>
                </c:pt>
                <c:pt idx="18">
                  <c:v>4135.62</c:v>
                </c:pt>
                <c:pt idx="19">
                  <c:v>4035.12</c:v>
                </c:pt>
                <c:pt idx="20">
                  <c:v>3945.96</c:v>
                </c:pt>
                <c:pt idx="21">
                  <c:v>4035</c:v>
                </c:pt>
                <c:pt idx="22">
                  <c:v>4013.36</c:v>
                </c:pt>
                <c:pt idx="23">
                  <c:v>4028</c:v>
                </c:pt>
                <c:pt idx="24">
                  <c:v>4045.53</c:v>
                </c:pt>
                <c:pt idx="25">
                  <c:v>4051.12</c:v>
                </c:pt>
                <c:pt idx="26">
                  <c:v>4057.13</c:v>
                </c:pt>
                <c:pt idx="27">
                  <c:v>4034.67</c:v>
                </c:pt>
                <c:pt idx="28">
                  <c:v>4022.5</c:v>
                </c:pt>
                <c:pt idx="29">
                  <c:v>4034.46</c:v>
                </c:pt>
                <c:pt idx="30">
                  <c:v>4043.03</c:v>
                </c:pt>
                <c:pt idx="31">
                  <c:v>4041.94</c:v>
                </c:pt>
                <c:pt idx="32">
                  <c:v>4020.01</c:v>
                </c:pt>
                <c:pt idx="33">
                  <c:v>4014</c:v>
                </c:pt>
                <c:pt idx="34">
                  <c:v>4012.11</c:v>
                </c:pt>
                <c:pt idx="35">
                  <c:v>3996</c:v>
                </c:pt>
                <c:pt idx="36">
                  <c:v>3990</c:v>
                </c:pt>
                <c:pt idx="37">
                  <c:v>3998.1</c:v>
                </c:pt>
                <c:pt idx="38">
                  <c:v>4017.07</c:v>
                </c:pt>
                <c:pt idx="39">
                  <c:v>4019</c:v>
                </c:pt>
                <c:pt idx="40">
                  <c:v>4022.24</c:v>
                </c:pt>
                <c:pt idx="41">
                  <c:v>4016.73</c:v>
                </c:pt>
                <c:pt idx="42">
                  <c:v>4018.43</c:v>
                </c:pt>
                <c:pt idx="43">
                  <c:v>4002.6</c:v>
                </c:pt>
                <c:pt idx="44">
                  <c:v>3999.28</c:v>
                </c:pt>
                <c:pt idx="45">
                  <c:v>4005.54</c:v>
                </c:pt>
                <c:pt idx="46">
                  <c:v>4002.22</c:v>
                </c:pt>
                <c:pt idx="47">
                  <c:v>3994.89</c:v>
                </c:pt>
                <c:pt idx="48">
                  <c:v>3988</c:v>
                </c:pt>
                <c:pt idx="49">
                  <c:v>4000</c:v>
                </c:pt>
                <c:pt idx="50">
                  <c:v>4004.55</c:v>
                </c:pt>
                <c:pt idx="51">
                  <c:v>4014.77</c:v>
                </c:pt>
                <c:pt idx="52">
                  <c:v>4014.34</c:v>
                </c:pt>
                <c:pt idx="53">
                  <c:v>4020.02</c:v>
                </c:pt>
                <c:pt idx="54">
                  <c:v>4020.67</c:v>
                </c:pt>
                <c:pt idx="55">
                  <c:v>4028.6</c:v>
                </c:pt>
                <c:pt idx="56">
                  <c:v>4032.62</c:v>
                </c:pt>
                <c:pt idx="57">
                  <c:v>4045.31</c:v>
                </c:pt>
                <c:pt idx="58">
                  <c:v>4036.28</c:v>
                </c:pt>
                <c:pt idx="59">
                  <c:v>4027.62</c:v>
                </c:pt>
                <c:pt idx="60">
                  <c:v>4019.34</c:v>
                </c:pt>
                <c:pt idx="61">
                  <c:v>4008.38</c:v>
                </c:pt>
                <c:pt idx="62">
                  <c:v>4004</c:v>
                </c:pt>
                <c:pt idx="63">
                  <c:v>4005.16</c:v>
                </c:pt>
                <c:pt idx="64">
                  <c:v>3998.02</c:v>
                </c:pt>
                <c:pt idx="65">
                  <c:v>3988.17</c:v>
                </c:pt>
                <c:pt idx="66">
                  <c:v>3994.2</c:v>
                </c:pt>
                <c:pt idx="67">
                  <c:v>3997</c:v>
                </c:pt>
                <c:pt idx="68">
                  <c:v>3996</c:v>
                </c:pt>
                <c:pt idx="69">
                  <c:v>3989.32</c:v>
                </c:pt>
                <c:pt idx="70">
                  <c:v>3997.71</c:v>
                </c:pt>
                <c:pt idx="71">
                  <c:v>4008.27</c:v>
                </c:pt>
                <c:pt idx="72">
                  <c:v>4014.72</c:v>
                </c:pt>
                <c:pt idx="73">
                  <c:v>4018.83</c:v>
                </c:pt>
                <c:pt idx="74">
                  <c:v>4022.39</c:v>
                </c:pt>
                <c:pt idx="75">
                  <c:v>4010</c:v>
                </c:pt>
                <c:pt idx="76">
                  <c:v>3998.4</c:v>
                </c:pt>
                <c:pt idx="77">
                  <c:v>4008.4</c:v>
                </c:pt>
                <c:pt idx="78">
                  <c:v>4012</c:v>
                </c:pt>
                <c:pt idx="79">
                  <c:v>4014.77</c:v>
                </c:pt>
                <c:pt idx="80">
                  <c:v>4018.87</c:v>
                </c:pt>
                <c:pt idx="81">
                  <c:v>4026</c:v>
                </c:pt>
                <c:pt idx="82">
                  <c:v>4016.99</c:v>
                </c:pt>
                <c:pt idx="83">
                  <c:v>4007.12</c:v>
                </c:pt>
                <c:pt idx="84">
                  <c:v>3994.96</c:v>
                </c:pt>
                <c:pt idx="85">
                  <c:v>3997</c:v>
                </c:pt>
                <c:pt idx="86">
                  <c:v>4014.91</c:v>
                </c:pt>
                <c:pt idx="87">
                  <c:v>4021</c:v>
                </c:pt>
                <c:pt idx="88">
                  <c:v>4003.55</c:v>
                </c:pt>
                <c:pt idx="89">
                  <c:v>4000</c:v>
                </c:pt>
                <c:pt idx="90">
                  <c:v>3994.62</c:v>
                </c:pt>
                <c:pt idx="91">
                  <c:v>3992</c:v>
                </c:pt>
                <c:pt idx="92">
                  <c:v>3993.06</c:v>
                </c:pt>
                <c:pt idx="93">
                  <c:v>3982.95</c:v>
                </c:pt>
                <c:pt idx="94">
                  <c:v>3978</c:v>
                </c:pt>
                <c:pt idx="95">
                  <c:v>4002.8</c:v>
                </c:pt>
                <c:pt idx="96">
                  <c:v>3987.13</c:v>
                </c:pt>
                <c:pt idx="97">
                  <c:v>4003</c:v>
                </c:pt>
                <c:pt idx="98">
                  <c:v>4022.4</c:v>
                </c:pt>
                <c:pt idx="99">
                  <c:v>4016.03</c:v>
                </c:pt>
                <c:pt idx="100">
                  <c:v>4039.52</c:v>
                </c:pt>
                <c:pt idx="101">
                  <c:v>4021.05</c:v>
                </c:pt>
                <c:pt idx="102">
                  <c:v>4012.21</c:v>
                </c:pt>
                <c:pt idx="103">
                  <c:v>4011.52</c:v>
                </c:pt>
                <c:pt idx="104">
                  <c:v>4024.99</c:v>
                </c:pt>
                <c:pt idx="105">
                  <c:v>4033.01</c:v>
                </c:pt>
                <c:pt idx="106">
                  <c:v>4022.86</c:v>
                </c:pt>
                <c:pt idx="107">
                  <c:v>4007.72</c:v>
                </c:pt>
                <c:pt idx="108">
                  <c:v>3995.37</c:v>
                </c:pt>
                <c:pt idx="109">
                  <c:v>4006.35</c:v>
                </c:pt>
                <c:pt idx="110">
                  <c:v>3996.41</c:v>
                </c:pt>
                <c:pt idx="111">
                  <c:v>3989.49</c:v>
                </c:pt>
                <c:pt idx="112">
                  <c:v>3990.8</c:v>
                </c:pt>
                <c:pt idx="113">
                  <c:v>3985.87</c:v>
                </c:pt>
                <c:pt idx="114">
                  <c:v>3993.9</c:v>
                </c:pt>
                <c:pt idx="115">
                  <c:v>3997.66</c:v>
                </c:pt>
                <c:pt idx="116">
                  <c:v>3987.13</c:v>
                </c:pt>
                <c:pt idx="117">
                  <c:v>3980.29</c:v>
                </c:pt>
                <c:pt idx="118">
                  <c:v>3982.58</c:v>
                </c:pt>
                <c:pt idx="119">
                  <c:v>3971.26</c:v>
                </c:pt>
                <c:pt idx="120">
                  <c:v>3954.24</c:v>
                </c:pt>
                <c:pt idx="121">
                  <c:v>3969.19</c:v>
                </c:pt>
                <c:pt idx="122">
                  <c:v>3975.05</c:v>
                </c:pt>
                <c:pt idx="123">
                  <c:v>3989</c:v>
                </c:pt>
                <c:pt idx="124">
                  <c:v>3980.28</c:v>
                </c:pt>
                <c:pt idx="125">
                  <c:v>3991.22</c:v>
                </c:pt>
                <c:pt idx="126">
                  <c:v>3977.15</c:v>
                </c:pt>
                <c:pt idx="127">
                  <c:v>3986.19</c:v>
                </c:pt>
                <c:pt idx="128">
                  <c:v>3996.49</c:v>
                </c:pt>
                <c:pt idx="129">
                  <c:v>3994.08</c:v>
                </c:pt>
                <c:pt idx="130">
                  <c:v>3995.41</c:v>
                </c:pt>
                <c:pt idx="131">
                  <c:v>3997</c:v>
                </c:pt>
                <c:pt idx="132">
                  <c:v>3995.42</c:v>
                </c:pt>
                <c:pt idx="133">
                  <c:v>4001.76</c:v>
                </c:pt>
                <c:pt idx="134">
                  <c:v>3993</c:v>
                </c:pt>
                <c:pt idx="135">
                  <c:v>3985.65</c:v>
                </c:pt>
                <c:pt idx="136">
                  <c:v>3985.25</c:v>
                </c:pt>
                <c:pt idx="137">
                  <c:v>3982.49</c:v>
                </c:pt>
                <c:pt idx="138">
                  <c:v>3987.06</c:v>
                </c:pt>
                <c:pt idx="139">
                  <c:v>3999.41</c:v>
                </c:pt>
                <c:pt idx="140">
                  <c:v>3992.74</c:v>
                </c:pt>
                <c:pt idx="141">
                  <c:v>3986.26</c:v>
                </c:pt>
                <c:pt idx="142">
                  <c:v>3995.05</c:v>
                </c:pt>
                <c:pt idx="143">
                  <c:v>4000</c:v>
                </c:pt>
                <c:pt idx="144">
                  <c:v>3997.84</c:v>
                </c:pt>
                <c:pt idx="145">
                  <c:v>4000</c:v>
                </c:pt>
                <c:pt idx="146">
                  <c:v>3993.83</c:v>
                </c:pt>
                <c:pt idx="147">
                  <c:v>3985.21</c:v>
                </c:pt>
                <c:pt idx="148">
                  <c:v>3977</c:v>
                </c:pt>
                <c:pt idx="149">
                  <c:v>3979.71</c:v>
                </c:pt>
                <c:pt idx="150">
                  <c:v>3968.2</c:v>
                </c:pt>
                <c:pt idx="151">
                  <c:v>3956.21</c:v>
                </c:pt>
                <c:pt idx="152">
                  <c:v>3957.04</c:v>
                </c:pt>
                <c:pt idx="153">
                  <c:v>3949.6</c:v>
                </c:pt>
                <c:pt idx="154">
                  <c:v>3952.5</c:v>
                </c:pt>
                <c:pt idx="155">
                  <c:v>3970.65</c:v>
                </c:pt>
                <c:pt idx="156">
                  <c:v>3960</c:v>
                </c:pt>
                <c:pt idx="157">
                  <c:v>3959.1</c:v>
                </c:pt>
                <c:pt idx="158">
                  <c:v>3966.81</c:v>
                </c:pt>
                <c:pt idx="159">
                  <c:v>3956.39</c:v>
                </c:pt>
                <c:pt idx="160">
                  <c:v>3971.78</c:v>
                </c:pt>
                <c:pt idx="161">
                  <c:v>3989.98</c:v>
                </c:pt>
                <c:pt idx="162">
                  <c:v>3999</c:v>
                </c:pt>
                <c:pt idx="163">
                  <c:v>4022.52</c:v>
                </c:pt>
                <c:pt idx="164">
                  <c:v>4006.84</c:v>
                </c:pt>
                <c:pt idx="165">
                  <c:v>3979.04</c:v>
                </c:pt>
                <c:pt idx="166">
                  <c:v>3981.61</c:v>
                </c:pt>
                <c:pt idx="167">
                  <c:v>3978.33</c:v>
                </c:pt>
                <c:pt idx="168">
                  <c:v>3975</c:v>
                </c:pt>
                <c:pt idx="169">
                  <c:v>3968.73</c:v>
                </c:pt>
                <c:pt idx="170">
                  <c:v>3967.97</c:v>
                </c:pt>
                <c:pt idx="171">
                  <c:v>3961.53</c:v>
                </c:pt>
                <c:pt idx="172">
                  <c:v>3974</c:v>
                </c:pt>
                <c:pt idx="173">
                  <c:v>3978.45</c:v>
                </c:pt>
                <c:pt idx="174">
                  <c:v>3981.08</c:v>
                </c:pt>
                <c:pt idx="175">
                  <c:v>3987.36</c:v>
                </c:pt>
                <c:pt idx="176">
                  <c:v>3983.51</c:v>
                </c:pt>
                <c:pt idx="177">
                  <c:v>3991</c:v>
                </c:pt>
                <c:pt idx="178">
                  <c:v>3994.58</c:v>
                </c:pt>
                <c:pt idx="179">
                  <c:v>3988.71</c:v>
                </c:pt>
                <c:pt idx="180">
                  <c:v>3986.9</c:v>
                </c:pt>
                <c:pt idx="181">
                  <c:v>3996.92</c:v>
                </c:pt>
                <c:pt idx="182">
                  <c:v>3996.97</c:v>
                </c:pt>
                <c:pt idx="183">
                  <c:v>4003</c:v>
                </c:pt>
                <c:pt idx="184">
                  <c:v>4004</c:v>
                </c:pt>
                <c:pt idx="185">
                  <c:v>4002.3</c:v>
                </c:pt>
                <c:pt idx="186">
                  <c:v>3993.57</c:v>
                </c:pt>
                <c:pt idx="187">
                  <c:v>3988.38</c:v>
                </c:pt>
                <c:pt idx="188">
                  <c:v>3988.15</c:v>
                </c:pt>
                <c:pt idx="189">
                  <c:v>3974.78</c:v>
                </c:pt>
                <c:pt idx="190">
                  <c:v>3977.98</c:v>
                </c:pt>
                <c:pt idx="191">
                  <c:v>3971</c:v>
                </c:pt>
                <c:pt idx="192">
                  <c:v>3985.61</c:v>
                </c:pt>
                <c:pt idx="193">
                  <c:v>3985.31</c:v>
                </c:pt>
                <c:pt idx="194">
                  <c:v>3975.92</c:v>
                </c:pt>
                <c:pt idx="195">
                  <c:v>3970.01</c:v>
                </c:pt>
                <c:pt idx="196">
                  <c:v>3960.22</c:v>
                </c:pt>
                <c:pt idx="197">
                  <c:v>3961.28</c:v>
                </c:pt>
                <c:pt idx="198">
                  <c:v>3975.14</c:v>
                </c:pt>
                <c:pt idx="199">
                  <c:v>3976.49</c:v>
                </c:pt>
                <c:pt idx="200">
                  <c:v>3981.33</c:v>
                </c:pt>
                <c:pt idx="201">
                  <c:v>3970.78</c:v>
                </c:pt>
                <c:pt idx="202">
                  <c:v>3961.79</c:v>
                </c:pt>
                <c:pt idx="203">
                  <c:v>3953</c:v>
                </c:pt>
                <c:pt idx="204">
                  <c:v>3952.51</c:v>
                </c:pt>
                <c:pt idx="205">
                  <c:v>3960.81</c:v>
                </c:pt>
                <c:pt idx="206">
                  <c:v>3944.3</c:v>
                </c:pt>
                <c:pt idx="207">
                  <c:v>3944.93</c:v>
                </c:pt>
                <c:pt idx="208">
                  <c:v>3935.39</c:v>
                </c:pt>
                <c:pt idx="209">
                  <c:v>3948.13</c:v>
                </c:pt>
                <c:pt idx="210">
                  <c:v>3920.88</c:v>
                </c:pt>
                <c:pt idx="211">
                  <c:v>3939.59</c:v>
                </c:pt>
                <c:pt idx="212">
                  <c:v>3933.26</c:v>
                </c:pt>
                <c:pt idx="213">
                  <c:v>3952.91</c:v>
                </c:pt>
                <c:pt idx="214">
                  <c:v>3959.51</c:v>
                </c:pt>
                <c:pt idx="215">
                  <c:v>3957.01</c:v>
                </c:pt>
                <c:pt idx="216">
                  <c:v>3945.96</c:v>
                </c:pt>
                <c:pt idx="217">
                  <c:v>3929.76</c:v>
                </c:pt>
                <c:pt idx="218">
                  <c:v>3947.36</c:v>
                </c:pt>
                <c:pt idx="219">
                  <c:v>3938</c:v>
                </c:pt>
                <c:pt idx="220">
                  <c:v>3931.44</c:v>
                </c:pt>
                <c:pt idx="221">
                  <c:v>3931.05</c:v>
                </c:pt>
                <c:pt idx="222">
                  <c:v>3915</c:v>
                </c:pt>
                <c:pt idx="223">
                  <c:v>3930.02</c:v>
                </c:pt>
                <c:pt idx="224">
                  <c:v>3942.5</c:v>
                </c:pt>
                <c:pt idx="225">
                  <c:v>3949.59</c:v>
                </c:pt>
                <c:pt idx="226">
                  <c:v>3961.01</c:v>
                </c:pt>
                <c:pt idx="227">
                  <c:v>3949.07</c:v>
                </c:pt>
                <c:pt idx="228">
                  <c:v>3960.75</c:v>
                </c:pt>
                <c:pt idx="229">
                  <c:v>3956.14</c:v>
                </c:pt>
                <c:pt idx="230">
                  <c:v>3961.31</c:v>
                </c:pt>
                <c:pt idx="231">
                  <c:v>3983</c:v>
                </c:pt>
                <c:pt idx="232">
                  <c:v>3973.5</c:v>
                </c:pt>
                <c:pt idx="233">
                  <c:v>3984.68</c:v>
                </c:pt>
                <c:pt idx="234">
                  <c:v>3994.15</c:v>
                </c:pt>
                <c:pt idx="235">
                  <c:v>3981.81</c:v>
                </c:pt>
                <c:pt idx="236">
                  <c:v>3992.54</c:v>
                </c:pt>
                <c:pt idx="237">
                  <c:v>3979.46</c:v>
                </c:pt>
                <c:pt idx="238">
                  <c:v>3977.41</c:v>
                </c:pt>
                <c:pt idx="239">
                  <c:v>3974.27</c:v>
                </c:pt>
                <c:pt idx="240">
                  <c:v>3974.95</c:v>
                </c:pt>
                <c:pt idx="241">
                  <c:v>3980.46</c:v>
                </c:pt>
                <c:pt idx="242">
                  <c:v>3986.89</c:v>
                </c:pt>
                <c:pt idx="243">
                  <c:v>3986.47</c:v>
                </c:pt>
                <c:pt idx="244">
                  <c:v>3990.81</c:v>
                </c:pt>
                <c:pt idx="245">
                  <c:v>3983.71</c:v>
                </c:pt>
                <c:pt idx="246">
                  <c:v>3995.95</c:v>
                </c:pt>
                <c:pt idx="247">
                  <c:v>4017</c:v>
                </c:pt>
                <c:pt idx="248">
                  <c:v>4003.28</c:v>
                </c:pt>
                <c:pt idx="249">
                  <c:v>4005.71</c:v>
                </c:pt>
                <c:pt idx="250">
                  <c:v>3987.98</c:v>
                </c:pt>
                <c:pt idx="251">
                  <c:v>3979.97</c:v>
                </c:pt>
                <c:pt idx="252">
                  <c:v>3982.63</c:v>
                </c:pt>
                <c:pt idx="253">
                  <c:v>3993.2</c:v>
                </c:pt>
                <c:pt idx="254">
                  <c:v>3987.33</c:v>
                </c:pt>
                <c:pt idx="255">
                  <c:v>3986.74</c:v>
                </c:pt>
                <c:pt idx="256">
                  <c:v>3995.6</c:v>
                </c:pt>
                <c:pt idx="257">
                  <c:v>3995.69</c:v>
                </c:pt>
                <c:pt idx="258">
                  <c:v>3993</c:v>
                </c:pt>
                <c:pt idx="259">
                  <c:v>4002.62</c:v>
                </c:pt>
                <c:pt idx="260">
                  <c:v>3998.91</c:v>
                </c:pt>
                <c:pt idx="261">
                  <c:v>4014.3</c:v>
                </c:pt>
                <c:pt idx="262">
                  <c:v>4005</c:v>
                </c:pt>
                <c:pt idx="263">
                  <c:v>4000.1</c:v>
                </c:pt>
                <c:pt idx="264">
                  <c:v>3997.76</c:v>
                </c:pt>
                <c:pt idx="265">
                  <c:v>3991.41</c:v>
                </c:pt>
                <c:pt idx="266">
                  <c:v>3994.91</c:v>
                </c:pt>
                <c:pt idx="267">
                  <c:v>4004.41</c:v>
                </c:pt>
                <c:pt idx="268">
                  <c:v>3994.29</c:v>
                </c:pt>
                <c:pt idx="269">
                  <c:v>3987.61</c:v>
                </c:pt>
                <c:pt idx="270">
                  <c:v>3996.4</c:v>
                </c:pt>
                <c:pt idx="271">
                  <c:v>4005.01</c:v>
                </c:pt>
                <c:pt idx="272">
                  <c:v>4011</c:v>
                </c:pt>
                <c:pt idx="273">
                  <c:v>4009</c:v>
                </c:pt>
                <c:pt idx="274">
                  <c:v>4005.01</c:v>
                </c:pt>
                <c:pt idx="275">
                  <c:v>4000.3</c:v>
                </c:pt>
                <c:pt idx="276">
                  <c:v>4006.99</c:v>
                </c:pt>
                <c:pt idx="277">
                  <c:v>4003.01</c:v>
                </c:pt>
                <c:pt idx="278">
                  <c:v>4010.65</c:v>
                </c:pt>
                <c:pt idx="279">
                  <c:v>4013.97</c:v>
                </c:pt>
                <c:pt idx="280">
                  <c:v>4008.1</c:v>
                </c:pt>
                <c:pt idx="281">
                  <c:v>4010.38</c:v>
                </c:pt>
                <c:pt idx="282">
                  <c:v>4021</c:v>
                </c:pt>
                <c:pt idx="283">
                  <c:v>4002</c:v>
                </c:pt>
                <c:pt idx="284">
                  <c:v>3995</c:v>
                </c:pt>
                <c:pt idx="285">
                  <c:v>4001.52</c:v>
                </c:pt>
                <c:pt idx="286">
                  <c:v>4000.1</c:v>
                </c:pt>
                <c:pt idx="287">
                  <c:v>4014.01</c:v>
                </c:pt>
                <c:pt idx="288">
                  <c:v>4021.01</c:v>
                </c:pt>
                <c:pt idx="289">
                  <c:v>4019.82</c:v>
                </c:pt>
                <c:pt idx="290">
                  <c:v>4023.98</c:v>
                </c:pt>
                <c:pt idx="291">
                  <c:v>4015.2</c:v>
                </c:pt>
                <c:pt idx="292">
                  <c:v>4028.98</c:v>
                </c:pt>
                <c:pt idx="293">
                  <c:v>4029</c:v>
                </c:pt>
                <c:pt idx="294">
                  <c:v>4020.83</c:v>
                </c:pt>
                <c:pt idx="295">
                  <c:v>4024.29</c:v>
                </c:pt>
                <c:pt idx="296">
                  <c:v>4029.11</c:v>
                </c:pt>
                <c:pt idx="297">
                  <c:v>4015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1-4E3B-B6AF-2D11F1D792E3}"/>
            </c:ext>
          </c:extLst>
        </c:ser>
        <c:ser>
          <c:idx val="4"/>
          <c:order val="4"/>
          <c:tx>
            <c:strRef>
              <c:f>NoEntry!$G$1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NoEntry!$A$2:$A$302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NoEntry!$G$2:$G$302</c:f>
              <c:numCache>
                <c:formatCode>_("$"* #,##0.0000_);_("$"* \(#,##0.0000\);_("$"* "-"??_);_(@_)</c:formatCode>
                <c:ptCount val="301"/>
                <c:pt idx="0">
                  <c:v>4256.01</c:v>
                </c:pt>
                <c:pt idx="1">
                  <c:v>4254.4740371200314</c:v>
                </c:pt>
                <c:pt idx="2">
                  <c:v>4252.9380741927243</c:v>
                </c:pt>
                <c:pt idx="3">
                  <c:v>4251.4021111944276</c:v>
                </c:pt>
                <c:pt idx="4">
                  <c:v>4249.8661481015106</c:v>
                </c:pt>
                <c:pt idx="5">
                  <c:v>4248.3301848903648</c:v>
                </c:pt>
                <c:pt idx="6">
                  <c:v>4246.7942215374114</c:v>
                </c:pt>
                <c:pt idx="7">
                  <c:v>4245.2582580191047</c:v>
                </c:pt>
                <c:pt idx="8">
                  <c:v>4243.7222943119359</c:v>
                </c:pt>
                <c:pt idx="9">
                  <c:v>4242.1863303924383</c:v>
                </c:pt>
                <c:pt idx="10">
                  <c:v>4240.6503662371942</c:v>
                </c:pt>
                <c:pt idx="11">
                  <c:v>4239.114401822837</c:v>
                </c:pt>
                <c:pt idx="12">
                  <c:v>4237.5784371260552</c:v>
                </c:pt>
                <c:pt idx="13">
                  <c:v>4236.0424721235995</c:v>
                </c:pt>
                <c:pt idx="14">
                  <c:v>4234.5065067922887</c:v>
                </c:pt>
                <c:pt idx="15">
                  <c:v>4232.970541109009</c:v>
                </c:pt>
                <c:pt idx="16">
                  <c:v>4231.4345750507237</c:v>
                </c:pt>
                <c:pt idx="17">
                  <c:v>4229.8986085944734</c:v>
                </c:pt>
                <c:pt idx="18">
                  <c:v>4228.3626417173855</c:v>
                </c:pt>
                <c:pt idx="19">
                  <c:v>4226.8266743966751</c:v>
                </c:pt>
                <c:pt idx="20">
                  <c:v>4225.2907066096523</c:v>
                </c:pt>
                <c:pt idx="21">
                  <c:v>4223.7547383337223</c:v>
                </c:pt>
                <c:pt idx="22">
                  <c:v>4222.2187695463945</c:v>
                </c:pt>
                <c:pt idx="23">
                  <c:v>4220.6828002252842</c:v>
                </c:pt>
                <c:pt idx="24">
                  <c:v>4219.1468303481197</c:v>
                </c:pt>
                <c:pt idx="25">
                  <c:v>4217.610859892744</c:v>
                </c:pt>
                <c:pt idx="26">
                  <c:v>4216.0748888371199</c:v>
                </c:pt>
                <c:pt idx="27">
                  <c:v>4214.5389171593361</c:v>
                </c:pt>
                <c:pt idx="28">
                  <c:v>4213.0029448376099</c:v>
                </c:pt>
                <c:pt idx="29">
                  <c:v>4211.4669718502901</c:v>
                </c:pt>
                <c:pt idx="30">
                  <c:v>4209.9309981758661</c:v>
                </c:pt>
                <c:pt idx="31">
                  <c:v>4208.3950237929675</c:v>
                </c:pt>
                <c:pt idx="32">
                  <c:v>4206.8590486803696</c:v>
                </c:pt>
                <c:pt idx="33">
                  <c:v>4205.3230728169983</c:v>
                </c:pt>
                <c:pt idx="34">
                  <c:v>4203.7870961819344</c:v>
                </c:pt>
                <c:pt idx="35">
                  <c:v>4202.2511187544187</c:v>
                </c:pt>
                <c:pt idx="36">
                  <c:v>4200.715140513852</c:v>
                </c:pt>
                <c:pt idx="37">
                  <c:v>4199.1791614398053</c:v>
                </c:pt>
                <c:pt idx="38">
                  <c:v>4197.6431815120186</c:v>
                </c:pt>
                <c:pt idx="39">
                  <c:v>4196.1072007104067</c:v>
                </c:pt>
                <c:pt idx="40">
                  <c:v>4194.5712190150643</c:v>
                </c:pt>
                <c:pt idx="41">
                  <c:v>4193.0352364062692</c:v>
                </c:pt>
                <c:pt idx="42">
                  <c:v>4191.4992528644852</c:v>
                </c:pt>
                <c:pt idx="43">
                  <c:v>4189.9632683703667</c:v>
                </c:pt>
                <c:pt idx="44">
                  <c:v>4188.4272829047641</c:v>
                </c:pt>
                <c:pt idx="45">
                  <c:v>4186.8912964487245</c:v>
                </c:pt>
                <c:pt idx="46">
                  <c:v>4185.3553089834977</c:v>
                </c:pt>
                <c:pt idx="47">
                  <c:v>4183.8193204905401</c:v>
                </c:pt>
                <c:pt idx="48">
                  <c:v>4182.2833309515172</c:v>
                </c:pt>
                <c:pt idx="49">
                  <c:v>4180.7473403483073</c:v>
                </c:pt>
                <c:pt idx="50">
                  <c:v>4179.2113486630051</c:v>
                </c:pt>
                <c:pt idx="51">
                  <c:v>4177.6753558779274</c:v>
                </c:pt>
                <c:pt idx="52">
                  <c:v>4176.1393619756118</c:v>
                </c:pt>
                <c:pt idx="53">
                  <c:v>4174.6033669388253</c:v>
                </c:pt>
                <c:pt idx="54">
                  <c:v>4173.0673707505666</c:v>
                </c:pt>
                <c:pt idx="55">
                  <c:v>4171.5313733940648</c:v>
                </c:pt>
                <c:pt idx="56">
                  <c:v>4169.9953748527896</c:v>
                </c:pt>
                <c:pt idx="57">
                  <c:v>4168.4593751104494</c:v>
                </c:pt>
                <c:pt idx="58">
                  <c:v>4166.9233741509961</c:v>
                </c:pt>
                <c:pt idx="59">
                  <c:v>4165.38737195863</c:v>
                </c:pt>
                <c:pt idx="60">
                  <c:v>4163.8513685178023</c:v>
                </c:pt>
                <c:pt idx="61">
                  <c:v>4162.3153638132135</c:v>
                </c:pt>
                <c:pt idx="62">
                  <c:v>4160.7793578298242</c:v>
                </c:pt>
                <c:pt idx="63">
                  <c:v>4159.2433505528516</c:v>
                </c:pt>
                <c:pt idx="64">
                  <c:v>4157.7073419677763</c:v>
                </c:pt>
                <c:pt idx="65">
                  <c:v>4156.1713320603421</c:v>
                </c:pt>
                <c:pt idx="66">
                  <c:v>4154.6353208165619</c:v>
                </c:pt>
                <c:pt idx="67">
                  <c:v>4153.0993082227196</c:v>
                </c:pt>
                <c:pt idx="68">
                  <c:v>4151.5632942653701</c:v>
                </c:pt>
                <c:pt idx="69">
                  <c:v>4150.0272789313467</c:v>
                </c:pt>
                <c:pt idx="70">
                  <c:v>4148.4912622077572</c:v>
                </c:pt>
                <c:pt idx="71">
                  <c:v>4146.9552440819944</c:v>
                </c:pt>
                <c:pt idx="72">
                  <c:v>4145.4192245417316</c:v>
                </c:pt>
                <c:pt idx="73">
                  <c:v>4143.8832035749292</c:v>
                </c:pt>
                <c:pt idx="74">
                  <c:v>4142.3471811698346</c:v>
                </c:pt>
                <c:pt idx="75">
                  <c:v>4140.8111573149863</c:v>
                </c:pt>
                <c:pt idx="76">
                  <c:v>4139.2751319992149</c:v>
                </c:pt>
                <c:pt idx="77">
                  <c:v>4137.7391052116473</c:v>
                </c:pt>
                <c:pt idx="78">
                  <c:v>4136.2030769417051</c:v>
                </c:pt>
                <c:pt idx="79">
                  <c:v>4134.6670471791103</c:v>
                </c:pt>
                <c:pt idx="80">
                  <c:v>4133.1310159138848</c:v>
                </c:pt>
                <c:pt idx="81">
                  <c:v>4131.5949831363559</c:v>
                </c:pt>
                <c:pt idx="82">
                  <c:v>4130.0589488371525</c:v>
                </c:pt>
                <c:pt idx="83">
                  <c:v>4128.5229130072112</c:v>
                </c:pt>
                <c:pt idx="84">
                  <c:v>4126.9868756377773</c:v>
                </c:pt>
                <c:pt idx="85">
                  <c:v>4125.4508367204071</c:v>
                </c:pt>
                <c:pt idx="86">
                  <c:v>4123.9147962469651</c:v>
                </c:pt>
                <c:pt idx="87">
                  <c:v>4122.3787542096334</c:v>
                </c:pt>
                <c:pt idx="88">
                  <c:v>4120.8427106009058</c:v>
                </c:pt>
                <c:pt idx="89">
                  <c:v>4119.3066654135946</c:v>
                </c:pt>
                <c:pt idx="90">
                  <c:v>4117.7706186408268</c:v>
                </c:pt>
                <c:pt idx="91">
                  <c:v>4116.2345702760504</c:v>
                </c:pt>
                <c:pt idx="92">
                  <c:v>4114.6985203130325</c:v>
                </c:pt>
                <c:pt idx="93">
                  <c:v>4113.1624687458625</c:v>
                </c:pt>
                <c:pt idx="94">
                  <c:v>4111.6264155689505</c:v>
                </c:pt>
                <c:pt idx="95">
                  <c:v>4110.0903607770324</c:v>
                </c:pt>
                <c:pt idx="96">
                  <c:v>4108.5543043651669</c:v>
                </c:pt>
                <c:pt idx="97">
                  <c:v>4107.0182463287383</c:v>
                </c:pt>
                <c:pt idx="98">
                  <c:v>4105.4821866634575</c:v>
                </c:pt>
                <c:pt idx="99">
                  <c:v>4103.9461253653626</c:v>
                </c:pt>
                <c:pt idx="100">
                  <c:v>4102.4100624308176</c:v>
                </c:pt>
                <c:pt idx="101">
                  <c:v>4100.8739978565181</c:v>
                </c:pt>
                <c:pt idx="102">
                  <c:v>4099.3379316394858</c:v>
                </c:pt>
                <c:pt idx="103">
                  <c:v>4097.8018637770747</c:v>
                </c:pt>
                <c:pt idx="104">
                  <c:v>4096.2657942669657</c:v>
                </c:pt>
                <c:pt idx="105">
                  <c:v>4094.7297231071725</c:v>
                </c:pt>
                <c:pt idx="106">
                  <c:v>4093.1936502960389</c:v>
                </c:pt>
                <c:pt idx="107">
                  <c:v>4091.6575758322388</c:v>
                </c:pt>
                <c:pt idx="108">
                  <c:v>4090.1214997147786</c:v>
                </c:pt>
                <c:pt idx="109">
                  <c:v>4088.5854219429953</c:v>
                </c:pt>
                <c:pt idx="110">
                  <c:v>4087.0493425165578</c:v>
                </c:pt>
                <c:pt idx="111">
                  <c:v>4085.5132614354657</c:v>
                </c:pt>
                <c:pt idx="112">
                  <c:v>4083.9771787000509</c:v>
                </c:pt>
                <c:pt idx="113">
                  <c:v>4082.4410943109751</c:v>
                </c:pt>
                <c:pt idx="114">
                  <c:v>4080.9050082692324</c:v>
                </c:pt>
                <c:pt idx="115">
                  <c:v>4079.3689205761475</c:v>
                </c:pt>
                <c:pt idx="116">
                  <c:v>4077.8328312333742</c:v>
                </c:pt>
                <c:pt idx="117">
                  <c:v>4076.2967402428976</c:v>
                </c:pt>
                <c:pt idx="118">
                  <c:v>4074.7606476070323</c:v>
                </c:pt>
                <c:pt idx="119">
                  <c:v>4073.2245533284213</c:v>
                </c:pt>
                <c:pt idx="120">
                  <c:v>4071.6884574100368</c:v>
                </c:pt>
                <c:pt idx="121">
                  <c:v>4070.1523598551776</c:v>
                </c:pt>
                <c:pt idx="122">
                  <c:v>4068.6162606674707</c:v>
                </c:pt>
                <c:pt idx="123">
                  <c:v>4067.0801598508688</c:v>
                </c:pt>
                <c:pt idx="124">
                  <c:v>4065.5440574096497</c:v>
                </c:pt>
                <c:pt idx="125">
                  <c:v>4064.0079533484159</c:v>
                </c:pt>
                <c:pt idx="126">
                  <c:v>4062.4718476720941</c:v>
                </c:pt>
                <c:pt idx="127">
                  <c:v>4060.9357403859331</c:v>
                </c:pt>
                <c:pt idx="128">
                  <c:v>4059.3996314955016</c:v>
                </c:pt>
                <c:pt idx="129">
                  <c:v>4057.8635210066905</c:v>
                </c:pt>
                <c:pt idx="130">
                  <c:v>4056.3274089257079</c:v>
                </c:pt>
                <c:pt idx="131">
                  <c:v>4054.7912952590809</c:v>
                </c:pt>
                <c:pt idx="132">
                  <c:v>4053.2551800136521</c:v>
                </c:pt>
                <c:pt idx="133">
                  <c:v>4051.7190631965786</c:v>
                </c:pt>
                <c:pt idx="134">
                  <c:v>4050.1829448153317</c:v>
                </c:pt>
                <c:pt idx="135">
                  <c:v>4048.6468248776937</c:v>
                </c:pt>
                <c:pt idx="136">
                  <c:v>4047.1107033917569</c:v>
                </c:pt>
                <c:pt idx="137">
                  <c:v>4045.574580365922</c:v>
                </c:pt>
                <c:pt idx="138">
                  <c:v>4044.0384558088972</c:v>
                </c:pt>
                <c:pt idx="139">
                  <c:v>4042.5023297296948</c:v>
                </c:pt>
                <c:pt idx="140">
                  <c:v>4040.9662021376307</c:v>
                </c:pt>
                <c:pt idx="141">
                  <c:v>4039.4300730423206</c:v>
                </c:pt>
                <c:pt idx="142">
                  <c:v>4037.8939424536811</c:v>
                </c:pt>
                <c:pt idx="143">
                  <c:v>4036.3578103819245</c:v>
                </c:pt>
                <c:pt idx="144">
                  <c:v>4034.8216768375582</c:v>
                </c:pt>
                <c:pt idx="145">
                  <c:v>4033.2855418313829</c:v>
                </c:pt>
                <c:pt idx="146">
                  <c:v>4031.7494053744904</c:v>
                </c:pt>
                <c:pt idx="147">
                  <c:v>4030.2132674782592</c:v>
                </c:pt>
                <c:pt idx="148">
                  <c:v>4028.6771281543552</c:v>
                </c:pt>
                <c:pt idx="149">
                  <c:v>4027.1409874147266</c:v>
                </c:pt>
                <c:pt idx="150">
                  <c:v>4025.6048452716032</c:v>
                </c:pt>
                <c:pt idx="151">
                  <c:v>4024.0687017374939</c:v>
                </c:pt>
                <c:pt idx="152">
                  <c:v>4022.5325568251833</c:v>
                </c:pt>
                <c:pt idx="153">
                  <c:v>4020.9964105477293</c:v>
                </c:pt>
                <c:pt idx="154">
                  <c:v>4019.4602629184601</c:v>
                </c:pt>
                <c:pt idx="155">
                  <c:v>4017.9241139509732</c:v>
                </c:pt>
                <c:pt idx="156">
                  <c:v>4016.3879636591296</c:v>
                </c:pt>
                <c:pt idx="157">
                  <c:v>4014.8518120570543</c:v>
                </c:pt>
                <c:pt idx="158">
                  <c:v>4013.3156591591319</c:v>
                </c:pt>
                <c:pt idx="159">
                  <c:v>4011.7795049800025</c:v>
                </c:pt>
                <c:pt idx="160">
                  <c:v>4010.2433495345595</c:v>
                </c:pt>
                <c:pt idx="161">
                  <c:v>4008.7071928379487</c:v>
                </c:pt>
                <c:pt idx="162">
                  <c:v>4007.171034905562</c:v>
                </c:pt>
                <c:pt idx="163">
                  <c:v>4005.6348757530359</c:v>
                </c:pt>
                <c:pt idx="164">
                  <c:v>4004.0987153962483</c:v>
                </c:pt>
                <c:pt idx="165">
                  <c:v>4002.562553851315</c:v>
                </c:pt>
                <c:pt idx="166">
                  <c:v>4001.0263911345869</c:v>
                </c:pt>
                <c:pt idx="167">
                  <c:v>3999.4902272626459</c:v>
                </c:pt>
                <c:pt idx="168">
                  <c:v>3997.9540622523014</c:v>
                </c:pt>
                <c:pt idx="169">
                  <c:v>3996.417896120588</c:v>
                </c:pt>
                <c:pt idx="170">
                  <c:v>3994.8817288847613</c:v>
                </c:pt>
                <c:pt idx="171">
                  <c:v>3993.3455605622948</c:v>
                </c:pt>
                <c:pt idx="172">
                  <c:v>3991.8093911708761</c:v>
                </c:pt>
                <c:pt idx="173">
                  <c:v>3990.2732207284025</c:v>
                </c:pt>
                <c:pt idx="174">
                  <c:v>3988.7370492529794</c:v>
                </c:pt>
                <c:pt idx="175">
                  <c:v>3987.2008767629145</c:v>
                </c:pt>
                <c:pt idx="176">
                  <c:v>3985.664703276715</c:v>
                </c:pt>
                <c:pt idx="177">
                  <c:v>3984.1285288130848</c:v>
                </c:pt>
                <c:pt idx="178">
                  <c:v>3982.5923533909186</c:v>
                </c:pt>
                <c:pt idx="179">
                  <c:v>3981.0561770292998</c:v>
                </c:pt>
                <c:pt idx="180">
                  <c:v>3979.5199997474961</c:v>
                </c:pt>
                <c:pt idx="181">
                  <c:v>3977.9838215649561</c:v>
                </c:pt>
                <c:pt idx="182">
                  <c:v>3976.447642501304</c:v>
                </c:pt>
                <c:pt idx="183">
                  <c:v>3974.9114625763368</c:v>
                </c:pt>
                <c:pt idx="184">
                  <c:v>3973.3752818100206</c:v>
                </c:pt>
                <c:pt idx="185">
                  <c:v>3971.8391002224853</c:v>
                </c:pt>
                <c:pt idx="186">
                  <c:v>3970.3029178340212</c:v>
                </c:pt>
                <c:pt idx="187">
                  <c:v>3968.7667346650751</c:v>
                </c:pt>
                <c:pt idx="188">
                  <c:v>3967.2305507362462</c:v>
                </c:pt>
                <c:pt idx="189">
                  <c:v>3965.6943660682814</c:v>
                </c:pt>
                <c:pt idx="190">
                  <c:v>3964.1581806820714</c:v>
                </c:pt>
                <c:pt idx="191">
                  <c:v>3962.6219945986477</c:v>
                </c:pt>
                <c:pt idx="192">
                  <c:v>3961.0858078391752</c:v>
                </c:pt>
                <c:pt idx="193">
                  <c:v>3959.5496204249516</c:v>
                </c:pt>
                <c:pt idx="194">
                  <c:v>3958.0134323774009</c:v>
                </c:pt>
                <c:pt idx="195">
                  <c:v>3956.4772437180691</c:v>
                </c:pt>
                <c:pt idx="196">
                  <c:v>3954.9410544686211</c:v>
                </c:pt>
                <c:pt idx="197">
                  <c:v>3953.4048646508354</c:v>
                </c:pt>
                <c:pt idx="198">
                  <c:v>3951.8686742865998</c:v>
                </c:pt>
                <c:pt idx="199">
                  <c:v>3950.3324833979077</c:v>
                </c:pt>
                <c:pt idx="200">
                  <c:v>3948.7962920068521</c:v>
                </c:pt>
                <c:pt idx="201">
                  <c:v>3947.2601001356229</c:v>
                </c:pt>
                <c:pt idx="202">
                  <c:v>3945.7239078065018</c:v>
                </c:pt>
                <c:pt idx="203">
                  <c:v>3944.1877150418577</c:v>
                </c:pt>
                <c:pt idx="204">
                  <c:v>3942.6515218641416</c:v>
                </c:pt>
                <c:pt idx="205">
                  <c:v>3941.1153282958835</c:v>
                </c:pt>
                <c:pt idx="206">
                  <c:v>3939.5791343596866</c:v>
                </c:pt>
                <c:pt idx="207">
                  <c:v>3938.0429400782232</c:v>
                </c:pt>
                <c:pt idx="208">
                  <c:v>3936.5067454742311</c:v>
                </c:pt>
                <c:pt idx="209">
                  <c:v>3934.9705505705069</c:v>
                </c:pt>
                <c:pt idx="210">
                  <c:v>3933.4343553899034</c:v>
                </c:pt>
                <c:pt idx="211">
                  <c:v>3931.8981599553235</c:v>
                </c:pt>
                <c:pt idx="212">
                  <c:v>3930.3619642897174</c:v>
                </c:pt>
                <c:pt idx="213">
                  <c:v>3928.8257684160762</c:v>
                </c:pt>
                <c:pt idx="214">
                  <c:v>3927.2895723574288</c:v>
                </c:pt>
                <c:pt idx="215">
                  <c:v>3925.7533761368359</c:v>
                </c:pt>
                <c:pt idx="216">
                  <c:v>3924.2171797773863</c:v>
                </c:pt>
                <c:pt idx="217">
                  <c:v>3922.6809833021916</c:v>
                </c:pt>
                <c:pt idx="218">
                  <c:v>3921.1447867343827</c:v>
                </c:pt>
                <c:pt idx="219">
                  <c:v>3919.6085900971038</c:v>
                </c:pt>
                <c:pt idx="220">
                  <c:v>3918.0723934135081</c:v>
                </c:pt>
                <c:pt idx="221">
                  <c:v>3916.5361967067538</c:v>
                </c:pt>
                <c:pt idx="222">
                  <c:v>3915</c:v>
                </c:pt>
                <c:pt idx="223">
                  <c:v>3916.2985714285824</c:v>
                </c:pt>
                <c:pt idx="224">
                  <c:v>3917.5971428571647</c:v>
                </c:pt>
                <c:pt idx="225">
                  <c:v>3918.8957142857466</c:v>
                </c:pt>
                <c:pt idx="226">
                  <c:v>3920.1942857143285</c:v>
                </c:pt>
                <c:pt idx="227">
                  <c:v>3921.49285714291</c:v>
                </c:pt>
                <c:pt idx="228">
                  <c:v>3922.7914285714915</c:v>
                </c:pt>
                <c:pt idx="229">
                  <c:v>3924.0900000000725</c:v>
                </c:pt>
                <c:pt idx="230">
                  <c:v>3925.3885714286534</c:v>
                </c:pt>
                <c:pt idx="231">
                  <c:v>3926.687142857234</c:v>
                </c:pt>
                <c:pt idx="232">
                  <c:v>3927.9857142858141</c:v>
                </c:pt>
                <c:pt idx="233">
                  <c:v>3929.2842857143942</c:v>
                </c:pt>
                <c:pt idx="234">
                  <c:v>3930.5828571429738</c:v>
                </c:pt>
                <c:pt idx="235">
                  <c:v>3931.881428571553</c:v>
                </c:pt>
                <c:pt idx="236">
                  <c:v>3933.1800000001322</c:v>
                </c:pt>
                <c:pt idx="237">
                  <c:v>3934.4785714287109</c:v>
                </c:pt>
                <c:pt idx="238">
                  <c:v>3935.7771428572892</c:v>
                </c:pt>
                <c:pt idx="239">
                  <c:v>3937.0757142858674</c:v>
                </c:pt>
                <c:pt idx="240">
                  <c:v>3938.3742857144453</c:v>
                </c:pt>
                <c:pt idx="241">
                  <c:v>3939.6728571430226</c:v>
                </c:pt>
                <c:pt idx="242">
                  <c:v>3940.9714285716</c:v>
                </c:pt>
                <c:pt idx="243">
                  <c:v>3942.2700000001769</c:v>
                </c:pt>
                <c:pt idx="244">
                  <c:v>3943.5685714287533</c:v>
                </c:pt>
                <c:pt idx="245">
                  <c:v>3944.8671428573298</c:v>
                </c:pt>
                <c:pt idx="246">
                  <c:v>3946.1657142859058</c:v>
                </c:pt>
                <c:pt idx="247">
                  <c:v>3947.4642857144813</c:v>
                </c:pt>
                <c:pt idx="248">
                  <c:v>3948.7628571430569</c:v>
                </c:pt>
                <c:pt idx="249">
                  <c:v>3950.061428571632</c:v>
                </c:pt>
                <c:pt idx="250">
                  <c:v>3951.3600000002066</c:v>
                </c:pt>
                <c:pt idx="251">
                  <c:v>3952.6585714287812</c:v>
                </c:pt>
                <c:pt idx="252">
                  <c:v>3953.9571428573554</c:v>
                </c:pt>
                <c:pt idx="253">
                  <c:v>3955.2557142859291</c:v>
                </c:pt>
                <c:pt idx="254">
                  <c:v>3956.5542857145028</c:v>
                </c:pt>
                <c:pt idx="255">
                  <c:v>3957.8528571430761</c:v>
                </c:pt>
                <c:pt idx="256">
                  <c:v>3959.1514285716489</c:v>
                </c:pt>
                <c:pt idx="257">
                  <c:v>3960.4500000002217</c:v>
                </c:pt>
                <c:pt idx="258">
                  <c:v>3961.7485714287941</c:v>
                </c:pt>
                <c:pt idx="259">
                  <c:v>3963.047142857366</c:v>
                </c:pt>
                <c:pt idx="260">
                  <c:v>3964.3457142859379</c:v>
                </c:pt>
                <c:pt idx="261">
                  <c:v>3965.6442857145094</c:v>
                </c:pt>
                <c:pt idx="262">
                  <c:v>3966.9428571430803</c:v>
                </c:pt>
                <c:pt idx="263">
                  <c:v>3968.2414285716513</c:v>
                </c:pt>
                <c:pt idx="264">
                  <c:v>3969.5400000002219</c:v>
                </c:pt>
                <c:pt idx="265">
                  <c:v>3970.838571428792</c:v>
                </c:pt>
                <c:pt idx="266">
                  <c:v>3972.1371428573621</c:v>
                </c:pt>
                <c:pt idx="267">
                  <c:v>3973.4357142859317</c:v>
                </c:pt>
                <c:pt idx="268">
                  <c:v>3974.7342857145009</c:v>
                </c:pt>
                <c:pt idx="269">
                  <c:v>3976.03285714307</c:v>
                </c:pt>
                <c:pt idx="270">
                  <c:v>3977.3314285716388</c:v>
                </c:pt>
                <c:pt idx="271">
                  <c:v>3978.630000000207</c:v>
                </c:pt>
                <c:pt idx="272">
                  <c:v>3979.9285714287753</c:v>
                </c:pt>
                <c:pt idx="273">
                  <c:v>3981.2271428573431</c:v>
                </c:pt>
                <c:pt idx="274">
                  <c:v>3982.5257142859105</c:v>
                </c:pt>
                <c:pt idx="275">
                  <c:v>3983.8242857144778</c:v>
                </c:pt>
                <c:pt idx="276">
                  <c:v>3985.1228571430447</c:v>
                </c:pt>
                <c:pt idx="277">
                  <c:v>3986.4214285716112</c:v>
                </c:pt>
                <c:pt idx="278">
                  <c:v>3987.7200000001776</c:v>
                </c:pt>
                <c:pt idx="279">
                  <c:v>3989.0185714287436</c:v>
                </c:pt>
                <c:pt idx="280">
                  <c:v>3990.3171428573091</c:v>
                </c:pt>
                <c:pt idx="281">
                  <c:v>3991.6157142858747</c:v>
                </c:pt>
                <c:pt idx="282">
                  <c:v>3992.9142857144398</c:v>
                </c:pt>
                <c:pt idx="283">
                  <c:v>3994.2128571430044</c:v>
                </c:pt>
                <c:pt idx="284">
                  <c:v>3995.511428571569</c:v>
                </c:pt>
                <c:pt idx="285">
                  <c:v>3996.8100000001332</c:v>
                </c:pt>
                <c:pt idx="286">
                  <c:v>3998.1085714286969</c:v>
                </c:pt>
                <c:pt idx="287">
                  <c:v>3999.4071428572606</c:v>
                </c:pt>
                <c:pt idx="288">
                  <c:v>4000.7057142858239</c:v>
                </c:pt>
                <c:pt idx="289">
                  <c:v>4002.0042857143867</c:v>
                </c:pt>
                <c:pt idx="290">
                  <c:v>4003.3028571429495</c:v>
                </c:pt>
                <c:pt idx="291">
                  <c:v>4004.6014285715119</c:v>
                </c:pt>
                <c:pt idx="292">
                  <c:v>4005.9000000000738</c:v>
                </c:pt>
                <c:pt idx="293">
                  <c:v>4007.1985714286357</c:v>
                </c:pt>
                <c:pt idx="294">
                  <c:v>4008.4971428571971</c:v>
                </c:pt>
                <c:pt idx="295">
                  <c:v>4009.7957142857581</c:v>
                </c:pt>
                <c:pt idx="296">
                  <c:v>4011.0942857143191</c:v>
                </c:pt>
                <c:pt idx="297">
                  <c:v>4012.3928571428796</c:v>
                </c:pt>
                <c:pt idx="298">
                  <c:v>4013.6914285714397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1-4E3B-B6AF-2D11F1D79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1E1-4E3B-B6AF-2D11F1D792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1E1-4E3B-B6AF-2D11F1D792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NoEntry!$A$2:$A$302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1E1-4E3B-B6AF-2D11F1D792E3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4275"/>
          <c:min val="3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NoEntry!$M$1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NoEntry!$K$2:$K$302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NoEntry!$M$2:$M$302</c:f>
              <c:numCache>
                <c:formatCode>_("$"* #,##0.00_);_("$"* \(#,##0.00\);_("$"* "-"??_);_(@_)</c:formatCode>
                <c:ptCount val="301"/>
                <c:pt idx="0">
                  <c:v>4256.01</c:v>
                </c:pt>
                <c:pt idx="1">
                  <c:v>4258.32</c:v>
                </c:pt>
                <c:pt idx="2">
                  <c:v>4251.1000000000004</c:v>
                </c:pt>
                <c:pt idx="3">
                  <c:v>4238.0200000000004</c:v>
                </c:pt>
                <c:pt idx="4">
                  <c:v>4239.1000000000004</c:v>
                </c:pt>
                <c:pt idx="5">
                  <c:v>4243.1099999999997</c:v>
                </c:pt>
                <c:pt idx="6">
                  <c:v>4241.79</c:v>
                </c:pt>
                <c:pt idx="7">
                  <c:v>4226.97</c:v>
                </c:pt>
                <c:pt idx="8">
                  <c:v>4233.3599999999997</c:v>
                </c:pt>
                <c:pt idx="9">
                  <c:v>4228.21</c:v>
                </c:pt>
                <c:pt idx="10">
                  <c:v>4224.53</c:v>
                </c:pt>
                <c:pt idx="11">
                  <c:v>4221.99</c:v>
                </c:pt>
                <c:pt idx="12">
                  <c:v>4206</c:v>
                </c:pt>
                <c:pt idx="13">
                  <c:v>4197.9799999999996</c:v>
                </c:pt>
                <c:pt idx="14">
                  <c:v>4168.01</c:v>
                </c:pt>
                <c:pt idx="15">
                  <c:v>4162.32</c:v>
                </c:pt>
                <c:pt idx="16">
                  <c:v>4149.55</c:v>
                </c:pt>
                <c:pt idx="17">
                  <c:v>4140</c:v>
                </c:pt>
                <c:pt idx="18">
                  <c:v>4135.62</c:v>
                </c:pt>
                <c:pt idx="19">
                  <c:v>4035.12</c:v>
                </c:pt>
                <c:pt idx="20">
                  <c:v>3945.96</c:v>
                </c:pt>
                <c:pt idx="21">
                  <c:v>4035</c:v>
                </c:pt>
                <c:pt idx="22">
                  <c:v>4013.36</c:v>
                </c:pt>
                <c:pt idx="23">
                  <c:v>4028</c:v>
                </c:pt>
                <c:pt idx="24">
                  <c:v>4045.53</c:v>
                </c:pt>
                <c:pt idx="25">
                  <c:v>4051.12</c:v>
                </c:pt>
                <c:pt idx="26">
                  <c:v>4057.13</c:v>
                </c:pt>
                <c:pt idx="27">
                  <c:v>4034.67</c:v>
                </c:pt>
                <c:pt idx="28">
                  <c:v>4022.5</c:v>
                </c:pt>
                <c:pt idx="29">
                  <c:v>4034.46</c:v>
                </c:pt>
                <c:pt idx="30">
                  <c:v>4043.03</c:v>
                </c:pt>
                <c:pt idx="31">
                  <c:v>4041.94</c:v>
                </c:pt>
                <c:pt idx="32">
                  <c:v>4020.01</c:v>
                </c:pt>
                <c:pt idx="33">
                  <c:v>4014</c:v>
                </c:pt>
                <c:pt idx="34">
                  <c:v>4012.11</c:v>
                </c:pt>
                <c:pt idx="35">
                  <c:v>3996</c:v>
                </c:pt>
                <c:pt idx="36">
                  <c:v>3990</c:v>
                </c:pt>
                <c:pt idx="37">
                  <c:v>3998.1</c:v>
                </c:pt>
                <c:pt idx="38">
                  <c:v>4017.07</c:v>
                </c:pt>
                <c:pt idx="39">
                  <c:v>4019</c:v>
                </c:pt>
                <c:pt idx="40">
                  <c:v>4022.24</c:v>
                </c:pt>
                <c:pt idx="41">
                  <c:v>4016.73</c:v>
                </c:pt>
                <c:pt idx="42">
                  <c:v>4018.43</c:v>
                </c:pt>
                <c:pt idx="43">
                  <c:v>4002.6</c:v>
                </c:pt>
                <c:pt idx="44">
                  <c:v>3999.28</c:v>
                </c:pt>
                <c:pt idx="45">
                  <c:v>4005.54</c:v>
                </c:pt>
                <c:pt idx="46">
                  <c:v>4002.22</c:v>
                </c:pt>
                <c:pt idx="47">
                  <c:v>3994.89</c:v>
                </c:pt>
                <c:pt idx="48">
                  <c:v>3988</c:v>
                </c:pt>
                <c:pt idx="49">
                  <c:v>4000</c:v>
                </c:pt>
                <c:pt idx="50">
                  <c:v>4004.55</c:v>
                </c:pt>
                <c:pt idx="51">
                  <c:v>4014.77</c:v>
                </c:pt>
                <c:pt idx="52">
                  <c:v>4014.34</c:v>
                </c:pt>
                <c:pt idx="53">
                  <c:v>4020.02</c:v>
                </c:pt>
                <c:pt idx="54">
                  <c:v>4020.67</c:v>
                </c:pt>
                <c:pt idx="55">
                  <c:v>4028.6</c:v>
                </c:pt>
                <c:pt idx="56">
                  <c:v>4032.62</c:v>
                </c:pt>
                <c:pt idx="57">
                  <c:v>4045.31</c:v>
                </c:pt>
                <c:pt idx="58">
                  <c:v>4036.28</c:v>
                </c:pt>
                <c:pt idx="59">
                  <c:v>4027.62</c:v>
                </c:pt>
                <c:pt idx="60">
                  <c:v>4019.34</c:v>
                </c:pt>
                <c:pt idx="61">
                  <c:v>4008.38</c:v>
                </c:pt>
                <c:pt idx="62">
                  <c:v>4004</c:v>
                </c:pt>
                <c:pt idx="63">
                  <c:v>4005.16</c:v>
                </c:pt>
                <c:pt idx="64">
                  <c:v>3998.02</c:v>
                </c:pt>
                <c:pt idx="65">
                  <c:v>3988.17</c:v>
                </c:pt>
                <c:pt idx="66">
                  <c:v>3994.2</c:v>
                </c:pt>
                <c:pt idx="67">
                  <c:v>3997</c:v>
                </c:pt>
                <c:pt idx="68">
                  <c:v>3996</c:v>
                </c:pt>
                <c:pt idx="69">
                  <c:v>3989.32</c:v>
                </c:pt>
                <c:pt idx="70">
                  <c:v>3997.71</c:v>
                </c:pt>
                <c:pt idx="71">
                  <c:v>4008.27</c:v>
                </c:pt>
                <c:pt idx="72">
                  <c:v>4014.72</c:v>
                </c:pt>
                <c:pt idx="73">
                  <c:v>4018.83</c:v>
                </c:pt>
                <c:pt idx="74">
                  <c:v>4022.39</c:v>
                </c:pt>
                <c:pt idx="75">
                  <c:v>4010</c:v>
                </c:pt>
                <c:pt idx="76">
                  <c:v>3998.4</c:v>
                </c:pt>
                <c:pt idx="77">
                  <c:v>4008.4</c:v>
                </c:pt>
                <c:pt idx="78">
                  <c:v>4012</c:v>
                </c:pt>
                <c:pt idx="79">
                  <c:v>4014.77</c:v>
                </c:pt>
                <c:pt idx="80">
                  <c:v>4018.87</c:v>
                </c:pt>
                <c:pt idx="81">
                  <c:v>4026</c:v>
                </c:pt>
                <c:pt idx="82">
                  <c:v>4016.99</c:v>
                </c:pt>
                <c:pt idx="83">
                  <c:v>4007.12</c:v>
                </c:pt>
                <c:pt idx="84">
                  <c:v>3994.96</c:v>
                </c:pt>
                <c:pt idx="85">
                  <c:v>3997</c:v>
                </c:pt>
                <c:pt idx="86">
                  <c:v>4014.91</c:v>
                </c:pt>
                <c:pt idx="87">
                  <c:v>4021</c:v>
                </c:pt>
                <c:pt idx="88">
                  <c:v>4003.55</c:v>
                </c:pt>
                <c:pt idx="89">
                  <c:v>4000</c:v>
                </c:pt>
                <c:pt idx="90">
                  <c:v>3994.62</c:v>
                </c:pt>
                <c:pt idx="91">
                  <c:v>3992</c:v>
                </c:pt>
                <c:pt idx="92">
                  <c:v>3993.06</c:v>
                </c:pt>
                <c:pt idx="93">
                  <c:v>3982.95</c:v>
                </c:pt>
                <c:pt idx="94">
                  <c:v>3978</c:v>
                </c:pt>
                <c:pt idx="95">
                  <c:v>4002.8</c:v>
                </c:pt>
                <c:pt idx="96">
                  <c:v>3987.13</c:v>
                </c:pt>
                <c:pt idx="97">
                  <c:v>4003</c:v>
                </c:pt>
                <c:pt idx="98">
                  <c:v>4022.4</c:v>
                </c:pt>
                <c:pt idx="99">
                  <c:v>4016.03</c:v>
                </c:pt>
                <c:pt idx="100">
                  <c:v>4039.52</c:v>
                </c:pt>
                <c:pt idx="101">
                  <c:v>4021.05</c:v>
                </c:pt>
                <c:pt idx="102">
                  <c:v>4012.21</c:v>
                </c:pt>
                <c:pt idx="103">
                  <c:v>4011.52</c:v>
                </c:pt>
                <c:pt idx="104">
                  <c:v>4024.99</c:v>
                </c:pt>
                <c:pt idx="105">
                  <c:v>4033.01</c:v>
                </c:pt>
                <c:pt idx="106">
                  <c:v>4022.86</c:v>
                </c:pt>
                <c:pt idx="107">
                  <c:v>4007.72</c:v>
                </c:pt>
                <c:pt idx="108">
                  <c:v>3995.37</c:v>
                </c:pt>
                <c:pt idx="109">
                  <c:v>4006.35</c:v>
                </c:pt>
                <c:pt idx="110">
                  <c:v>3996.41</c:v>
                </c:pt>
                <c:pt idx="111">
                  <c:v>3989.49</c:v>
                </c:pt>
                <c:pt idx="112">
                  <c:v>3990.8</c:v>
                </c:pt>
                <c:pt idx="113">
                  <c:v>3985.87</c:v>
                </c:pt>
                <c:pt idx="114">
                  <c:v>3993.9</c:v>
                </c:pt>
                <c:pt idx="115">
                  <c:v>3997.66</c:v>
                </c:pt>
                <c:pt idx="116">
                  <c:v>3987.13</c:v>
                </c:pt>
                <c:pt idx="117">
                  <c:v>3980.29</c:v>
                </c:pt>
                <c:pt idx="118">
                  <c:v>3982.58</c:v>
                </c:pt>
                <c:pt idx="119">
                  <c:v>3971.26</c:v>
                </c:pt>
                <c:pt idx="120">
                  <c:v>3954.24</c:v>
                </c:pt>
                <c:pt idx="121">
                  <c:v>3969.19</c:v>
                </c:pt>
                <c:pt idx="122">
                  <c:v>3975.05</c:v>
                </c:pt>
                <c:pt idx="123">
                  <c:v>3989</c:v>
                </c:pt>
                <c:pt idx="124">
                  <c:v>3980.28</c:v>
                </c:pt>
                <c:pt idx="125">
                  <c:v>3991.22</c:v>
                </c:pt>
                <c:pt idx="126">
                  <c:v>3977.15</c:v>
                </c:pt>
                <c:pt idx="127">
                  <c:v>3986.19</c:v>
                </c:pt>
                <c:pt idx="128">
                  <c:v>3996.49</c:v>
                </c:pt>
                <c:pt idx="129">
                  <c:v>3994.08</c:v>
                </c:pt>
                <c:pt idx="130">
                  <c:v>3995.41</c:v>
                </c:pt>
                <c:pt idx="131">
                  <c:v>3997</c:v>
                </c:pt>
                <c:pt idx="132">
                  <c:v>3995.42</c:v>
                </c:pt>
                <c:pt idx="133">
                  <c:v>4001.76</c:v>
                </c:pt>
                <c:pt idx="134">
                  <c:v>3993</c:v>
                </c:pt>
                <c:pt idx="135">
                  <c:v>3985.65</c:v>
                </c:pt>
                <c:pt idx="136">
                  <c:v>3985.25</c:v>
                </c:pt>
                <c:pt idx="137">
                  <c:v>3982.49</c:v>
                </c:pt>
                <c:pt idx="138">
                  <c:v>3987.06</c:v>
                </c:pt>
                <c:pt idx="139">
                  <c:v>3999.41</c:v>
                </c:pt>
                <c:pt idx="140">
                  <c:v>3992.74</c:v>
                </c:pt>
                <c:pt idx="141">
                  <c:v>3986.26</c:v>
                </c:pt>
                <c:pt idx="142">
                  <c:v>3995.05</c:v>
                </c:pt>
                <c:pt idx="143">
                  <c:v>4000</c:v>
                </c:pt>
                <c:pt idx="144">
                  <c:v>3997.84</c:v>
                </c:pt>
                <c:pt idx="145">
                  <c:v>4000</c:v>
                </c:pt>
                <c:pt idx="146">
                  <c:v>3993.83</c:v>
                </c:pt>
                <c:pt idx="147">
                  <c:v>3985.21</c:v>
                </c:pt>
                <c:pt idx="148">
                  <c:v>3977</c:v>
                </c:pt>
                <c:pt idx="149">
                  <c:v>3979.71</c:v>
                </c:pt>
                <c:pt idx="150">
                  <c:v>3968.2</c:v>
                </c:pt>
                <c:pt idx="151">
                  <c:v>3956.21</c:v>
                </c:pt>
                <c:pt idx="152">
                  <c:v>3957.04</c:v>
                </c:pt>
                <c:pt idx="153">
                  <c:v>3949.6</c:v>
                </c:pt>
                <c:pt idx="154">
                  <c:v>3952.5</c:v>
                </c:pt>
                <c:pt idx="155">
                  <c:v>3970.65</c:v>
                </c:pt>
                <c:pt idx="156">
                  <c:v>3960</c:v>
                </c:pt>
                <c:pt idx="157">
                  <c:v>3959.1</c:v>
                </c:pt>
                <c:pt idx="158">
                  <c:v>3966.81</c:v>
                </c:pt>
                <c:pt idx="159">
                  <c:v>3956.39</c:v>
                </c:pt>
                <c:pt idx="160">
                  <c:v>3971.78</c:v>
                </c:pt>
                <c:pt idx="161">
                  <c:v>3989.98</c:v>
                </c:pt>
                <c:pt idx="162">
                  <c:v>3999</c:v>
                </c:pt>
                <c:pt idx="163">
                  <c:v>4022.52</c:v>
                </c:pt>
                <c:pt idx="164">
                  <c:v>4006.84</c:v>
                </c:pt>
                <c:pt idx="165">
                  <c:v>3979.04</c:v>
                </c:pt>
                <c:pt idx="166">
                  <c:v>3981.61</c:v>
                </c:pt>
                <c:pt idx="167">
                  <c:v>3978.33</c:v>
                </c:pt>
                <c:pt idx="168">
                  <c:v>3975</c:v>
                </c:pt>
                <c:pt idx="169">
                  <c:v>3968.73</c:v>
                </c:pt>
                <c:pt idx="170">
                  <c:v>3967.97</c:v>
                </c:pt>
                <c:pt idx="171">
                  <c:v>3961.53</c:v>
                </c:pt>
                <c:pt idx="172">
                  <c:v>3974</c:v>
                </c:pt>
                <c:pt idx="173">
                  <c:v>3978.45</c:v>
                </c:pt>
                <c:pt idx="174">
                  <c:v>3981.08</c:v>
                </c:pt>
                <c:pt idx="175">
                  <c:v>3987.36</c:v>
                </c:pt>
                <c:pt idx="176">
                  <c:v>3983.51</c:v>
                </c:pt>
                <c:pt idx="177">
                  <c:v>3991</c:v>
                </c:pt>
                <c:pt idx="178">
                  <c:v>3994.58</c:v>
                </c:pt>
                <c:pt idx="179">
                  <c:v>3988.71</c:v>
                </c:pt>
                <c:pt idx="180">
                  <c:v>3986.9</c:v>
                </c:pt>
                <c:pt idx="181">
                  <c:v>3996.92</c:v>
                </c:pt>
                <c:pt idx="182">
                  <c:v>3996.97</c:v>
                </c:pt>
                <c:pt idx="183">
                  <c:v>4003</c:v>
                </c:pt>
                <c:pt idx="184">
                  <c:v>4004</c:v>
                </c:pt>
                <c:pt idx="185">
                  <c:v>4002.3</c:v>
                </c:pt>
                <c:pt idx="186">
                  <c:v>3993.57</c:v>
                </c:pt>
                <c:pt idx="187">
                  <c:v>3988.38</c:v>
                </c:pt>
                <c:pt idx="188">
                  <c:v>3988.15</c:v>
                </c:pt>
                <c:pt idx="189">
                  <c:v>3974.78</c:v>
                </c:pt>
                <c:pt idx="190">
                  <c:v>3977.98</c:v>
                </c:pt>
                <c:pt idx="191">
                  <c:v>3971</c:v>
                </c:pt>
                <c:pt idx="192">
                  <c:v>3985.61</c:v>
                </c:pt>
                <c:pt idx="193">
                  <c:v>3985.31</c:v>
                </c:pt>
                <c:pt idx="194">
                  <c:v>3975.92</c:v>
                </c:pt>
                <c:pt idx="195">
                  <c:v>3970.01</c:v>
                </c:pt>
                <c:pt idx="196">
                  <c:v>3960.22</c:v>
                </c:pt>
                <c:pt idx="197">
                  <c:v>3961.28</c:v>
                </c:pt>
                <c:pt idx="198">
                  <c:v>3975.14</c:v>
                </c:pt>
                <c:pt idx="199">
                  <c:v>3976.49</c:v>
                </c:pt>
                <c:pt idx="200">
                  <c:v>3981.33</c:v>
                </c:pt>
                <c:pt idx="201">
                  <c:v>3970.78</c:v>
                </c:pt>
                <c:pt idx="202">
                  <c:v>3961.79</c:v>
                </c:pt>
                <c:pt idx="203">
                  <c:v>3953</c:v>
                </c:pt>
                <c:pt idx="204">
                  <c:v>3952.51</c:v>
                </c:pt>
                <c:pt idx="205">
                  <c:v>3960.81</c:v>
                </c:pt>
                <c:pt idx="206">
                  <c:v>3944.3</c:v>
                </c:pt>
                <c:pt idx="207">
                  <c:v>3944.93</c:v>
                </c:pt>
                <c:pt idx="208">
                  <c:v>3935.39</c:v>
                </c:pt>
                <c:pt idx="209">
                  <c:v>3948.13</c:v>
                </c:pt>
                <c:pt idx="210">
                  <c:v>3920.88</c:v>
                </c:pt>
                <c:pt idx="211">
                  <c:v>3939.59</c:v>
                </c:pt>
                <c:pt idx="212">
                  <c:v>3933.26</c:v>
                </c:pt>
                <c:pt idx="213">
                  <c:v>3952.91</c:v>
                </c:pt>
                <c:pt idx="214">
                  <c:v>3959.51</c:v>
                </c:pt>
                <c:pt idx="215">
                  <c:v>3957.01</c:v>
                </c:pt>
                <c:pt idx="216">
                  <c:v>3945.96</c:v>
                </c:pt>
                <c:pt idx="217">
                  <c:v>3929.76</c:v>
                </c:pt>
                <c:pt idx="218">
                  <c:v>3947.36</c:v>
                </c:pt>
                <c:pt idx="219">
                  <c:v>3938</c:v>
                </c:pt>
                <c:pt idx="220">
                  <c:v>3931.44</c:v>
                </c:pt>
                <c:pt idx="221">
                  <c:v>3931.05</c:v>
                </c:pt>
                <c:pt idx="222">
                  <c:v>3915</c:v>
                </c:pt>
                <c:pt idx="223">
                  <c:v>3930.02</c:v>
                </c:pt>
                <c:pt idx="224">
                  <c:v>3942.5</c:v>
                </c:pt>
                <c:pt idx="225">
                  <c:v>3949.59</c:v>
                </c:pt>
                <c:pt idx="226">
                  <c:v>3961.01</c:v>
                </c:pt>
                <c:pt idx="227">
                  <c:v>3949.07</c:v>
                </c:pt>
                <c:pt idx="228">
                  <c:v>3960.75</c:v>
                </c:pt>
                <c:pt idx="229">
                  <c:v>3956.14</c:v>
                </c:pt>
                <c:pt idx="230">
                  <c:v>3961.31</c:v>
                </c:pt>
                <c:pt idx="231">
                  <c:v>3983</c:v>
                </c:pt>
                <c:pt idx="232">
                  <c:v>3973.5</c:v>
                </c:pt>
                <c:pt idx="233">
                  <c:v>3984.68</c:v>
                </c:pt>
                <c:pt idx="234">
                  <c:v>3994.15</c:v>
                </c:pt>
                <c:pt idx="235">
                  <c:v>3981.81</c:v>
                </c:pt>
                <c:pt idx="236">
                  <c:v>3992.54</c:v>
                </c:pt>
                <c:pt idx="237">
                  <c:v>3979.46</c:v>
                </c:pt>
                <c:pt idx="238">
                  <c:v>3977.41</c:v>
                </c:pt>
                <c:pt idx="239">
                  <c:v>3974.27</c:v>
                </c:pt>
                <c:pt idx="240">
                  <c:v>3974.95</c:v>
                </c:pt>
                <c:pt idx="241">
                  <c:v>3980.46</c:v>
                </c:pt>
                <c:pt idx="242">
                  <c:v>3986.89</c:v>
                </c:pt>
                <c:pt idx="243">
                  <c:v>3986.47</c:v>
                </c:pt>
                <c:pt idx="244">
                  <c:v>3990.81</c:v>
                </c:pt>
                <c:pt idx="245">
                  <c:v>3983.71</c:v>
                </c:pt>
                <c:pt idx="246">
                  <c:v>3995.95</c:v>
                </c:pt>
                <c:pt idx="247">
                  <c:v>4017</c:v>
                </c:pt>
                <c:pt idx="248">
                  <c:v>4003.28</c:v>
                </c:pt>
                <c:pt idx="249">
                  <c:v>4005.71</c:v>
                </c:pt>
                <c:pt idx="250">
                  <c:v>3987.98</c:v>
                </c:pt>
                <c:pt idx="251">
                  <c:v>3979.97</c:v>
                </c:pt>
                <c:pt idx="252">
                  <c:v>3982.63</c:v>
                </c:pt>
                <c:pt idx="253">
                  <c:v>3993.2</c:v>
                </c:pt>
                <c:pt idx="254">
                  <c:v>3987.33</c:v>
                </c:pt>
                <c:pt idx="255">
                  <c:v>3986.74</c:v>
                </c:pt>
                <c:pt idx="256">
                  <c:v>3995.6</c:v>
                </c:pt>
                <c:pt idx="257">
                  <c:v>3995.69</c:v>
                </c:pt>
                <c:pt idx="258">
                  <c:v>3993</c:v>
                </c:pt>
                <c:pt idx="259">
                  <c:v>4002.62</c:v>
                </c:pt>
                <c:pt idx="260">
                  <c:v>3998.91</c:v>
                </c:pt>
                <c:pt idx="261">
                  <c:v>4014.3</c:v>
                </c:pt>
                <c:pt idx="262">
                  <c:v>4005</c:v>
                </c:pt>
                <c:pt idx="263">
                  <c:v>4000.1</c:v>
                </c:pt>
                <c:pt idx="264">
                  <c:v>3997.76</c:v>
                </c:pt>
                <c:pt idx="265">
                  <c:v>3991.41</c:v>
                </c:pt>
                <c:pt idx="266">
                  <c:v>3994.91</c:v>
                </c:pt>
                <c:pt idx="267">
                  <c:v>4004.41</c:v>
                </c:pt>
                <c:pt idx="268">
                  <c:v>3994.29</c:v>
                </c:pt>
                <c:pt idx="269">
                  <c:v>3987.61</c:v>
                </c:pt>
                <c:pt idx="270">
                  <c:v>3996.4</c:v>
                </c:pt>
                <c:pt idx="271">
                  <c:v>4005.01</c:v>
                </c:pt>
                <c:pt idx="272">
                  <c:v>4011</c:v>
                </c:pt>
                <c:pt idx="273">
                  <c:v>4009</c:v>
                </c:pt>
                <c:pt idx="274">
                  <c:v>4005.01</c:v>
                </c:pt>
                <c:pt idx="275">
                  <c:v>4000.3</c:v>
                </c:pt>
                <c:pt idx="276">
                  <c:v>4006.99</c:v>
                </c:pt>
                <c:pt idx="277">
                  <c:v>4003.01</c:v>
                </c:pt>
                <c:pt idx="278">
                  <c:v>4010.65</c:v>
                </c:pt>
                <c:pt idx="279">
                  <c:v>4013.97</c:v>
                </c:pt>
                <c:pt idx="280">
                  <c:v>4008.1</c:v>
                </c:pt>
                <c:pt idx="281">
                  <c:v>4010.38</c:v>
                </c:pt>
                <c:pt idx="282">
                  <c:v>4021</c:v>
                </c:pt>
                <c:pt idx="283">
                  <c:v>4002</c:v>
                </c:pt>
                <c:pt idx="284">
                  <c:v>3995</c:v>
                </c:pt>
                <c:pt idx="285">
                  <c:v>4001.52</c:v>
                </c:pt>
                <c:pt idx="286">
                  <c:v>4000.1</c:v>
                </c:pt>
                <c:pt idx="287">
                  <c:v>4014.01</c:v>
                </c:pt>
                <c:pt idx="288">
                  <c:v>4021.01</c:v>
                </c:pt>
                <c:pt idx="289">
                  <c:v>4019.82</c:v>
                </c:pt>
                <c:pt idx="290">
                  <c:v>4023.98</c:v>
                </c:pt>
                <c:pt idx="291">
                  <c:v>4015.2</c:v>
                </c:pt>
                <c:pt idx="292">
                  <c:v>4028.98</c:v>
                </c:pt>
                <c:pt idx="293">
                  <c:v>4029</c:v>
                </c:pt>
                <c:pt idx="294">
                  <c:v>4020.83</c:v>
                </c:pt>
                <c:pt idx="295">
                  <c:v>4024.29</c:v>
                </c:pt>
                <c:pt idx="296">
                  <c:v>4029.11</c:v>
                </c:pt>
                <c:pt idx="297">
                  <c:v>4015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7-4140-AB67-B688554A8E99}"/>
            </c:ext>
          </c:extLst>
        </c:ser>
        <c:ser>
          <c:idx val="4"/>
          <c:order val="4"/>
          <c:tx>
            <c:strRef>
              <c:f>NoEntry!$N$1</c:f>
              <c:strCache>
                <c:ptCount val="1"/>
                <c:pt idx="0">
                  <c:v> zigzag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NoEntry!$K$2:$K$302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cat>
          <c:val>
            <c:numRef>
              <c:f>NoEntry!$N$2:$N$302</c:f>
              <c:numCache>
                <c:formatCode>_("$"* #,##0.000_);_("$"* \(#,##0.000\);_("$"* "-"??_);_(@_)</c:formatCode>
                <c:ptCount val="301"/>
                <c:pt idx="222">
                  <c:v>3915</c:v>
                </c:pt>
                <c:pt idx="223">
                  <c:v>3916.5420270270201</c:v>
                </c:pt>
                <c:pt idx="224">
                  <c:v>3918.0840540540498</c:v>
                </c:pt>
                <c:pt idx="225">
                  <c:v>3919.62608108108</c:v>
                </c:pt>
                <c:pt idx="226">
                  <c:v>3921.1681081081001</c:v>
                </c:pt>
                <c:pt idx="227">
                  <c:v>3922.7101351351298</c:v>
                </c:pt>
                <c:pt idx="228">
                  <c:v>3924.2521621621599</c:v>
                </c:pt>
                <c:pt idx="229">
                  <c:v>3925.7941891891801</c:v>
                </c:pt>
                <c:pt idx="230">
                  <c:v>3927.3362162162098</c:v>
                </c:pt>
                <c:pt idx="231">
                  <c:v>3928.8782432432399</c:v>
                </c:pt>
                <c:pt idx="232">
                  <c:v>3930.4202702702701</c:v>
                </c:pt>
                <c:pt idx="233">
                  <c:v>3931.9622972972902</c:v>
                </c:pt>
                <c:pt idx="234">
                  <c:v>3933.5043243243199</c:v>
                </c:pt>
                <c:pt idx="235">
                  <c:v>3935.04635135135</c:v>
                </c:pt>
                <c:pt idx="236">
                  <c:v>3936.5883783783702</c:v>
                </c:pt>
                <c:pt idx="237">
                  <c:v>3938.1304054053999</c:v>
                </c:pt>
                <c:pt idx="238">
                  <c:v>3939.67243243243</c:v>
                </c:pt>
                <c:pt idx="239">
                  <c:v>3941.2144594594502</c:v>
                </c:pt>
                <c:pt idx="240">
                  <c:v>3942.7564864864798</c:v>
                </c:pt>
                <c:pt idx="241">
                  <c:v>3944.29851351351</c:v>
                </c:pt>
                <c:pt idx="242">
                  <c:v>3945.8405405405401</c:v>
                </c:pt>
                <c:pt idx="243">
                  <c:v>3947.3825675675598</c:v>
                </c:pt>
                <c:pt idx="244">
                  <c:v>3948.92459459459</c:v>
                </c:pt>
                <c:pt idx="245">
                  <c:v>3950.4666216216201</c:v>
                </c:pt>
                <c:pt idx="246">
                  <c:v>3952.0086486486398</c:v>
                </c:pt>
                <c:pt idx="247">
                  <c:v>3953.5506756756699</c:v>
                </c:pt>
                <c:pt idx="248">
                  <c:v>3955.0927027027001</c:v>
                </c:pt>
                <c:pt idx="249">
                  <c:v>3956.6347297297202</c:v>
                </c:pt>
                <c:pt idx="250">
                  <c:v>3958.1767567567499</c:v>
                </c:pt>
                <c:pt idx="251">
                  <c:v>3959.7187837837801</c:v>
                </c:pt>
                <c:pt idx="252">
                  <c:v>3961.2608108108102</c:v>
                </c:pt>
                <c:pt idx="253">
                  <c:v>3962.8028378378299</c:v>
                </c:pt>
                <c:pt idx="254">
                  <c:v>3964.34486486486</c:v>
                </c:pt>
                <c:pt idx="255">
                  <c:v>3965.8868918918902</c:v>
                </c:pt>
                <c:pt idx="256">
                  <c:v>3967.4289189189099</c:v>
                </c:pt>
                <c:pt idx="257">
                  <c:v>3968.97094594594</c:v>
                </c:pt>
                <c:pt idx="258">
                  <c:v>3970.5129729729701</c:v>
                </c:pt>
                <c:pt idx="259">
                  <c:v>3972.0549999999998</c:v>
                </c:pt>
                <c:pt idx="260">
                  <c:v>3973.59702702702</c:v>
                </c:pt>
                <c:pt idx="261">
                  <c:v>3975.1390540540501</c:v>
                </c:pt>
                <c:pt idx="262">
                  <c:v>3976.6810810810798</c:v>
                </c:pt>
                <c:pt idx="263">
                  <c:v>3978.2231081081</c:v>
                </c:pt>
                <c:pt idx="264">
                  <c:v>3979.7651351351301</c:v>
                </c:pt>
                <c:pt idx="265">
                  <c:v>3981.3071621621598</c:v>
                </c:pt>
                <c:pt idx="266">
                  <c:v>3982.8491891891799</c:v>
                </c:pt>
                <c:pt idx="267">
                  <c:v>3984.3912162162101</c:v>
                </c:pt>
                <c:pt idx="268">
                  <c:v>3985.9332432432402</c:v>
                </c:pt>
                <c:pt idx="269">
                  <c:v>3987.4752702702699</c:v>
                </c:pt>
                <c:pt idx="270">
                  <c:v>3989.01729729729</c:v>
                </c:pt>
                <c:pt idx="271">
                  <c:v>3990.5593243243202</c:v>
                </c:pt>
                <c:pt idx="272">
                  <c:v>3992.1013513513499</c:v>
                </c:pt>
                <c:pt idx="273">
                  <c:v>3993.64337837837</c:v>
                </c:pt>
                <c:pt idx="274">
                  <c:v>3995.1854054054002</c:v>
                </c:pt>
                <c:pt idx="275">
                  <c:v>3996.7274324324299</c:v>
                </c:pt>
                <c:pt idx="276">
                  <c:v>3998.26945945945</c:v>
                </c:pt>
                <c:pt idx="277">
                  <c:v>3999.8114864864801</c:v>
                </c:pt>
                <c:pt idx="278">
                  <c:v>4001.3535135135098</c:v>
                </c:pt>
                <c:pt idx="279">
                  <c:v>4002.89554054054</c:v>
                </c:pt>
                <c:pt idx="280">
                  <c:v>4004.4375675675601</c:v>
                </c:pt>
                <c:pt idx="281">
                  <c:v>4005.9795945945898</c:v>
                </c:pt>
                <c:pt idx="282">
                  <c:v>4007.5216216216199</c:v>
                </c:pt>
                <c:pt idx="283">
                  <c:v>4009.0636486486401</c:v>
                </c:pt>
                <c:pt idx="284">
                  <c:v>4010.6056756756702</c:v>
                </c:pt>
                <c:pt idx="285">
                  <c:v>4012.1477027026999</c:v>
                </c:pt>
                <c:pt idx="286">
                  <c:v>4013.6897297297201</c:v>
                </c:pt>
                <c:pt idx="287">
                  <c:v>4015.2317567567502</c:v>
                </c:pt>
                <c:pt idx="288">
                  <c:v>4016.7737837837799</c:v>
                </c:pt>
                <c:pt idx="289">
                  <c:v>4018.31581081081</c:v>
                </c:pt>
                <c:pt idx="290">
                  <c:v>4019.8578378378302</c:v>
                </c:pt>
                <c:pt idx="291">
                  <c:v>4021.3998648648599</c:v>
                </c:pt>
                <c:pt idx="292">
                  <c:v>4022.94189189189</c:v>
                </c:pt>
                <c:pt idx="293">
                  <c:v>4024.4839189189101</c:v>
                </c:pt>
                <c:pt idx="294">
                  <c:v>4026.0259459459398</c:v>
                </c:pt>
                <c:pt idx="295">
                  <c:v>4027.56797297297</c:v>
                </c:pt>
                <c:pt idx="296">
                  <c:v>4029.11</c:v>
                </c:pt>
                <c:pt idx="297">
                  <c:v>4020.54</c:v>
                </c:pt>
                <c:pt idx="298">
                  <c:v>4011.97</c:v>
                </c:pt>
                <c:pt idx="299">
                  <c:v>4014.99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7-4140-AB67-B688554A8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CB7-4140-AB67-B688554A8E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B7-4140-AB67-B688554A8E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NoEntry!$K$2:$K$302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TailEnd!#REF!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B7-4140-AB67-B688554A8E99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4275"/>
          <c:min val="3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Issue1949!$F$2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Issue1949!$F$3:$F$1432</c:f>
              <c:numCache>
                <c:formatCode>_("$"* #,##0.00_);_("$"* \(#,##0.00\);_("$"* "-"??_);_(@_)</c:formatCode>
                <c:ptCount val="1430"/>
                <c:pt idx="0">
                  <c:v>83642.100000000006</c:v>
                </c:pt>
                <c:pt idx="1">
                  <c:v>83685.62</c:v>
                </c:pt>
                <c:pt idx="2">
                  <c:v>83727.77</c:v>
                </c:pt>
                <c:pt idx="3">
                  <c:v>83725.09</c:v>
                </c:pt>
                <c:pt idx="4">
                  <c:v>83730.58</c:v>
                </c:pt>
                <c:pt idx="5">
                  <c:v>83737.41</c:v>
                </c:pt>
                <c:pt idx="6">
                  <c:v>83736.960000000006</c:v>
                </c:pt>
                <c:pt idx="7">
                  <c:v>83709</c:v>
                </c:pt>
                <c:pt idx="8">
                  <c:v>83708.77</c:v>
                </c:pt>
                <c:pt idx="9">
                  <c:v>83729.59</c:v>
                </c:pt>
                <c:pt idx="10">
                  <c:v>83728.5</c:v>
                </c:pt>
                <c:pt idx="11">
                  <c:v>83740.97</c:v>
                </c:pt>
                <c:pt idx="12">
                  <c:v>83735.199999999997</c:v>
                </c:pt>
                <c:pt idx="13">
                  <c:v>83707.850000000006</c:v>
                </c:pt>
                <c:pt idx="14">
                  <c:v>83699.929999999993</c:v>
                </c:pt>
                <c:pt idx="15">
                  <c:v>83716.679999999993</c:v>
                </c:pt>
                <c:pt idx="16">
                  <c:v>83740.34</c:v>
                </c:pt>
                <c:pt idx="17">
                  <c:v>83646.009999999995</c:v>
                </c:pt>
                <c:pt idx="18">
                  <c:v>83652.600000000006</c:v>
                </c:pt>
                <c:pt idx="19">
                  <c:v>83655.320000000007</c:v>
                </c:pt>
                <c:pt idx="20">
                  <c:v>83655.399999999994</c:v>
                </c:pt>
                <c:pt idx="21">
                  <c:v>83685.009999999995</c:v>
                </c:pt>
                <c:pt idx="22">
                  <c:v>83685.3</c:v>
                </c:pt>
                <c:pt idx="23">
                  <c:v>83685.210000000006</c:v>
                </c:pt>
                <c:pt idx="24">
                  <c:v>83712.78</c:v>
                </c:pt>
                <c:pt idx="25">
                  <c:v>83702.600000000006</c:v>
                </c:pt>
                <c:pt idx="26">
                  <c:v>83683.94</c:v>
                </c:pt>
                <c:pt idx="27">
                  <c:v>83669.33</c:v>
                </c:pt>
                <c:pt idx="28">
                  <c:v>83663.820000000007</c:v>
                </c:pt>
                <c:pt idx="29">
                  <c:v>83652.41</c:v>
                </c:pt>
                <c:pt idx="30">
                  <c:v>83627.81</c:v>
                </c:pt>
                <c:pt idx="31">
                  <c:v>83647.91</c:v>
                </c:pt>
                <c:pt idx="32">
                  <c:v>83648.149999999994</c:v>
                </c:pt>
                <c:pt idx="33">
                  <c:v>83668.960000000006</c:v>
                </c:pt>
                <c:pt idx="34">
                  <c:v>83685.100000000006</c:v>
                </c:pt>
                <c:pt idx="35">
                  <c:v>83700.350000000006</c:v>
                </c:pt>
                <c:pt idx="36">
                  <c:v>83708.61</c:v>
                </c:pt>
                <c:pt idx="37">
                  <c:v>83724.2</c:v>
                </c:pt>
                <c:pt idx="38">
                  <c:v>83693.84</c:v>
                </c:pt>
                <c:pt idx="39">
                  <c:v>83663.61</c:v>
                </c:pt>
                <c:pt idx="40">
                  <c:v>83651.92</c:v>
                </c:pt>
                <c:pt idx="41">
                  <c:v>83540.11</c:v>
                </c:pt>
                <c:pt idx="42">
                  <c:v>83559.009999999995</c:v>
                </c:pt>
                <c:pt idx="43">
                  <c:v>83522.509999999995</c:v>
                </c:pt>
                <c:pt idx="44">
                  <c:v>83531.7</c:v>
                </c:pt>
                <c:pt idx="45">
                  <c:v>83491.509999999995</c:v>
                </c:pt>
                <c:pt idx="46">
                  <c:v>83504.210000000006</c:v>
                </c:pt>
                <c:pt idx="47">
                  <c:v>83499.600000000006</c:v>
                </c:pt>
                <c:pt idx="48">
                  <c:v>83446.81</c:v>
                </c:pt>
                <c:pt idx="49">
                  <c:v>83417.320000000007</c:v>
                </c:pt>
                <c:pt idx="50">
                  <c:v>83416.039999999994</c:v>
                </c:pt>
                <c:pt idx="51">
                  <c:v>83373.399999999994</c:v>
                </c:pt>
                <c:pt idx="52">
                  <c:v>83358.490000000005</c:v>
                </c:pt>
                <c:pt idx="53">
                  <c:v>83413.98</c:v>
                </c:pt>
                <c:pt idx="54">
                  <c:v>83416.44</c:v>
                </c:pt>
                <c:pt idx="55">
                  <c:v>83432.91</c:v>
                </c:pt>
                <c:pt idx="56">
                  <c:v>83480</c:v>
                </c:pt>
                <c:pt idx="57">
                  <c:v>83451.240000000005</c:v>
                </c:pt>
                <c:pt idx="58">
                  <c:v>83506.350000000006</c:v>
                </c:pt>
                <c:pt idx="59">
                  <c:v>83514.59</c:v>
                </c:pt>
                <c:pt idx="60">
                  <c:v>83478.34</c:v>
                </c:pt>
                <c:pt idx="61">
                  <c:v>83469.7</c:v>
                </c:pt>
                <c:pt idx="62">
                  <c:v>83494.13</c:v>
                </c:pt>
                <c:pt idx="63">
                  <c:v>83503.34</c:v>
                </c:pt>
                <c:pt idx="64">
                  <c:v>83501.429999999993</c:v>
                </c:pt>
                <c:pt idx="65">
                  <c:v>83500.100000000006</c:v>
                </c:pt>
                <c:pt idx="66">
                  <c:v>83515</c:v>
                </c:pt>
                <c:pt idx="67">
                  <c:v>83483.899999999994</c:v>
                </c:pt>
                <c:pt idx="68">
                  <c:v>83510.8</c:v>
                </c:pt>
                <c:pt idx="69">
                  <c:v>83506.539999999994</c:v>
                </c:pt>
                <c:pt idx="70">
                  <c:v>83503.94</c:v>
                </c:pt>
                <c:pt idx="71">
                  <c:v>83514.320000000007</c:v>
                </c:pt>
                <c:pt idx="72">
                  <c:v>83550.399999999994</c:v>
                </c:pt>
                <c:pt idx="73">
                  <c:v>83533.42</c:v>
                </c:pt>
                <c:pt idx="74">
                  <c:v>83512.509999999995</c:v>
                </c:pt>
                <c:pt idx="75">
                  <c:v>83453.31</c:v>
                </c:pt>
                <c:pt idx="76">
                  <c:v>83486.559999999998</c:v>
                </c:pt>
                <c:pt idx="77">
                  <c:v>83515.100000000006</c:v>
                </c:pt>
                <c:pt idx="78">
                  <c:v>83443.399999999994</c:v>
                </c:pt>
                <c:pt idx="79">
                  <c:v>83426.070000000007</c:v>
                </c:pt>
                <c:pt idx="80">
                  <c:v>83423.509999999995</c:v>
                </c:pt>
                <c:pt idx="81">
                  <c:v>83394.63</c:v>
                </c:pt>
                <c:pt idx="82">
                  <c:v>83292.600000000006</c:v>
                </c:pt>
                <c:pt idx="83">
                  <c:v>83157.600000000006</c:v>
                </c:pt>
                <c:pt idx="84">
                  <c:v>83150.559999999998</c:v>
                </c:pt>
                <c:pt idx="85">
                  <c:v>83303.8</c:v>
                </c:pt>
                <c:pt idx="86">
                  <c:v>83165.039999999994</c:v>
                </c:pt>
                <c:pt idx="87">
                  <c:v>83130.25</c:v>
                </c:pt>
                <c:pt idx="88">
                  <c:v>83133.63</c:v>
                </c:pt>
                <c:pt idx="89">
                  <c:v>83182.81</c:v>
                </c:pt>
                <c:pt idx="90">
                  <c:v>83205.77</c:v>
                </c:pt>
                <c:pt idx="91">
                  <c:v>83209.100000000006</c:v>
                </c:pt>
                <c:pt idx="92">
                  <c:v>83228.36</c:v>
                </c:pt>
                <c:pt idx="93">
                  <c:v>83184.240000000005</c:v>
                </c:pt>
                <c:pt idx="94">
                  <c:v>83180.36</c:v>
                </c:pt>
                <c:pt idx="95">
                  <c:v>83167.520000000004</c:v>
                </c:pt>
                <c:pt idx="96">
                  <c:v>83143.42</c:v>
                </c:pt>
                <c:pt idx="97">
                  <c:v>83124.639999999999</c:v>
                </c:pt>
                <c:pt idx="98">
                  <c:v>83069.63</c:v>
                </c:pt>
                <c:pt idx="99">
                  <c:v>83024.210000000006</c:v>
                </c:pt>
                <c:pt idx="100">
                  <c:v>83048.39</c:v>
                </c:pt>
                <c:pt idx="101">
                  <c:v>83012.91</c:v>
                </c:pt>
                <c:pt idx="102">
                  <c:v>82954.38</c:v>
                </c:pt>
                <c:pt idx="103">
                  <c:v>82975.28</c:v>
                </c:pt>
                <c:pt idx="104">
                  <c:v>82911.03</c:v>
                </c:pt>
                <c:pt idx="105">
                  <c:v>82919.62</c:v>
                </c:pt>
                <c:pt idx="106">
                  <c:v>82816.86</c:v>
                </c:pt>
                <c:pt idx="107">
                  <c:v>82776.91</c:v>
                </c:pt>
                <c:pt idx="108">
                  <c:v>82929.53</c:v>
                </c:pt>
                <c:pt idx="109">
                  <c:v>82967.81</c:v>
                </c:pt>
                <c:pt idx="110">
                  <c:v>82868.5</c:v>
                </c:pt>
                <c:pt idx="111">
                  <c:v>82667.570000000007</c:v>
                </c:pt>
                <c:pt idx="112">
                  <c:v>82744.91</c:v>
                </c:pt>
                <c:pt idx="113">
                  <c:v>82644.39</c:v>
                </c:pt>
                <c:pt idx="114">
                  <c:v>82682.039999999994</c:v>
                </c:pt>
                <c:pt idx="115">
                  <c:v>82744.399999999994</c:v>
                </c:pt>
                <c:pt idx="116">
                  <c:v>82747.23</c:v>
                </c:pt>
                <c:pt idx="117">
                  <c:v>82790.460000000006</c:v>
                </c:pt>
                <c:pt idx="118">
                  <c:v>82720.929999999993</c:v>
                </c:pt>
                <c:pt idx="119">
                  <c:v>82760.240000000005</c:v>
                </c:pt>
                <c:pt idx="120">
                  <c:v>82790.17</c:v>
                </c:pt>
                <c:pt idx="121">
                  <c:v>82812.53</c:v>
                </c:pt>
                <c:pt idx="122">
                  <c:v>82923.14</c:v>
                </c:pt>
                <c:pt idx="123">
                  <c:v>82921.63</c:v>
                </c:pt>
                <c:pt idx="124">
                  <c:v>83005.64</c:v>
                </c:pt>
                <c:pt idx="125">
                  <c:v>82989.87</c:v>
                </c:pt>
                <c:pt idx="126">
                  <c:v>83050.320000000007</c:v>
                </c:pt>
                <c:pt idx="127">
                  <c:v>83124.34</c:v>
                </c:pt>
                <c:pt idx="128">
                  <c:v>83126.720000000001</c:v>
                </c:pt>
                <c:pt idx="129">
                  <c:v>83047.039999999994</c:v>
                </c:pt>
                <c:pt idx="130">
                  <c:v>83018.66</c:v>
                </c:pt>
                <c:pt idx="131">
                  <c:v>83093.56</c:v>
                </c:pt>
                <c:pt idx="132">
                  <c:v>83056.899999999994</c:v>
                </c:pt>
                <c:pt idx="133">
                  <c:v>83110.350000000006</c:v>
                </c:pt>
                <c:pt idx="134">
                  <c:v>83161.06</c:v>
                </c:pt>
                <c:pt idx="135">
                  <c:v>83129.08</c:v>
                </c:pt>
                <c:pt idx="136">
                  <c:v>83206.5</c:v>
                </c:pt>
                <c:pt idx="137">
                  <c:v>83031.13</c:v>
                </c:pt>
                <c:pt idx="138">
                  <c:v>83080.86</c:v>
                </c:pt>
                <c:pt idx="139">
                  <c:v>83107.92</c:v>
                </c:pt>
                <c:pt idx="140">
                  <c:v>83098.34</c:v>
                </c:pt>
                <c:pt idx="141">
                  <c:v>83149.42</c:v>
                </c:pt>
                <c:pt idx="142">
                  <c:v>83117.850000000006</c:v>
                </c:pt>
                <c:pt idx="143">
                  <c:v>83138.13</c:v>
                </c:pt>
                <c:pt idx="144">
                  <c:v>83149.63</c:v>
                </c:pt>
                <c:pt idx="145">
                  <c:v>83093.16</c:v>
                </c:pt>
                <c:pt idx="146">
                  <c:v>83096.539999999994</c:v>
                </c:pt>
                <c:pt idx="147">
                  <c:v>83087.899999999994</c:v>
                </c:pt>
                <c:pt idx="148">
                  <c:v>83124.91</c:v>
                </c:pt>
                <c:pt idx="149">
                  <c:v>83112.31</c:v>
                </c:pt>
                <c:pt idx="150">
                  <c:v>83033.81</c:v>
                </c:pt>
                <c:pt idx="151">
                  <c:v>83020.36</c:v>
                </c:pt>
                <c:pt idx="152">
                  <c:v>82999.600000000006</c:v>
                </c:pt>
                <c:pt idx="153">
                  <c:v>82963.63</c:v>
                </c:pt>
                <c:pt idx="154">
                  <c:v>82928.03</c:v>
                </c:pt>
                <c:pt idx="155">
                  <c:v>82859.570000000007</c:v>
                </c:pt>
                <c:pt idx="156">
                  <c:v>82886.679999999993</c:v>
                </c:pt>
                <c:pt idx="157">
                  <c:v>82886.83</c:v>
                </c:pt>
                <c:pt idx="158">
                  <c:v>82904.03</c:v>
                </c:pt>
                <c:pt idx="159">
                  <c:v>82922.5</c:v>
                </c:pt>
                <c:pt idx="160">
                  <c:v>82987.710000000006</c:v>
                </c:pt>
                <c:pt idx="161">
                  <c:v>83025.8</c:v>
                </c:pt>
                <c:pt idx="162">
                  <c:v>83098.84</c:v>
                </c:pt>
                <c:pt idx="163">
                  <c:v>83164.36</c:v>
                </c:pt>
                <c:pt idx="164">
                  <c:v>83164.59</c:v>
                </c:pt>
                <c:pt idx="165">
                  <c:v>83191.05</c:v>
                </c:pt>
                <c:pt idx="166">
                  <c:v>83250.37</c:v>
                </c:pt>
                <c:pt idx="167">
                  <c:v>83201.119999999995</c:v>
                </c:pt>
                <c:pt idx="168">
                  <c:v>83140.5</c:v>
                </c:pt>
                <c:pt idx="169">
                  <c:v>83142.05</c:v>
                </c:pt>
                <c:pt idx="170">
                  <c:v>83156.37</c:v>
                </c:pt>
                <c:pt idx="171">
                  <c:v>83189.210000000006</c:v>
                </c:pt>
                <c:pt idx="172">
                  <c:v>83193.7</c:v>
                </c:pt>
                <c:pt idx="173">
                  <c:v>83198.55</c:v>
                </c:pt>
                <c:pt idx="174">
                  <c:v>83178.929999999993</c:v>
                </c:pt>
                <c:pt idx="175">
                  <c:v>83165.289999999994</c:v>
                </c:pt>
                <c:pt idx="176">
                  <c:v>83142.990000000005</c:v>
                </c:pt>
                <c:pt idx="177">
                  <c:v>83159.8</c:v>
                </c:pt>
                <c:pt idx="178">
                  <c:v>83099.31</c:v>
                </c:pt>
                <c:pt idx="179">
                  <c:v>83088.600000000006</c:v>
                </c:pt>
                <c:pt idx="180">
                  <c:v>83070.81</c:v>
                </c:pt>
                <c:pt idx="181">
                  <c:v>83109.25</c:v>
                </c:pt>
                <c:pt idx="182">
                  <c:v>83079.62</c:v>
                </c:pt>
                <c:pt idx="183">
                  <c:v>83067.240000000005</c:v>
                </c:pt>
                <c:pt idx="184">
                  <c:v>83060.56</c:v>
                </c:pt>
                <c:pt idx="185">
                  <c:v>83102.720000000001</c:v>
                </c:pt>
                <c:pt idx="186">
                  <c:v>83131.5</c:v>
                </c:pt>
                <c:pt idx="187">
                  <c:v>83120.73</c:v>
                </c:pt>
                <c:pt idx="188">
                  <c:v>83123.289999999994</c:v>
                </c:pt>
                <c:pt idx="189">
                  <c:v>83074.98</c:v>
                </c:pt>
                <c:pt idx="190">
                  <c:v>83065.710000000006</c:v>
                </c:pt>
                <c:pt idx="191">
                  <c:v>83095.63</c:v>
                </c:pt>
                <c:pt idx="192">
                  <c:v>83079.97</c:v>
                </c:pt>
                <c:pt idx="193">
                  <c:v>83079.94</c:v>
                </c:pt>
                <c:pt idx="194">
                  <c:v>83059.759999999995</c:v>
                </c:pt>
                <c:pt idx="195">
                  <c:v>83036.75</c:v>
                </c:pt>
                <c:pt idx="196">
                  <c:v>83049.740000000005</c:v>
                </c:pt>
                <c:pt idx="197">
                  <c:v>83059.92</c:v>
                </c:pt>
                <c:pt idx="198">
                  <c:v>82998.320000000007</c:v>
                </c:pt>
                <c:pt idx="199">
                  <c:v>82942.009999999995</c:v>
                </c:pt>
                <c:pt idx="200">
                  <c:v>82942.2</c:v>
                </c:pt>
                <c:pt idx="201">
                  <c:v>82974.929999999993</c:v>
                </c:pt>
                <c:pt idx="202">
                  <c:v>83014.41</c:v>
                </c:pt>
                <c:pt idx="203">
                  <c:v>82981.990000000005</c:v>
                </c:pt>
                <c:pt idx="204">
                  <c:v>82957.67</c:v>
                </c:pt>
                <c:pt idx="205">
                  <c:v>82950.490000000005</c:v>
                </c:pt>
                <c:pt idx="206">
                  <c:v>82971.75</c:v>
                </c:pt>
                <c:pt idx="207">
                  <c:v>82950.37</c:v>
                </c:pt>
                <c:pt idx="208">
                  <c:v>82959.399999999994</c:v>
                </c:pt>
                <c:pt idx="209">
                  <c:v>82881.64</c:v>
                </c:pt>
                <c:pt idx="210">
                  <c:v>82899.899999999994</c:v>
                </c:pt>
                <c:pt idx="211">
                  <c:v>82940.97</c:v>
                </c:pt>
                <c:pt idx="212">
                  <c:v>82978.36</c:v>
                </c:pt>
                <c:pt idx="213">
                  <c:v>82961.740000000005</c:v>
                </c:pt>
                <c:pt idx="214">
                  <c:v>82982.38</c:v>
                </c:pt>
                <c:pt idx="215">
                  <c:v>82941.05</c:v>
                </c:pt>
                <c:pt idx="216">
                  <c:v>83027.94</c:v>
                </c:pt>
                <c:pt idx="217">
                  <c:v>83002.179999999993</c:v>
                </c:pt>
                <c:pt idx="218">
                  <c:v>83005.38</c:v>
                </c:pt>
                <c:pt idx="219">
                  <c:v>83007.77</c:v>
                </c:pt>
                <c:pt idx="220">
                  <c:v>83009.83</c:v>
                </c:pt>
                <c:pt idx="221">
                  <c:v>83034.63</c:v>
                </c:pt>
                <c:pt idx="222">
                  <c:v>83102.17</c:v>
                </c:pt>
                <c:pt idx="223">
                  <c:v>83149.320000000007</c:v>
                </c:pt>
                <c:pt idx="224">
                  <c:v>83114.039999999994</c:v>
                </c:pt>
                <c:pt idx="225">
                  <c:v>83055.48</c:v>
                </c:pt>
                <c:pt idx="226">
                  <c:v>83020.070000000007</c:v>
                </c:pt>
                <c:pt idx="227">
                  <c:v>83074.03</c:v>
                </c:pt>
                <c:pt idx="228">
                  <c:v>83080.75</c:v>
                </c:pt>
                <c:pt idx="229">
                  <c:v>83027.520000000004</c:v>
                </c:pt>
                <c:pt idx="230">
                  <c:v>83056.27</c:v>
                </c:pt>
                <c:pt idx="231">
                  <c:v>83051.05</c:v>
                </c:pt>
                <c:pt idx="232">
                  <c:v>83090.399999999994</c:v>
                </c:pt>
                <c:pt idx="233">
                  <c:v>83099.34</c:v>
                </c:pt>
                <c:pt idx="234">
                  <c:v>83115.12</c:v>
                </c:pt>
                <c:pt idx="235">
                  <c:v>83128.25</c:v>
                </c:pt>
                <c:pt idx="236">
                  <c:v>83090.5</c:v>
                </c:pt>
                <c:pt idx="237">
                  <c:v>83090.399999999994</c:v>
                </c:pt>
                <c:pt idx="238">
                  <c:v>83079.38</c:v>
                </c:pt>
                <c:pt idx="239">
                  <c:v>83057.440000000002</c:v>
                </c:pt>
                <c:pt idx="240">
                  <c:v>83069.509999999995</c:v>
                </c:pt>
                <c:pt idx="241">
                  <c:v>83093.72</c:v>
                </c:pt>
                <c:pt idx="242">
                  <c:v>83016.28</c:v>
                </c:pt>
                <c:pt idx="243">
                  <c:v>83059.039999999994</c:v>
                </c:pt>
                <c:pt idx="244">
                  <c:v>83074.41</c:v>
                </c:pt>
                <c:pt idx="245">
                  <c:v>83121.47</c:v>
                </c:pt>
                <c:pt idx="246">
                  <c:v>83134.73</c:v>
                </c:pt>
                <c:pt idx="247">
                  <c:v>83109.919999999998</c:v>
                </c:pt>
                <c:pt idx="248">
                  <c:v>83123.210000000006</c:v>
                </c:pt>
                <c:pt idx="249">
                  <c:v>83083.509999999995</c:v>
                </c:pt>
                <c:pt idx="250">
                  <c:v>83110.84</c:v>
                </c:pt>
                <c:pt idx="251">
                  <c:v>83037.94</c:v>
                </c:pt>
                <c:pt idx="252">
                  <c:v>83053.81</c:v>
                </c:pt>
                <c:pt idx="253">
                  <c:v>83004.23</c:v>
                </c:pt>
                <c:pt idx="254">
                  <c:v>83017.86</c:v>
                </c:pt>
                <c:pt idx="255">
                  <c:v>82997.02</c:v>
                </c:pt>
                <c:pt idx="256">
                  <c:v>82990.61</c:v>
                </c:pt>
                <c:pt idx="257">
                  <c:v>83025.53</c:v>
                </c:pt>
                <c:pt idx="258">
                  <c:v>83019.03</c:v>
                </c:pt>
                <c:pt idx="259">
                  <c:v>83005.94</c:v>
                </c:pt>
                <c:pt idx="260">
                  <c:v>83033.73</c:v>
                </c:pt>
                <c:pt idx="261">
                  <c:v>82995.41</c:v>
                </c:pt>
                <c:pt idx="262">
                  <c:v>83005.600000000006</c:v>
                </c:pt>
                <c:pt idx="263">
                  <c:v>82988.2</c:v>
                </c:pt>
                <c:pt idx="264">
                  <c:v>82956.479999999996</c:v>
                </c:pt>
                <c:pt idx="265">
                  <c:v>82963.199999999997</c:v>
                </c:pt>
                <c:pt idx="266">
                  <c:v>82986.03</c:v>
                </c:pt>
                <c:pt idx="267">
                  <c:v>83000.100000000006</c:v>
                </c:pt>
                <c:pt idx="268">
                  <c:v>82949.37</c:v>
                </c:pt>
                <c:pt idx="269">
                  <c:v>82970.460000000006</c:v>
                </c:pt>
                <c:pt idx="270">
                  <c:v>83004.61</c:v>
                </c:pt>
                <c:pt idx="271">
                  <c:v>82997.22</c:v>
                </c:pt>
                <c:pt idx="272">
                  <c:v>82988.72</c:v>
                </c:pt>
                <c:pt idx="273">
                  <c:v>82993.62</c:v>
                </c:pt>
                <c:pt idx="274">
                  <c:v>83006.240000000005</c:v>
                </c:pt>
                <c:pt idx="275">
                  <c:v>83017.039999999994</c:v>
                </c:pt>
                <c:pt idx="276">
                  <c:v>83008.41</c:v>
                </c:pt>
                <c:pt idx="277">
                  <c:v>83020.92</c:v>
                </c:pt>
                <c:pt idx="278">
                  <c:v>83011.039999999994</c:v>
                </c:pt>
                <c:pt idx="279">
                  <c:v>82957.440000000002</c:v>
                </c:pt>
                <c:pt idx="280">
                  <c:v>82954.740000000005</c:v>
                </c:pt>
                <c:pt idx="281">
                  <c:v>82975.600000000006</c:v>
                </c:pt>
                <c:pt idx="282">
                  <c:v>83010.399999999994</c:v>
                </c:pt>
                <c:pt idx="283">
                  <c:v>82986.84</c:v>
                </c:pt>
                <c:pt idx="284">
                  <c:v>82990.69</c:v>
                </c:pt>
                <c:pt idx="285">
                  <c:v>82988.52</c:v>
                </c:pt>
                <c:pt idx="286">
                  <c:v>83001.31</c:v>
                </c:pt>
                <c:pt idx="287">
                  <c:v>82991.570000000007</c:v>
                </c:pt>
                <c:pt idx="288">
                  <c:v>82977.52</c:v>
                </c:pt>
                <c:pt idx="289">
                  <c:v>82990.350000000006</c:v>
                </c:pt>
                <c:pt idx="290">
                  <c:v>82973.73</c:v>
                </c:pt>
                <c:pt idx="291">
                  <c:v>82970.5</c:v>
                </c:pt>
                <c:pt idx="292">
                  <c:v>82973.59</c:v>
                </c:pt>
                <c:pt idx="293">
                  <c:v>82979.31</c:v>
                </c:pt>
                <c:pt idx="294">
                  <c:v>82970.61</c:v>
                </c:pt>
                <c:pt idx="295">
                  <c:v>82933.259999999995</c:v>
                </c:pt>
                <c:pt idx="296">
                  <c:v>82947.25</c:v>
                </c:pt>
                <c:pt idx="297">
                  <c:v>82915.17</c:v>
                </c:pt>
                <c:pt idx="298">
                  <c:v>82936.11</c:v>
                </c:pt>
                <c:pt idx="299">
                  <c:v>82922.97</c:v>
                </c:pt>
                <c:pt idx="300">
                  <c:v>82957.63</c:v>
                </c:pt>
                <c:pt idx="301">
                  <c:v>82972.12</c:v>
                </c:pt>
                <c:pt idx="302">
                  <c:v>82909.06</c:v>
                </c:pt>
                <c:pt idx="303">
                  <c:v>82835.53</c:v>
                </c:pt>
                <c:pt idx="304">
                  <c:v>82886.39</c:v>
                </c:pt>
                <c:pt idx="305">
                  <c:v>82920.53</c:v>
                </c:pt>
                <c:pt idx="306">
                  <c:v>82928.600000000006</c:v>
                </c:pt>
                <c:pt idx="307">
                  <c:v>82945.55</c:v>
                </c:pt>
                <c:pt idx="308">
                  <c:v>82953.350000000006</c:v>
                </c:pt>
                <c:pt idx="309">
                  <c:v>82905.98</c:v>
                </c:pt>
                <c:pt idx="310">
                  <c:v>82973.320000000007</c:v>
                </c:pt>
                <c:pt idx="311">
                  <c:v>82970.13</c:v>
                </c:pt>
                <c:pt idx="312">
                  <c:v>82953.600000000006</c:v>
                </c:pt>
                <c:pt idx="313">
                  <c:v>82956.33</c:v>
                </c:pt>
                <c:pt idx="314">
                  <c:v>82960.55</c:v>
                </c:pt>
                <c:pt idx="315">
                  <c:v>82956.84</c:v>
                </c:pt>
                <c:pt idx="316">
                  <c:v>82977.7</c:v>
                </c:pt>
                <c:pt idx="317">
                  <c:v>83006.720000000001</c:v>
                </c:pt>
                <c:pt idx="318">
                  <c:v>82797.53</c:v>
                </c:pt>
                <c:pt idx="319">
                  <c:v>82811.5</c:v>
                </c:pt>
                <c:pt idx="320">
                  <c:v>82910.86</c:v>
                </c:pt>
                <c:pt idx="321">
                  <c:v>82921.45</c:v>
                </c:pt>
                <c:pt idx="322">
                  <c:v>82910.62</c:v>
                </c:pt>
                <c:pt idx="323">
                  <c:v>82965.509999999995</c:v>
                </c:pt>
                <c:pt idx="324">
                  <c:v>82961.240000000005</c:v>
                </c:pt>
                <c:pt idx="325">
                  <c:v>82906.5</c:v>
                </c:pt>
                <c:pt idx="326">
                  <c:v>82921.350000000006</c:v>
                </c:pt>
                <c:pt idx="327">
                  <c:v>82946.45</c:v>
                </c:pt>
                <c:pt idx="328">
                  <c:v>82963</c:v>
                </c:pt>
                <c:pt idx="329">
                  <c:v>82957.2</c:v>
                </c:pt>
                <c:pt idx="330">
                  <c:v>82957.62</c:v>
                </c:pt>
                <c:pt idx="331">
                  <c:v>82951.899999999994</c:v>
                </c:pt>
                <c:pt idx="332">
                  <c:v>82932.61</c:v>
                </c:pt>
                <c:pt idx="333">
                  <c:v>82947.61</c:v>
                </c:pt>
                <c:pt idx="334">
                  <c:v>82927.429999999993</c:v>
                </c:pt>
                <c:pt idx="335">
                  <c:v>82877.17</c:v>
                </c:pt>
                <c:pt idx="336">
                  <c:v>82919.94</c:v>
                </c:pt>
                <c:pt idx="337">
                  <c:v>82888.09</c:v>
                </c:pt>
                <c:pt idx="338">
                  <c:v>82878.820000000007</c:v>
                </c:pt>
                <c:pt idx="339">
                  <c:v>82882.25</c:v>
                </c:pt>
                <c:pt idx="340">
                  <c:v>82860.31</c:v>
                </c:pt>
                <c:pt idx="341">
                  <c:v>82791.3</c:v>
                </c:pt>
                <c:pt idx="342">
                  <c:v>82860.350000000006</c:v>
                </c:pt>
                <c:pt idx="343">
                  <c:v>82856.600000000006</c:v>
                </c:pt>
                <c:pt idx="344">
                  <c:v>82905.5</c:v>
                </c:pt>
                <c:pt idx="345">
                  <c:v>82925.37</c:v>
                </c:pt>
                <c:pt idx="346">
                  <c:v>82890.210000000006</c:v>
                </c:pt>
                <c:pt idx="347">
                  <c:v>82889.3</c:v>
                </c:pt>
                <c:pt idx="348">
                  <c:v>82876.5</c:v>
                </c:pt>
                <c:pt idx="349">
                  <c:v>82895.41</c:v>
                </c:pt>
                <c:pt idx="350">
                  <c:v>82892.070000000007</c:v>
                </c:pt>
                <c:pt idx="351">
                  <c:v>82854.009999999995</c:v>
                </c:pt>
                <c:pt idx="352">
                  <c:v>82759.539999999994</c:v>
                </c:pt>
                <c:pt idx="353">
                  <c:v>82773.75</c:v>
                </c:pt>
                <c:pt idx="354">
                  <c:v>82719.33</c:v>
                </c:pt>
                <c:pt idx="355">
                  <c:v>82727.33</c:v>
                </c:pt>
                <c:pt idx="356">
                  <c:v>82693.679999999993</c:v>
                </c:pt>
                <c:pt idx="357">
                  <c:v>82747.240000000005</c:v>
                </c:pt>
                <c:pt idx="358">
                  <c:v>82765.33</c:v>
                </c:pt>
                <c:pt idx="359">
                  <c:v>82754.559999999998</c:v>
                </c:pt>
                <c:pt idx="360">
                  <c:v>82809.31</c:v>
                </c:pt>
                <c:pt idx="361">
                  <c:v>82738.759999999995</c:v>
                </c:pt>
                <c:pt idx="362">
                  <c:v>82728.83</c:v>
                </c:pt>
                <c:pt idx="363">
                  <c:v>82725.95</c:v>
                </c:pt>
                <c:pt idx="364">
                  <c:v>82681.3</c:v>
                </c:pt>
                <c:pt idx="365">
                  <c:v>82676.710000000006</c:v>
                </c:pt>
                <c:pt idx="366">
                  <c:v>82791.759999999995</c:v>
                </c:pt>
                <c:pt idx="367">
                  <c:v>82755.11</c:v>
                </c:pt>
                <c:pt idx="368">
                  <c:v>82767.399999999994</c:v>
                </c:pt>
                <c:pt idx="369">
                  <c:v>82759.25</c:v>
                </c:pt>
                <c:pt idx="370">
                  <c:v>82765.83</c:v>
                </c:pt>
                <c:pt idx="371">
                  <c:v>82777.83</c:v>
                </c:pt>
                <c:pt idx="372">
                  <c:v>82827.05</c:v>
                </c:pt>
                <c:pt idx="373">
                  <c:v>82854.98</c:v>
                </c:pt>
                <c:pt idx="374">
                  <c:v>82797.02</c:v>
                </c:pt>
                <c:pt idx="375">
                  <c:v>82816.45</c:v>
                </c:pt>
                <c:pt idx="376">
                  <c:v>82781.460000000006</c:v>
                </c:pt>
                <c:pt idx="377">
                  <c:v>82762.95</c:v>
                </c:pt>
                <c:pt idx="378">
                  <c:v>82749.23</c:v>
                </c:pt>
                <c:pt idx="379">
                  <c:v>82788.259999999995</c:v>
                </c:pt>
                <c:pt idx="380">
                  <c:v>82838.59</c:v>
                </c:pt>
                <c:pt idx="381">
                  <c:v>82859.22</c:v>
                </c:pt>
                <c:pt idx="382">
                  <c:v>82854.06</c:v>
                </c:pt>
                <c:pt idx="383">
                  <c:v>82773.919999999998</c:v>
                </c:pt>
                <c:pt idx="384">
                  <c:v>82780.429999999993</c:v>
                </c:pt>
                <c:pt idx="385">
                  <c:v>82789.5</c:v>
                </c:pt>
                <c:pt idx="386">
                  <c:v>82777.52</c:v>
                </c:pt>
                <c:pt idx="387">
                  <c:v>82759.75</c:v>
                </c:pt>
                <c:pt idx="388">
                  <c:v>82744</c:v>
                </c:pt>
                <c:pt idx="389">
                  <c:v>82771.100000000006</c:v>
                </c:pt>
                <c:pt idx="390">
                  <c:v>82790.399999999994</c:v>
                </c:pt>
                <c:pt idx="391">
                  <c:v>82780.5</c:v>
                </c:pt>
                <c:pt idx="392">
                  <c:v>82743.94</c:v>
                </c:pt>
                <c:pt idx="393">
                  <c:v>82610.52</c:v>
                </c:pt>
                <c:pt idx="394">
                  <c:v>82589</c:v>
                </c:pt>
                <c:pt idx="395">
                  <c:v>82506.59</c:v>
                </c:pt>
                <c:pt idx="396">
                  <c:v>82598.27</c:v>
                </c:pt>
                <c:pt idx="397">
                  <c:v>82473.91</c:v>
                </c:pt>
                <c:pt idx="398">
                  <c:v>82509.36</c:v>
                </c:pt>
                <c:pt idx="399">
                  <c:v>82458.720000000001</c:v>
                </c:pt>
                <c:pt idx="400">
                  <c:v>82492.69</c:v>
                </c:pt>
                <c:pt idx="401">
                  <c:v>82560.67</c:v>
                </c:pt>
                <c:pt idx="402">
                  <c:v>82568</c:v>
                </c:pt>
                <c:pt idx="403">
                  <c:v>82558.66</c:v>
                </c:pt>
                <c:pt idx="404">
                  <c:v>82554.23</c:v>
                </c:pt>
                <c:pt idx="405">
                  <c:v>82608.73</c:v>
                </c:pt>
                <c:pt idx="406">
                  <c:v>82589.53</c:v>
                </c:pt>
                <c:pt idx="407">
                  <c:v>82581.87</c:v>
                </c:pt>
                <c:pt idx="408">
                  <c:v>82590.679999999993</c:v>
                </c:pt>
                <c:pt idx="409">
                  <c:v>82613.649999999994</c:v>
                </c:pt>
                <c:pt idx="410">
                  <c:v>82631.199999999997</c:v>
                </c:pt>
                <c:pt idx="411">
                  <c:v>82634.399999999994</c:v>
                </c:pt>
                <c:pt idx="412">
                  <c:v>82582.83</c:v>
                </c:pt>
                <c:pt idx="413">
                  <c:v>82581.259999999995</c:v>
                </c:pt>
                <c:pt idx="414">
                  <c:v>82614.03</c:v>
                </c:pt>
                <c:pt idx="415">
                  <c:v>82636.06</c:v>
                </c:pt>
                <c:pt idx="416">
                  <c:v>82634.149999999994</c:v>
                </c:pt>
                <c:pt idx="417">
                  <c:v>82639.360000000001</c:v>
                </c:pt>
                <c:pt idx="418">
                  <c:v>82647.539999999994</c:v>
                </c:pt>
                <c:pt idx="419">
                  <c:v>82701.990000000005</c:v>
                </c:pt>
                <c:pt idx="420">
                  <c:v>82723.3</c:v>
                </c:pt>
                <c:pt idx="421">
                  <c:v>82763.73</c:v>
                </c:pt>
                <c:pt idx="422">
                  <c:v>82774.28</c:v>
                </c:pt>
                <c:pt idx="423">
                  <c:v>82710.31</c:v>
                </c:pt>
                <c:pt idx="424">
                  <c:v>82742.899999999994</c:v>
                </c:pt>
                <c:pt idx="425">
                  <c:v>82833.490000000005</c:v>
                </c:pt>
                <c:pt idx="426">
                  <c:v>82810.5</c:v>
                </c:pt>
                <c:pt idx="427">
                  <c:v>82878</c:v>
                </c:pt>
                <c:pt idx="428">
                  <c:v>82780.55</c:v>
                </c:pt>
                <c:pt idx="429">
                  <c:v>82595.11</c:v>
                </c:pt>
                <c:pt idx="430">
                  <c:v>82556.89</c:v>
                </c:pt>
                <c:pt idx="431">
                  <c:v>82415.58</c:v>
                </c:pt>
                <c:pt idx="432">
                  <c:v>82477.490000000005</c:v>
                </c:pt>
                <c:pt idx="433">
                  <c:v>82420.88</c:v>
                </c:pt>
                <c:pt idx="434">
                  <c:v>82444.94</c:v>
                </c:pt>
                <c:pt idx="435">
                  <c:v>82407.899999999994</c:v>
                </c:pt>
                <c:pt idx="436">
                  <c:v>82347.89</c:v>
                </c:pt>
                <c:pt idx="437">
                  <c:v>82476</c:v>
                </c:pt>
                <c:pt idx="438">
                  <c:v>82358.2</c:v>
                </c:pt>
                <c:pt idx="439">
                  <c:v>82238.990000000005</c:v>
                </c:pt>
                <c:pt idx="440">
                  <c:v>82230.710000000006</c:v>
                </c:pt>
                <c:pt idx="441">
                  <c:v>82222.929999999993</c:v>
                </c:pt>
                <c:pt idx="442">
                  <c:v>82245.59</c:v>
                </c:pt>
                <c:pt idx="443">
                  <c:v>82121.61</c:v>
                </c:pt>
                <c:pt idx="444">
                  <c:v>82000.58</c:v>
                </c:pt>
                <c:pt idx="445">
                  <c:v>81927.3</c:v>
                </c:pt>
                <c:pt idx="446">
                  <c:v>81952.5</c:v>
                </c:pt>
                <c:pt idx="447">
                  <c:v>81532.800000000003</c:v>
                </c:pt>
                <c:pt idx="448">
                  <c:v>81488.66</c:v>
                </c:pt>
                <c:pt idx="449">
                  <c:v>81543.929999999993</c:v>
                </c:pt>
                <c:pt idx="450">
                  <c:v>81556.12</c:v>
                </c:pt>
                <c:pt idx="451">
                  <c:v>81402.13</c:v>
                </c:pt>
                <c:pt idx="452">
                  <c:v>81101.23</c:v>
                </c:pt>
                <c:pt idx="453">
                  <c:v>81368.52</c:v>
                </c:pt>
                <c:pt idx="454">
                  <c:v>81323.789999999994</c:v>
                </c:pt>
                <c:pt idx="455">
                  <c:v>81413.87</c:v>
                </c:pt>
                <c:pt idx="456">
                  <c:v>81494.47</c:v>
                </c:pt>
                <c:pt idx="457">
                  <c:v>81188.240000000005</c:v>
                </c:pt>
                <c:pt idx="458">
                  <c:v>81145.81</c:v>
                </c:pt>
                <c:pt idx="459">
                  <c:v>81136.91</c:v>
                </c:pt>
                <c:pt idx="460">
                  <c:v>81017.440000000002</c:v>
                </c:pt>
                <c:pt idx="461">
                  <c:v>80970.009999999995</c:v>
                </c:pt>
                <c:pt idx="462">
                  <c:v>80959.56</c:v>
                </c:pt>
                <c:pt idx="463">
                  <c:v>80947.520000000004</c:v>
                </c:pt>
                <c:pt idx="464">
                  <c:v>80974.399999999994</c:v>
                </c:pt>
                <c:pt idx="465">
                  <c:v>80953.5</c:v>
                </c:pt>
                <c:pt idx="466">
                  <c:v>80995.06</c:v>
                </c:pt>
                <c:pt idx="467">
                  <c:v>81154.259999999995</c:v>
                </c:pt>
                <c:pt idx="468">
                  <c:v>81045.899999999994</c:v>
                </c:pt>
                <c:pt idx="469">
                  <c:v>81192.09</c:v>
                </c:pt>
                <c:pt idx="470">
                  <c:v>81060.08</c:v>
                </c:pt>
                <c:pt idx="471">
                  <c:v>81074.75</c:v>
                </c:pt>
                <c:pt idx="472">
                  <c:v>81198.3</c:v>
                </c:pt>
                <c:pt idx="473">
                  <c:v>81200.570000000007</c:v>
                </c:pt>
                <c:pt idx="474">
                  <c:v>81215.070000000007</c:v>
                </c:pt>
                <c:pt idx="475">
                  <c:v>81388.320000000007</c:v>
                </c:pt>
                <c:pt idx="476">
                  <c:v>81502.039999999994</c:v>
                </c:pt>
                <c:pt idx="477">
                  <c:v>81401.350000000006</c:v>
                </c:pt>
                <c:pt idx="478">
                  <c:v>81488.47</c:v>
                </c:pt>
                <c:pt idx="479">
                  <c:v>81427.509999999995</c:v>
                </c:pt>
                <c:pt idx="480">
                  <c:v>81442.37</c:v>
                </c:pt>
                <c:pt idx="481">
                  <c:v>81372.83</c:v>
                </c:pt>
                <c:pt idx="482">
                  <c:v>81238.41</c:v>
                </c:pt>
                <c:pt idx="483">
                  <c:v>81241.289999999994</c:v>
                </c:pt>
                <c:pt idx="484">
                  <c:v>81213.56</c:v>
                </c:pt>
                <c:pt idx="485">
                  <c:v>81266.320000000007</c:v>
                </c:pt>
                <c:pt idx="486">
                  <c:v>81646.81</c:v>
                </c:pt>
                <c:pt idx="487">
                  <c:v>81601.14</c:v>
                </c:pt>
                <c:pt idx="488">
                  <c:v>81541.98</c:v>
                </c:pt>
                <c:pt idx="489">
                  <c:v>81428.929999999993</c:v>
                </c:pt>
                <c:pt idx="490">
                  <c:v>81373.91</c:v>
                </c:pt>
                <c:pt idx="491">
                  <c:v>81406.12</c:v>
                </c:pt>
                <c:pt idx="492">
                  <c:v>81297.53</c:v>
                </c:pt>
                <c:pt idx="493">
                  <c:v>81231.820000000007</c:v>
                </c:pt>
                <c:pt idx="494">
                  <c:v>81236.800000000003</c:v>
                </c:pt>
                <c:pt idx="495">
                  <c:v>81219.429999999993</c:v>
                </c:pt>
                <c:pt idx="496">
                  <c:v>81113.600000000006</c:v>
                </c:pt>
                <c:pt idx="497">
                  <c:v>81087.56</c:v>
                </c:pt>
                <c:pt idx="498">
                  <c:v>81188.08</c:v>
                </c:pt>
                <c:pt idx="499">
                  <c:v>81162.100000000006</c:v>
                </c:pt>
                <c:pt idx="500">
                  <c:v>81092.429999999993</c:v>
                </c:pt>
                <c:pt idx="501">
                  <c:v>81095.64</c:v>
                </c:pt>
                <c:pt idx="502">
                  <c:v>81173.98</c:v>
                </c:pt>
                <c:pt idx="503">
                  <c:v>81182.09</c:v>
                </c:pt>
                <c:pt idx="504">
                  <c:v>81124.55</c:v>
                </c:pt>
                <c:pt idx="505">
                  <c:v>81106.31</c:v>
                </c:pt>
                <c:pt idx="506">
                  <c:v>81165.62</c:v>
                </c:pt>
                <c:pt idx="507">
                  <c:v>81174.350000000006</c:v>
                </c:pt>
                <c:pt idx="508">
                  <c:v>81152.78</c:v>
                </c:pt>
                <c:pt idx="509">
                  <c:v>81205.2</c:v>
                </c:pt>
                <c:pt idx="510">
                  <c:v>81262.41</c:v>
                </c:pt>
                <c:pt idx="511">
                  <c:v>81250.53</c:v>
                </c:pt>
                <c:pt idx="512">
                  <c:v>81194.69</c:v>
                </c:pt>
                <c:pt idx="513">
                  <c:v>81301.89</c:v>
                </c:pt>
                <c:pt idx="514">
                  <c:v>81292.22</c:v>
                </c:pt>
                <c:pt idx="515">
                  <c:v>81298.37</c:v>
                </c:pt>
                <c:pt idx="516">
                  <c:v>81241.509999999995</c:v>
                </c:pt>
                <c:pt idx="517">
                  <c:v>81156.67</c:v>
                </c:pt>
                <c:pt idx="518">
                  <c:v>81174.62</c:v>
                </c:pt>
                <c:pt idx="519">
                  <c:v>81206.429999999993</c:v>
                </c:pt>
                <c:pt idx="520">
                  <c:v>81236.47</c:v>
                </c:pt>
                <c:pt idx="521">
                  <c:v>81157.73</c:v>
                </c:pt>
                <c:pt idx="522">
                  <c:v>81166.990000000005</c:v>
                </c:pt>
                <c:pt idx="523">
                  <c:v>81178.53</c:v>
                </c:pt>
                <c:pt idx="524">
                  <c:v>81206.350000000006</c:v>
                </c:pt>
                <c:pt idx="525">
                  <c:v>81295.199999999997</c:v>
                </c:pt>
                <c:pt idx="526">
                  <c:v>81310.399999999994</c:v>
                </c:pt>
                <c:pt idx="527">
                  <c:v>81246.69</c:v>
                </c:pt>
                <c:pt idx="528">
                  <c:v>81269.31</c:v>
                </c:pt>
                <c:pt idx="529">
                  <c:v>81453.119999999995</c:v>
                </c:pt>
                <c:pt idx="530">
                  <c:v>81435.92</c:v>
                </c:pt>
                <c:pt idx="531">
                  <c:v>81401.039999999994</c:v>
                </c:pt>
                <c:pt idx="532">
                  <c:v>81372.210000000006</c:v>
                </c:pt>
                <c:pt idx="533">
                  <c:v>81392.12</c:v>
                </c:pt>
                <c:pt idx="534">
                  <c:v>81378.259999999995</c:v>
                </c:pt>
                <c:pt idx="535">
                  <c:v>81368.479999999996</c:v>
                </c:pt>
                <c:pt idx="536">
                  <c:v>81430.5</c:v>
                </c:pt>
                <c:pt idx="537">
                  <c:v>81396.33</c:v>
                </c:pt>
                <c:pt idx="538">
                  <c:v>81262.23</c:v>
                </c:pt>
                <c:pt idx="539">
                  <c:v>81225.3</c:v>
                </c:pt>
                <c:pt idx="540">
                  <c:v>81256.820000000007</c:v>
                </c:pt>
                <c:pt idx="541">
                  <c:v>81332.210000000006</c:v>
                </c:pt>
                <c:pt idx="542">
                  <c:v>81248.52</c:v>
                </c:pt>
                <c:pt idx="543">
                  <c:v>81313.14</c:v>
                </c:pt>
                <c:pt idx="544">
                  <c:v>81350.73</c:v>
                </c:pt>
                <c:pt idx="545">
                  <c:v>81297.679999999993</c:v>
                </c:pt>
                <c:pt idx="546">
                  <c:v>81292.31</c:v>
                </c:pt>
                <c:pt idx="547">
                  <c:v>81239.73</c:v>
                </c:pt>
                <c:pt idx="548">
                  <c:v>81042.720000000001</c:v>
                </c:pt>
                <c:pt idx="549">
                  <c:v>80956.69</c:v>
                </c:pt>
                <c:pt idx="550">
                  <c:v>80698.42</c:v>
                </c:pt>
                <c:pt idx="551">
                  <c:v>80926.320000000007</c:v>
                </c:pt>
                <c:pt idx="552">
                  <c:v>80987.94</c:v>
                </c:pt>
                <c:pt idx="553">
                  <c:v>81021.72</c:v>
                </c:pt>
                <c:pt idx="554">
                  <c:v>80977.210000000006</c:v>
                </c:pt>
                <c:pt idx="555">
                  <c:v>80950.649999999994</c:v>
                </c:pt>
                <c:pt idx="556">
                  <c:v>80971.960000000006</c:v>
                </c:pt>
                <c:pt idx="557">
                  <c:v>80803.12</c:v>
                </c:pt>
                <c:pt idx="558">
                  <c:v>81063.66</c:v>
                </c:pt>
                <c:pt idx="559">
                  <c:v>81394.05</c:v>
                </c:pt>
                <c:pt idx="560">
                  <c:v>81380.960000000006</c:v>
                </c:pt>
                <c:pt idx="561">
                  <c:v>81668</c:v>
                </c:pt>
                <c:pt idx="562">
                  <c:v>81770.33</c:v>
                </c:pt>
                <c:pt idx="563">
                  <c:v>81699.83</c:v>
                </c:pt>
                <c:pt idx="564">
                  <c:v>81751.460000000006</c:v>
                </c:pt>
                <c:pt idx="565">
                  <c:v>81701.27</c:v>
                </c:pt>
                <c:pt idx="566">
                  <c:v>81495.240000000005</c:v>
                </c:pt>
                <c:pt idx="567">
                  <c:v>81418.69</c:v>
                </c:pt>
                <c:pt idx="568">
                  <c:v>81220.58</c:v>
                </c:pt>
                <c:pt idx="569">
                  <c:v>81093.81</c:v>
                </c:pt>
                <c:pt idx="570">
                  <c:v>81064.52</c:v>
                </c:pt>
                <c:pt idx="571">
                  <c:v>81049.600000000006</c:v>
                </c:pt>
                <c:pt idx="572">
                  <c:v>81160</c:v>
                </c:pt>
                <c:pt idx="573">
                  <c:v>81124.639999999999</c:v>
                </c:pt>
                <c:pt idx="574">
                  <c:v>81192.710000000006</c:v>
                </c:pt>
                <c:pt idx="575">
                  <c:v>81132.929999999993</c:v>
                </c:pt>
                <c:pt idx="576">
                  <c:v>81063.94</c:v>
                </c:pt>
                <c:pt idx="577">
                  <c:v>81037.490000000005</c:v>
                </c:pt>
                <c:pt idx="578">
                  <c:v>81090.38</c:v>
                </c:pt>
                <c:pt idx="579">
                  <c:v>80967</c:v>
                </c:pt>
                <c:pt idx="580">
                  <c:v>80986.73</c:v>
                </c:pt>
                <c:pt idx="581">
                  <c:v>80907.14</c:v>
                </c:pt>
                <c:pt idx="582">
                  <c:v>80933.91</c:v>
                </c:pt>
                <c:pt idx="583">
                  <c:v>81002.11</c:v>
                </c:pt>
                <c:pt idx="584">
                  <c:v>80915.210000000006</c:v>
                </c:pt>
                <c:pt idx="585">
                  <c:v>80937.539999999994</c:v>
                </c:pt>
                <c:pt idx="586">
                  <c:v>80963.31</c:v>
                </c:pt>
                <c:pt idx="587">
                  <c:v>80788.3</c:v>
                </c:pt>
                <c:pt idx="588">
                  <c:v>80273.509999999995</c:v>
                </c:pt>
                <c:pt idx="589">
                  <c:v>80422.509999999995</c:v>
                </c:pt>
                <c:pt idx="590">
                  <c:v>80414</c:v>
                </c:pt>
                <c:pt idx="591">
                  <c:v>80352.429999999993</c:v>
                </c:pt>
                <c:pt idx="592">
                  <c:v>80177.100000000006</c:v>
                </c:pt>
                <c:pt idx="593">
                  <c:v>80310.740000000005</c:v>
                </c:pt>
                <c:pt idx="594">
                  <c:v>80088.009999999995</c:v>
                </c:pt>
                <c:pt idx="595">
                  <c:v>80109.100000000006</c:v>
                </c:pt>
                <c:pt idx="596">
                  <c:v>80120.59</c:v>
                </c:pt>
                <c:pt idx="597">
                  <c:v>80200.710000000006</c:v>
                </c:pt>
                <c:pt idx="598">
                  <c:v>80117.600000000006</c:v>
                </c:pt>
                <c:pt idx="599">
                  <c:v>80225.009999999995</c:v>
                </c:pt>
                <c:pt idx="600">
                  <c:v>80311.13</c:v>
                </c:pt>
                <c:pt idx="601">
                  <c:v>80474.98</c:v>
                </c:pt>
                <c:pt idx="602">
                  <c:v>80291.22</c:v>
                </c:pt>
                <c:pt idx="603">
                  <c:v>80406.61</c:v>
                </c:pt>
                <c:pt idx="604">
                  <c:v>80485.210000000006</c:v>
                </c:pt>
                <c:pt idx="605">
                  <c:v>80290.62</c:v>
                </c:pt>
                <c:pt idx="606">
                  <c:v>80087.320000000007</c:v>
                </c:pt>
                <c:pt idx="607">
                  <c:v>80102.73</c:v>
                </c:pt>
                <c:pt idx="608">
                  <c:v>80118.05</c:v>
                </c:pt>
                <c:pt idx="609">
                  <c:v>79360.47</c:v>
                </c:pt>
                <c:pt idx="610">
                  <c:v>79459.259999999995</c:v>
                </c:pt>
                <c:pt idx="611">
                  <c:v>79356.12</c:v>
                </c:pt>
                <c:pt idx="612">
                  <c:v>78708.52</c:v>
                </c:pt>
                <c:pt idx="613">
                  <c:v>78736.679999999993</c:v>
                </c:pt>
                <c:pt idx="614">
                  <c:v>79231.39</c:v>
                </c:pt>
                <c:pt idx="615">
                  <c:v>78750.5</c:v>
                </c:pt>
                <c:pt idx="616">
                  <c:v>79027.259999999995</c:v>
                </c:pt>
                <c:pt idx="617">
                  <c:v>79046.06</c:v>
                </c:pt>
                <c:pt idx="618">
                  <c:v>79153.600000000006</c:v>
                </c:pt>
                <c:pt idx="619">
                  <c:v>79188.81</c:v>
                </c:pt>
                <c:pt idx="620">
                  <c:v>79024.149999999994</c:v>
                </c:pt>
                <c:pt idx="621">
                  <c:v>78889.19</c:v>
                </c:pt>
                <c:pt idx="622">
                  <c:v>78927.360000000001</c:v>
                </c:pt>
                <c:pt idx="623">
                  <c:v>79005.2</c:v>
                </c:pt>
                <c:pt idx="624">
                  <c:v>78883.44</c:v>
                </c:pt>
                <c:pt idx="625">
                  <c:v>78960.039999999994</c:v>
                </c:pt>
                <c:pt idx="626">
                  <c:v>79023.009999999995</c:v>
                </c:pt>
                <c:pt idx="627">
                  <c:v>79004.42</c:v>
                </c:pt>
                <c:pt idx="628">
                  <c:v>79069.75</c:v>
                </c:pt>
                <c:pt idx="629">
                  <c:v>79033.600000000006</c:v>
                </c:pt>
                <c:pt idx="630">
                  <c:v>79073.02</c:v>
                </c:pt>
                <c:pt idx="631">
                  <c:v>78996.37</c:v>
                </c:pt>
                <c:pt idx="632">
                  <c:v>78896.61</c:v>
                </c:pt>
                <c:pt idx="633">
                  <c:v>78903.759999999995</c:v>
                </c:pt>
                <c:pt idx="634">
                  <c:v>78485.25</c:v>
                </c:pt>
                <c:pt idx="635">
                  <c:v>78546.710000000006</c:v>
                </c:pt>
                <c:pt idx="636">
                  <c:v>78680.33</c:v>
                </c:pt>
                <c:pt idx="637">
                  <c:v>79069</c:v>
                </c:pt>
                <c:pt idx="638">
                  <c:v>78954.77</c:v>
                </c:pt>
                <c:pt idx="639">
                  <c:v>78792.52</c:v>
                </c:pt>
                <c:pt idx="640">
                  <c:v>78755.06</c:v>
                </c:pt>
                <c:pt idx="641">
                  <c:v>78616.72</c:v>
                </c:pt>
                <c:pt idx="642">
                  <c:v>78528.05</c:v>
                </c:pt>
                <c:pt idx="643">
                  <c:v>78635.28</c:v>
                </c:pt>
                <c:pt idx="644">
                  <c:v>78782.539999999994</c:v>
                </c:pt>
                <c:pt idx="645">
                  <c:v>78868.320000000007</c:v>
                </c:pt>
                <c:pt idx="646">
                  <c:v>79004.34</c:v>
                </c:pt>
                <c:pt idx="647">
                  <c:v>78807.92</c:v>
                </c:pt>
                <c:pt idx="648">
                  <c:v>78716.37</c:v>
                </c:pt>
                <c:pt idx="649">
                  <c:v>78721.94</c:v>
                </c:pt>
                <c:pt idx="650">
                  <c:v>78704.009999999995</c:v>
                </c:pt>
                <c:pt idx="651">
                  <c:v>78714.31</c:v>
                </c:pt>
                <c:pt idx="652">
                  <c:v>78875.009999999995</c:v>
                </c:pt>
                <c:pt idx="653">
                  <c:v>78988.72</c:v>
                </c:pt>
                <c:pt idx="654">
                  <c:v>78949.31</c:v>
                </c:pt>
                <c:pt idx="655">
                  <c:v>78903.740000000005</c:v>
                </c:pt>
                <c:pt idx="656">
                  <c:v>78912.960000000006</c:v>
                </c:pt>
                <c:pt idx="657">
                  <c:v>78950.41</c:v>
                </c:pt>
                <c:pt idx="658">
                  <c:v>78858.7</c:v>
                </c:pt>
                <c:pt idx="659">
                  <c:v>78770.12</c:v>
                </c:pt>
                <c:pt idx="660">
                  <c:v>78844.73</c:v>
                </c:pt>
                <c:pt idx="661">
                  <c:v>79065.78</c:v>
                </c:pt>
                <c:pt idx="662">
                  <c:v>78913.77</c:v>
                </c:pt>
                <c:pt idx="663">
                  <c:v>78908.81</c:v>
                </c:pt>
                <c:pt idx="664">
                  <c:v>78805.8</c:v>
                </c:pt>
                <c:pt idx="665">
                  <c:v>78785.25</c:v>
                </c:pt>
                <c:pt idx="666">
                  <c:v>78896.06</c:v>
                </c:pt>
                <c:pt idx="667">
                  <c:v>78770.63</c:v>
                </c:pt>
                <c:pt idx="668">
                  <c:v>78712.149999999994</c:v>
                </c:pt>
                <c:pt idx="669">
                  <c:v>78631.899999999994</c:v>
                </c:pt>
                <c:pt idx="670">
                  <c:v>78790.210000000006</c:v>
                </c:pt>
                <c:pt idx="671">
                  <c:v>78734.91</c:v>
                </c:pt>
                <c:pt idx="672">
                  <c:v>78755.33</c:v>
                </c:pt>
                <c:pt idx="673">
                  <c:v>78756</c:v>
                </c:pt>
                <c:pt idx="674">
                  <c:v>78680.72</c:v>
                </c:pt>
                <c:pt idx="675">
                  <c:v>78585.38</c:v>
                </c:pt>
                <c:pt idx="676">
                  <c:v>78547.25</c:v>
                </c:pt>
                <c:pt idx="677">
                  <c:v>78380.259999999995</c:v>
                </c:pt>
                <c:pt idx="678">
                  <c:v>78467.89</c:v>
                </c:pt>
                <c:pt idx="679">
                  <c:v>78319.98</c:v>
                </c:pt>
                <c:pt idx="680">
                  <c:v>78311.94</c:v>
                </c:pt>
                <c:pt idx="681">
                  <c:v>78216.149999999994</c:v>
                </c:pt>
                <c:pt idx="682">
                  <c:v>78136.08</c:v>
                </c:pt>
                <c:pt idx="683">
                  <c:v>78365.67</c:v>
                </c:pt>
                <c:pt idx="684">
                  <c:v>78360.03</c:v>
                </c:pt>
                <c:pt idx="685">
                  <c:v>78244.22</c:v>
                </c:pt>
                <c:pt idx="686">
                  <c:v>78390.320000000007</c:v>
                </c:pt>
                <c:pt idx="687">
                  <c:v>78222.12</c:v>
                </c:pt>
                <c:pt idx="688">
                  <c:v>78313.009999999995</c:v>
                </c:pt>
                <c:pt idx="689">
                  <c:v>78384.2</c:v>
                </c:pt>
                <c:pt idx="690">
                  <c:v>78388.789999999994</c:v>
                </c:pt>
                <c:pt idx="691">
                  <c:v>78645.710000000006</c:v>
                </c:pt>
                <c:pt idx="692">
                  <c:v>78417.820000000007</c:v>
                </c:pt>
                <c:pt idx="693">
                  <c:v>78379.81</c:v>
                </c:pt>
                <c:pt idx="694">
                  <c:v>78324.92</c:v>
                </c:pt>
                <c:pt idx="695">
                  <c:v>78369.36</c:v>
                </c:pt>
                <c:pt idx="696">
                  <c:v>78170.22</c:v>
                </c:pt>
                <c:pt idx="697">
                  <c:v>78150.97</c:v>
                </c:pt>
                <c:pt idx="698">
                  <c:v>77704.2</c:v>
                </c:pt>
                <c:pt idx="699">
                  <c:v>77753.34</c:v>
                </c:pt>
                <c:pt idx="700">
                  <c:v>77505.77</c:v>
                </c:pt>
                <c:pt idx="701">
                  <c:v>77120.88</c:v>
                </c:pt>
                <c:pt idx="702">
                  <c:v>77448.47</c:v>
                </c:pt>
                <c:pt idx="703">
                  <c:v>77325.649999999994</c:v>
                </c:pt>
                <c:pt idx="704">
                  <c:v>75540.800000000003</c:v>
                </c:pt>
                <c:pt idx="705">
                  <c:v>77520.460000000006</c:v>
                </c:pt>
                <c:pt idx="706">
                  <c:v>77858.3</c:v>
                </c:pt>
                <c:pt idx="707">
                  <c:v>77862.06</c:v>
                </c:pt>
                <c:pt idx="708">
                  <c:v>78053.08</c:v>
                </c:pt>
                <c:pt idx="709">
                  <c:v>77957.039999999994</c:v>
                </c:pt>
                <c:pt idx="710">
                  <c:v>77958.34</c:v>
                </c:pt>
                <c:pt idx="711">
                  <c:v>77947.759999999995</c:v>
                </c:pt>
                <c:pt idx="712">
                  <c:v>77807.89</c:v>
                </c:pt>
                <c:pt idx="713">
                  <c:v>78030.7</c:v>
                </c:pt>
                <c:pt idx="714">
                  <c:v>78050.06</c:v>
                </c:pt>
                <c:pt idx="715">
                  <c:v>77862.94</c:v>
                </c:pt>
                <c:pt idx="716">
                  <c:v>77689.39</c:v>
                </c:pt>
                <c:pt idx="717">
                  <c:v>77770.73</c:v>
                </c:pt>
                <c:pt idx="718">
                  <c:v>77851.17</c:v>
                </c:pt>
                <c:pt idx="719">
                  <c:v>77901.84</c:v>
                </c:pt>
                <c:pt idx="720">
                  <c:v>77987.16</c:v>
                </c:pt>
                <c:pt idx="721">
                  <c:v>78151.179999999993</c:v>
                </c:pt>
                <c:pt idx="722">
                  <c:v>77866.91</c:v>
                </c:pt>
                <c:pt idx="723">
                  <c:v>77838.87</c:v>
                </c:pt>
                <c:pt idx="724">
                  <c:v>77842.210000000006</c:v>
                </c:pt>
                <c:pt idx="725">
                  <c:v>77860.710000000006</c:v>
                </c:pt>
                <c:pt idx="726">
                  <c:v>78016.69</c:v>
                </c:pt>
                <c:pt idx="727">
                  <c:v>78026.34</c:v>
                </c:pt>
                <c:pt idx="728">
                  <c:v>78137.820000000007</c:v>
                </c:pt>
                <c:pt idx="729">
                  <c:v>78185.25</c:v>
                </c:pt>
                <c:pt idx="730">
                  <c:v>78302.850000000006</c:v>
                </c:pt>
                <c:pt idx="731">
                  <c:v>78204.89</c:v>
                </c:pt>
                <c:pt idx="732">
                  <c:v>78086.06</c:v>
                </c:pt>
                <c:pt idx="733">
                  <c:v>78102.22</c:v>
                </c:pt>
                <c:pt idx="734">
                  <c:v>78167.02</c:v>
                </c:pt>
                <c:pt idx="735">
                  <c:v>78174.02</c:v>
                </c:pt>
                <c:pt idx="736">
                  <c:v>78094.95</c:v>
                </c:pt>
                <c:pt idx="737">
                  <c:v>78124</c:v>
                </c:pt>
                <c:pt idx="738">
                  <c:v>77984.899999999994</c:v>
                </c:pt>
                <c:pt idx="739">
                  <c:v>78085.83</c:v>
                </c:pt>
                <c:pt idx="740">
                  <c:v>78127.48</c:v>
                </c:pt>
                <c:pt idx="741">
                  <c:v>78074.899999999994</c:v>
                </c:pt>
                <c:pt idx="742">
                  <c:v>77927.649999999994</c:v>
                </c:pt>
                <c:pt idx="743">
                  <c:v>77787.66</c:v>
                </c:pt>
                <c:pt idx="744">
                  <c:v>77834.070000000007</c:v>
                </c:pt>
                <c:pt idx="745">
                  <c:v>77889.31</c:v>
                </c:pt>
                <c:pt idx="746">
                  <c:v>77863.73</c:v>
                </c:pt>
                <c:pt idx="747">
                  <c:v>78025.63</c:v>
                </c:pt>
                <c:pt idx="748">
                  <c:v>77929.89</c:v>
                </c:pt>
                <c:pt idx="749">
                  <c:v>77916.36</c:v>
                </c:pt>
                <c:pt idx="750">
                  <c:v>77924.97</c:v>
                </c:pt>
                <c:pt idx="751">
                  <c:v>77833.009999999995</c:v>
                </c:pt>
                <c:pt idx="752">
                  <c:v>77748.66</c:v>
                </c:pt>
                <c:pt idx="753">
                  <c:v>77536.009999999995</c:v>
                </c:pt>
                <c:pt idx="754">
                  <c:v>77443.13</c:v>
                </c:pt>
                <c:pt idx="755">
                  <c:v>77490.3</c:v>
                </c:pt>
                <c:pt idx="756">
                  <c:v>77425.009999999995</c:v>
                </c:pt>
                <c:pt idx="757">
                  <c:v>77309.91</c:v>
                </c:pt>
                <c:pt idx="758">
                  <c:v>77299.58</c:v>
                </c:pt>
                <c:pt idx="759">
                  <c:v>77252.509999999995</c:v>
                </c:pt>
                <c:pt idx="760">
                  <c:v>77261.27</c:v>
                </c:pt>
                <c:pt idx="761">
                  <c:v>77222.31</c:v>
                </c:pt>
                <c:pt idx="762">
                  <c:v>77220.56</c:v>
                </c:pt>
                <c:pt idx="763">
                  <c:v>77246.64</c:v>
                </c:pt>
                <c:pt idx="764">
                  <c:v>77404.38</c:v>
                </c:pt>
                <c:pt idx="765">
                  <c:v>77472.19</c:v>
                </c:pt>
                <c:pt idx="766">
                  <c:v>77641.210000000006</c:v>
                </c:pt>
                <c:pt idx="767">
                  <c:v>77604.27</c:v>
                </c:pt>
                <c:pt idx="768">
                  <c:v>77744.28</c:v>
                </c:pt>
                <c:pt idx="769">
                  <c:v>77620.42</c:v>
                </c:pt>
                <c:pt idx="770">
                  <c:v>77722.59</c:v>
                </c:pt>
                <c:pt idx="771">
                  <c:v>77758.399999999994</c:v>
                </c:pt>
                <c:pt idx="772">
                  <c:v>77887.02</c:v>
                </c:pt>
                <c:pt idx="773">
                  <c:v>77818.070000000007</c:v>
                </c:pt>
                <c:pt idx="774">
                  <c:v>77740.67</c:v>
                </c:pt>
                <c:pt idx="775">
                  <c:v>77739.039999999994</c:v>
                </c:pt>
                <c:pt idx="776">
                  <c:v>77771.199999999997</c:v>
                </c:pt>
                <c:pt idx="777">
                  <c:v>77902.210000000006</c:v>
                </c:pt>
                <c:pt idx="778">
                  <c:v>77789.25</c:v>
                </c:pt>
                <c:pt idx="779">
                  <c:v>77851.210000000006</c:v>
                </c:pt>
                <c:pt idx="780">
                  <c:v>77698.13</c:v>
                </c:pt>
                <c:pt idx="781">
                  <c:v>77733.13</c:v>
                </c:pt>
                <c:pt idx="782">
                  <c:v>77760.240000000005</c:v>
                </c:pt>
                <c:pt idx="783">
                  <c:v>77768.210000000006</c:v>
                </c:pt>
                <c:pt idx="784">
                  <c:v>77595.22</c:v>
                </c:pt>
                <c:pt idx="785">
                  <c:v>77725.539999999994</c:v>
                </c:pt>
                <c:pt idx="786">
                  <c:v>77717.61</c:v>
                </c:pt>
                <c:pt idx="787">
                  <c:v>77864.67</c:v>
                </c:pt>
                <c:pt idx="788">
                  <c:v>77860.83</c:v>
                </c:pt>
                <c:pt idx="789">
                  <c:v>77802.84</c:v>
                </c:pt>
                <c:pt idx="790">
                  <c:v>77763.64</c:v>
                </c:pt>
                <c:pt idx="791">
                  <c:v>77676.210000000006</c:v>
                </c:pt>
                <c:pt idx="792">
                  <c:v>77779.490000000005</c:v>
                </c:pt>
                <c:pt idx="793">
                  <c:v>77610.73</c:v>
                </c:pt>
                <c:pt idx="794">
                  <c:v>77579.63</c:v>
                </c:pt>
                <c:pt idx="795">
                  <c:v>77479.66</c:v>
                </c:pt>
                <c:pt idx="796">
                  <c:v>77536.399999999994</c:v>
                </c:pt>
                <c:pt idx="797">
                  <c:v>77446.740000000005</c:v>
                </c:pt>
                <c:pt idx="798">
                  <c:v>77473.960000000006</c:v>
                </c:pt>
                <c:pt idx="799">
                  <c:v>77424.08</c:v>
                </c:pt>
                <c:pt idx="800">
                  <c:v>77558.59</c:v>
                </c:pt>
                <c:pt idx="801">
                  <c:v>77500.5</c:v>
                </c:pt>
                <c:pt idx="802">
                  <c:v>77641.95</c:v>
                </c:pt>
                <c:pt idx="803">
                  <c:v>77997.16</c:v>
                </c:pt>
                <c:pt idx="804">
                  <c:v>77774.63</c:v>
                </c:pt>
                <c:pt idx="805">
                  <c:v>77649.45</c:v>
                </c:pt>
                <c:pt idx="806">
                  <c:v>77623.039999999994</c:v>
                </c:pt>
                <c:pt idx="807">
                  <c:v>77489.48</c:v>
                </c:pt>
                <c:pt idx="808">
                  <c:v>77439.88</c:v>
                </c:pt>
                <c:pt idx="809">
                  <c:v>77354.539999999994</c:v>
                </c:pt>
                <c:pt idx="810">
                  <c:v>77337.919999999998</c:v>
                </c:pt>
                <c:pt idx="811">
                  <c:v>77230.350000000006</c:v>
                </c:pt>
                <c:pt idx="812">
                  <c:v>77195.740000000005</c:v>
                </c:pt>
                <c:pt idx="813">
                  <c:v>77118.94</c:v>
                </c:pt>
                <c:pt idx="814">
                  <c:v>77119.210000000006</c:v>
                </c:pt>
                <c:pt idx="815">
                  <c:v>77080.479999999996</c:v>
                </c:pt>
                <c:pt idx="816">
                  <c:v>77178.179999999993</c:v>
                </c:pt>
                <c:pt idx="817">
                  <c:v>77189.52</c:v>
                </c:pt>
                <c:pt idx="818">
                  <c:v>77174.320000000007</c:v>
                </c:pt>
                <c:pt idx="819">
                  <c:v>77241.27</c:v>
                </c:pt>
                <c:pt idx="820">
                  <c:v>77208.2</c:v>
                </c:pt>
                <c:pt idx="821">
                  <c:v>77230.509999999995</c:v>
                </c:pt>
                <c:pt idx="822">
                  <c:v>77285.509999999995</c:v>
                </c:pt>
                <c:pt idx="823">
                  <c:v>77318.75</c:v>
                </c:pt>
                <c:pt idx="824">
                  <c:v>77448.22</c:v>
                </c:pt>
                <c:pt idx="825">
                  <c:v>77473.95</c:v>
                </c:pt>
                <c:pt idx="826">
                  <c:v>77365.509999999995</c:v>
                </c:pt>
                <c:pt idx="827">
                  <c:v>77420.97</c:v>
                </c:pt>
                <c:pt idx="828">
                  <c:v>77355.78</c:v>
                </c:pt>
                <c:pt idx="829">
                  <c:v>77482.23</c:v>
                </c:pt>
                <c:pt idx="830">
                  <c:v>77362.649999999994</c:v>
                </c:pt>
                <c:pt idx="831">
                  <c:v>77439.73</c:v>
                </c:pt>
                <c:pt idx="832">
                  <c:v>77468.789999999994</c:v>
                </c:pt>
                <c:pt idx="833">
                  <c:v>77552.56</c:v>
                </c:pt>
                <c:pt idx="834">
                  <c:v>77560.5</c:v>
                </c:pt>
                <c:pt idx="835">
                  <c:v>77664.05</c:v>
                </c:pt>
                <c:pt idx="836">
                  <c:v>77751.19</c:v>
                </c:pt>
                <c:pt idx="837">
                  <c:v>77932.03</c:v>
                </c:pt>
                <c:pt idx="838">
                  <c:v>77926.67</c:v>
                </c:pt>
                <c:pt idx="839">
                  <c:v>78024.22</c:v>
                </c:pt>
                <c:pt idx="840">
                  <c:v>77945.94</c:v>
                </c:pt>
                <c:pt idx="841">
                  <c:v>78017.75</c:v>
                </c:pt>
                <c:pt idx="842">
                  <c:v>78049.58</c:v>
                </c:pt>
                <c:pt idx="843">
                  <c:v>77819.61</c:v>
                </c:pt>
                <c:pt idx="844">
                  <c:v>77630.78</c:v>
                </c:pt>
                <c:pt idx="845">
                  <c:v>77653.87</c:v>
                </c:pt>
                <c:pt idx="846">
                  <c:v>77637.820000000007</c:v>
                </c:pt>
                <c:pt idx="847">
                  <c:v>77743.64</c:v>
                </c:pt>
                <c:pt idx="848">
                  <c:v>77883.600000000006</c:v>
                </c:pt>
                <c:pt idx="849">
                  <c:v>77863.429999999993</c:v>
                </c:pt>
                <c:pt idx="850">
                  <c:v>77895.34</c:v>
                </c:pt>
                <c:pt idx="851">
                  <c:v>77886.2</c:v>
                </c:pt>
                <c:pt idx="852">
                  <c:v>77739.97</c:v>
                </c:pt>
                <c:pt idx="853">
                  <c:v>77700.820000000007</c:v>
                </c:pt>
                <c:pt idx="854">
                  <c:v>77636.75</c:v>
                </c:pt>
                <c:pt idx="855">
                  <c:v>77612.09</c:v>
                </c:pt>
                <c:pt idx="856">
                  <c:v>77657.14</c:v>
                </c:pt>
                <c:pt idx="857">
                  <c:v>77662.490000000005</c:v>
                </c:pt>
                <c:pt idx="858">
                  <c:v>77681.399999999994</c:v>
                </c:pt>
                <c:pt idx="859">
                  <c:v>77663.09</c:v>
                </c:pt>
                <c:pt idx="860">
                  <c:v>77605.86</c:v>
                </c:pt>
                <c:pt idx="861">
                  <c:v>77443.149999999994</c:v>
                </c:pt>
                <c:pt idx="862">
                  <c:v>77345.7</c:v>
                </c:pt>
                <c:pt idx="863">
                  <c:v>77333.11</c:v>
                </c:pt>
                <c:pt idx="864">
                  <c:v>77429.820000000007</c:v>
                </c:pt>
                <c:pt idx="865">
                  <c:v>77428.31</c:v>
                </c:pt>
                <c:pt idx="866">
                  <c:v>77519.990000000005</c:v>
                </c:pt>
                <c:pt idx="867">
                  <c:v>77681.14</c:v>
                </c:pt>
                <c:pt idx="868">
                  <c:v>77843.5</c:v>
                </c:pt>
                <c:pt idx="869">
                  <c:v>77837.899999999994</c:v>
                </c:pt>
                <c:pt idx="870">
                  <c:v>77782.720000000001</c:v>
                </c:pt>
                <c:pt idx="871">
                  <c:v>77745.5</c:v>
                </c:pt>
                <c:pt idx="872">
                  <c:v>77768.89</c:v>
                </c:pt>
                <c:pt idx="873">
                  <c:v>77895.509999999995</c:v>
                </c:pt>
                <c:pt idx="874">
                  <c:v>77802.600000000006</c:v>
                </c:pt>
                <c:pt idx="875">
                  <c:v>77923.009999999995</c:v>
                </c:pt>
                <c:pt idx="876">
                  <c:v>77963.22</c:v>
                </c:pt>
                <c:pt idx="877">
                  <c:v>77989.279999999999</c:v>
                </c:pt>
                <c:pt idx="878">
                  <c:v>78111.06</c:v>
                </c:pt>
                <c:pt idx="879">
                  <c:v>78041.259999999995</c:v>
                </c:pt>
                <c:pt idx="880">
                  <c:v>78097.34</c:v>
                </c:pt>
                <c:pt idx="881">
                  <c:v>78101.13</c:v>
                </c:pt>
                <c:pt idx="882">
                  <c:v>78139.3</c:v>
                </c:pt>
                <c:pt idx="883">
                  <c:v>78084.03</c:v>
                </c:pt>
                <c:pt idx="884">
                  <c:v>78115.95</c:v>
                </c:pt>
                <c:pt idx="885">
                  <c:v>78116.539999999994</c:v>
                </c:pt>
                <c:pt idx="886">
                  <c:v>78060.02</c:v>
                </c:pt>
                <c:pt idx="887">
                  <c:v>78059.92</c:v>
                </c:pt>
                <c:pt idx="888">
                  <c:v>78115.320000000007</c:v>
                </c:pt>
                <c:pt idx="889">
                  <c:v>78116.710000000006</c:v>
                </c:pt>
                <c:pt idx="890">
                  <c:v>78106.89</c:v>
                </c:pt>
                <c:pt idx="891">
                  <c:v>78169.33</c:v>
                </c:pt>
                <c:pt idx="892">
                  <c:v>78246.350000000006</c:v>
                </c:pt>
                <c:pt idx="893">
                  <c:v>78140.98</c:v>
                </c:pt>
                <c:pt idx="894">
                  <c:v>78200.61</c:v>
                </c:pt>
                <c:pt idx="895">
                  <c:v>78188.509999999995</c:v>
                </c:pt>
                <c:pt idx="896">
                  <c:v>78183.399999999994</c:v>
                </c:pt>
                <c:pt idx="897">
                  <c:v>78187.86</c:v>
                </c:pt>
                <c:pt idx="898">
                  <c:v>78151.75</c:v>
                </c:pt>
                <c:pt idx="899">
                  <c:v>78306.710000000006</c:v>
                </c:pt>
                <c:pt idx="900">
                  <c:v>78213.23</c:v>
                </c:pt>
                <c:pt idx="901">
                  <c:v>78250.7</c:v>
                </c:pt>
                <c:pt idx="902">
                  <c:v>78330.399999999994</c:v>
                </c:pt>
                <c:pt idx="903">
                  <c:v>78331.56</c:v>
                </c:pt>
                <c:pt idx="904">
                  <c:v>78349.100000000006</c:v>
                </c:pt>
                <c:pt idx="905">
                  <c:v>78416.13</c:v>
                </c:pt>
                <c:pt idx="906">
                  <c:v>78369.02</c:v>
                </c:pt>
                <c:pt idx="907">
                  <c:v>78287.509999999995</c:v>
                </c:pt>
                <c:pt idx="908">
                  <c:v>78300.460000000006</c:v>
                </c:pt>
                <c:pt idx="909">
                  <c:v>78252.13</c:v>
                </c:pt>
                <c:pt idx="910">
                  <c:v>78221.649999999994</c:v>
                </c:pt>
                <c:pt idx="911">
                  <c:v>78197.31</c:v>
                </c:pt>
                <c:pt idx="912">
                  <c:v>78113.61</c:v>
                </c:pt>
                <c:pt idx="913">
                  <c:v>78120.91</c:v>
                </c:pt>
                <c:pt idx="914">
                  <c:v>78131.34</c:v>
                </c:pt>
                <c:pt idx="915">
                  <c:v>78131.02</c:v>
                </c:pt>
                <c:pt idx="916">
                  <c:v>78188.37</c:v>
                </c:pt>
                <c:pt idx="917">
                  <c:v>78159.509999999995</c:v>
                </c:pt>
                <c:pt idx="918">
                  <c:v>78178.36</c:v>
                </c:pt>
                <c:pt idx="919">
                  <c:v>78130.06</c:v>
                </c:pt>
                <c:pt idx="920">
                  <c:v>78051.210000000006</c:v>
                </c:pt>
                <c:pt idx="921">
                  <c:v>78060.5</c:v>
                </c:pt>
                <c:pt idx="922">
                  <c:v>78180.28</c:v>
                </c:pt>
                <c:pt idx="923">
                  <c:v>78076.710000000006</c:v>
                </c:pt>
                <c:pt idx="924">
                  <c:v>78109.509999999995</c:v>
                </c:pt>
                <c:pt idx="925">
                  <c:v>78150.78</c:v>
                </c:pt>
                <c:pt idx="926">
                  <c:v>78217.88</c:v>
                </c:pt>
                <c:pt idx="927">
                  <c:v>78117.77</c:v>
                </c:pt>
                <c:pt idx="928">
                  <c:v>78159.73</c:v>
                </c:pt>
                <c:pt idx="929">
                  <c:v>78266.899999999994</c:v>
                </c:pt>
                <c:pt idx="930">
                  <c:v>78282.600000000006</c:v>
                </c:pt>
                <c:pt idx="931">
                  <c:v>78276.58</c:v>
                </c:pt>
                <c:pt idx="932">
                  <c:v>78214.78</c:v>
                </c:pt>
                <c:pt idx="933">
                  <c:v>78221.16</c:v>
                </c:pt>
                <c:pt idx="934">
                  <c:v>78288.37</c:v>
                </c:pt>
                <c:pt idx="935">
                  <c:v>78267.34</c:v>
                </c:pt>
                <c:pt idx="936">
                  <c:v>78190.5</c:v>
                </c:pt>
                <c:pt idx="937">
                  <c:v>78133.320000000007</c:v>
                </c:pt>
                <c:pt idx="938">
                  <c:v>78057.460000000006</c:v>
                </c:pt>
                <c:pt idx="939">
                  <c:v>78103.62</c:v>
                </c:pt>
                <c:pt idx="940">
                  <c:v>78145.33</c:v>
                </c:pt>
                <c:pt idx="941">
                  <c:v>78132.86</c:v>
                </c:pt>
                <c:pt idx="942">
                  <c:v>78088.42</c:v>
                </c:pt>
                <c:pt idx="943">
                  <c:v>78052.28</c:v>
                </c:pt>
                <c:pt idx="944">
                  <c:v>78112.62</c:v>
                </c:pt>
                <c:pt idx="945">
                  <c:v>78043.520000000004</c:v>
                </c:pt>
                <c:pt idx="946">
                  <c:v>77978.350000000006</c:v>
                </c:pt>
                <c:pt idx="947">
                  <c:v>77957.22</c:v>
                </c:pt>
                <c:pt idx="948">
                  <c:v>78002.210000000006</c:v>
                </c:pt>
                <c:pt idx="949">
                  <c:v>78042.539999999994</c:v>
                </c:pt>
                <c:pt idx="950">
                  <c:v>77957.75</c:v>
                </c:pt>
                <c:pt idx="951">
                  <c:v>78059.16</c:v>
                </c:pt>
                <c:pt idx="952">
                  <c:v>78011.86</c:v>
                </c:pt>
                <c:pt idx="953">
                  <c:v>77989.53</c:v>
                </c:pt>
                <c:pt idx="954">
                  <c:v>78013.73</c:v>
                </c:pt>
                <c:pt idx="955">
                  <c:v>78066.33</c:v>
                </c:pt>
                <c:pt idx="956">
                  <c:v>78155.520000000004</c:v>
                </c:pt>
                <c:pt idx="957">
                  <c:v>78158.2</c:v>
                </c:pt>
                <c:pt idx="958">
                  <c:v>78205.600000000006</c:v>
                </c:pt>
                <c:pt idx="959">
                  <c:v>78126.94</c:v>
                </c:pt>
                <c:pt idx="960">
                  <c:v>78102.61</c:v>
                </c:pt>
                <c:pt idx="961">
                  <c:v>78106.55</c:v>
                </c:pt>
                <c:pt idx="962">
                  <c:v>78134.53</c:v>
                </c:pt>
                <c:pt idx="963">
                  <c:v>78105.850000000006</c:v>
                </c:pt>
                <c:pt idx="964">
                  <c:v>78181.009999999995</c:v>
                </c:pt>
                <c:pt idx="965">
                  <c:v>78171.89</c:v>
                </c:pt>
                <c:pt idx="966">
                  <c:v>78191.899999999994</c:v>
                </c:pt>
                <c:pt idx="967">
                  <c:v>78233.94</c:v>
                </c:pt>
                <c:pt idx="968">
                  <c:v>78261.98</c:v>
                </c:pt>
                <c:pt idx="969">
                  <c:v>78241.05</c:v>
                </c:pt>
                <c:pt idx="970">
                  <c:v>78288.149999999994</c:v>
                </c:pt>
                <c:pt idx="971">
                  <c:v>78266.11</c:v>
                </c:pt>
                <c:pt idx="972">
                  <c:v>78194.649999999994</c:v>
                </c:pt>
                <c:pt idx="973">
                  <c:v>78160.350000000006</c:v>
                </c:pt>
                <c:pt idx="974">
                  <c:v>78207.37</c:v>
                </c:pt>
                <c:pt idx="975">
                  <c:v>78179.350000000006</c:v>
                </c:pt>
                <c:pt idx="976">
                  <c:v>78212.990000000005</c:v>
                </c:pt>
                <c:pt idx="977">
                  <c:v>78232.55</c:v>
                </c:pt>
                <c:pt idx="978">
                  <c:v>78359.13</c:v>
                </c:pt>
                <c:pt idx="979">
                  <c:v>78364.509999999995</c:v>
                </c:pt>
                <c:pt idx="980">
                  <c:v>78513</c:v>
                </c:pt>
                <c:pt idx="981">
                  <c:v>78508.990000000005</c:v>
                </c:pt>
                <c:pt idx="982">
                  <c:v>78717.070000000007</c:v>
                </c:pt>
                <c:pt idx="983">
                  <c:v>78731.83</c:v>
                </c:pt>
                <c:pt idx="984">
                  <c:v>79054.91</c:v>
                </c:pt>
                <c:pt idx="985">
                  <c:v>79156.740000000005</c:v>
                </c:pt>
                <c:pt idx="986">
                  <c:v>79013.5</c:v>
                </c:pt>
                <c:pt idx="987">
                  <c:v>78869.440000000002</c:v>
                </c:pt>
                <c:pt idx="988">
                  <c:v>78907.88</c:v>
                </c:pt>
                <c:pt idx="989">
                  <c:v>78872.95</c:v>
                </c:pt>
                <c:pt idx="990">
                  <c:v>78922.45</c:v>
                </c:pt>
                <c:pt idx="991">
                  <c:v>78899.05</c:v>
                </c:pt>
                <c:pt idx="992">
                  <c:v>78812.28</c:v>
                </c:pt>
                <c:pt idx="993">
                  <c:v>78873.31</c:v>
                </c:pt>
                <c:pt idx="994">
                  <c:v>78993.14</c:v>
                </c:pt>
                <c:pt idx="995">
                  <c:v>79069.72</c:v>
                </c:pt>
                <c:pt idx="996">
                  <c:v>79116.149999999994</c:v>
                </c:pt>
                <c:pt idx="997">
                  <c:v>79040.5</c:v>
                </c:pt>
                <c:pt idx="998">
                  <c:v>79039.149999999994</c:v>
                </c:pt>
                <c:pt idx="999">
                  <c:v>78845.100000000006</c:v>
                </c:pt>
                <c:pt idx="1000">
                  <c:v>78861.490000000005</c:v>
                </c:pt>
                <c:pt idx="1001">
                  <c:v>78963.820000000007</c:v>
                </c:pt>
                <c:pt idx="1002">
                  <c:v>78870.94</c:v>
                </c:pt>
                <c:pt idx="1003">
                  <c:v>78853.7</c:v>
                </c:pt>
                <c:pt idx="1004">
                  <c:v>78724.84</c:v>
                </c:pt>
                <c:pt idx="1005">
                  <c:v>78786.11</c:v>
                </c:pt>
                <c:pt idx="1006">
                  <c:v>78656.62</c:v>
                </c:pt>
                <c:pt idx="1007">
                  <c:v>78747.13</c:v>
                </c:pt>
                <c:pt idx="1008">
                  <c:v>78634.320000000007</c:v>
                </c:pt>
                <c:pt idx="1009">
                  <c:v>78688.92</c:v>
                </c:pt>
                <c:pt idx="1010">
                  <c:v>78696.28</c:v>
                </c:pt>
                <c:pt idx="1011">
                  <c:v>78772.13</c:v>
                </c:pt>
                <c:pt idx="1012">
                  <c:v>78813.149999999994</c:v>
                </c:pt>
                <c:pt idx="1013">
                  <c:v>78849.42</c:v>
                </c:pt>
                <c:pt idx="1014">
                  <c:v>78849.919999999998</c:v>
                </c:pt>
                <c:pt idx="1015">
                  <c:v>78717.5</c:v>
                </c:pt>
                <c:pt idx="1016">
                  <c:v>78642.509999999995</c:v>
                </c:pt>
                <c:pt idx="1017">
                  <c:v>78717.960000000006</c:v>
                </c:pt>
                <c:pt idx="1018">
                  <c:v>78700.399999999994</c:v>
                </c:pt>
                <c:pt idx="1019">
                  <c:v>78670.41</c:v>
                </c:pt>
                <c:pt idx="1020">
                  <c:v>78684.160000000003</c:v>
                </c:pt>
                <c:pt idx="1021">
                  <c:v>78637.98</c:v>
                </c:pt>
                <c:pt idx="1022">
                  <c:v>78631.710000000006</c:v>
                </c:pt>
                <c:pt idx="1023">
                  <c:v>78779.33</c:v>
                </c:pt>
                <c:pt idx="1024">
                  <c:v>78842.78</c:v>
                </c:pt>
                <c:pt idx="1025">
                  <c:v>78882.59</c:v>
                </c:pt>
                <c:pt idx="1026">
                  <c:v>78864.38</c:v>
                </c:pt>
                <c:pt idx="1027">
                  <c:v>78927.89</c:v>
                </c:pt>
                <c:pt idx="1028">
                  <c:v>78980.88</c:v>
                </c:pt>
                <c:pt idx="1029">
                  <c:v>79041.22</c:v>
                </c:pt>
                <c:pt idx="1030">
                  <c:v>79113.2</c:v>
                </c:pt>
                <c:pt idx="1031">
                  <c:v>79171.14</c:v>
                </c:pt>
                <c:pt idx="1032">
                  <c:v>79280.350000000006</c:v>
                </c:pt>
                <c:pt idx="1033">
                  <c:v>79196.7</c:v>
                </c:pt>
                <c:pt idx="1034">
                  <c:v>79217.11</c:v>
                </c:pt>
                <c:pt idx="1035">
                  <c:v>79295.02</c:v>
                </c:pt>
                <c:pt idx="1036">
                  <c:v>79274.33</c:v>
                </c:pt>
                <c:pt idx="1037">
                  <c:v>79249.759999999995</c:v>
                </c:pt>
                <c:pt idx="1038">
                  <c:v>79213.539999999994</c:v>
                </c:pt>
                <c:pt idx="1039">
                  <c:v>79186.960000000006</c:v>
                </c:pt>
                <c:pt idx="1040">
                  <c:v>79258.36</c:v>
                </c:pt>
                <c:pt idx="1041">
                  <c:v>79212.679999999993</c:v>
                </c:pt>
                <c:pt idx="1042">
                  <c:v>79174.48</c:v>
                </c:pt>
                <c:pt idx="1043">
                  <c:v>79022.41</c:v>
                </c:pt>
                <c:pt idx="1044">
                  <c:v>78937.62</c:v>
                </c:pt>
                <c:pt idx="1045">
                  <c:v>78938.28</c:v>
                </c:pt>
                <c:pt idx="1046">
                  <c:v>78935.47</c:v>
                </c:pt>
                <c:pt idx="1047">
                  <c:v>79008.759999999995</c:v>
                </c:pt>
                <c:pt idx="1048">
                  <c:v>79018.720000000001</c:v>
                </c:pt>
                <c:pt idx="1049">
                  <c:v>79080.84</c:v>
                </c:pt>
                <c:pt idx="1050">
                  <c:v>79046.09</c:v>
                </c:pt>
                <c:pt idx="1051">
                  <c:v>79102.77</c:v>
                </c:pt>
                <c:pt idx="1052">
                  <c:v>78980.66</c:v>
                </c:pt>
                <c:pt idx="1053">
                  <c:v>78960.72</c:v>
                </c:pt>
                <c:pt idx="1054">
                  <c:v>79002.89</c:v>
                </c:pt>
                <c:pt idx="1055">
                  <c:v>78954.3</c:v>
                </c:pt>
                <c:pt idx="1056">
                  <c:v>78948.41</c:v>
                </c:pt>
                <c:pt idx="1057">
                  <c:v>78867.42</c:v>
                </c:pt>
                <c:pt idx="1058">
                  <c:v>78813.429999999993</c:v>
                </c:pt>
                <c:pt idx="1059">
                  <c:v>78808.95</c:v>
                </c:pt>
                <c:pt idx="1060">
                  <c:v>78732.710000000006</c:v>
                </c:pt>
                <c:pt idx="1061">
                  <c:v>78708.289999999994</c:v>
                </c:pt>
                <c:pt idx="1062">
                  <c:v>78773.490000000005</c:v>
                </c:pt>
                <c:pt idx="1063">
                  <c:v>78803.48</c:v>
                </c:pt>
                <c:pt idx="1064">
                  <c:v>78794.070000000007</c:v>
                </c:pt>
                <c:pt idx="1065">
                  <c:v>78711.360000000001</c:v>
                </c:pt>
                <c:pt idx="1066">
                  <c:v>78781.72</c:v>
                </c:pt>
                <c:pt idx="1067">
                  <c:v>78811.11</c:v>
                </c:pt>
                <c:pt idx="1068">
                  <c:v>78908.83</c:v>
                </c:pt>
                <c:pt idx="1069">
                  <c:v>78882.8</c:v>
                </c:pt>
                <c:pt idx="1070">
                  <c:v>78908.59</c:v>
                </c:pt>
                <c:pt idx="1071">
                  <c:v>78937.62</c:v>
                </c:pt>
                <c:pt idx="1072">
                  <c:v>79062.75</c:v>
                </c:pt>
                <c:pt idx="1073">
                  <c:v>78909.97</c:v>
                </c:pt>
                <c:pt idx="1074">
                  <c:v>78974.070000000007</c:v>
                </c:pt>
                <c:pt idx="1075">
                  <c:v>78960.67</c:v>
                </c:pt>
                <c:pt idx="1076">
                  <c:v>78979.17</c:v>
                </c:pt>
                <c:pt idx="1077">
                  <c:v>78950.53</c:v>
                </c:pt>
                <c:pt idx="1078">
                  <c:v>78979.19</c:v>
                </c:pt>
                <c:pt idx="1079">
                  <c:v>78830.44</c:v>
                </c:pt>
                <c:pt idx="1080">
                  <c:v>78850.06</c:v>
                </c:pt>
                <c:pt idx="1081">
                  <c:v>78878.259999999995</c:v>
                </c:pt>
                <c:pt idx="1082">
                  <c:v>78743.14</c:v>
                </c:pt>
                <c:pt idx="1083">
                  <c:v>78763.48</c:v>
                </c:pt>
                <c:pt idx="1084">
                  <c:v>78759.69</c:v>
                </c:pt>
                <c:pt idx="1085">
                  <c:v>78724.009999999995</c:v>
                </c:pt>
                <c:pt idx="1086">
                  <c:v>78621.179999999993</c:v>
                </c:pt>
                <c:pt idx="1087">
                  <c:v>78637.429999999993</c:v>
                </c:pt>
                <c:pt idx="1088">
                  <c:v>78592.94</c:v>
                </c:pt>
                <c:pt idx="1089">
                  <c:v>78647.350000000006</c:v>
                </c:pt>
                <c:pt idx="1090">
                  <c:v>78594.240000000005</c:v>
                </c:pt>
                <c:pt idx="1091">
                  <c:v>78528.179999999993</c:v>
                </c:pt>
                <c:pt idx="1092">
                  <c:v>78548.990000000005</c:v>
                </c:pt>
                <c:pt idx="1093">
                  <c:v>78601.63</c:v>
                </c:pt>
                <c:pt idx="1094">
                  <c:v>78648.149999999994</c:v>
                </c:pt>
                <c:pt idx="1095">
                  <c:v>78655.740000000005</c:v>
                </c:pt>
                <c:pt idx="1096">
                  <c:v>78546.009999999995</c:v>
                </c:pt>
                <c:pt idx="1097">
                  <c:v>78426.100000000006</c:v>
                </c:pt>
                <c:pt idx="1098">
                  <c:v>78428.28</c:v>
                </c:pt>
                <c:pt idx="1099">
                  <c:v>78409.210000000006</c:v>
                </c:pt>
                <c:pt idx="1100">
                  <c:v>78351.22</c:v>
                </c:pt>
                <c:pt idx="1101">
                  <c:v>78391.850000000006</c:v>
                </c:pt>
                <c:pt idx="1102">
                  <c:v>78459.929999999993</c:v>
                </c:pt>
                <c:pt idx="1103">
                  <c:v>78503.100000000006</c:v>
                </c:pt>
                <c:pt idx="1104">
                  <c:v>78560.929999999993</c:v>
                </c:pt>
                <c:pt idx="1105">
                  <c:v>78575.61</c:v>
                </c:pt>
                <c:pt idx="1106">
                  <c:v>78556.53</c:v>
                </c:pt>
                <c:pt idx="1107">
                  <c:v>78555.259999999995</c:v>
                </c:pt>
                <c:pt idx="1108">
                  <c:v>78727.63</c:v>
                </c:pt>
                <c:pt idx="1109">
                  <c:v>78766.399999999994</c:v>
                </c:pt>
                <c:pt idx="1110">
                  <c:v>78790.5</c:v>
                </c:pt>
                <c:pt idx="1111">
                  <c:v>78761.62</c:v>
                </c:pt>
                <c:pt idx="1112">
                  <c:v>78753.52</c:v>
                </c:pt>
                <c:pt idx="1113">
                  <c:v>78622.8</c:v>
                </c:pt>
                <c:pt idx="1114">
                  <c:v>78561.460000000006</c:v>
                </c:pt>
                <c:pt idx="1115">
                  <c:v>78638.53</c:v>
                </c:pt>
                <c:pt idx="1116">
                  <c:v>78558.399999999994</c:v>
                </c:pt>
                <c:pt idx="1117">
                  <c:v>78557.62</c:v>
                </c:pt>
                <c:pt idx="1118">
                  <c:v>78541.3</c:v>
                </c:pt>
                <c:pt idx="1119">
                  <c:v>78499.17</c:v>
                </c:pt>
                <c:pt idx="1120">
                  <c:v>78453.36</c:v>
                </c:pt>
                <c:pt idx="1121">
                  <c:v>78479.58</c:v>
                </c:pt>
                <c:pt idx="1122">
                  <c:v>78347.58</c:v>
                </c:pt>
                <c:pt idx="1123">
                  <c:v>78340.17</c:v>
                </c:pt>
                <c:pt idx="1124">
                  <c:v>78335.27</c:v>
                </c:pt>
                <c:pt idx="1125">
                  <c:v>78300.990000000005</c:v>
                </c:pt>
                <c:pt idx="1126">
                  <c:v>78319.820000000007</c:v>
                </c:pt>
                <c:pt idx="1127">
                  <c:v>78280.539999999994</c:v>
                </c:pt>
                <c:pt idx="1128">
                  <c:v>78315.03</c:v>
                </c:pt>
                <c:pt idx="1129">
                  <c:v>78351.320000000007</c:v>
                </c:pt>
                <c:pt idx="1130">
                  <c:v>78436.22</c:v>
                </c:pt>
                <c:pt idx="1131">
                  <c:v>78428.45</c:v>
                </c:pt>
                <c:pt idx="1132">
                  <c:v>78470.34</c:v>
                </c:pt>
                <c:pt idx="1133">
                  <c:v>78435.17</c:v>
                </c:pt>
                <c:pt idx="1134">
                  <c:v>78458.94</c:v>
                </c:pt>
                <c:pt idx="1135">
                  <c:v>78440.5</c:v>
                </c:pt>
                <c:pt idx="1136">
                  <c:v>78450.25</c:v>
                </c:pt>
                <c:pt idx="1137">
                  <c:v>78502.52</c:v>
                </c:pt>
                <c:pt idx="1138">
                  <c:v>78456.710000000006</c:v>
                </c:pt>
                <c:pt idx="1139">
                  <c:v>78463.44</c:v>
                </c:pt>
                <c:pt idx="1140">
                  <c:v>78484.210000000006</c:v>
                </c:pt>
                <c:pt idx="1141">
                  <c:v>78570.570000000007</c:v>
                </c:pt>
                <c:pt idx="1142">
                  <c:v>78393.86</c:v>
                </c:pt>
                <c:pt idx="1143">
                  <c:v>78393.539999999994</c:v>
                </c:pt>
                <c:pt idx="1144">
                  <c:v>78354.3</c:v>
                </c:pt>
                <c:pt idx="1145">
                  <c:v>78349.289999999994</c:v>
                </c:pt>
                <c:pt idx="1146">
                  <c:v>78408.69</c:v>
                </c:pt>
                <c:pt idx="1147">
                  <c:v>78380.23</c:v>
                </c:pt>
                <c:pt idx="1148">
                  <c:v>78372.160000000003</c:v>
                </c:pt>
                <c:pt idx="1149">
                  <c:v>78486.09</c:v>
                </c:pt>
                <c:pt idx="1150">
                  <c:v>78543.179999999993</c:v>
                </c:pt>
                <c:pt idx="1151">
                  <c:v>78651.429999999993</c:v>
                </c:pt>
                <c:pt idx="1152">
                  <c:v>78679.399999999994</c:v>
                </c:pt>
                <c:pt idx="1153">
                  <c:v>78723.62</c:v>
                </c:pt>
                <c:pt idx="1154">
                  <c:v>78716.240000000005</c:v>
                </c:pt>
                <c:pt idx="1155">
                  <c:v>78776.92</c:v>
                </c:pt>
                <c:pt idx="1156">
                  <c:v>78808.61</c:v>
                </c:pt>
                <c:pt idx="1157">
                  <c:v>78806.820000000007</c:v>
                </c:pt>
                <c:pt idx="1158">
                  <c:v>78749.58</c:v>
                </c:pt>
                <c:pt idx="1159">
                  <c:v>78779.570000000007</c:v>
                </c:pt>
                <c:pt idx="1160">
                  <c:v>78743.19</c:v>
                </c:pt>
                <c:pt idx="1161">
                  <c:v>78624.56</c:v>
                </c:pt>
                <c:pt idx="1162">
                  <c:v>78502.53</c:v>
                </c:pt>
                <c:pt idx="1163">
                  <c:v>78491.34</c:v>
                </c:pt>
                <c:pt idx="1164">
                  <c:v>78494.649999999994</c:v>
                </c:pt>
                <c:pt idx="1165">
                  <c:v>78529.17</c:v>
                </c:pt>
                <c:pt idx="1166">
                  <c:v>78540.63</c:v>
                </c:pt>
                <c:pt idx="1167">
                  <c:v>78503.990000000005</c:v>
                </c:pt>
                <c:pt idx="1168">
                  <c:v>78518.33</c:v>
                </c:pt>
                <c:pt idx="1169">
                  <c:v>78558.25</c:v>
                </c:pt>
                <c:pt idx="1170">
                  <c:v>78586.44</c:v>
                </c:pt>
                <c:pt idx="1171">
                  <c:v>78586.14</c:v>
                </c:pt>
                <c:pt idx="1172">
                  <c:v>78658.91</c:v>
                </c:pt>
                <c:pt idx="1173">
                  <c:v>78667.16</c:v>
                </c:pt>
                <c:pt idx="1174">
                  <c:v>78571.360000000001</c:v>
                </c:pt>
                <c:pt idx="1175">
                  <c:v>78667</c:v>
                </c:pt>
                <c:pt idx="1176">
                  <c:v>78705.83</c:v>
                </c:pt>
                <c:pt idx="1177">
                  <c:v>78663.91</c:v>
                </c:pt>
                <c:pt idx="1178">
                  <c:v>78751.95</c:v>
                </c:pt>
                <c:pt idx="1179">
                  <c:v>78702.320000000007</c:v>
                </c:pt>
                <c:pt idx="1180">
                  <c:v>78729.23</c:v>
                </c:pt>
                <c:pt idx="1181">
                  <c:v>78717.19</c:v>
                </c:pt>
                <c:pt idx="1182">
                  <c:v>78736.08</c:v>
                </c:pt>
                <c:pt idx="1183">
                  <c:v>78744.17</c:v>
                </c:pt>
                <c:pt idx="1184">
                  <c:v>78657.289999999994</c:v>
                </c:pt>
                <c:pt idx="1185">
                  <c:v>78708.929999999993</c:v>
                </c:pt>
                <c:pt idx="1186">
                  <c:v>78720.28</c:v>
                </c:pt>
                <c:pt idx="1187">
                  <c:v>78811.179999999993</c:v>
                </c:pt>
                <c:pt idx="1188">
                  <c:v>78792.88</c:v>
                </c:pt>
                <c:pt idx="1189">
                  <c:v>78814.559999999998</c:v>
                </c:pt>
                <c:pt idx="1190">
                  <c:v>78813.929999999993</c:v>
                </c:pt>
                <c:pt idx="1191">
                  <c:v>78831.12</c:v>
                </c:pt>
                <c:pt idx="1192">
                  <c:v>78789.850000000006</c:v>
                </c:pt>
                <c:pt idx="1193">
                  <c:v>78848.86</c:v>
                </c:pt>
                <c:pt idx="1194">
                  <c:v>78940.59</c:v>
                </c:pt>
                <c:pt idx="1195">
                  <c:v>78986.52</c:v>
                </c:pt>
                <c:pt idx="1196">
                  <c:v>78916.98</c:v>
                </c:pt>
                <c:pt idx="1197">
                  <c:v>78952.86</c:v>
                </c:pt>
                <c:pt idx="1198">
                  <c:v>78942</c:v>
                </c:pt>
                <c:pt idx="1199">
                  <c:v>78857.33</c:v>
                </c:pt>
                <c:pt idx="1200">
                  <c:v>78846.89</c:v>
                </c:pt>
                <c:pt idx="1201">
                  <c:v>78882.149999999994</c:v>
                </c:pt>
                <c:pt idx="1202">
                  <c:v>78931.28</c:v>
                </c:pt>
                <c:pt idx="1203">
                  <c:v>78939.08</c:v>
                </c:pt>
                <c:pt idx="1204">
                  <c:v>78856.78</c:v>
                </c:pt>
                <c:pt idx="1205">
                  <c:v>78743.75</c:v>
                </c:pt>
                <c:pt idx="1206">
                  <c:v>78743.850000000006</c:v>
                </c:pt>
                <c:pt idx="1207">
                  <c:v>78721.279999999999</c:v>
                </c:pt>
                <c:pt idx="1208">
                  <c:v>78703.649999999994</c:v>
                </c:pt>
                <c:pt idx="1209">
                  <c:v>78738.720000000001</c:v>
                </c:pt>
                <c:pt idx="1210">
                  <c:v>78843.320000000007</c:v>
                </c:pt>
                <c:pt idx="1211">
                  <c:v>78831.13</c:v>
                </c:pt>
                <c:pt idx="1212">
                  <c:v>78831.199999999997</c:v>
                </c:pt>
                <c:pt idx="1213">
                  <c:v>78826.87</c:v>
                </c:pt>
                <c:pt idx="1214">
                  <c:v>78770.149999999994</c:v>
                </c:pt>
                <c:pt idx="1215">
                  <c:v>78822.16</c:v>
                </c:pt>
                <c:pt idx="1216">
                  <c:v>78817.11</c:v>
                </c:pt>
                <c:pt idx="1217">
                  <c:v>78748.800000000003</c:v>
                </c:pt>
                <c:pt idx="1218">
                  <c:v>78734.61</c:v>
                </c:pt>
                <c:pt idx="1219">
                  <c:v>78731.81</c:v>
                </c:pt>
                <c:pt idx="1220">
                  <c:v>78650.86</c:v>
                </c:pt>
                <c:pt idx="1221">
                  <c:v>78726.16</c:v>
                </c:pt>
                <c:pt idx="1222">
                  <c:v>78741.66</c:v>
                </c:pt>
                <c:pt idx="1223">
                  <c:v>78679.53</c:v>
                </c:pt>
                <c:pt idx="1224">
                  <c:v>78649.61</c:v>
                </c:pt>
                <c:pt idx="1225">
                  <c:v>78699.12</c:v>
                </c:pt>
                <c:pt idx="1226">
                  <c:v>78661.399999999994</c:v>
                </c:pt>
                <c:pt idx="1227">
                  <c:v>78721.8</c:v>
                </c:pt>
                <c:pt idx="1228">
                  <c:v>78717.52</c:v>
                </c:pt>
                <c:pt idx="1229">
                  <c:v>78717.679999999993</c:v>
                </c:pt>
                <c:pt idx="1230">
                  <c:v>78696.009999999995</c:v>
                </c:pt>
                <c:pt idx="1231">
                  <c:v>78740.58</c:v>
                </c:pt>
                <c:pt idx="1232">
                  <c:v>78670.2</c:v>
                </c:pt>
                <c:pt idx="1233">
                  <c:v>78663</c:v>
                </c:pt>
                <c:pt idx="1234">
                  <c:v>78717.16</c:v>
                </c:pt>
                <c:pt idx="1235">
                  <c:v>78686.8</c:v>
                </c:pt>
                <c:pt idx="1236">
                  <c:v>78664.14</c:v>
                </c:pt>
                <c:pt idx="1237">
                  <c:v>78676.649999999994</c:v>
                </c:pt>
                <c:pt idx="1238">
                  <c:v>78690.33</c:v>
                </c:pt>
                <c:pt idx="1239">
                  <c:v>78694.62</c:v>
                </c:pt>
                <c:pt idx="1240">
                  <c:v>78727.63</c:v>
                </c:pt>
                <c:pt idx="1241">
                  <c:v>78727.94</c:v>
                </c:pt>
                <c:pt idx="1242">
                  <c:v>78721.33</c:v>
                </c:pt>
                <c:pt idx="1243">
                  <c:v>78796.66</c:v>
                </c:pt>
                <c:pt idx="1244">
                  <c:v>78660.84</c:v>
                </c:pt>
                <c:pt idx="1245">
                  <c:v>78680</c:v>
                </c:pt>
                <c:pt idx="1246">
                  <c:v>78722.039999999994</c:v>
                </c:pt>
                <c:pt idx="1247">
                  <c:v>78729.37</c:v>
                </c:pt>
                <c:pt idx="1248">
                  <c:v>78777.83</c:v>
                </c:pt>
                <c:pt idx="1249">
                  <c:v>78793.45</c:v>
                </c:pt>
                <c:pt idx="1250">
                  <c:v>78823.86</c:v>
                </c:pt>
                <c:pt idx="1251">
                  <c:v>78830.320000000007</c:v>
                </c:pt>
                <c:pt idx="1252">
                  <c:v>78854.22</c:v>
                </c:pt>
                <c:pt idx="1253">
                  <c:v>78852.179999999993</c:v>
                </c:pt>
                <c:pt idx="1254">
                  <c:v>78822.92</c:v>
                </c:pt>
                <c:pt idx="1255">
                  <c:v>78816.73</c:v>
                </c:pt>
                <c:pt idx="1256">
                  <c:v>78780.399999999994</c:v>
                </c:pt>
                <c:pt idx="1257">
                  <c:v>78800.27</c:v>
                </c:pt>
                <c:pt idx="1258">
                  <c:v>78825.820000000007</c:v>
                </c:pt>
                <c:pt idx="1259">
                  <c:v>78836.37</c:v>
                </c:pt>
                <c:pt idx="1260">
                  <c:v>78814.36</c:v>
                </c:pt>
                <c:pt idx="1261">
                  <c:v>78799.259999999995</c:v>
                </c:pt>
                <c:pt idx="1262">
                  <c:v>78788.88</c:v>
                </c:pt>
                <c:pt idx="1263">
                  <c:v>78749.919999999998</c:v>
                </c:pt>
                <c:pt idx="1264">
                  <c:v>78759.490000000005</c:v>
                </c:pt>
                <c:pt idx="1265">
                  <c:v>78722.31</c:v>
                </c:pt>
                <c:pt idx="1266">
                  <c:v>78677.34</c:v>
                </c:pt>
                <c:pt idx="1267">
                  <c:v>78739.63</c:v>
                </c:pt>
                <c:pt idx="1268">
                  <c:v>78691.41</c:v>
                </c:pt>
                <c:pt idx="1269">
                  <c:v>78696.92</c:v>
                </c:pt>
                <c:pt idx="1270">
                  <c:v>78765.070000000007</c:v>
                </c:pt>
                <c:pt idx="1271">
                  <c:v>78801.66</c:v>
                </c:pt>
                <c:pt idx="1272">
                  <c:v>78852.58</c:v>
                </c:pt>
                <c:pt idx="1273">
                  <c:v>78952.149999999994</c:v>
                </c:pt>
                <c:pt idx="1274">
                  <c:v>78929.2</c:v>
                </c:pt>
                <c:pt idx="1275">
                  <c:v>78915.69</c:v>
                </c:pt>
                <c:pt idx="1276">
                  <c:v>78926.429999999993</c:v>
                </c:pt>
                <c:pt idx="1277">
                  <c:v>78935.360000000001</c:v>
                </c:pt>
                <c:pt idx="1278">
                  <c:v>78999.31</c:v>
                </c:pt>
                <c:pt idx="1279">
                  <c:v>78966.009999999995</c:v>
                </c:pt>
                <c:pt idx="1280">
                  <c:v>79049.84</c:v>
                </c:pt>
                <c:pt idx="1281">
                  <c:v>79001.22</c:v>
                </c:pt>
                <c:pt idx="1282">
                  <c:v>78946.92</c:v>
                </c:pt>
                <c:pt idx="1283">
                  <c:v>78932.83</c:v>
                </c:pt>
                <c:pt idx="1284">
                  <c:v>78979.95</c:v>
                </c:pt>
                <c:pt idx="1285">
                  <c:v>78947.009999999995</c:v>
                </c:pt>
                <c:pt idx="1286">
                  <c:v>78868.38</c:v>
                </c:pt>
                <c:pt idx="1287">
                  <c:v>78887.81</c:v>
                </c:pt>
                <c:pt idx="1288">
                  <c:v>78875.89</c:v>
                </c:pt>
                <c:pt idx="1289">
                  <c:v>78865.31</c:v>
                </c:pt>
                <c:pt idx="1290">
                  <c:v>78882.720000000001</c:v>
                </c:pt>
                <c:pt idx="1291">
                  <c:v>78903.41</c:v>
                </c:pt>
                <c:pt idx="1292">
                  <c:v>78870.429999999993</c:v>
                </c:pt>
                <c:pt idx="1293">
                  <c:v>78954.240000000005</c:v>
                </c:pt>
                <c:pt idx="1294">
                  <c:v>78871.740000000005</c:v>
                </c:pt>
                <c:pt idx="1295">
                  <c:v>78905.38</c:v>
                </c:pt>
                <c:pt idx="1296">
                  <c:v>78905.31</c:v>
                </c:pt>
                <c:pt idx="1297">
                  <c:v>78889.850000000006</c:v>
                </c:pt>
                <c:pt idx="1298">
                  <c:v>78864.02</c:v>
                </c:pt>
                <c:pt idx="1299">
                  <c:v>78925.03</c:v>
                </c:pt>
                <c:pt idx="1300">
                  <c:v>78935.11</c:v>
                </c:pt>
                <c:pt idx="1301">
                  <c:v>78942.25</c:v>
                </c:pt>
                <c:pt idx="1302">
                  <c:v>78925.63</c:v>
                </c:pt>
                <c:pt idx="1303">
                  <c:v>78944.19</c:v>
                </c:pt>
                <c:pt idx="1304">
                  <c:v>78933.710000000006</c:v>
                </c:pt>
                <c:pt idx="1305">
                  <c:v>78958.320000000007</c:v>
                </c:pt>
                <c:pt idx="1306">
                  <c:v>78952.11</c:v>
                </c:pt>
                <c:pt idx="1307">
                  <c:v>78989.14</c:v>
                </c:pt>
                <c:pt idx="1308">
                  <c:v>78992.45</c:v>
                </c:pt>
                <c:pt idx="1309">
                  <c:v>78939.53</c:v>
                </c:pt>
                <c:pt idx="1310">
                  <c:v>78958.55</c:v>
                </c:pt>
                <c:pt idx="1311">
                  <c:v>78935.31</c:v>
                </c:pt>
                <c:pt idx="1312">
                  <c:v>78949.88</c:v>
                </c:pt>
                <c:pt idx="1313">
                  <c:v>78972.55</c:v>
                </c:pt>
                <c:pt idx="1314">
                  <c:v>78967.55</c:v>
                </c:pt>
                <c:pt idx="1315">
                  <c:v>78984.75</c:v>
                </c:pt>
                <c:pt idx="1316">
                  <c:v>78983.42</c:v>
                </c:pt>
                <c:pt idx="1317">
                  <c:v>78976.63</c:v>
                </c:pt>
                <c:pt idx="1318">
                  <c:v>78982.320000000007</c:v>
                </c:pt>
                <c:pt idx="1319">
                  <c:v>78982.27</c:v>
                </c:pt>
                <c:pt idx="1320">
                  <c:v>78922.350000000006</c:v>
                </c:pt>
                <c:pt idx="1321">
                  <c:v>78942.570000000007</c:v>
                </c:pt>
                <c:pt idx="1322">
                  <c:v>78868.86</c:v>
                </c:pt>
                <c:pt idx="1323">
                  <c:v>78736.100000000006</c:v>
                </c:pt>
                <c:pt idx="1324">
                  <c:v>78781.100000000006</c:v>
                </c:pt>
                <c:pt idx="1325">
                  <c:v>78757.899999999994</c:v>
                </c:pt>
                <c:pt idx="1326">
                  <c:v>78830.33</c:v>
                </c:pt>
                <c:pt idx="1327">
                  <c:v>78734.02</c:v>
                </c:pt>
                <c:pt idx="1328">
                  <c:v>78716.61</c:v>
                </c:pt>
                <c:pt idx="1329">
                  <c:v>78717.850000000006</c:v>
                </c:pt>
                <c:pt idx="1330">
                  <c:v>78709.990000000005</c:v>
                </c:pt>
                <c:pt idx="1331">
                  <c:v>78739.850000000006</c:v>
                </c:pt>
                <c:pt idx="1332">
                  <c:v>78711.12</c:v>
                </c:pt>
                <c:pt idx="1333">
                  <c:v>78735.61</c:v>
                </c:pt>
                <c:pt idx="1334">
                  <c:v>78727.53</c:v>
                </c:pt>
                <c:pt idx="1335">
                  <c:v>78798.3</c:v>
                </c:pt>
                <c:pt idx="1336">
                  <c:v>78807.62</c:v>
                </c:pt>
                <c:pt idx="1337">
                  <c:v>78746.600000000006</c:v>
                </c:pt>
                <c:pt idx="1338">
                  <c:v>78748.55</c:v>
                </c:pt>
                <c:pt idx="1339">
                  <c:v>78748.820000000007</c:v>
                </c:pt>
                <c:pt idx="1340">
                  <c:v>78749.350000000006</c:v>
                </c:pt>
                <c:pt idx="1341">
                  <c:v>78688.97</c:v>
                </c:pt>
                <c:pt idx="1342">
                  <c:v>78688.72</c:v>
                </c:pt>
                <c:pt idx="1343">
                  <c:v>78720.820000000007</c:v>
                </c:pt>
                <c:pt idx="1344">
                  <c:v>78829.39</c:v>
                </c:pt>
                <c:pt idx="1345">
                  <c:v>78852.83</c:v>
                </c:pt>
                <c:pt idx="1346">
                  <c:v>78808.59</c:v>
                </c:pt>
                <c:pt idx="1347">
                  <c:v>78878.3</c:v>
                </c:pt>
                <c:pt idx="1348">
                  <c:v>78901.3</c:v>
                </c:pt>
                <c:pt idx="1349">
                  <c:v>78921.55</c:v>
                </c:pt>
                <c:pt idx="1350">
                  <c:v>78895.600000000006</c:v>
                </c:pt>
                <c:pt idx="1351">
                  <c:v>78862.3</c:v>
                </c:pt>
                <c:pt idx="1352">
                  <c:v>78846.5</c:v>
                </c:pt>
                <c:pt idx="1353">
                  <c:v>78794.2</c:v>
                </c:pt>
                <c:pt idx="1354">
                  <c:v>78801.53</c:v>
                </c:pt>
                <c:pt idx="1355">
                  <c:v>78805.53</c:v>
                </c:pt>
                <c:pt idx="1356">
                  <c:v>78790.5</c:v>
                </c:pt>
                <c:pt idx="1357">
                  <c:v>78722</c:v>
                </c:pt>
                <c:pt idx="1358">
                  <c:v>78711.600000000006</c:v>
                </c:pt>
                <c:pt idx="1359">
                  <c:v>78701.5</c:v>
                </c:pt>
                <c:pt idx="1360">
                  <c:v>78662.039999999994</c:v>
                </c:pt>
                <c:pt idx="1361">
                  <c:v>78673.210000000006</c:v>
                </c:pt>
                <c:pt idx="1362">
                  <c:v>78653.100000000006</c:v>
                </c:pt>
                <c:pt idx="1363">
                  <c:v>78646.5</c:v>
                </c:pt>
                <c:pt idx="1364">
                  <c:v>78620.36</c:v>
                </c:pt>
                <c:pt idx="1365">
                  <c:v>78532.94</c:v>
                </c:pt>
                <c:pt idx="1366">
                  <c:v>78555.73</c:v>
                </c:pt>
                <c:pt idx="1367">
                  <c:v>78591.37</c:v>
                </c:pt>
                <c:pt idx="1368">
                  <c:v>78587.11</c:v>
                </c:pt>
                <c:pt idx="1369">
                  <c:v>78558.240000000005</c:v>
                </c:pt>
                <c:pt idx="1370">
                  <c:v>78511.520000000004</c:v>
                </c:pt>
                <c:pt idx="1371">
                  <c:v>78575.850000000006</c:v>
                </c:pt>
                <c:pt idx="1372">
                  <c:v>78541.09</c:v>
                </c:pt>
                <c:pt idx="1373">
                  <c:v>78594.73</c:v>
                </c:pt>
                <c:pt idx="1374">
                  <c:v>78537.7</c:v>
                </c:pt>
                <c:pt idx="1375">
                  <c:v>78523.350000000006</c:v>
                </c:pt>
                <c:pt idx="1376">
                  <c:v>78563.67</c:v>
                </c:pt>
                <c:pt idx="1377">
                  <c:v>78547.460000000006</c:v>
                </c:pt>
                <c:pt idx="1378">
                  <c:v>78546.7</c:v>
                </c:pt>
                <c:pt idx="1379">
                  <c:v>78545.05</c:v>
                </c:pt>
                <c:pt idx="1380">
                  <c:v>78573.789999999994</c:v>
                </c:pt>
                <c:pt idx="1381">
                  <c:v>78626.02</c:v>
                </c:pt>
                <c:pt idx="1382">
                  <c:v>78592.2</c:v>
                </c:pt>
                <c:pt idx="1383">
                  <c:v>78623.02</c:v>
                </c:pt>
                <c:pt idx="1384">
                  <c:v>78590.039999999994</c:v>
                </c:pt>
                <c:pt idx="1385">
                  <c:v>78572.91</c:v>
                </c:pt>
                <c:pt idx="1386">
                  <c:v>78581.25</c:v>
                </c:pt>
                <c:pt idx="1387">
                  <c:v>78600.62</c:v>
                </c:pt>
                <c:pt idx="1388">
                  <c:v>78587.8</c:v>
                </c:pt>
                <c:pt idx="1389">
                  <c:v>78578.27</c:v>
                </c:pt>
                <c:pt idx="1390">
                  <c:v>78610.33</c:v>
                </c:pt>
                <c:pt idx="1391">
                  <c:v>78600.77</c:v>
                </c:pt>
                <c:pt idx="1392">
                  <c:v>78600.23</c:v>
                </c:pt>
                <c:pt idx="1393">
                  <c:v>78636.990000000005</c:v>
                </c:pt>
                <c:pt idx="1394">
                  <c:v>78640.81</c:v>
                </c:pt>
                <c:pt idx="1395">
                  <c:v>78668.56</c:v>
                </c:pt>
                <c:pt idx="1396">
                  <c:v>78675.83</c:v>
                </c:pt>
                <c:pt idx="1397">
                  <c:v>78668.62</c:v>
                </c:pt>
                <c:pt idx="1398">
                  <c:v>78675.13</c:v>
                </c:pt>
                <c:pt idx="1399">
                  <c:v>78658.429999999993</c:v>
                </c:pt>
                <c:pt idx="1400">
                  <c:v>78676.36</c:v>
                </c:pt>
                <c:pt idx="1401">
                  <c:v>78688.31</c:v>
                </c:pt>
                <c:pt idx="1402">
                  <c:v>78693.820000000007</c:v>
                </c:pt>
                <c:pt idx="1403">
                  <c:v>78694.13</c:v>
                </c:pt>
                <c:pt idx="1404">
                  <c:v>78716.52</c:v>
                </c:pt>
                <c:pt idx="1405">
                  <c:v>78698.83</c:v>
                </c:pt>
                <c:pt idx="1406">
                  <c:v>78756.33</c:v>
                </c:pt>
                <c:pt idx="1407">
                  <c:v>78700.23</c:v>
                </c:pt>
                <c:pt idx="1408">
                  <c:v>78689.399999999994</c:v>
                </c:pt>
                <c:pt idx="1409">
                  <c:v>78642.42</c:v>
                </c:pt>
                <c:pt idx="1410">
                  <c:v>78670.13</c:v>
                </c:pt>
                <c:pt idx="1411">
                  <c:v>78726.36</c:v>
                </c:pt>
                <c:pt idx="1412">
                  <c:v>78729.63</c:v>
                </c:pt>
                <c:pt idx="1413">
                  <c:v>78719.81</c:v>
                </c:pt>
                <c:pt idx="1414">
                  <c:v>78680.83</c:v>
                </c:pt>
                <c:pt idx="1415">
                  <c:v>78654.960000000006</c:v>
                </c:pt>
                <c:pt idx="1416">
                  <c:v>78653.100000000006</c:v>
                </c:pt>
                <c:pt idx="1417">
                  <c:v>78557.649999999994</c:v>
                </c:pt>
                <c:pt idx="1418">
                  <c:v>78458.740000000005</c:v>
                </c:pt>
                <c:pt idx="1419">
                  <c:v>78392.63</c:v>
                </c:pt>
                <c:pt idx="1420">
                  <c:v>78474.61</c:v>
                </c:pt>
                <c:pt idx="1421">
                  <c:v>78493.45</c:v>
                </c:pt>
                <c:pt idx="1422">
                  <c:v>78484.820000000007</c:v>
                </c:pt>
                <c:pt idx="1423">
                  <c:v>78498.62</c:v>
                </c:pt>
                <c:pt idx="1424">
                  <c:v>78531.520000000004</c:v>
                </c:pt>
                <c:pt idx="1425">
                  <c:v>78475.34</c:v>
                </c:pt>
                <c:pt idx="1426">
                  <c:v>78437.539999999994</c:v>
                </c:pt>
                <c:pt idx="1427">
                  <c:v>78420.350000000006</c:v>
                </c:pt>
                <c:pt idx="1428">
                  <c:v>78333.81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C5F-8AB7-2C50CA62D77A}"/>
            </c:ext>
          </c:extLst>
        </c:ser>
        <c:ser>
          <c:idx val="4"/>
          <c:order val="4"/>
          <c:tx>
            <c:strRef>
              <c:f>Issue1949!$J$2</c:f>
              <c:strCache>
                <c:ptCount val="1"/>
                <c:pt idx="0">
                  <c:v> zigZag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Issue1949!$J$3:$J$1432</c:f>
              <c:numCache>
                <c:formatCode>_("$"* #,##0.00_);_("$"* \(#,##0.00\);_("$"* "-"??_);_(@_)</c:formatCode>
                <c:ptCount val="1430"/>
                <c:pt idx="704">
                  <c:v>75540.800000000003</c:v>
                </c:pt>
                <c:pt idx="705">
                  <c:v>75544.655029999994</c:v>
                </c:pt>
                <c:pt idx="706">
                  <c:v>75548.510070000004</c:v>
                </c:pt>
                <c:pt idx="707">
                  <c:v>75552.365099999995</c:v>
                </c:pt>
                <c:pt idx="708">
                  <c:v>75556.220140000005</c:v>
                </c:pt>
                <c:pt idx="709">
                  <c:v>75560.075169999996</c:v>
                </c:pt>
                <c:pt idx="710">
                  <c:v>75563.930210000006</c:v>
                </c:pt>
                <c:pt idx="711">
                  <c:v>75567.785239999997</c:v>
                </c:pt>
                <c:pt idx="712">
                  <c:v>75571.640280000007</c:v>
                </c:pt>
                <c:pt idx="713">
                  <c:v>75575.495309999998</c:v>
                </c:pt>
                <c:pt idx="714">
                  <c:v>75579.350340000005</c:v>
                </c:pt>
                <c:pt idx="715">
                  <c:v>75583.205379999999</c:v>
                </c:pt>
                <c:pt idx="716">
                  <c:v>75587.060410000006</c:v>
                </c:pt>
                <c:pt idx="717">
                  <c:v>75590.91545</c:v>
                </c:pt>
                <c:pt idx="718">
                  <c:v>75594.770480000007</c:v>
                </c:pt>
                <c:pt idx="719">
                  <c:v>75598.625520000001</c:v>
                </c:pt>
                <c:pt idx="720">
                  <c:v>75602.480549999993</c:v>
                </c:pt>
                <c:pt idx="721">
                  <c:v>75606.335590000002</c:v>
                </c:pt>
                <c:pt idx="722">
                  <c:v>75610.190619999994</c:v>
                </c:pt>
                <c:pt idx="723">
                  <c:v>75614.045660000003</c:v>
                </c:pt>
                <c:pt idx="724">
                  <c:v>75617.900689999995</c:v>
                </c:pt>
                <c:pt idx="725">
                  <c:v>75621.755720000001</c:v>
                </c:pt>
                <c:pt idx="726">
                  <c:v>75625.610759999996</c:v>
                </c:pt>
                <c:pt idx="727">
                  <c:v>75629.465790000002</c:v>
                </c:pt>
                <c:pt idx="728">
                  <c:v>75633.320829999997</c:v>
                </c:pt>
                <c:pt idx="729">
                  <c:v>75637.175860000003</c:v>
                </c:pt>
                <c:pt idx="730">
                  <c:v>75641.030899999998</c:v>
                </c:pt>
                <c:pt idx="731">
                  <c:v>75644.885930000004</c:v>
                </c:pt>
                <c:pt idx="732">
                  <c:v>75648.740969999999</c:v>
                </c:pt>
                <c:pt idx="733">
                  <c:v>75652.596000000005</c:v>
                </c:pt>
                <c:pt idx="734">
                  <c:v>75656.451029999997</c:v>
                </c:pt>
                <c:pt idx="735">
                  <c:v>75660.306070000006</c:v>
                </c:pt>
                <c:pt idx="736">
                  <c:v>75664.161099999998</c:v>
                </c:pt>
                <c:pt idx="737">
                  <c:v>75668.016140000007</c:v>
                </c:pt>
                <c:pt idx="738">
                  <c:v>75671.871169999999</c:v>
                </c:pt>
                <c:pt idx="739">
                  <c:v>75675.726209999993</c:v>
                </c:pt>
                <c:pt idx="740">
                  <c:v>75679.58124</c:v>
                </c:pt>
                <c:pt idx="741">
                  <c:v>75683.436279999994</c:v>
                </c:pt>
                <c:pt idx="742">
                  <c:v>75687.291310000001</c:v>
                </c:pt>
                <c:pt idx="743">
                  <c:v>75691.146340000007</c:v>
                </c:pt>
                <c:pt idx="744">
                  <c:v>75695.001380000002</c:v>
                </c:pt>
                <c:pt idx="745">
                  <c:v>75698.856409999993</c:v>
                </c:pt>
                <c:pt idx="746">
                  <c:v>75702.711450000003</c:v>
                </c:pt>
                <c:pt idx="747">
                  <c:v>75706.566479999994</c:v>
                </c:pt>
                <c:pt idx="748">
                  <c:v>75710.421520000004</c:v>
                </c:pt>
                <c:pt idx="749">
                  <c:v>75714.276549999995</c:v>
                </c:pt>
                <c:pt idx="750">
                  <c:v>75718.131590000005</c:v>
                </c:pt>
                <c:pt idx="751">
                  <c:v>75721.986619999996</c:v>
                </c:pt>
                <c:pt idx="752">
                  <c:v>75725.841660000006</c:v>
                </c:pt>
                <c:pt idx="753">
                  <c:v>75729.696689999997</c:v>
                </c:pt>
                <c:pt idx="754">
                  <c:v>75733.551720000003</c:v>
                </c:pt>
                <c:pt idx="755">
                  <c:v>75737.406759999998</c:v>
                </c:pt>
                <c:pt idx="756">
                  <c:v>75741.261790000004</c:v>
                </c:pt>
                <c:pt idx="757">
                  <c:v>75745.116829999999</c:v>
                </c:pt>
                <c:pt idx="758">
                  <c:v>75748.971860000005</c:v>
                </c:pt>
                <c:pt idx="759">
                  <c:v>75752.8269</c:v>
                </c:pt>
                <c:pt idx="760">
                  <c:v>75756.681930000006</c:v>
                </c:pt>
                <c:pt idx="761">
                  <c:v>75760.536970000001</c:v>
                </c:pt>
                <c:pt idx="762">
                  <c:v>75764.392000000007</c:v>
                </c:pt>
                <c:pt idx="763">
                  <c:v>75768.247029999999</c:v>
                </c:pt>
                <c:pt idx="764">
                  <c:v>75772.102069999994</c:v>
                </c:pt>
                <c:pt idx="765">
                  <c:v>75775.9571</c:v>
                </c:pt>
                <c:pt idx="766">
                  <c:v>75779.812139999995</c:v>
                </c:pt>
                <c:pt idx="767">
                  <c:v>75783.667170000001</c:v>
                </c:pt>
                <c:pt idx="768">
                  <c:v>75787.522209999996</c:v>
                </c:pt>
                <c:pt idx="769">
                  <c:v>75791.377240000002</c:v>
                </c:pt>
                <c:pt idx="770">
                  <c:v>75795.232279999997</c:v>
                </c:pt>
                <c:pt idx="771">
                  <c:v>75799.087310000003</c:v>
                </c:pt>
                <c:pt idx="772">
                  <c:v>75802.942339999994</c:v>
                </c:pt>
                <c:pt idx="773">
                  <c:v>75806.797380000004</c:v>
                </c:pt>
                <c:pt idx="774">
                  <c:v>75810.652409999995</c:v>
                </c:pt>
                <c:pt idx="775">
                  <c:v>75814.507450000005</c:v>
                </c:pt>
                <c:pt idx="776">
                  <c:v>75818.362479999996</c:v>
                </c:pt>
                <c:pt idx="777">
                  <c:v>75822.217520000006</c:v>
                </c:pt>
                <c:pt idx="778">
                  <c:v>75826.072549999997</c:v>
                </c:pt>
                <c:pt idx="779">
                  <c:v>75829.927590000007</c:v>
                </c:pt>
                <c:pt idx="780">
                  <c:v>75833.782619999998</c:v>
                </c:pt>
                <c:pt idx="781">
                  <c:v>75837.637659999993</c:v>
                </c:pt>
                <c:pt idx="782">
                  <c:v>75841.492689999999</c:v>
                </c:pt>
                <c:pt idx="783">
                  <c:v>75845.347720000005</c:v>
                </c:pt>
                <c:pt idx="784">
                  <c:v>75849.20276</c:v>
                </c:pt>
                <c:pt idx="785">
                  <c:v>75853.057790000006</c:v>
                </c:pt>
                <c:pt idx="786">
                  <c:v>75856.912830000001</c:v>
                </c:pt>
                <c:pt idx="787">
                  <c:v>75860.767860000007</c:v>
                </c:pt>
                <c:pt idx="788">
                  <c:v>75864.622900000002</c:v>
                </c:pt>
                <c:pt idx="789">
                  <c:v>75868.477929999994</c:v>
                </c:pt>
                <c:pt idx="790">
                  <c:v>75872.332970000003</c:v>
                </c:pt>
                <c:pt idx="791">
                  <c:v>75876.187999999995</c:v>
                </c:pt>
                <c:pt idx="792">
                  <c:v>75880.043030000001</c:v>
                </c:pt>
                <c:pt idx="793">
                  <c:v>75883.898069999996</c:v>
                </c:pt>
                <c:pt idx="794">
                  <c:v>75887.753100000002</c:v>
                </c:pt>
                <c:pt idx="795">
                  <c:v>75891.608139999997</c:v>
                </c:pt>
                <c:pt idx="796">
                  <c:v>75895.463170000003</c:v>
                </c:pt>
                <c:pt idx="797">
                  <c:v>75899.318209999998</c:v>
                </c:pt>
                <c:pt idx="798">
                  <c:v>75903.173240000004</c:v>
                </c:pt>
                <c:pt idx="799">
                  <c:v>75907.028279999999</c:v>
                </c:pt>
                <c:pt idx="800">
                  <c:v>75910.883310000005</c:v>
                </c:pt>
                <c:pt idx="801">
                  <c:v>75914.738339999996</c:v>
                </c:pt>
                <c:pt idx="802">
                  <c:v>75918.593380000006</c:v>
                </c:pt>
                <c:pt idx="803">
                  <c:v>75922.448409999997</c:v>
                </c:pt>
                <c:pt idx="804">
                  <c:v>75926.303450000007</c:v>
                </c:pt>
                <c:pt idx="805">
                  <c:v>75930.158479999998</c:v>
                </c:pt>
                <c:pt idx="806">
                  <c:v>75934.013519999993</c:v>
                </c:pt>
                <c:pt idx="807">
                  <c:v>75937.868549999999</c:v>
                </c:pt>
                <c:pt idx="808">
                  <c:v>75941.723589999994</c:v>
                </c:pt>
                <c:pt idx="809">
                  <c:v>75945.57862</c:v>
                </c:pt>
                <c:pt idx="810">
                  <c:v>75949.433659999995</c:v>
                </c:pt>
                <c:pt idx="811">
                  <c:v>75953.288690000001</c:v>
                </c:pt>
                <c:pt idx="812">
                  <c:v>75957.143719999993</c:v>
                </c:pt>
                <c:pt idx="813">
                  <c:v>75960.998760000002</c:v>
                </c:pt>
                <c:pt idx="814">
                  <c:v>75964.853789999994</c:v>
                </c:pt>
                <c:pt idx="815">
                  <c:v>75968.708830000003</c:v>
                </c:pt>
                <c:pt idx="816">
                  <c:v>75972.563859999995</c:v>
                </c:pt>
                <c:pt idx="817">
                  <c:v>75976.418900000004</c:v>
                </c:pt>
                <c:pt idx="818">
                  <c:v>75980.273929999996</c:v>
                </c:pt>
                <c:pt idx="819">
                  <c:v>75984.128970000005</c:v>
                </c:pt>
                <c:pt idx="820">
                  <c:v>75987.983999999997</c:v>
                </c:pt>
                <c:pt idx="821">
                  <c:v>75991.839030000003</c:v>
                </c:pt>
                <c:pt idx="822">
                  <c:v>75995.694069999998</c:v>
                </c:pt>
                <c:pt idx="823">
                  <c:v>75999.549100000004</c:v>
                </c:pt>
                <c:pt idx="824">
                  <c:v>76003.404139999999</c:v>
                </c:pt>
                <c:pt idx="825">
                  <c:v>76007.259170000005</c:v>
                </c:pt>
                <c:pt idx="826">
                  <c:v>76011.11421</c:v>
                </c:pt>
                <c:pt idx="827">
                  <c:v>76014.969240000006</c:v>
                </c:pt>
                <c:pt idx="828">
                  <c:v>76018.824280000001</c:v>
                </c:pt>
                <c:pt idx="829">
                  <c:v>76022.679310000007</c:v>
                </c:pt>
                <c:pt idx="830">
                  <c:v>76026.534339999998</c:v>
                </c:pt>
                <c:pt idx="831">
                  <c:v>76030.389379999993</c:v>
                </c:pt>
                <c:pt idx="832">
                  <c:v>76034.244409999999</c:v>
                </c:pt>
                <c:pt idx="833">
                  <c:v>76038.099449999994</c:v>
                </c:pt>
                <c:pt idx="834">
                  <c:v>76041.95448</c:v>
                </c:pt>
                <c:pt idx="835">
                  <c:v>76045.809519999995</c:v>
                </c:pt>
                <c:pt idx="836">
                  <c:v>76049.664550000001</c:v>
                </c:pt>
                <c:pt idx="837">
                  <c:v>76053.519589999996</c:v>
                </c:pt>
                <c:pt idx="838">
                  <c:v>76057.374620000002</c:v>
                </c:pt>
                <c:pt idx="839">
                  <c:v>76061.229659999997</c:v>
                </c:pt>
                <c:pt idx="840">
                  <c:v>76065.084690000003</c:v>
                </c:pt>
                <c:pt idx="841">
                  <c:v>76068.939719999995</c:v>
                </c:pt>
                <c:pt idx="842">
                  <c:v>76072.794760000004</c:v>
                </c:pt>
                <c:pt idx="843">
                  <c:v>76076.649789999996</c:v>
                </c:pt>
                <c:pt idx="844">
                  <c:v>76080.504830000005</c:v>
                </c:pt>
                <c:pt idx="845">
                  <c:v>76084.359859999997</c:v>
                </c:pt>
                <c:pt idx="846">
                  <c:v>76088.214900000006</c:v>
                </c:pt>
                <c:pt idx="847">
                  <c:v>76092.069929999998</c:v>
                </c:pt>
                <c:pt idx="848">
                  <c:v>76095.924969999993</c:v>
                </c:pt>
                <c:pt idx="849">
                  <c:v>76099.78</c:v>
                </c:pt>
                <c:pt idx="850">
                  <c:v>76103.635030000005</c:v>
                </c:pt>
                <c:pt idx="851">
                  <c:v>76107.49007</c:v>
                </c:pt>
                <c:pt idx="852">
                  <c:v>76111.345100000006</c:v>
                </c:pt>
                <c:pt idx="853">
                  <c:v>76115.200140000001</c:v>
                </c:pt>
                <c:pt idx="854">
                  <c:v>76119.055170000007</c:v>
                </c:pt>
                <c:pt idx="855">
                  <c:v>76122.910210000002</c:v>
                </c:pt>
                <c:pt idx="856">
                  <c:v>76126.765239999993</c:v>
                </c:pt>
                <c:pt idx="857">
                  <c:v>76130.620280000003</c:v>
                </c:pt>
                <c:pt idx="858">
                  <c:v>76134.475309999994</c:v>
                </c:pt>
                <c:pt idx="859">
                  <c:v>76138.33034</c:v>
                </c:pt>
                <c:pt idx="860">
                  <c:v>76142.185379999995</c:v>
                </c:pt>
                <c:pt idx="861">
                  <c:v>76146.040410000001</c:v>
                </c:pt>
                <c:pt idx="862">
                  <c:v>76149.895449999996</c:v>
                </c:pt>
                <c:pt idx="863">
                  <c:v>76153.750480000002</c:v>
                </c:pt>
                <c:pt idx="864">
                  <c:v>76157.605519999997</c:v>
                </c:pt>
                <c:pt idx="865">
                  <c:v>76161.460550000003</c:v>
                </c:pt>
                <c:pt idx="866">
                  <c:v>76165.315589999998</c:v>
                </c:pt>
                <c:pt idx="867">
                  <c:v>76169.170620000004</c:v>
                </c:pt>
                <c:pt idx="868">
                  <c:v>76173.025659999999</c:v>
                </c:pt>
                <c:pt idx="869">
                  <c:v>76176.880690000005</c:v>
                </c:pt>
                <c:pt idx="870">
                  <c:v>76180.735719999997</c:v>
                </c:pt>
                <c:pt idx="871">
                  <c:v>76184.590760000006</c:v>
                </c:pt>
                <c:pt idx="872">
                  <c:v>76188.445789999998</c:v>
                </c:pt>
                <c:pt idx="873">
                  <c:v>76192.300829999993</c:v>
                </c:pt>
                <c:pt idx="874">
                  <c:v>76196.155859999999</c:v>
                </c:pt>
                <c:pt idx="875">
                  <c:v>76200.010899999994</c:v>
                </c:pt>
                <c:pt idx="876">
                  <c:v>76203.86593</c:v>
                </c:pt>
                <c:pt idx="877">
                  <c:v>76207.720969999995</c:v>
                </c:pt>
                <c:pt idx="878">
                  <c:v>76211.576000000001</c:v>
                </c:pt>
                <c:pt idx="879">
                  <c:v>76215.431030000007</c:v>
                </c:pt>
                <c:pt idx="880">
                  <c:v>76219.286070000002</c:v>
                </c:pt>
                <c:pt idx="881">
                  <c:v>76223.141099999993</c:v>
                </c:pt>
                <c:pt idx="882">
                  <c:v>76226.996140000003</c:v>
                </c:pt>
                <c:pt idx="883">
                  <c:v>76230.851169999994</c:v>
                </c:pt>
                <c:pt idx="884">
                  <c:v>76234.706210000004</c:v>
                </c:pt>
                <c:pt idx="885">
                  <c:v>76238.561239999995</c:v>
                </c:pt>
                <c:pt idx="886">
                  <c:v>76242.416280000005</c:v>
                </c:pt>
                <c:pt idx="887">
                  <c:v>76246.271309999996</c:v>
                </c:pt>
                <c:pt idx="888">
                  <c:v>76250.126340000003</c:v>
                </c:pt>
                <c:pt idx="889">
                  <c:v>76253.981379999997</c:v>
                </c:pt>
                <c:pt idx="890">
                  <c:v>76257.836410000004</c:v>
                </c:pt>
                <c:pt idx="891">
                  <c:v>76261.691449999998</c:v>
                </c:pt>
                <c:pt idx="892">
                  <c:v>76265.546480000005</c:v>
                </c:pt>
                <c:pt idx="893">
                  <c:v>76269.401519999999</c:v>
                </c:pt>
                <c:pt idx="894">
                  <c:v>76273.256550000006</c:v>
                </c:pt>
                <c:pt idx="895">
                  <c:v>76277.11159</c:v>
                </c:pt>
                <c:pt idx="896">
                  <c:v>76280.966620000007</c:v>
                </c:pt>
                <c:pt idx="897">
                  <c:v>76284.821660000001</c:v>
                </c:pt>
                <c:pt idx="898">
                  <c:v>76288.676689999993</c:v>
                </c:pt>
                <c:pt idx="899">
                  <c:v>76292.531719999999</c:v>
                </c:pt>
                <c:pt idx="900">
                  <c:v>76296.386759999994</c:v>
                </c:pt>
                <c:pt idx="901">
                  <c:v>76300.24179</c:v>
                </c:pt>
                <c:pt idx="902">
                  <c:v>76304.096829999995</c:v>
                </c:pt>
                <c:pt idx="903">
                  <c:v>76307.951860000001</c:v>
                </c:pt>
                <c:pt idx="904">
                  <c:v>76311.806899999996</c:v>
                </c:pt>
                <c:pt idx="905">
                  <c:v>76315.661930000002</c:v>
                </c:pt>
                <c:pt idx="906">
                  <c:v>76319.516969999997</c:v>
                </c:pt>
                <c:pt idx="907">
                  <c:v>76323.372000000003</c:v>
                </c:pt>
                <c:pt idx="908">
                  <c:v>76327.227029999995</c:v>
                </c:pt>
                <c:pt idx="909">
                  <c:v>76331.082070000004</c:v>
                </c:pt>
                <c:pt idx="910">
                  <c:v>76334.937099999996</c:v>
                </c:pt>
                <c:pt idx="911">
                  <c:v>76338.792140000005</c:v>
                </c:pt>
                <c:pt idx="912">
                  <c:v>76342.647169999997</c:v>
                </c:pt>
                <c:pt idx="913">
                  <c:v>76346.502210000006</c:v>
                </c:pt>
                <c:pt idx="914">
                  <c:v>76350.357239999998</c:v>
                </c:pt>
                <c:pt idx="915">
                  <c:v>76354.212280000007</c:v>
                </c:pt>
                <c:pt idx="916">
                  <c:v>76358.067309999999</c:v>
                </c:pt>
                <c:pt idx="917">
                  <c:v>76361.922340000005</c:v>
                </c:pt>
                <c:pt idx="918">
                  <c:v>76365.77738</c:v>
                </c:pt>
                <c:pt idx="919">
                  <c:v>76369.632410000006</c:v>
                </c:pt>
                <c:pt idx="920">
                  <c:v>76373.487450000001</c:v>
                </c:pt>
                <c:pt idx="921">
                  <c:v>76377.342480000007</c:v>
                </c:pt>
                <c:pt idx="922">
                  <c:v>76381.197520000002</c:v>
                </c:pt>
                <c:pt idx="923">
                  <c:v>76385.052549999993</c:v>
                </c:pt>
                <c:pt idx="924">
                  <c:v>76388.907590000003</c:v>
                </c:pt>
                <c:pt idx="925">
                  <c:v>76392.762619999994</c:v>
                </c:pt>
                <c:pt idx="926">
                  <c:v>76396.617660000004</c:v>
                </c:pt>
                <c:pt idx="927">
                  <c:v>76400.472689999995</c:v>
                </c:pt>
                <c:pt idx="928">
                  <c:v>76404.327720000001</c:v>
                </c:pt>
                <c:pt idx="929">
                  <c:v>76408.182759999996</c:v>
                </c:pt>
                <c:pt idx="930">
                  <c:v>76412.037790000002</c:v>
                </c:pt>
                <c:pt idx="931">
                  <c:v>76415.892829999997</c:v>
                </c:pt>
                <c:pt idx="932">
                  <c:v>76419.747860000003</c:v>
                </c:pt>
                <c:pt idx="933">
                  <c:v>76423.602899999998</c:v>
                </c:pt>
                <c:pt idx="934">
                  <c:v>76427.457930000004</c:v>
                </c:pt>
                <c:pt idx="935">
                  <c:v>76431.312969999999</c:v>
                </c:pt>
                <c:pt idx="936">
                  <c:v>76435.168000000005</c:v>
                </c:pt>
                <c:pt idx="937">
                  <c:v>76439.023029999997</c:v>
                </c:pt>
                <c:pt idx="938">
                  <c:v>76442.878070000006</c:v>
                </c:pt>
                <c:pt idx="939">
                  <c:v>76446.733099999998</c:v>
                </c:pt>
                <c:pt idx="940">
                  <c:v>76450.588140000007</c:v>
                </c:pt>
                <c:pt idx="941">
                  <c:v>76454.443169999999</c:v>
                </c:pt>
                <c:pt idx="942">
                  <c:v>76458.298209999994</c:v>
                </c:pt>
                <c:pt idx="943">
                  <c:v>76462.15324</c:v>
                </c:pt>
                <c:pt idx="944">
                  <c:v>76466.008279999995</c:v>
                </c:pt>
                <c:pt idx="945">
                  <c:v>76469.863310000001</c:v>
                </c:pt>
                <c:pt idx="946">
                  <c:v>76473.718340000007</c:v>
                </c:pt>
                <c:pt idx="947">
                  <c:v>76477.573380000002</c:v>
                </c:pt>
                <c:pt idx="948">
                  <c:v>76481.428409999993</c:v>
                </c:pt>
                <c:pt idx="949">
                  <c:v>76485.283450000003</c:v>
                </c:pt>
                <c:pt idx="950">
                  <c:v>76489.138479999994</c:v>
                </c:pt>
                <c:pt idx="951">
                  <c:v>76492.993520000004</c:v>
                </c:pt>
                <c:pt idx="952">
                  <c:v>76496.848549999995</c:v>
                </c:pt>
                <c:pt idx="953">
                  <c:v>76500.703590000005</c:v>
                </c:pt>
                <c:pt idx="954">
                  <c:v>76504.558619999996</c:v>
                </c:pt>
                <c:pt idx="955">
                  <c:v>76508.413660000006</c:v>
                </c:pt>
                <c:pt idx="956">
                  <c:v>76512.268689999997</c:v>
                </c:pt>
                <c:pt idx="957">
                  <c:v>76516.123720000003</c:v>
                </c:pt>
                <c:pt idx="958">
                  <c:v>76519.978759999998</c:v>
                </c:pt>
                <c:pt idx="959">
                  <c:v>76523.833790000004</c:v>
                </c:pt>
                <c:pt idx="960">
                  <c:v>76527.688829999999</c:v>
                </c:pt>
                <c:pt idx="961">
                  <c:v>76531.543860000005</c:v>
                </c:pt>
                <c:pt idx="962">
                  <c:v>76535.3989</c:v>
                </c:pt>
                <c:pt idx="963">
                  <c:v>76539.253930000006</c:v>
                </c:pt>
                <c:pt idx="964">
                  <c:v>76543.108970000001</c:v>
                </c:pt>
                <c:pt idx="965">
                  <c:v>76546.964000000007</c:v>
                </c:pt>
                <c:pt idx="966">
                  <c:v>76550.819029999999</c:v>
                </c:pt>
                <c:pt idx="967">
                  <c:v>76554.674069999994</c:v>
                </c:pt>
                <c:pt idx="968">
                  <c:v>76558.5291</c:v>
                </c:pt>
                <c:pt idx="969">
                  <c:v>76562.384139999995</c:v>
                </c:pt>
                <c:pt idx="970">
                  <c:v>76566.239170000001</c:v>
                </c:pt>
                <c:pt idx="971">
                  <c:v>76570.094209999996</c:v>
                </c:pt>
                <c:pt idx="972">
                  <c:v>76573.949240000002</c:v>
                </c:pt>
                <c:pt idx="973">
                  <c:v>76577.804279999997</c:v>
                </c:pt>
                <c:pt idx="974">
                  <c:v>76581.659310000003</c:v>
                </c:pt>
                <c:pt idx="975">
                  <c:v>76585.514339999994</c:v>
                </c:pt>
                <c:pt idx="976">
                  <c:v>76589.369380000004</c:v>
                </c:pt>
                <c:pt idx="977">
                  <c:v>76593.224409999995</c:v>
                </c:pt>
                <c:pt idx="978">
                  <c:v>76597.079450000005</c:v>
                </c:pt>
                <c:pt idx="979">
                  <c:v>76600.934479999996</c:v>
                </c:pt>
                <c:pt idx="980">
                  <c:v>76604.789520000006</c:v>
                </c:pt>
                <c:pt idx="981">
                  <c:v>76608.644549999997</c:v>
                </c:pt>
                <c:pt idx="982">
                  <c:v>76612.499590000007</c:v>
                </c:pt>
                <c:pt idx="983">
                  <c:v>76616.354619999998</c:v>
                </c:pt>
                <c:pt idx="984">
                  <c:v>76620.209659999993</c:v>
                </c:pt>
                <c:pt idx="985">
                  <c:v>76624.064689999999</c:v>
                </c:pt>
                <c:pt idx="986">
                  <c:v>76627.919720000005</c:v>
                </c:pt>
                <c:pt idx="987">
                  <c:v>76631.77476</c:v>
                </c:pt>
                <c:pt idx="988">
                  <c:v>76635.629790000006</c:v>
                </c:pt>
                <c:pt idx="989">
                  <c:v>76639.484830000001</c:v>
                </c:pt>
                <c:pt idx="990">
                  <c:v>76643.339859999993</c:v>
                </c:pt>
                <c:pt idx="991">
                  <c:v>76647.194900000002</c:v>
                </c:pt>
                <c:pt idx="992">
                  <c:v>76651.049929999994</c:v>
                </c:pt>
                <c:pt idx="993">
                  <c:v>76654.904970000003</c:v>
                </c:pt>
                <c:pt idx="994">
                  <c:v>76658.759999999995</c:v>
                </c:pt>
                <c:pt idx="995">
                  <c:v>76662.615030000001</c:v>
                </c:pt>
                <c:pt idx="996">
                  <c:v>76666.470069999996</c:v>
                </c:pt>
                <c:pt idx="997">
                  <c:v>76670.325100000002</c:v>
                </c:pt>
                <c:pt idx="998">
                  <c:v>76674.180139999997</c:v>
                </c:pt>
                <c:pt idx="999">
                  <c:v>76678.035170000003</c:v>
                </c:pt>
                <c:pt idx="1000">
                  <c:v>76681.890209999998</c:v>
                </c:pt>
                <c:pt idx="1001">
                  <c:v>76685.745240000004</c:v>
                </c:pt>
                <c:pt idx="1002">
                  <c:v>76689.600279999999</c:v>
                </c:pt>
                <c:pt idx="1003">
                  <c:v>76693.455310000005</c:v>
                </c:pt>
                <c:pt idx="1004">
                  <c:v>76697.310339999996</c:v>
                </c:pt>
                <c:pt idx="1005">
                  <c:v>76701.165380000006</c:v>
                </c:pt>
                <c:pt idx="1006">
                  <c:v>76705.020409999997</c:v>
                </c:pt>
                <c:pt idx="1007">
                  <c:v>76708.875450000007</c:v>
                </c:pt>
                <c:pt idx="1008">
                  <c:v>76712.730479999998</c:v>
                </c:pt>
                <c:pt idx="1009">
                  <c:v>76716.585519999993</c:v>
                </c:pt>
                <c:pt idx="1010">
                  <c:v>76720.440549999999</c:v>
                </c:pt>
                <c:pt idx="1011">
                  <c:v>76724.295589999994</c:v>
                </c:pt>
                <c:pt idx="1012">
                  <c:v>76728.15062</c:v>
                </c:pt>
                <c:pt idx="1013">
                  <c:v>76732.005659999995</c:v>
                </c:pt>
                <c:pt idx="1014">
                  <c:v>76735.860690000001</c:v>
                </c:pt>
                <c:pt idx="1015">
                  <c:v>76739.715719999993</c:v>
                </c:pt>
                <c:pt idx="1016">
                  <c:v>76743.570760000002</c:v>
                </c:pt>
                <c:pt idx="1017">
                  <c:v>76747.425789999994</c:v>
                </c:pt>
                <c:pt idx="1018">
                  <c:v>76751.280830000003</c:v>
                </c:pt>
                <c:pt idx="1019">
                  <c:v>76755.135859999995</c:v>
                </c:pt>
                <c:pt idx="1020">
                  <c:v>76758.990900000004</c:v>
                </c:pt>
                <c:pt idx="1021">
                  <c:v>76762.845929999996</c:v>
                </c:pt>
                <c:pt idx="1022">
                  <c:v>76766.700970000005</c:v>
                </c:pt>
                <c:pt idx="1023">
                  <c:v>76770.555999999997</c:v>
                </c:pt>
                <c:pt idx="1024">
                  <c:v>76774.411030000003</c:v>
                </c:pt>
                <c:pt idx="1025">
                  <c:v>76778.266069999998</c:v>
                </c:pt>
                <c:pt idx="1026">
                  <c:v>76782.121100000004</c:v>
                </c:pt>
                <c:pt idx="1027">
                  <c:v>76785.976139999999</c:v>
                </c:pt>
                <c:pt idx="1028">
                  <c:v>76789.831170000005</c:v>
                </c:pt>
                <c:pt idx="1029">
                  <c:v>76793.68621</c:v>
                </c:pt>
                <c:pt idx="1030">
                  <c:v>76797.541240000006</c:v>
                </c:pt>
                <c:pt idx="1031">
                  <c:v>76801.396280000001</c:v>
                </c:pt>
                <c:pt idx="1032">
                  <c:v>76805.251310000007</c:v>
                </c:pt>
                <c:pt idx="1033">
                  <c:v>76809.106339999998</c:v>
                </c:pt>
                <c:pt idx="1034">
                  <c:v>76812.961379999993</c:v>
                </c:pt>
                <c:pt idx="1035">
                  <c:v>76816.816409999999</c:v>
                </c:pt>
                <c:pt idx="1036">
                  <c:v>76820.671449999994</c:v>
                </c:pt>
                <c:pt idx="1037">
                  <c:v>76824.52648</c:v>
                </c:pt>
                <c:pt idx="1038">
                  <c:v>76828.381519999995</c:v>
                </c:pt>
                <c:pt idx="1039">
                  <c:v>76832.236550000001</c:v>
                </c:pt>
                <c:pt idx="1040">
                  <c:v>76836.091589999996</c:v>
                </c:pt>
                <c:pt idx="1041">
                  <c:v>76839.946620000002</c:v>
                </c:pt>
                <c:pt idx="1042">
                  <c:v>76843.801659999997</c:v>
                </c:pt>
                <c:pt idx="1043">
                  <c:v>76847.656690000003</c:v>
                </c:pt>
                <c:pt idx="1044">
                  <c:v>76851.511719999995</c:v>
                </c:pt>
                <c:pt idx="1045">
                  <c:v>76855.366760000004</c:v>
                </c:pt>
                <c:pt idx="1046">
                  <c:v>76859.221789999996</c:v>
                </c:pt>
                <c:pt idx="1047">
                  <c:v>76863.076830000005</c:v>
                </c:pt>
                <c:pt idx="1048">
                  <c:v>76866.931859999997</c:v>
                </c:pt>
                <c:pt idx="1049">
                  <c:v>76870.786900000006</c:v>
                </c:pt>
                <c:pt idx="1050">
                  <c:v>76874.641929999998</c:v>
                </c:pt>
                <c:pt idx="1051">
                  <c:v>76878.496969999993</c:v>
                </c:pt>
                <c:pt idx="1052">
                  <c:v>76882.351999999999</c:v>
                </c:pt>
                <c:pt idx="1053">
                  <c:v>76886.207030000005</c:v>
                </c:pt>
                <c:pt idx="1054">
                  <c:v>76890.06207</c:v>
                </c:pt>
                <c:pt idx="1055">
                  <c:v>76893.917100000006</c:v>
                </c:pt>
                <c:pt idx="1056">
                  <c:v>76897.772140000001</c:v>
                </c:pt>
                <c:pt idx="1057">
                  <c:v>76901.627170000007</c:v>
                </c:pt>
                <c:pt idx="1058">
                  <c:v>76905.482210000002</c:v>
                </c:pt>
                <c:pt idx="1059">
                  <c:v>76909.337239999993</c:v>
                </c:pt>
                <c:pt idx="1060">
                  <c:v>76913.192280000003</c:v>
                </c:pt>
                <c:pt idx="1061">
                  <c:v>76917.047309999994</c:v>
                </c:pt>
                <c:pt idx="1062">
                  <c:v>76920.902340000001</c:v>
                </c:pt>
                <c:pt idx="1063">
                  <c:v>76924.757379999995</c:v>
                </c:pt>
                <c:pt idx="1064">
                  <c:v>76928.612410000002</c:v>
                </c:pt>
                <c:pt idx="1065">
                  <c:v>76932.467449999996</c:v>
                </c:pt>
                <c:pt idx="1066">
                  <c:v>76936.322480000003</c:v>
                </c:pt>
                <c:pt idx="1067">
                  <c:v>76940.177519999997</c:v>
                </c:pt>
                <c:pt idx="1068">
                  <c:v>76944.032550000004</c:v>
                </c:pt>
                <c:pt idx="1069">
                  <c:v>76947.887589999998</c:v>
                </c:pt>
                <c:pt idx="1070">
                  <c:v>76951.742620000005</c:v>
                </c:pt>
                <c:pt idx="1071">
                  <c:v>76955.597659999999</c:v>
                </c:pt>
                <c:pt idx="1072">
                  <c:v>76959.452690000006</c:v>
                </c:pt>
                <c:pt idx="1073">
                  <c:v>76963.307719999997</c:v>
                </c:pt>
                <c:pt idx="1074">
                  <c:v>76967.162760000007</c:v>
                </c:pt>
                <c:pt idx="1075">
                  <c:v>76971.017789999998</c:v>
                </c:pt>
                <c:pt idx="1076">
                  <c:v>76974.872829999993</c:v>
                </c:pt>
                <c:pt idx="1077">
                  <c:v>76978.727859999999</c:v>
                </c:pt>
                <c:pt idx="1078">
                  <c:v>76982.582899999994</c:v>
                </c:pt>
                <c:pt idx="1079">
                  <c:v>76986.43793</c:v>
                </c:pt>
                <c:pt idx="1080">
                  <c:v>76990.292969999995</c:v>
                </c:pt>
                <c:pt idx="1081">
                  <c:v>76994.148000000001</c:v>
                </c:pt>
                <c:pt idx="1082">
                  <c:v>76998.003030000007</c:v>
                </c:pt>
                <c:pt idx="1083">
                  <c:v>77001.858070000002</c:v>
                </c:pt>
                <c:pt idx="1084">
                  <c:v>77005.713099999994</c:v>
                </c:pt>
                <c:pt idx="1085">
                  <c:v>77009.568140000003</c:v>
                </c:pt>
                <c:pt idx="1086">
                  <c:v>77013.423169999995</c:v>
                </c:pt>
                <c:pt idx="1087">
                  <c:v>77017.278210000004</c:v>
                </c:pt>
                <c:pt idx="1088">
                  <c:v>77021.133239999996</c:v>
                </c:pt>
                <c:pt idx="1089">
                  <c:v>77024.988280000005</c:v>
                </c:pt>
                <c:pt idx="1090">
                  <c:v>77028.843309999997</c:v>
                </c:pt>
                <c:pt idx="1091">
                  <c:v>77032.698340000003</c:v>
                </c:pt>
                <c:pt idx="1092">
                  <c:v>77036.553379999998</c:v>
                </c:pt>
                <c:pt idx="1093">
                  <c:v>77040.408410000004</c:v>
                </c:pt>
                <c:pt idx="1094">
                  <c:v>77044.263449999999</c:v>
                </c:pt>
                <c:pt idx="1095">
                  <c:v>77048.118480000005</c:v>
                </c:pt>
                <c:pt idx="1096">
                  <c:v>77051.97352</c:v>
                </c:pt>
                <c:pt idx="1097">
                  <c:v>77055.828550000006</c:v>
                </c:pt>
                <c:pt idx="1098">
                  <c:v>77059.683590000001</c:v>
                </c:pt>
                <c:pt idx="1099">
                  <c:v>77063.538620000007</c:v>
                </c:pt>
                <c:pt idx="1100">
                  <c:v>77067.393660000002</c:v>
                </c:pt>
                <c:pt idx="1101">
                  <c:v>77071.248689999993</c:v>
                </c:pt>
                <c:pt idx="1102">
                  <c:v>77075.103719999999</c:v>
                </c:pt>
                <c:pt idx="1103">
                  <c:v>77078.958759999994</c:v>
                </c:pt>
                <c:pt idx="1104">
                  <c:v>77082.81379</c:v>
                </c:pt>
                <c:pt idx="1105">
                  <c:v>77086.668829999995</c:v>
                </c:pt>
                <c:pt idx="1106">
                  <c:v>77090.523860000001</c:v>
                </c:pt>
                <c:pt idx="1107">
                  <c:v>77094.378899999996</c:v>
                </c:pt>
                <c:pt idx="1108">
                  <c:v>77098.233930000002</c:v>
                </c:pt>
                <c:pt idx="1109">
                  <c:v>77102.088969999997</c:v>
                </c:pt>
                <c:pt idx="1110">
                  <c:v>77105.944000000003</c:v>
                </c:pt>
                <c:pt idx="1111">
                  <c:v>77109.799029999995</c:v>
                </c:pt>
                <c:pt idx="1112">
                  <c:v>77113.654070000004</c:v>
                </c:pt>
                <c:pt idx="1113">
                  <c:v>77117.509099999996</c:v>
                </c:pt>
                <c:pt idx="1114">
                  <c:v>77121.364140000005</c:v>
                </c:pt>
                <c:pt idx="1115">
                  <c:v>77125.219169999997</c:v>
                </c:pt>
                <c:pt idx="1116">
                  <c:v>77129.074210000006</c:v>
                </c:pt>
                <c:pt idx="1117">
                  <c:v>77132.929239999998</c:v>
                </c:pt>
                <c:pt idx="1118">
                  <c:v>77136.784280000007</c:v>
                </c:pt>
                <c:pt idx="1119">
                  <c:v>77140.639309999999</c:v>
                </c:pt>
                <c:pt idx="1120">
                  <c:v>77144.494340000005</c:v>
                </c:pt>
                <c:pt idx="1121">
                  <c:v>77148.34938</c:v>
                </c:pt>
                <c:pt idx="1122">
                  <c:v>77152.204410000006</c:v>
                </c:pt>
                <c:pt idx="1123">
                  <c:v>77156.059450000001</c:v>
                </c:pt>
                <c:pt idx="1124">
                  <c:v>77159.914480000007</c:v>
                </c:pt>
                <c:pt idx="1125">
                  <c:v>77163.769520000002</c:v>
                </c:pt>
                <c:pt idx="1126">
                  <c:v>77167.624549999993</c:v>
                </c:pt>
                <c:pt idx="1127">
                  <c:v>77171.479590000003</c:v>
                </c:pt>
                <c:pt idx="1128">
                  <c:v>77175.334619999994</c:v>
                </c:pt>
                <c:pt idx="1129">
                  <c:v>77179.189660000004</c:v>
                </c:pt>
                <c:pt idx="1130">
                  <c:v>77183.044689999995</c:v>
                </c:pt>
                <c:pt idx="1131">
                  <c:v>77186.899720000001</c:v>
                </c:pt>
                <c:pt idx="1132">
                  <c:v>77190.754759999996</c:v>
                </c:pt>
                <c:pt idx="1133">
                  <c:v>77194.609790000002</c:v>
                </c:pt>
                <c:pt idx="1134">
                  <c:v>77198.464829999997</c:v>
                </c:pt>
                <c:pt idx="1135">
                  <c:v>77202.319860000003</c:v>
                </c:pt>
                <c:pt idx="1136">
                  <c:v>77206.174899999998</c:v>
                </c:pt>
                <c:pt idx="1137">
                  <c:v>77210.029930000004</c:v>
                </c:pt>
                <c:pt idx="1138">
                  <c:v>77213.884969999999</c:v>
                </c:pt>
                <c:pt idx="1139">
                  <c:v>77217.740000000005</c:v>
                </c:pt>
                <c:pt idx="1140">
                  <c:v>77221.595029999997</c:v>
                </c:pt>
                <c:pt idx="1141">
                  <c:v>77225.450070000006</c:v>
                </c:pt>
                <c:pt idx="1142">
                  <c:v>77229.305099999998</c:v>
                </c:pt>
                <c:pt idx="1143">
                  <c:v>77233.160140000007</c:v>
                </c:pt>
                <c:pt idx="1144">
                  <c:v>77237.015169999999</c:v>
                </c:pt>
                <c:pt idx="1145">
                  <c:v>77240.870209999994</c:v>
                </c:pt>
                <c:pt idx="1146">
                  <c:v>77244.72524</c:v>
                </c:pt>
                <c:pt idx="1147">
                  <c:v>77248.580279999995</c:v>
                </c:pt>
                <c:pt idx="1148">
                  <c:v>77252.435310000001</c:v>
                </c:pt>
                <c:pt idx="1149">
                  <c:v>77256.290340000007</c:v>
                </c:pt>
                <c:pt idx="1150">
                  <c:v>77260.145380000002</c:v>
                </c:pt>
                <c:pt idx="1151">
                  <c:v>77264.000409999993</c:v>
                </c:pt>
                <c:pt idx="1152">
                  <c:v>77267.855450000003</c:v>
                </c:pt>
                <c:pt idx="1153">
                  <c:v>77271.710479999994</c:v>
                </c:pt>
                <c:pt idx="1154">
                  <c:v>77275.565520000004</c:v>
                </c:pt>
                <c:pt idx="1155">
                  <c:v>77279.420549999995</c:v>
                </c:pt>
                <c:pt idx="1156">
                  <c:v>77283.275590000005</c:v>
                </c:pt>
                <c:pt idx="1157">
                  <c:v>77287.130619999996</c:v>
                </c:pt>
                <c:pt idx="1158">
                  <c:v>77290.985660000006</c:v>
                </c:pt>
                <c:pt idx="1159">
                  <c:v>77294.840689999997</c:v>
                </c:pt>
                <c:pt idx="1160">
                  <c:v>77298.695720000003</c:v>
                </c:pt>
                <c:pt idx="1161">
                  <c:v>77302.550759999998</c:v>
                </c:pt>
                <c:pt idx="1162">
                  <c:v>77306.405790000004</c:v>
                </c:pt>
                <c:pt idx="1163">
                  <c:v>77310.260829999999</c:v>
                </c:pt>
                <c:pt idx="1164">
                  <c:v>77314.115860000005</c:v>
                </c:pt>
                <c:pt idx="1165">
                  <c:v>77317.9709</c:v>
                </c:pt>
                <c:pt idx="1166">
                  <c:v>77321.825930000006</c:v>
                </c:pt>
                <c:pt idx="1167">
                  <c:v>77325.680970000001</c:v>
                </c:pt>
                <c:pt idx="1168">
                  <c:v>77329.535999999993</c:v>
                </c:pt>
                <c:pt idx="1169">
                  <c:v>77333.391029999999</c:v>
                </c:pt>
                <c:pt idx="1170">
                  <c:v>77337.246069999994</c:v>
                </c:pt>
                <c:pt idx="1171">
                  <c:v>77341.1011</c:v>
                </c:pt>
                <c:pt idx="1172">
                  <c:v>77344.956139999995</c:v>
                </c:pt>
                <c:pt idx="1173">
                  <c:v>77348.811170000001</c:v>
                </c:pt>
                <c:pt idx="1174">
                  <c:v>77352.666209999996</c:v>
                </c:pt>
                <c:pt idx="1175">
                  <c:v>77356.521240000002</c:v>
                </c:pt>
                <c:pt idx="1176">
                  <c:v>77360.376279999997</c:v>
                </c:pt>
                <c:pt idx="1177">
                  <c:v>77364.231310000003</c:v>
                </c:pt>
                <c:pt idx="1178">
                  <c:v>77368.086339999994</c:v>
                </c:pt>
                <c:pt idx="1179">
                  <c:v>77371.941380000004</c:v>
                </c:pt>
                <c:pt idx="1180">
                  <c:v>77375.796409999995</c:v>
                </c:pt>
                <c:pt idx="1181">
                  <c:v>77379.651450000005</c:v>
                </c:pt>
                <c:pt idx="1182">
                  <c:v>77383.506479999996</c:v>
                </c:pt>
                <c:pt idx="1183">
                  <c:v>77387.361520000006</c:v>
                </c:pt>
                <c:pt idx="1184">
                  <c:v>77391.216549999997</c:v>
                </c:pt>
                <c:pt idx="1185">
                  <c:v>77395.071590000007</c:v>
                </c:pt>
                <c:pt idx="1186">
                  <c:v>77398.926619999998</c:v>
                </c:pt>
                <c:pt idx="1187">
                  <c:v>77402.781659999993</c:v>
                </c:pt>
                <c:pt idx="1188">
                  <c:v>77406.636689999999</c:v>
                </c:pt>
                <c:pt idx="1189">
                  <c:v>77410.491720000005</c:v>
                </c:pt>
                <c:pt idx="1190">
                  <c:v>77414.34676</c:v>
                </c:pt>
                <c:pt idx="1191">
                  <c:v>77418.201790000006</c:v>
                </c:pt>
                <c:pt idx="1192">
                  <c:v>77422.056830000001</c:v>
                </c:pt>
                <c:pt idx="1193">
                  <c:v>77425.911859999993</c:v>
                </c:pt>
                <c:pt idx="1194">
                  <c:v>77429.766900000002</c:v>
                </c:pt>
                <c:pt idx="1195">
                  <c:v>77433.621929999994</c:v>
                </c:pt>
                <c:pt idx="1196">
                  <c:v>77437.476970000003</c:v>
                </c:pt>
                <c:pt idx="1197">
                  <c:v>77441.331999999995</c:v>
                </c:pt>
                <c:pt idx="1198">
                  <c:v>77445.187030000001</c:v>
                </c:pt>
                <c:pt idx="1199">
                  <c:v>77449.042069999996</c:v>
                </c:pt>
                <c:pt idx="1200">
                  <c:v>77452.897100000002</c:v>
                </c:pt>
                <c:pt idx="1201">
                  <c:v>77456.752139999997</c:v>
                </c:pt>
                <c:pt idx="1202">
                  <c:v>77460.607170000003</c:v>
                </c:pt>
                <c:pt idx="1203">
                  <c:v>77464.462209999998</c:v>
                </c:pt>
                <c:pt idx="1204">
                  <c:v>77468.317240000004</c:v>
                </c:pt>
                <c:pt idx="1205">
                  <c:v>77472.172279999999</c:v>
                </c:pt>
                <c:pt idx="1206">
                  <c:v>77476.027310000005</c:v>
                </c:pt>
                <c:pt idx="1207">
                  <c:v>77479.882339999996</c:v>
                </c:pt>
                <c:pt idx="1208">
                  <c:v>77483.737380000006</c:v>
                </c:pt>
                <c:pt idx="1209">
                  <c:v>77487.592409999997</c:v>
                </c:pt>
                <c:pt idx="1210">
                  <c:v>77491.447450000007</c:v>
                </c:pt>
                <c:pt idx="1211">
                  <c:v>77495.302479999998</c:v>
                </c:pt>
                <c:pt idx="1212">
                  <c:v>77499.157519999993</c:v>
                </c:pt>
                <c:pt idx="1213">
                  <c:v>77503.012549999999</c:v>
                </c:pt>
                <c:pt idx="1214">
                  <c:v>77506.867589999994</c:v>
                </c:pt>
                <c:pt idx="1215">
                  <c:v>77510.72262</c:v>
                </c:pt>
                <c:pt idx="1216">
                  <c:v>77514.577659999995</c:v>
                </c:pt>
                <c:pt idx="1217">
                  <c:v>77518.432690000001</c:v>
                </c:pt>
                <c:pt idx="1218">
                  <c:v>77522.287719999993</c:v>
                </c:pt>
                <c:pt idx="1219">
                  <c:v>77526.142760000002</c:v>
                </c:pt>
                <c:pt idx="1220">
                  <c:v>77529.997789999994</c:v>
                </c:pt>
                <c:pt idx="1221">
                  <c:v>77533.852830000003</c:v>
                </c:pt>
                <c:pt idx="1222">
                  <c:v>77537.707859999995</c:v>
                </c:pt>
                <c:pt idx="1223">
                  <c:v>77541.562900000004</c:v>
                </c:pt>
                <c:pt idx="1224">
                  <c:v>77545.417929999996</c:v>
                </c:pt>
                <c:pt idx="1225">
                  <c:v>77549.272970000005</c:v>
                </c:pt>
                <c:pt idx="1226">
                  <c:v>77553.127999999997</c:v>
                </c:pt>
                <c:pt idx="1227">
                  <c:v>77556.983030000003</c:v>
                </c:pt>
                <c:pt idx="1228">
                  <c:v>77560.838069999998</c:v>
                </c:pt>
                <c:pt idx="1229">
                  <c:v>77564.693100000004</c:v>
                </c:pt>
                <c:pt idx="1230">
                  <c:v>77568.548139999999</c:v>
                </c:pt>
                <c:pt idx="1231">
                  <c:v>77572.403170000005</c:v>
                </c:pt>
                <c:pt idx="1232">
                  <c:v>77576.25821</c:v>
                </c:pt>
                <c:pt idx="1233">
                  <c:v>77580.113240000006</c:v>
                </c:pt>
                <c:pt idx="1234">
                  <c:v>77583.968280000001</c:v>
                </c:pt>
                <c:pt idx="1235">
                  <c:v>77587.823310000007</c:v>
                </c:pt>
                <c:pt idx="1236">
                  <c:v>77591.678339999999</c:v>
                </c:pt>
                <c:pt idx="1237">
                  <c:v>77595.533379999993</c:v>
                </c:pt>
                <c:pt idx="1238">
                  <c:v>77599.38841</c:v>
                </c:pt>
                <c:pt idx="1239">
                  <c:v>77603.243449999994</c:v>
                </c:pt>
                <c:pt idx="1240">
                  <c:v>77607.098480000001</c:v>
                </c:pt>
                <c:pt idx="1241">
                  <c:v>77610.953519999995</c:v>
                </c:pt>
                <c:pt idx="1242">
                  <c:v>77614.808550000002</c:v>
                </c:pt>
                <c:pt idx="1243">
                  <c:v>77618.663589999996</c:v>
                </c:pt>
                <c:pt idx="1244">
                  <c:v>77622.518620000003</c:v>
                </c:pt>
                <c:pt idx="1245">
                  <c:v>77626.373659999997</c:v>
                </c:pt>
                <c:pt idx="1246">
                  <c:v>77630.228690000004</c:v>
                </c:pt>
                <c:pt idx="1247">
                  <c:v>77634.083719999995</c:v>
                </c:pt>
                <c:pt idx="1248">
                  <c:v>77637.938760000005</c:v>
                </c:pt>
                <c:pt idx="1249">
                  <c:v>77641.793789999996</c:v>
                </c:pt>
                <c:pt idx="1250">
                  <c:v>77645.648830000006</c:v>
                </c:pt>
                <c:pt idx="1251">
                  <c:v>77649.503859999997</c:v>
                </c:pt>
                <c:pt idx="1252">
                  <c:v>77653.358900000007</c:v>
                </c:pt>
                <c:pt idx="1253">
                  <c:v>77657.213929999998</c:v>
                </c:pt>
                <c:pt idx="1254">
                  <c:v>77661.068969999993</c:v>
                </c:pt>
                <c:pt idx="1255">
                  <c:v>77664.923999999999</c:v>
                </c:pt>
                <c:pt idx="1256">
                  <c:v>77668.779030000005</c:v>
                </c:pt>
                <c:pt idx="1257">
                  <c:v>77672.63407</c:v>
                </c:pt>
                <c:pt idx="1258">
                  <c:v>77676.489100000006</c:v>
                </c:pt>
                <c:pt idx="1259">
                  <c:v>77680.344140000001</c:v>
                </c:pt>
                <c:pt idx="1260">
                  <c:v>77684.199170000007</c:v>
                </c:pt>
                <c:pt idx="1261">
                  <c:v>77688.054210000002</c:v>
                </c:pt>
                <c:pt idx="1262">
                  <c:v>77691.909239999994</c:v>
                </c:pt>
                <c:pt idx="1263">
                  <c:v>77695.764280000003</c:v>
                </c:pt>
                <c:pt idx="1264">
                  <c:v>77699.619309999995</c:v>
                </c:pt>
                <c:pt idx="1265">
                  <c:v>77703.474340000001</c:v>
                </c:pt>
                <c:pt idx="1266">
                  <c:v>77707.329379999996</c:v>
                </c:pt>
                <c:pt idx="1267">
                  <c:v>77711.184410000002</c:v>
                </c:pt>
                <c:pt idx="1268">
                  <c:v>77715.039449999997</c:v>
                </c:pt>
                <c:pt idx="1269">
                  <c:v>77718.894480000003</c:v>
                </c:pt>
                <c:pt idx="1270">
                  <c:v>77722.749519999998</c:v>
                </c:pt>
                <c:pt idx="1271">
                  <c:v>77726.604550000004</c:v>
                </c:pt>
                <c:pt idx="1272">
                  <c:v>77730.459589999999</c:v>
                </c:pt>
                <c:pt idx="1273">
                  <c:v>77734.314620000005</c:v>
                </c:pt>
                <c:pt idx="1274">
                  <c:v>77738.16966</c:v>
                </c:pt>
                <c:pt idx="1275">
                  <c:v>77742.024690000006</c:v>
                </c:pt>
                <c:pt idx="1276">
                  <c:v>77745.879719999997</c:v>
                </c:pt>
                <c:pt idx="1277">
                  <c:v>77749.734760000007</c:v>
                </c:pt>
                <c:pt idx="1278">
                  <c:v>77753.589789999998</c:v>
                </c:pt>
                <c:pt idx="1279">
                  <c:v>77757.444829999993</c:v>
                </c:pt>
                <c:pt idx="1280">
                  <c:v>77761.299859999999</c:v>
                </c:pt>
                <c:pt idx="1281">
                  <c:v>77765.154899999994</c:v>
                </c:pt>
                <c:pt idx="1282">
                  <c:v>77769.00993</c:v>
                </c:pt>
                <c:pt idx="1283">
                  <c:v>77772.864969999995</c:v>
                </c:pt>
                <c:pt idx="1284">
                  <c:v>77776.72</c:v>
                </c:pt>
                <c:pt idx="1285">
                  <c:v>77780.575030000007</c:v>
                </c:pt>
                <c:pt idx="1286">
                  <c:v>77784.430070000002</c:v>
                </c:pt>
                <c:pt idx="1287">
                  <c:v>77788.285099999994</c:v>
                </c:pt>
                <c:pt idx="1288">
                  <c:v>77792.140140000003</c:v>
                </c:pt>
                <c:pt idx="1289">
                  <c:v>77795.995169999995</c:v>
                </c:pt>
                <c:pt idx="1290">
                  <c:v>77799.850210000004</c:v>
                </c:pt>
                <c:pt idx="1291">
                  <c:v>77803.705239999996</c:v>
                </c:pt>
                <c:pt idx="1292">
                  <c:v>77807.560280000005</c:v>
                </c:pt>
                <c:pt idx="1293">
                  <c:v>77811.415309999997</c:v>
                </c:pt>
                <c:pt idx="1294">
                  <c:v>77815.270340000003</c:v>
                </c:pt>
                <c:pt idx="1295">
                  <c:v>77819.125379999998</c:v>
                </c:pt>
                <c:pt idx="1296">
                  <c:v>77822.980410000004</c:v>
                </c:pt>
                <c:pt idx="1297">
                  <c:v>77826.835449999999</c:v>
                </c:pt>
                <c:pt idx="1298">
                  <c:v>77830.690480000005</c:v>
                </c:pt>
                <c:pt idx="1299">
                  <c:v>77834.54552</c:v>
                </c:pt>
                <c:pt idx="1300">
                  <c:v>77838.400550000006</c:v>
                </c:pt>
                <c:pt idx="1301">
                  <c:v>77842.255590000001</c:v>
                </c:pt>
                <c:pt idx="1302">
                  <c:v>77846.110620000007</c:v>
                </c:pt>
                <c:pt idx="1303">
                  <c:v>77849.965660000002</c:v>
                </c:pt>
                <c:pt idx="1304">
                  <c:v>77853.820689999993</c:v>
                </c:pt>
                <c:pt idx="1305">
                  <c:v>77857.675719999999</c:v>
                </c:pt>
                <c:pt idx="1306">
                  <c:v>77861.530759999994</c:v>
                </c:pt>
                <c:pt idx="1307">
                  <c:v>77865.38579</c:v>
                </c:pt>
                <c:pt idx="1308">
                  <c:v>77869.240829999995</c:v>
                </c:pt>
                <c:pt idx="1309">
                  <c:v>77873.095860000001</c:v>
                </c:pt>
                <c:pt idx="1310">
                  <c:v>77876.950899999996</c:v>
                </c:pt>
                <c:pt idx="1311">
                  <c:v>77880.805930000002</c:v>
                </c:pt>
                <c:pt idx="1312">
                  <c:v>77884.660969999997</c:v>
                </c:pt>
                <c:pt idx="1313">
                  <c:v>77888.516000000003</c:v>
                </c:pt>
                <c:pt idx="1314">
                  <c:v>77892.371029999995</c:v>
                </c:pt>
                <c:pt idx="1315">
                  <c:v>77896.226070000004</c:v>
                </c:pt>
                <c:pt idx="1316">
                  <c:v>77900.081099999996</c:v>
                </c:pt>
                <c:pt idx="1317">
                  <c:v>77903.936140000005</c:v>
                </c:pt>
                <c:pt idx="1318">
                  <c:v>77907.791169999997</c:v>
                </c:pt>
                <c:pt idx="1319">
                  <c:v>77911.646210000006</c:v>
                </c:pt>
                <c:pt idx="1320">
                  <c:v>77915.501239999998</c:v>
                </c:pt>
                <c:pt idx="1321">
                  <c:v>77919.356280000007</c:v>
                </c:pt>
                <c:pt idx="1322">
                  <c:v>77923.211309999999</c:v>
                </c:pt>
                <c:pt idx="1323">
                  <c:v>77927.066340000005</c:v>
                </c:pt>
                <c:pt idx="1324">
                  <c:v>77930.92138</c:v>
                </c:pt>
                <c:pt idx="1325">
                  <c:v>77934.776410000006</c:v>
                </c:pt>
                <c:pt idx="1326">
                  <c:v>77938.631450000001</c:v>
                </c:pt>
                <c:pt idx="1327">
                  <c:v>77942.486480000007</c:v>
                </c:pt>
                <c:pt idx="1328">
                  <c:v>77946.341520000002</c:v>
                </c:pt>
                <c:pt idx="1329">
                  <c:v>77950.196549999993</c:v>
                </c:pt>
                <c:pt idx="1330">
                  <c:v>77954.051590000003</c:v>
                </c:pt>
                <c:pt idx="1331">
                  <c:v>77957.906619999994</c:v>
                </c:pt>
                <c:pt idx="1332">
                  <c:v>77961.761660000004</c:v>
                </c:pt>
                <c:pt idx="1333">
                  <c:v>77965.616689999995</c:v>
                </c:pt>
                <c:pt idx="1334">
                  <c:v>77969.471720000001</c:v>
                </c:pt>
                <c:pt idx="1335">
                  <c:v>77973.326759999996</c:v>
                </c:pt>
                <c:pt idx="1336">
                  <c:v>77977.181790000002</c:v>
                </c:pt>
                <c:pt idx="1337">
                  <c:v>77981.036829999997</c:v>
                </c:pt>
                <c:pt idx="1338">
                  <c:v>77984.891860000003</c:v>
                </c:pt>
                <c:pt idx="1339">
                  <c:v>77988.746899999998</c:v>
                </c:pt>
                <c:pt idx="1340">
                  <c:v>77992.601930000004</c:v>
                </c:pt>
                <c:pt idx="1341">
                  <c:v>77996.456969999999</c:v>
                </c:pt>
                <c:pt idx="1342">
                  <c:v>78000.312000000005</c:v>
                </c:pt>
                <c:pt idx="1343">
                  <c:v>78004.167029999997</c:v>
                </c:pt>
                <c:pt idx="1344">
                  <c:v>78008.022070000006</c:v>
                </c:pt>
                <c:pt idx="1345">
                  <c:v>78011.877099999998</c:v>
                </c:pt>
                <c:pt idx="1346">
                  <c:v>78015.732139999993</c:v>
                </c:pt>
                <c:pt idx="1347">
                  <c:v>78019.587169999999</c:v>
                </c:pt>
                <c:pt idx="1348">
                  <c:v>78023.442209999994</c:v>
                </c:pt>
                <c:pt idx="1349">
                  <c:v>78027.29724</c:v>
                </c:pt>
                <c:pt idx="1350">
                  <c:v>78031.152279999995</c:v>
                </c:pt>
                <c:pt idx="1351">
                  <c:v>78035.007310000001</c:v>
                </c:pt>
                <c:pt idx="1352">
                  <c:v>78038.862340000007</c:v>
                </c:pt>
                <c:pt idx="1353">
                  <c:v>78042.717380000002</c:v>
                </c:pt>
                <c:pt idx="1354">
                  <c:v>78046.572409999993</c:v>
                </c:pt>
                <c:pt idx="1355">
                  <c:v>78050.427450000003</c:v>
                </c:pt>
                <c:pt idx="1356">
                  <c:v>78054.282479999994</c:v>
                </c:pt>
                <c:pt idx="1357">
                  <c:v>78058.137520000004</c:v>
                </c:pt>
                <c:pt idx="1358">
                  <c:v>78061.992549999995</c:v>
                </c:pt>
                <c:pt idx="1359">
                  <c:v>78065.847590000005</c:v>
                </c:pt>
                <c:pt idx="1360">
                  <c:v>78069.702619999996</c:v>
                </c:pt>
                <c:pt idx="1361">
                  <c:v>78073.557660000006</c:v>
                </c:pt>
                <c:pt idx="1362">
                  <c:v>78077.412689999997</c:v>
                </c:pt>
                <c:pt idx="1363">
                  <c:v>78081.267720000003</c:v>
                </c:pt>
                <c:pt idx="1364">
                  <c:v>78085.122759999998</c:v>
                </c:pt>
                <c:pt idx="1365">
                  <c:v>78088.977790000004</c:v>
                </c:pt>
                <c:pt idx="1366">
                  <c:v>78092.832829999999</c:v>
                </c:pt>
                <c:pt idx="1367">
                  <c:v>78096.687860000005</c:v>
                </c:pt>
                <c:pt idx="1368">
                  <c:v>78100.5429</c:v>
                </c:pt>
                <c:pt idx="1369">
                  <c:v>78104.397930000006</c:v>
                </c:pt>
                <c:pt idx="1370">
                  <c:v>78108.252970000001</c:v>
                </c:pt>
                <c:pt idx="1371">
                  <c:v>78112.107999999993</c:v>
                </c:pt>
                <c:pt idx="1372">
                  <c:v>78115.963029999999</c:v>
                </c:pt>
                <c:pt idx="1373">
                  <c:v>78119.818069999994</c:v>
                </c:pt>
                <c:pt idx="1374">
                  <c:v>78123.6731</c:v>
                </c:pt>
                <c:pt idx="1375">
                  <c:v>78127.528139999995</c:v>
                </c:pt>
                <c:pt idx="1376">
                  <c:v>78131.383170000001</c:v>
                </c:pt>
                <c:pt idx="1377">
                  <c:v>78135.238209999996</c:v>
                </c:pt>
                <c:pt idx="1378">
                  <c:v>78139.093240000002</c:v>
                </c:pt>
                <c:pt idx="1379">
                  <c:v>78142.948279999997</c:v>
                </c:pt>
                <c:pt idx="1380">
                  <c:v>78146.803310000003</c:v>
                </c:pt>
                <c:pt idx="1381">
                  <c:v>78150.658339999994</c:v>
                </c:pt>
                <c:pt idx="1382">
                  <c:v>78154.513380000004</c:v>
                </c:pt>
                <c:pt idx="1383">
                  <c:v>78158.368409999995</c:v>
                </c:pt>
                <c:pt idx="1384">
                  <c:v>78162.223450000005</c:v>
                </c:pt>
                <c:pt idx="1385">
                  <c:v>78166.078479999996</c:v>
                </c:pt>
                <c:pt idx="1386">
                  <c:v>78169.933520000006</c:v>
                </c:pt>
                <c:pt idx="1387">
                  <c:v>78173.788549999997</c:v>
                </c:pt>
                <c:pt idx="1388">
                  <c:v>78177.643590000007</c:v>
                </c:pt>
                <c:pt idx="1389">
                  <c:v>78181.498619999998</c:v>
                </c:pt>
                <c:pt idx="1390">
                  <c:v>78185.353659999993</c:v>
                </c:pt>
                <c:pt idx="1391">
                  <c:v>78189.208689999999</c:v>
                </c:pt>
                <c:pt idx="1392">
                  <c:v>78193.063720000006</c:v>
                </c:pt>
                <c:pt idx="1393">
                  <c:v>78196.91876</c:v>
                </c:pt>
                <c:pt idx="1394">
                  <c:v>78200.773790000007</c:v>
                </c:pt>
                <c:pt idx="1395">
                  <c:v>78204.628830000001</c:v>
                </c:pt>
                <c:pt idx="1396">
                  <c:v>78208.483859999993</c:v>
                </c:pt>
                <c:pt idx="1397">
                  <c:v>78212.338900000002</c:v>
                </c:pt>
                <c:pt idx="1398">
                  <c:v>78216.193929999994</c:v>
                </c:pt>
                <c:pt idx="1399">
                  <c:v>78220.048970000003</c:v>
                </c:pt>
                <c:pt idx="1400">
                  <c:v>78223.903999999995</c:v>
                </c:pt>
                <c:pt idx="1401">
                  <c:v>78227.759030000001</c:v>
                </c:pt>
                <c:pt idx="1402">
                  <c:v>78231.614069999996</c:v>
                </c:pt>
                <c:pt idx="1403">
                  <c:v>78235.469100000002</c:v>
                </c:pt>
                <c:pt idx="1404">
                  <c:v>78239.324139999997</c:v>
                </c:pt>
                <c:pt idx="1405">
                  <c:v>78243.179170000003</c:v>
                </c:pt>
                <c:pt idx="1406">
                  <c:v>78247.034209999998</c:v>
                </c:pt>
                <c:pt idx="1407">
                  <c:v>78250.889240000004</c:v>
                </c:pt>
                <c:pt idx="1408">
                  <c:v>78254.744279999999</c:v>
                </c:pt>
                <c:pt idx="1409">
                  <c:v>78258.599310000005</c:v>
                </c:pt>
                <c:pt idx="1410">
                  <c:v>78262.454339999997</c:v>
                </c:pt>
                <c:pt idx="1411">
                  <c:v>78266.309380000006</c:v>
                </c:pt>
                <c:pt idx="1412">
                  <c:v>78270.164409999998</c:v>
                </c:pt>
                <c:pt idx="1413">
                  <c:v>78274.019450000007</c:v>
                </c:pt>
                <c:pt idx="1414">
                  <c:v>78277.874479999999</c:v>
                </c:pt>
                <c:pt idx="1415">
                  <c:v>78281.729519999993</c:v>
                </c:pt>
                <c:pt idx="1416">
                  <c:v>78285.58455</c:v>
                </c:pt>
                <c:pt idx="1417">
                  <c:v>78289.439589999994</c:v>
                </c:pt>
                <c:pt idx="1418">
                  <c:v>78293.294620000001</c:v>
                </c:pt>
                <c:pt idx="1419">
                  <c:v>78297.149659999995</c:v>
                </c:pt>
                <c:pt idx="1420">
                  <c:v>78301.004690000002</c:v>
                </c:pt>
                <c:pt idx="1421">
                  <c:v>78304.859719999993</c:v>
                </c:pt>
                <c:pt idx="1422">
                  <c:v>78308.714760000003</c:v>
                </c:pt>
                <c:pt idx="1423">
                  <c:v>78312.569789999994</c:v>
                </c:pt>
                <c:pt idx="1424">
                  <c:v>78316.424830000004</c:v>
                </c:pt>
                <c:pt idx="1425">
                  <c:v>78320.279859999995</c:v>
                </c:pt>
                <c:pt idx="1426">
                  <c:v>78324.134900000005</c:v>
                </c:pt>
                <c:pt idx="1427">
                  <c:v>78327.989929999996</c:v>
                </c:pt>
                <c:pt idx="1428">
                  <c:v>78331.844970000006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C-4C5F-8AB7-2C50CA62D77A}"/>
            </c:ext>
          </c:extLst>
        </c:ser>
        <c:ser>
          <c:idx val="5"/>
          <c:order val="5"/>
          <c:tx>
            <c:strRef>
              <c:f>Issue1949!$L$2</c:f>
              <c:strCache>
                <c:ptCount val="1"/>
                <c:pt idx="0">
                  <c:v> retHigh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Issue1949!$L$3:$L$1432</c:f>
              <c:numCache>
                <c:formatCode>_("$"* #,##0.00_);_("$"* \(#,##0.00\);_("$"* "-"??_);_(@_)</c:formatCode>
                <c:ptCount val="14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CC-4C5F-8AB7-2C50CA62D77A}"/>
            </c:ext>
          </c:extLst>
        </c:ser>
        <c:ser>
          <c:idx val="6"/>
          <c:order val="6"/>
          <c:tx>
            <c:strRef>
              <c:f>Issue1949!$M$2</c:f>
              <c:strCache>
                <c:ptCount val="1"/>
                <c:pt idx="0">
                  <c:v> retLow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Issue1949!$M$3:$M$1432</c:f>
              <c:numCache>
                <c:formatCode>_("$"* #,##0.00_);_("$"* \(#,##0.00\);_("$"* "-"??_);_(@_)</c:formatCode>
                <c:ptCount val="14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CC-4C5F-8AB7-2C50CA62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Issue1949!$C$2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Issue1949!$C$3:$C$505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83710.66</c:v>
                      </c:pt>
                      <c:pt idx="1">
                        <c:v>83642.100000000006</c:v>
                      </c:pt>
                      <c:pt idx="2">
                        <c:v>83695.88</c:v>
                      </c:pt>
                      <c:pt idx="3">
                        <c:v>83727.77</c:v>
                      </c:pt>
                      <c:pt idx="4">
                        <c:v>83725.09</c:v>
                      </c:pt>
                      <c:pt idx="5">
                        <c:v>83730.41</c:v>
                      </c:pt>
                      <c:pt idx="6">
                        <c:v>83737.41</c:v>
                      </c:pt>
                      <c:pt idx="7">
                        <c:v>83736.91</c:v>
                      </c:pt>
                      <c:pt idx="8">
                        <c:v>83709</c:v>
                      </c:pt>
                      <c:pt idx="9">
                        <c:v>83708.69</c:v>
                      </c:pt>
                      <c:pt idx="10">
                        <c:v>83729.600000000006</c:v>
                      </c:pt>
                      <c:pt idx="11">
                        <c:v>83728.460000000006</c:v>
                      </c:pt>
                      <c:pt idx="12">
                        <c:v>83740.97</c:v>
                      </c:pt>
                      <c:pt idx="13">
                        <c:v>83734.8</c:v>
                      </c:pt>
                      <c:pt idx="14">
                        <c:v>83715.199999999997</c:v>
                      </c:pt>
                      <c:pt idx="15">
                        <c:v>83699.11</c:v>
                      </c:pt>
                      <c:pt idx="16">
                        <c:v>83718.710000000006</c:v>
                      </c:pt>
                      <c:pt idx="17">
                        <c:v>83740.350000000006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83655.320000000007</c:v>
                      </c:pt>
                      <c:pt idx="21">
                        <c:v>83655.399999999994</c:v>
                      </c:pt>
                      <c:pt idx="22">
                        <c:v>83685.009999999995</c:v>
                      </c:pt>
                      <c:pt idx="23">
                        <c:v>83685.3</c:v>
                      </c:pt>
                      <c:pt idx="24">
                        <c:v>83685.210000000006</c:v>
                      </c:pt>
                      <c:pt idx="25">
                        <c:v>83712.789999999994</c:v>
                      </c:pt>
                      <c:pt idx="26">
                        <c:v>83697.820000000007</c:v>
                      </c:pt>
                      <c:pt idx="27">
                        <c:v>83683.960000000006</c:v>
                      </c:pt>
                      <c:pt idx="28">
                        <c:v>83669.320000000007</c:v>
                      </c:pt>
                      <c:pt idx="29">
                        <c:v>83663.81</c:v>
                      </c:pt>
                      <c:pt idx="30">
                        <c:v>83652.399999999994</c:v>
                      </c:pt>
                      <c:pt idx="31">
                        <c:v>83640.5</c:v>
                      </c:pt>
                      <c:pt idx="32">
                        <c:v>83647.91</c:v>
                      </c:pt>
                      <c:pt idx="33">
                        <c:v>83648.19</c:v>
                      </c:pt>
                      <c:pt idx="34">
                        <c:v>83668.960000000006</c:v>
                      </c:pt>
                      <c:pt idx="35">
                        <c:v>83685.100000000006</c:v>
                      </c:pt>
                      <c:pt idx="36">
                        <c:v>83700.350000000006</c:v>
                      </c:pt>
                      <c:pt idx="37">
                        <c:v>83708.600000000006</c:v>
                      </c:pt>
                      <c:pt idx="38">
                        <c:v>83730.3</c:v>
                      </c:pt>
                      <c:pt idx="39">
                        <c:v>83690.61</c:v>
                      </c:pt>
                      <c:pt idx="40">
                        <c:v>83663.61</c:v>
                      </c:pt>
                      <c:pt idx="41">
                        <c:v>83651.899999999994</c:v>
                      </c:pt>
                      <c:pt idx="42">
                        <c:v>83532.17</c:v>
                      </c:pt>
                      <c:pt idx="43">
                        <c:v>83571.710000000006</c:v>
                      </c:pt>
                      <c:pt idx="44">
                        <c:v>83522.509999999995</c:v>
                      </c:pt>
                      <c:pt idx="45">
                        <c:v>83538.210000000006</c:v>
                      </c:pt>
                      <c:pt idx="46">
                        <c:v>83491.509999999995</c:v>
                      </c:pt>
                      <c:pt idx="47">
                        <c:v>83504.2</c:v>
                      </c:pt>
                      <c:pt idx="48">
                        <c:v>83499.600000000006</c:v>
                      </c:pt>
                      <c:pt idx="49">
                        <c:v>83446.77</c:v>
                      </c:pt>
                      <c:pt idx="50">
                        <c:v>83417.34</c:v>
                      </c:pt>
                      <c:pt idx="51">
                        <c:v>83415.97</c:v>
                      </c:pt>
                      <c:pt idx="52">
                        <c:v>83373.399999999994</c:v>
                      </c:pt>
                      <c:pt idx="53">
                        <c:v>83358.47</c:v>
                      </c:pt>
                      <c:pt idx="54">
                        <c:v>83413.91</c:v>
                      </c:pt>
                      <c:pt idx="55">
                        <c:v>83416.429999999993</c:v>
                      </c:pt>
                      <c:pt idx="56">
                        <c:v>83432.91</c:v>
                      </c:pt>
                      <c:pt idx="57">
                        <c:v>83480.009999999995</c:v>
                      </c:pt>
                      <c:pt idx="58">
                        <c:v>83456.5</c:v>
                      </c:pt>
                      <c:pt idx="59">
                        <c:v>83506.350000000006</c:v>
                      </c:pt>
                      <c:pt idx="60">
                        <c:v>83514.59</c:v>
                      </c:pt>
                      <c:pt idx="61">
                        <c:v>83478.34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83503.33</c:v>
                      </c:pt>
                      <c:pt idx="65">
                        <c:v>83501.440000000002</c:v>
                      </c:pt>
                      <c:pt idx="66">
                        <c:v>83500.100000000006</c:v>
                      </c:pt>
                      <c:pt idx="67">
                        <c:v>83515</c:v>
                      </c:pt>
                      <c:pt idx="68">
                        <c:v>83484.240000000005</c:v>
                      </c:pt>
                      <c:pt idx="69">
                        <c:v>83510.8</c:v>
                      </c:pt>
                      <c:pt idx="70">
                        <c:v>83506.52</c:v>
                      </c:pt>
                      <c:pt idx="71">
                        <c:v>83504.100000000006</c:v>
                      </c:pt>
                      <c:pt idx="72">
                        <c:v>83514.320000000007</c:v>
                      </c:pt>
                      <c:pt idx="73">
                        <c:v>83555.8</c:v>
                      </c:pt>
                      <c:pt idx="74">
                        <c:v>83533.42</c:v>
                      </c:pt>
                      <c:pt idx="75">
                        <c:v>83511.83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83515.100000000006</c:v>
                      </c:pt>
                      <c:pt idx="79">
                        <c:v>83443.53</c:v>
                      </c:pt>
                      <c:pt idx="80">
                        <c:v>83426.039999999994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83292.600000000006</c:v>
                      </c:pt>
                      <c:pt idx="84">
                        <c:v>83161.100000000006</c:v>
                      </c:pt>
                      <c:pt idx="85">
                        <c:v>83150.61</c:v>
                      </c:pt>
                      <c:pt idx="86">
                        <c:v>83303.8</c:v>
                      </c:pt>
                      <c:pt idx="87">
                        <c:v>83165.08</c:v>
                      </c:pt>
                      <c:pt idx="88">
                        <c:v>83130.399999999994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83206.16</c:v>
                      </c:pt>
                      <c:pt idx="92">
                        <c:v>83209.09</c:v>
                      </c:pt>
                      <c:pt idx="93">
                        <c:v>83228.350000000006</c:v>
                      </c:pt>
                      <c:pt idx="94">
                        <c:v>83181.98</c:v>
                      </c:pt>
                      <c:pt idx="95">
                        <c:v>83182.740000000005</c:v>
                      </c:pt>
                      <c:pt idx="96">
                        <c:v>83167.53</c:v>
                      </c:pt>
                      <c:pt idx="97">
                        <c:v>83143.3</c:v>
                      </c:pt>
                      <c:pt idx="98">
                        <c:v>83124.649999999994</c:v>
                      </c:pt>
                      <c:pt idx="99">
                        <c:v>83070.05</c:v>
                      </c:pt>
                      <c:pt idx="100">
                        <c:v>83024.2</c:v>
                      </c:pt>
                      <c:pt idx="101">
                        <c:v>83048.399999999994</c:v>
                      </c:pt>
                      <c:pt idx="102">
                        <c:v>83013.25</c:v>
                      </c:pt>
                      <c:pt idx="103">
                        <c:v>82954.539999999994</c:v>
                      </c:pt>
                      <c:pt idx="104">
                        <c:v>82975.28</c:v>
                      </c:pt>
                      <c:pt idx="105">
                        <c:v>82910.990000000005</c:v>
                      </c:pt>
                      <c:pt idx="106">
                        <c:v>82917.240000000005</c:v>
                      </c:pt>
                      <c:pt idx="107">
                        <c:v>82816.61</c:v>
                      </c:pt>
                      <c:pt idx="108">
                        <c:v>82776.92</c:v>
                      </c:pt>
                      <c:pt idx="109">
                        <c:v>82939.600000000006</c:v>
                      </c:pt>
                      <c:pt idx="110">
                        <c:v>82966.990000000005</c:v>
                      </c:pt>
                      <c:pt idx="111">
                        <c:v>82858.55</c:v>
                      </c:pt>
                      <c:pt idx="112">
                        <c:v>82657.350000000006</c:v>
                      </c:pt>
                      <c:pt idx="113">
                        <c:v>82745.45</c:v>
                      </c:pt>
                      <c:pt idx="114">
                        <c:v>82624.899999999994</c:v>
                      </c:pt>
                      <c:pt idx="115">
                        <c:v>82679.38</c:v>
                      </c:pt>
                      <c:pt idx="116">
                        <c:v>82744.75</c:v>
                      </c:pt>
                      <c:pt idx="117">
                        <c:v>82747.34</c:v>
                      </c:pt>
                      <c:pt idx="118">
                        <c:v>82790.5</c:v>
                      </c:pt>
                      <c:pt idx="119">
                        <c:v>82721.240000000005</c:v>
                      </c:pt>
                      <c:pt idx="120">
                        <c:v>82760.240000000005</c:v>
                      </c:pt>
                      <c:pt idx="121">
                        <c:v>82782.66</c:v>
                      </c:pt>
                      <c:pt idx="122">
                        <c:v>82812.509999999995</c:v>
                      </c:pt>
                      <c:pt idx="123">
                        <c:v>82936.740000000005</c:v>
                      </c:pt>
                      <c:pt idx="124">
                        <c:v>82922.789999999994</c:v>
                      </c:pt>
                      <c:pt idx="125">
                        <c:v>83005.710000000006</c:v>
                      </c:pt>
                      <c:pt idx="126">
                        <c:v>82991.13</c:v>
                      </c:pt>
                      <c:pt idx="127">
                        <c:v>83077.3</c:v>
                      </c:pt>
                      <c:pt idx="128">
                        <c:v>83124.34</c:v>
                      </c:pt>
                      <c:pt idx="129">
                        <c:v>83121.7</c:v>
                      </c:pt>
                      <c:pt idx="130">
                        <c:v>83052.800000000003</c:v>
                      </c:pt>
                      <c:pt idx="131">
                        <c:v>83024.100000000006</c:v>
                      </c:pt>
                      <c:pt idx="132">
                        <c:v>83096.350000000006</c:v>
                      </c:pt>
                      <c:pt idx="133">
                        <c:v>83056.91</c:v>
                      </c:pt>
                      <c:pt idx="134">
                        <c:v>83110.350000000006</c:v>
                      </c:pt>
                      <c:pt idx="135">
                        <c:v>83161.05</c:v>
                      </c:pt>
                      <c:pt idx="136">
                        <c:v>83124.600000000006</c:v>
                      </c:pt>
                      <c:pt idx="137">
                        <c:v>83206.5</c:v>
                      </c:pt>
                      <c:pt idx="138">
                        <c:v>83047.490000000005</c:v>
                      </c:pt>
                      <c:pt idx="139">
                        <c:v>83082.039999999994</c:v>
                      </c:pt>
                      <c:pt idx="140">
                        <c:v>83107.86</c:v>
                      </c:pt>
                      <c:pt idx="141">
                        <c:v>83098.399999999994</c:v>
                      </c:pt>
                      <c:pt idx="142">
                        <c:v>83149.42</c:v>
                      </c:pt>
                      <c:pt idx="143">
                        <c:v>83117.850000000006</c:v>
                      </c:pt>
                      <c:pt idx="144">
                        <c:v>83137.990000000005</c:v>
                      </c:pt>
                      <c:pt idx="145">
                        <c:v>83149.070000000007</c:v>
                      </c:pt>
                      <c:pt idx="146">
                        <c:v>83093.2</c:v>
                      </c:pt>
                      <c:pt idx="147">
                        <c:v>83096.509999999995</c:v>
                      </c:pt>
                      <c:pt idx="148">
                        <c:v>83087.899999999994</c:v>
                      </c:pt>
                      <c:pt idx="149">
                        <c:v>83124.91</c:v>
                      </c:pt>
                      <c:pt idx="150">
                        <c:v>83112.27</c:v>
                      </c:pt>
                      <c:pt idx="151">
                        <c:v>83033.81</c:v>
                      </c:pt>
                      <c:pt idx="152">
                        <c:v>83020.87</c:v>
                      </c:pt>
                      <c:pt idx="153">
                        <c:v>82999.490000000005</c:v>
                      </c:pt>
                      <c:pt idx="154">
                        <c:v>82963.649999999994</c:v>
                      </c:pt>
                      <c:pt idx="155">
                        <c:v>82928.02</c:v>
                      </c:pt>
                      <c:pt idx="156">
                        <c:v>82859.56</c:v>
                      </c:pt>
                      <c:pt idx="157">
                        <c:v>82885.84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83097.38</c:v>
                      </c:pt>
                      <c:pt idx="164">
                        <c:v>83164.41</c:v>
                      </c:pt>
                      <c:pt idx="165">
                        <c:v>83167.210000000006</c:v>
                      </c:pt>
                      <c:pt idx="166">
                        <c:v>83194.64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83140.5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83189.23</c:v>
                      </c:pt>
                      <c:pt idx="173">
                        <c:v>83193.7</c:v>
                      </c:pt>
                      <c:pt idx="174">
                        <c:v>83198.240000000005</c:v>
                      </c:pt>
                      <c:pt idx="175">
                        <c:v>83178.429999999993</c:v>
                      </c:pt>
                      <c:pt idx="176">
                        <c:v>83173.7</c:v>
                      </c:pt>
                      <c:pt idx="177">
                        <c:v>83142.990000000005</c:v>
                      </c:pt>
                      <c:pt idx="178">
                        <c:v>83159.789999999994</c:v>
                      </c:pt>
                      <c:pt idx="179">
                        <c:v>83099.34</c:v>
                      </c:pt>
                      <c:pt idx="180">
                        <c:v>83088.5</c:v>
                      </c:pt>
                      <c:pt idx="181">
                        <c:v>83070.81</c:v>
                      </c:pt>
                      <c:pt idx="182">
                        <c:v>83092.5</c:v>
                      </c:pt>
                      <c:pt idx="183">
                        <c:v>83079.62</c:v>
                      </c:pt>
                      <c:pt idx="184">
                        <c:v>83066.67</c:v>
                      </c:pt>
                      <c:pt idx="185">
                        <c:v>83060.56</c:v>
                      </c:pt>
                      <c:pt idx="186">
                        <c:v>83102.720000000001</c:v>
                      </c:pt>
                      <c:pt idx="187">
                        <c:v>83135.399999999994</c:v>
                      </c:pt>
                      <c:pt idx="188">
                        <c:v>83121.02</c:v>
                      </c:pt>
                      <c:pt idx="189">
                        <c:v>83115.98</c:v>
                      </c:pt>
                      <c:pt idx="190">
                        <c:v>83074.91</c:v>
                      </c:pt>
                      <c:pt idx="191">
                        <c:v>83065.710000000006</c:v>
                      </c:pt>
                      <c:pt idx="192">
                        <c:v>83095.62</c:v>
                      </c:pt>
                      <c:pt idx="193">
                        <c:v>83079.81</c:v>
                      </c:pt>
                      <c:pt idx="194">
                        <c:v>83079.95</c:v>
                      </c:pt>
                      <c:pt idx="195">
                        <c:v>83058.509999999995</c:v>
                      </c:pt>
                      <c:pt idx="196">
                        <c:v>83036.75</c:v>
                      </c:pt>
                      <c:pt idx="197">
                        <c:v>83049.740000000005</c:v>
                      </c:pt>
                      <c:pt idx="198">
                        <c:v>83053.440000000002</c:v>
                      </c:pt>
                      <c:pt idx="199">
                        <c:v>82997.87</c:v>
                      </c:pt>
                      <c:pt idx="200">
                        <c:v>82942.55</c:v>
                      </c:pt>
                      <c:pt idx="201">
                        <c:v>82942.25</c:v>
                      </c:pt>
                      <c:pt idx="202">
                        <c:v>82974.92</c:v>
                      </c:pt>
                      <c:pt idx="203">
                        <c:v>83014.41</c:v>
                      </c:pt>
                      <c:pt idx="204">
                        <c:v>82982.820000000007</c:v>
                      </c:pt>
                      <c:pt idx="205">
                        <c:v>82957.66</c:v>
                      </c:pt>
                      <c:pt idx="206">
                        <c:v>82950.490000000005</c:v>
                      </c:pt>
                      <c:pt idx="207">
                        <c:v>82971.62</c:v>
                      </c:pt>
                      <c:pt idx="208">
                        <c:v>82950.37</c:v>
                      </c:pt>
                      <c:pt idx="209">
                        <c:v>82959.399999999994</c:v>
                      </c:pt>
                      <c:pt idx="210">
                        <c:v>82877.16</c:v>
                      </c:pt>
                      <c:pt idx="211">
                        <c:v>82908.759999999995</c:v>
                      </c:pt>
                      <c:pt idx="212">
                        <c:v>82940.990000000005</c:v>
                      </c:pt>
                      <c:pt idx="213">
                        <c:v>82976.41</c:v>
                      </c:pt>
                      <c:pt idx="214">
                        <c:v>82966</c:v>
                      </c:pt>
                      <c:pt idx="215">
                        <c:v>82982.509999999995</c:v>
                      </c:pt>
                      <c:pt idx="216">
                        <c:v>82941.05</c:v>
                      </c:pt>
                      <c:pt idx="217">
                        <c:v>83027.94</c:v>
                      </c:pt>
                      <c:pt idx="218">
                        <c:v>82997.48</c:v>
                      </c:pt>
                      <c:pt idx="219">
                        <c:v>83005.429999999993</c:v>
                      </c:pt>
                      <c:pt idx="220">
                        <c:v>83007.759999999995</c:v>
                      </c:pt>
                      <c:pt idx="221">
                        <c:v>83009.83</c:v>
                      </c:pt>
                      <c:pt idx="222">
                        <c:v>83034.62</c:v>
                      </c:pt>
                      <c:pt idx="223">
                        <c:v>83105.03</c:v>
                      </c:pt>
                      <c:pt idx="224">
                        <c:v>83143.48</c:v>
                      </c:pt>
                      <c:pt idx="225">
                        <c:v>83111.710000000006</c:v>
                      </c:pt>
                      <c:pt idx="226">
                        <c:v>83053.210000000006</c:v>
                      </c:pt>
                      <c:pt idx="227">
                        <c:v>83020.100000000006</c:v>
                      </c:pt>
                      <c:pt idx="228">
                        <c:v>83074.02</c:v>
                      </c:pt>
                      <c:pt idx="229">
                        <c:v>83080.88</c:v>
                      </c:pt>
                      <c:pt idx="230">
                        <c:v>83027.53</c:v>
                      </c:pt>
                      <c:pt idx="231">
                        <c:v>83055.960000000006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83099.34</c:v>
                      </c:pt>
                      <c:pt idx="235">
                        <c:v>83115.12</c:v>
                      </c:pt>
                      <c:pt idx="236">
                        <c:v>83128.23</c:v>
                      </c:pt>
                      <c:pt idx="237">
                        <c:v>83083.429999999993</c:v>
                      </c:pt>
                      <c:pt idx="238">
                        <c:v>83090.399999999994</c:v>
                      </c:pt>
                      <c:pt idx="239">
                        <c:v>83079.45</c:v>
                      </c:pt>
                      <c:pt idx="240">
                        <c:v>83057.39</c:v>
                      </c:pt>
                      <c:pt idx="241">
                        <c:v>83069.53</c:v>
                      </c:pt>
                      <c:pt idx="242">
                        <c:v>83093.759999999995</c:v>
                      </c:pt>
                      <c:pt idx="243">
                        <c:v>83016.149999999994</c:v>
                      </c:pt>
                      <c:pt idx="244">
                        <c:v>83059.05</c:v>
                      </c:pt>
                      <c:pt idx="245">
                        <c:v>83074.47</c:v>
                      </c:pt>
                      <c:pt idx="246">
                        <c:v>83121.460000000006</c:v>
                      </c:pt>
                      <c:pt idx="247">
                        <c:v>83134.740000000005</c:v>
                      </c:pt>
                      <c:pt idx="248">
                        <c:v>83109.929999999993</c:v>
                      </c:pt>
                      <c:pt idx="249">
                        <c:v>83123.199999999997</c:v>
                      </c:pt>
                      <c:pt idx="250">
                        <c:v>83083.509999999995</c:v>
                      </c:pt>
                      <c:pt idx="251">
                        <c:v>83110.84</c:v>
                      </c:pt>
                      <c:pt idx="252">
                        <c:v>83037.09</c:v>
                      </c:pt>
                      <c:pt idx="253">
                        <c:v>83063.5</c:v>
                      </c:pt>
                      <c:pt idx="254">
                        <c:v>83004.23</c:v>
                      </c:pt>
                      <c:pt idx="255">
                        <c:v>83017.86</c:v>
                      </c:pt>
                      <c:pt idx="256">
                        <c:v>82997.009999999995</c:v>
                      </c:pt>
                      <c:pt idx="257">
                        <c:v>82990.61</c:v>
                      </c:pt>
                      <c:pt idx="258">
                        <c:v>83016.66</c:v>
                      </c:pt>
                      <c:pt idx="259">
                        <c:v>83013.09</c:v>
                      </c:pt>
                      <c:pt idx="260">
                        <c:v>83006.19</c:v>
                      </c:pt>
                      <c:pt idx="261">
                        <c:v>83033.22</c:v>
                      </c:pt>
                      <c:pt idx="262">
                        <c:v>82995.41</c:v>
                      </c:pt>
                      <c:pt idx="263">
                        <c:v>83005.600000000006</c:v>
                      </c:pt>
                      <c:pt idx="264">
                        <c:v>82989.14</c:v>
                      </c:pt>
                      <c:pt idx="265">
                        <c:v>82956.490000000005</c:v>
                      </c:pt>
                      <c:pt idx="266">
                        <c:v>82963.210000000006</c:v>
                      </c:pt>
                      <c:pt idx="267">
                        <c:v>82986.03</c:v>
                      </c:pt>
                      <c:pt idx="268">
                        <c:v>83000.100000000006</c:v>
                      </c:pt>
                      <c:pt idx="269">
                        <c:v>82949.42</c:v>
                      </c:pt>
                      <c:pt idx="270">
                        <c:v>82970.649999999994</c:v>
                      </c:pt>
                      <c:pt idx="271">
                        <c:v>82996.83</c:v>
                      </c:pt>
                      <c:pt idx="272">
                        <c:v>82997.240000000005</c:v>
                      </c:pt>
                      <c:pt idx="273">
                        <c:v>82988.72</c:v>
                      </c:pt>
                      <c:pt idx="274">
                        <c:v>82993.61</c:v>
                      </c:pt>
                      <c:pt idx="275">
                        <c:v>83010</c:v>
                      </c:pt>
                      <c:pt idx="276">
                        <c:v>83017.039999999994</c:v>
                      </c:pt>
                      <c:pt idx="277">
                        <c:v>83008.39</c:v>
                      </c:pt>
                      <c:pt idx="278">
                        <c:v>83020.84</c:v>
                      </c:pt>
                      <c:pt idx="279">
                        <c:v>83011.09</c:v>
                      </c:pt>
                      <c:pt idx="280">
                        <c:v>82957.429999999993</c:v>
                      </c:pt>
                      <c:pt idx="281">
                        <c:v>82954.740000000005</c:v>
                      </c:pt>
                      <c:pt idx="282">
                        <c:v>82975.8</c:v>
                      </c:pt>
                      <c:pt idx="283">
                        <c:v>83010.399999999994</c:v>
                      </c:pt>
                      <c:pt idx="284">
                        <c:v>82986.83</c:v>
                      </c:pt>
                      <c:pt idx="285">
                        <c:v>82986.91</c:v>
                      </c:pt>
                      <c:pt idx="286">
                        <c:v>82987.8</c:v>
                      </c:pt>
                      <c:pt idx="287">
                        <c:v>83001.31</c:v>
                      </c:pt>
                      <c:pt idx="288">
                        <c:v>82991.55</c:v>
                      </c:pt>
                      <c:pt idx="289">
                        <c:v>82977.509999999995</c:v>
                      </c:pt>
                      <c:pt idx="290">
                        <c:v>82990.350000000006</c:v>
                      </c:pt>
                      <c:pt idx="291">
                        <c:v>82973.679999999993</c:v>
                      </c:pt>
                      <c:pt idx="292">
                        <c:v>82970.490000000005</c:v>
                      </c:pt>
                      <c:pt idx="293">
                        <c:v>82973.149999999994</c:v>
                      </c:pt>
                      <c:pt idx="294">
                        <c:v>82979.3</c:v>
                      </c:pt>
                      <c:pt idx="295">
                        <c:v>82970.61</c:v>
                      </c:pt>
                      <c:pt idx="296">
                        <c:v>82933.3</c:v>
                      </c:pt>
                      <c:pt idx="297">
                        <c:v>82947.210000000006</c:v>
                      </c:pt>
                      <c:pt idx="298">
                        <c:v>82915.19</c:v>
                      </c:pt>
                      <c:pt idx="299">
                        <c:v>82936.210000000006</c:v>
                      </c:pt>
                      <c:pt idx="300">
                        <c:v>82922.97</c:v>
                      </c:pt>
                      <c:pt idx="301">
                        <c:v>82957.63</c:v>
                      </c:pt>
                      <c:pt idx="302">
                        <c:v>82972.12</c:v>
                      </c:pt>
                      <c:pt idx="303">
                        <c:v>82908.61</c:v>
                      </c:pt>
                      <c:pt idx="304">
                        <c:v>82835.55</c:v>
                      </c:pt>
                      <c:pt idx="305">
                        <c:v>82886.399999999994</c:v>
                      </c:pt>
                      <c:pt idx="306">
                        <c:v>82920.600000000006</c:v>
                      </c:pt>
                      <c:pt idx="307">
                        <c:v>82939.62</c:v>
                      </c:pt>
                      <c:pt idx="308">
                        <c:v>82945.56</c:v>
                      </c:pt>
                      <c:pt idx="309">
                        <c:v>82953.36</c:v>
                      </c:pt>
                      <c:pt idx="310">
                        <c:v>82905.69</c:v>
                      </c:pt>
                      <c:pt idx="311">
                        <c:v>82965.52</c:v>
                      </c:pt>
                      <c:pt idx="312">
                        <c:v>82970.210000000006</c:v>
                      </c:pt>
                      <c:pt idx="313">
                        <c:v>82953.63</c:v>
                      </c:pt>
                      <c:pt idx="314">
                        <c:v>82956.23</c:v>
                      </c:pt>
                      <c:pt idx="315">
                        <c:v>82960.56</c:v>
                      </c:pt>
                      <c:pt idx="316">
                        <c:v>82956.84</c:v>
                      </c:pt>
                      <c:pt idx="317">
                        <c:v>82978.55</c:v>
                      </c:pt>
                      <c:pt idx="318">
                        <c:v>82801.38</c:v>
                      </c:pt>
                      <c:pt idx="319">
                        <c:v>82797.62</c:v>
                      </c:pt>
                      <c:pt idx="320">
                        <c:v>82815.5</c:v>
                      </c:pt>
                      <c:pt idx="321">
                        <c:v>82910.850000000006</c:v>
                      </c:pt>
                      <c:pt idx="322">
                        <c:v>82921.45</c:v>
                      </c:pt>
                      <c:pt idx="323">
                        <c:v>82910.61</c:v>
                      </c:pt>
                      <c:pt idx="324">
                        <c:v>82965.81</c:v>
                      </c:pt>
                      <c:pt idx="325">
                        <c:v>82961.19</c:v>
                      </c:pt>
                      <c:pt idx="326">
                        <c:v>82906.47</c:v>
                      </c:pt>
                      <c:pt idx="327">
                        <c:v>82936.72</c:v>
                      </c:pt>
                      <c:pt idx="328">
                        <c:v>82946.42</c:v>
                      </c:pt>
                      <c:pt idx="329">
                        <c:v>82968.800000000003</c:v>
                      </c:pt>
                      <c:pt idx="330">
                        <c:v>82957.2</c:v>
                      </c:pt>
                      <c:pt idx="331">
                        <c:v>82957.399999999994</c:v>
                      </c:pt>
                      <c:pt idx="332">
                        <c:v>82952.7</c:v>
                      </c:pt>
                      <c:pt idx="333">
                        <c:v>82932.600000000006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82875.820000000007</c:v>
                      </c:pt>
                      <c:pt idx="337">
                        <c:v>82919.990000000005</c:v>
                      </c:pt>
                      <c:pt idx="338">
                        <c:v>82888.13</c:v>
                      </c:pt>
                      <c:pt idx="339">
                        <c:v>82880.399999999994</c:v>
                      </c:pt>
                      <c:pt idx="340">
                        <c:v>82887.22</c:v>
                      </c:pt>
                      <c:pt idx="341">
                        <c:v>82860.350000000006</c:v>
                      </c:pt>
                      <c:pt idx="342">
                        <c:v>82796.62</c:v>
                      </c:pt>
                      <c:pt idx="343">
                        <c:v>82861</c:v>
                      </c:pt>
                      <c:pt idx="344">
                        <c:v>82856.649999999994</c:v>
                      </c:pt>
                      <c:pt idx="345">
                        <c:v>82905.5</c:v>
                      </c:pt>
                      <c:pt idx="346">
                        <c:v>82924.89</c:v>
                      </c:pt>
                      <c:pt idx="347">
                        <c:v>82890.22</c:v>
                      </c:pt>
                      <c:pt idx="348">
                        <c:v>82889.3</c:v>
                      </c:pt>
                      <c:pt idx="349">
                        <c:v>82881.3</c:v>
                      </c:pt>
                      <c:pt idx="350">
                        <c:v>82895.41</c:v>
                      </c:pt>
                      <c:pt idx="351">
                        <c:v>82892.02</c:v>
                      </c:pt>
                      <c:pt idx="352">
                        <c:v>82853.36</c:v>
                      </c:pt>
                      <c:pt idx="353">
                        <c:v>82759.520000000004</c:v>
                      </c:pt>
                      <c:pt idx="354">
                        <c:v>82773.75</c:v>
                      </c:pt>
                      <c:pt idx="355">
                        <c:v>82719.350000000006</c:v>
                      </c:pt>
                      <c:pt idx="356">
                        <c:v>82726.69</c:v>
                      </c:pt>
                      <c:pt idx="357">
                        <c:v>82693.73</c:v>
                      </c:pt>
                      <c:pt idx="358">
                        <c:v>82748.25</c:v>
                      </c:pt>
                      <c:pt idx="359">
                        <c:v>82765.33</c:v>
                      </c:pt>
                      <c:pt idx="360">
                        <c:v>82754.570000000007</c:v>
                      </c:pt>
                      <c:pt idx="361">
                        <c:v>82809.31</c:v>
                      </c:pt>
                      <c:pt idx="362">
                        <c:v>82739.399999999994</c:v>
                      </c:pt>
                      <c:pt idx="363">
                        <c:v>82729.070000000007</c:v>
                      </c:pt>
                      <c:pt idx="364">
                        <c:v>82725.95</c:v>
                      </c:pt>
                      <c:pt idx="365">
                        <c:v>82681.3</c:v>
                      </c:pt>
                      <c:pt idx="366">
                        <c:v>82678.5</c:v>
                      </c:pt>
                      <c:pt idx="367">
                        <c:v>82796.600000000006</c:v>
                      </c:pt>
                      <c:pt idx="368">
                        <c:v>82755.11</c:v>
                      </c:pt>
                      <c:pt idx="369">
                        <c:v>82767.360000000001</c:v>
                      </c:pt>
                      <c:pt idx="370">
                        <c:v>82757.52</c:v>
                      </c:pt>
                      <c:pt idx="371">
                        <c:v>82765.72</c:v>
                      </c:pt>
                      <c:pt idx="372">
                        <c:v>82777.83</c:v>
                      </c:pt>
                      <c:pt idx="373">
                        <c:v>82827.009999999995</c:v>
                      </c:pt>
                      <c:pt idx="374">
                        <c:v>82855.179999999993</c:v>
                      </c:pt>
                      <c:pt idx="375">
                        <c:v>82797.119999999995</c:v>
                      </c:pt>
                      <c:pt idx="376">
                        <c:v>82816.44</c:v>
                      </c:pt>
                      <c:pt idx="377">
                        <c:v>82781.38</c:v>
                      </c:pt>
                      <c:pt idx="378">
                        <c:v>82762.94</c:v>
                      </c:pt>
                      <c:pt idx="379">
                        <c:v>82751.399999999994</c:v>
                      </c:pt>
                      <c:pt idx="380">
                        <c:v>82790.33</c:v>
                      </c:pt>
                      <c:pt idx="381">
                        <c:v>82838.55</c:v>
                      </c:pt>
                      <c:pt idx="382">
                        <c:v>82868.649999999994</c:v>
                      </c:pt>
                      <c:pt idx="383">
                        <c:v>82854.17</c:v>
                      </c:pt>
                      <c:pt idx="384">
                        <c:v>82773.919999999998</c:v>
                      </c:pt>
                      <c:pt idx="385">
                        <c:v>82780.42</c:v>
                      </c:pt>
                      <c:pt idx="386">
                        <c:v>82789.5</c:v>
                      </c:pt>
                      <c:pt idx="387">
                        <c:v>82762.81</c:v>
                      </c:pt>
                      <c:pt idx="388">
                        <c:v>82758.38</c:v>
                      </c:pt>
                      <c:pt idx="389">
                        <c:v>82747.72</c:v>
                      </c:pt>
                      <c:pt idx="390">
                        <c:v>82771.100000000006</c:v>
                      </c:pt>
                      <c:pt idx="391">
                        <c:v>82790.399999999994</c:v>
                      </c:pt>
                      <c:pt idx="392">
                        <c:v>82780.5</c:v>
                      </c:pt>
                      <c:pt idx="393">
                        <c:v>82743.94</c:v>
                      </c:pt>
                      <c:pt idx="394">
                        <c:v>82610.52</c:v>
                      </c:pt>
                      <c:pt idx="395">
                        <c:v>82588.84</c:v>
                      </c:pt>
                      <c:pt idx="396">
                        <c:v>82489.5</c:v>
                      </c:pt>
                      <c:pt idx="397">
                        <c:v>82598.3</c:v>
                      </c:pt>
                      <c:pt idx="398">
                        <c:v>82473.91</c:v>
                      </c:pt>
                      <c:pt idx="399">
                        <c:v>82509.429999999993</c:v>
                      </c:pt>
                      <c:pt idx="400">
                        <c:v>82457.78</c:v>
                      </c:pt>
                      <c:pt idx="401">
                        <c:v>82495.63</c:v>
                      </c:pt>
                      <c:pt idx="402">
                        <c:v>82560.62</c:v>
                      </c:pt>
                      <c:pt idx="403">
                        <c:v>82574.399999999994</c:v>
                      </c:pt>
                      <c:pt idx="404">
                        <c:v>82559.72</c:v>
                      </c:pt>
                      <c:pt idx="405">
                        <c:v>82554.42</c:v>
                      </c:pt>
                      <c:pt idx="406">
                        <c:v>82609.5</c:v>
                      </c:pt>
                      <c:pt idx="407">
                        <c:v>82587.72</c:v>
                      </c:pt>
                      <c:pt idx="408">
                        <c:v>82587.89</c:v>
                      </c:pt>
                      <c:pt idx="409">
                        <c:v>82590.63</c:v>
                      </c:pt>
                      <c:pt idx="410">
                        <c:v>82613.649999999994</c:v>
                      </c:pt>
                      <c:pt idx="411">
                        <c:v>82630.7</c:v>
                      </c:pt>
                      <c:pt idx="412">
                        <c:v>82634.399999999994</c:v>
                      </c:pt>
                      <c:pt idx="413">
                        <c:v>82583.399999999994</c:v>
                      </c:pt>
                      <c:pt idx="414">
                        <c:v>82582.100000000006</c:v>
                      </c:pt>
                      <c:pt idx="415">
                        <c:v>82613.39</c:v>
                      </c:pt>
                      <c:pt idx="416">
                        <c:v>82638.44</c:v>
                      </c:pt>
                      <c:pt idx="417">
                        <c:v>82634.210000000006</c:v>
                      </c:pt>
                      <c:pt idx="418">
                        <c:v>82639.350000000006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82723.3</c:v>
                      </c:pt>
                      <c:pt idx="422">
                        <c:v>82763.66</c:v>
                      </c:pt>
                      <c:pt idx="423">
                        <c:v>82774.3</c:v>
                      </c:pt>
                      <c:pt idx="424">
                        <c:v>82710.31</c:v>
                      </c:pt>
                      <c:pt idx="425">
                        <c:v>82739.91</c:v>
                      </c:pt>
                      <c:pt idx="426">
                        <c:v>82837.41</c:v>
                      </c:pt>
                      <c:pt idx="427">
                        <c:v>82810.25</c:v>
                      </c:pt>
                      <c:pt idx="428">
                        <c:v>82878.23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82557.53</c:v>
                      </c:pt>
                      <c:pt idx="432">
                        <c:v>82406.28</c:v>
                      </c:pt>
                      <c:pt idx="433">
                        <c:v>82483.19</c:v>
                      </c:pt>
                      <c:pt idx="434">
                        <c:v>82421.53</c:v>
                      </c:pt>
                      <c:pt idx="435">
                        <c:v>82453.240000000005</c:v>
                      </c:pt>
                      <c:pt idx="436">
                        <c:v>82407.899999999994</c:v>
                      </c:pt>
                      <c:pt idx="437">
                        <c:v>82352.3</c:v>
                      </c:pt>
                      <c:pt idx="438">
                        <c:v>82470.850000000006</c:v>
                      </c:pt>
                      <c:pt idx="439">
                        <c:v>82361.5</c:v>
                      </c:pt>
                      <c:pt idx="440">
                        <c:v>82256.3</c:v>
                      </c:pt>
                      <c:pt idx="441">
                        <c:v>82231.070000000007</c:v>
                      </c:pt>
                      <c:pt idx="442">
                        <c:v>82223.460000000006</c:v>
                      </c:pt>
                      <c:pt idx="443">
                        <c:v>82254.61</c:v>
                      </c:pt>
                      <c:pt idx="444">
                        <c:v>82110.509999999995</c:v>
                      </c:pt>
                      <c:pt idx="445">
                        <c:v>82001.350000000006</c:v>
                      </c:pt>
                      <c:pt idx="446">
                        <c:v>81926.58</c:v>
                      </c:pt>
                      <c:pt idx="447">
                        <c:v>81941.55</c:v>
                      </c:pt>
                      <c:pt idx="448">
                        <c:v>81530.12</c:v>
                      </c:pt>
                      <c:pt idx="449">
                        <c:v>81503.94</c:v>
                      </c:pt>
                      <c:pt idx="450">
                        <c:v>81543.87</c:v>
                      </c:pt>
                      <c:pt idx="451">
                        <c:v>81549.2</c:v>
                      </c:pt>
                      <c:pt idx="452">
                        <c:v>81396.75</c:v>
                      </c:pt>
                      <c:pt idx="453">
                        <c:v>81108.97</c:v>
                      </c:pt>
                      <c:pt idx="454">
                        <c:v>81368.600000000006</c:v>
                      </c:pt>
                      <c:pt idx="455">
                        <c:v>81321.509999999995</c:v>
                      </c:pt>
                      <c:pt idx="456">
                        <c:v>81416.740000000005</c:v>
                      </c:pt>
                      <c:pt idx="457">
                        <c:v>81487.259999999995</c:v>
                      </c:pt>
                      <c:pt idx="458">
                        <c:v>81180.740000000005</c:v>
                      </c:pt>
                      <c:pt idx="459">
                        <c:v>81130.84</c:v>
                      </c:pt>
                      <c:pt idx="460">
                        <c:v>81136.960000000006</c:v>
                      </c:pt>
                      <c:pt idx="461">
                        <c:v>81001.3</c:v>
                      </c:pt>
                      <c:pt idx="462">
                        <c:v>80957.2</c:v>
                      </c:pt>
                      <c:pt idx="463">
                        <c:v>80959.520000000004</c:v>
                      </c:pt>
                      <c:pt idx="464">
                        <c:v>80949.350000000006</c:v>
                      </c:pt>
                      <c:pt idx="465">
                        <c:v>80971.03</c:v>
                      </c:pt>
                      <c:pt idx="466">
                        <c:v>80954.34</c:v>
                      </c:pt>
                      <c:pt idx="467">
                        <c:v>80992.61</c:v>
                      </c:pt>
                      <c:pt idx="468">
                        <c:v>81154.460000000006</c:v>
                      </c:pt>
                      <c:pt idx="469">
                        <c:v>81045.95</c:v>
                      </c:pt>
                      <c:pt idx="470">
                        <c:v>81192.06</c:v>
                      </c:pt>
                      <c:pt idx="471">
                        <c:v>81072.100000000006</c:v>
                      </c:pt>
                      <c:pt idx="472">
                        <c:v>81061.210000000006</c:v>
                      </c:pt>
                      <c:pt idx="473">
                        <c:v>81198.63</c:v>
                      </c:pt>
                      <c:pt idx="474">
                        <c:v>81200.92</c:v>
                      </c:pt>
                      <c:pt idx="475">
                        <c:v>81215.11</c:v>
                      </c:pt>
                      <c:pt idx="476">
                        <c:v>81388.12</c:v>
                      </c:pt>
                      <c:pt idx="477">
                        <c:v>81494.149999999994</c:v>
                      </c:pt>
                      <c:pt idx="478">
                        <c:v>81400.94</c:v>
                      </c:pt>
                      <c:pt idx="479">
                        <c:v>81488.37</c:v>
                      </c:pt>
                      <c:pt idx="480">
                        <c:v>81426.720000000001</c:v>
                      </c:pt>
                      <c:pt idx="481">
                        <c:v>81440.899999999994</c:v>
                      </c:pt>
                      <c:pt idx="482">
                        <c:v>81369.850000000006</c:v>
                      </c:pt>
                      <c:pt idx="483">
                        <c:v>81238.45</c:v>
                      </c:pt>
                      <c:pt idx="484">
                        <c:v>81236.78</c:v>
                      </c:pt>
                      <c:pt idx="485">
                        <c:v>81219.210000000006</c:v>
                      </c:pt>
                      <c:pt idx="486">
                        <c:v>81269.2</c:v>
                      </c:pt>
                      <c:pt idx="487">
                        <c:v>81628.7</c:v>
                      </c:pt>
                      <c:pt idx="488">
                        <c:v>81601.14</c:v>
                      </c:pt>
                      <c:pt idx="489">
                        <c:v>81554.850000000006</c:v>
                      </c:pt>
                      <c:pt idx="490">
                        <c:v>81428.929999999993</c:v>
                      </c:pt>
                      <c:pt idx="491">
                        <c:v>81377.289999999994</c:v>
                      </c:pt>
                      <c:pt idx="492">
                        <c:v>81406.350000000006</c:v>
                      </c:pt>
                      <c:pt idx="493">
                        <c:v>81297.210000000006</c:v>
                      </c:pt>
                      <c:pt idx="494">
                        <c:v>81231.81</c:v>
                      </c:pt>
                      <c:pt idx="495">
                        <c:v>81236.81</c:v>
                      </c:pt>
                      <c:pt idx="496">
                        <c:v>81220.539999999994</c:v>
                      </c:pt>
                      <c:pt idx="497">
                        <c:v>81113.66</c:v>
                      </c:pt>
                      <c:pt idx="498">
                        <c:v>81080.63</c:v>
                      </c:pt>
                      <c:pt idx="499">
                        <c:v>81188.14</c:v>
                      </c:pt>
                      <c:pt idx="500">
                        <c:v>81169.7</c:v>
                      </c:pt>
                      <c:pt idx="501">
                        <c:v>81092.429999999993</c:v>
                      </c:pt>
                      <c:pt idx="502">
                        <c:v>81095.69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BCC-4C5F-8AB7-2C50CA62D7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Issue1949!$D$2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Issue1949!$D$3:$D$505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83710.8</c:v>
                      </c:pt>
                      <c:pt idx="1">
                        <c:v>83686.03</c:v>
                      </c:pt>
                      <c:pt idx="2">
                        <c:v>83738.3</c:v>
                      </c:pt>
                      <c:pt idx="3">
                        <c:v>83728.03</c:v>
                      </c:pt>
                      <c:pt idx="4">
                        <c:v>83730.58</c:v>
                      </c:pt>
                      <c:pt idx="5">
                        <c:v>83737.600000000006</c:v>
                      </c:pt>
                      <c:pt idx="6">
                        <c:v>83756.070000000007</c:v>
                      </c:pt>
                      <c:pt idx="7">
                        <c:v>83736.91</c:v>
                      </c:pt>
                      <c:pt idx="8">
                        <c:v>83716.84</c:v>
                      </c:pt>
                      <c:pt idx="9">
                        <c:v>83729.600000000006</c:v>
                      </c:pt>
                      <c:pt idx="10">
                        <c:v>83739.7</c:v>
                      </c:pt>
                      <c:pt idx="11">
                        <c:v>83741</c:v>
                      </c:pt>
                      <c:pt idx="12">
                        <c:v>83750.3</c:v>
                      </c:pt>
                      <c:pt idx="13">
                        <c:v>83735.240000000005</c:v>
                      </c:pt>
                      <c:pt idx="14">
                        <c:v>83726.83</c:v>
                      </c:pt>
                      <c:pt idx="15">
                        <c:v>83717.100000000006</c:v>
                      </c:pt>
                      <c:pt idx="16">
                        <c:v>83740.399999999994</c:v>
                      </c:pt>
                      <c:pt idx="17">
                        <c:v>83740.350000000006</c:v>
                      </c:pt>
                      <c:pt idx="18">
                        <c:v>83670.289999999994</c:v>
                      </c:pt>
                      <c:pt idx="19">
                        <c:v>83674.16</c:v>
                      </c:pt>
                      <c:pt idx="20">
                        <c:v>83655.399999999994</c:v>
                      </c:pt>
                      <c:pt idx="21">
                        <c:v>83685.399999999994</c:v>
                      </c:pt>
                      <c:pt idx="22">
                        <c:v>83696.02</c:v>
                      </c:pt>
                      <c:pt idx="23">
                        <c:v>83685.3</c:v>
                      </c:pt>
                      <c:pt idx="24">
                        <c:v>83712.800000000003</c:v>
                      </c:pt>
                      <c:pt idx="25">
                        <c:v>83712.789999999994</c:v>
                      </c:pt>
                      <c:pt idx="26">
                        <c:v>83697.850000000006</c:v>
                      </c:pt>
                      <c:pt idx="27">
                        <c:v>83683.960000000006</c:v>
                      </c:pt>
                      <c:pt idx="28">
                        <c:v>83670.41</c:v>
                      </c:pt>
                      <c:pt idx="29">
                        <c:v>83668.100000000006</c:v>
                      </c:pt>
                      <c:pt idx="30">
                        <c:v>83652.41</c:v>
                      </c:pt>
                      <c:pt idx="31">
                        <c:v>83664.850000000006</c:v>
                      </c:pt>
                      <c:pt idx="32">
                        <c:v>83668.2</c:v>
                      </c:pt>
                      <c:pt idx="33">
                        <c:v>83668.960000000006</c:v>
                      </c:pt>
                      <c:pt idx="34">
                        <c:v>83690.45</c:v>
                      </c:pt>
                      <c:pt idx="35">
                        <c:v>83700.350000000006</c:v>
                      </c:pt>
                      <c:pt idx="36">
                        <c:v>83718.33</c:v>
                      </c:pt>
                      <c:pt idx="37">
                        <c:v>83724.3</c:v>
                      </c:pt>
                      <c:pt idx="38">
                        <c:v>83730.3</c:v>
                      </c:pt>
                      <c:pt idx="39">
                        <c:v>83692.66</c:v>
                      </c:pt>
                      <c:pt idx="40">
                        <c:v>83663.61</c:v>
                      </c:pt>
                      <c:pt idx="41">
                        <c:v>83672.210000000006</c:v>
                      </c:pt>
                      <c:pt idx="42">
                        <c:v>83578.210000000006</c:v>
                      </c:pt>
                      <c:pt idx="43">
                        <c:v>83579.039999999994</c:v>
                      </c:pt>
                      <c:pt idx="44">
                        <c:v>83531.7</c:v>
                      </c:pt>
                      <c:pt idx="45">
                        <c:v>83558.600000000006</c:v>
                      </c:pt>
                      <c:pt idx="46">
                        <c:v>83525.22</c:v>
                      </c:pt>
                      <c:pt idx="47">
                        <c:v>83504.2</c:v>
                      </c:pt>
                      <c:pt idx="48">
                        <c:v>83502.600000000006</c:v>
                      </c:pt>
                      <c:pt idx="49">
                        <c:v>83450.5</c:v>
                      </c:pt>
                      <c:pt idx="50">
                        <c:v>83432.7</c:v>
                      </c:pt>
                      <c:pt idx="51">
                        <c:v>83423.850000000006</c:v>
                      </c:pt>
                      <c:pt idx="52">
                        <c:v>83385.34</c:v>
                      </c:pt>
                      <c:pt idx="53">
                        <c:v>83423.850000000006</c:v>
                      </c:pt>
                      <c:pt idx="54">
                        <c:v>83440.350000000006</c:v>
                      </c:pt>
                      <c:pt idx="55">
                        <c:v>83475.399999999994</c:v>
                      </c:pt>
                      <c:pt idx="56">
                        <c:v>83490.399999999994</c:v>
                      </c:pt>
                      <c:pt idx="57">
                        <c:v>83490.399999999994</c:v>
                      </c:pt>
                      <c:pt idx="58">
                        <c:v>83521.66</c:v>
                      </c:pt>
                      <c:pt idx="59">
                        <c:v>83523.12</c:v>
                      </c:pt>
                      <c:pt idx="60">
                        <c:v>83520.75</c:v>
                      </c:pt>
                      <c:pt idx="61">
                        <c:v>83515.55</c:v>
                      </c:pt>
                      <c:pt idx="62">
                        <c:v>83494.5</c:v>
                      </c:pt>
                      <c:pt idx="63">
                        <c:v>83523.69</c:v>
                      </c:pt>
                      <c:pt idx="64">
                        <c:v>83510.399999999994</c:v>
                      </c:pt>
                      <c:pt idx="65">
                        <c:v>83501.440000000002</c:v>
                      </c:pt>
                      <c:pt idx="66">
                        <c:v>83515</c:v>
                      </c:pt>
                      <c:pt idx="67">
                        <c:v>83515</c:v>
                      </c:pt>
                      <c:pt idx="68">
                        <c:v>83510.8</c:v>
                      </c:pt>
                      <c:pt idx="69">
                        <c:v>83514.84</c:v>
                      </c:pt>
                      <c:pt idx="70">
                        <c:v>83506.8</c:v>
                      </c:pt>
                      <c:pt idx="71">
                        <c:v>83515</c:v>
                      </c:pt>
                      <c:pt idx="72">
                        <c:v>83550.399999999994</c:v>
                      </c:pt>
                      <c:pt idx="73">
                        <c:v>83588.350000000006</c:v>
                      </c:pt>
                      <c:pt idx="74">
                        <c:v>83533.429999999993</c:v>
                      </c:pt>
                      <c:pt idx="75">
                        <c:v>83511.850000000006</c:v>
                      </c:pt>
                      <c:pt idx="76">
                        <c:v>83490.399999999994</c:v>
                      </c:pt>
                      <c:pt idx="77">
                        <c:v>83522.8</c:v>
                      </c:pt>
                      <c:pt idx="78">
                        <c:v>83515.100000000006</c:v>
                      </c:pt>
                      <c:pt idx="79">
                        <c:v>83454.100000000006</c:v>
                      </c:pt>
                      <c:pt idx="80">
                        <c:v>83440.399999999994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83350.39</c:v>
                      </c:pt>
                      <c:pt idx="84">
                        <c:v>83275.009999999995</c:v>
                      </c:pt>
                      <c:pt idx="85">
                        <c:v>83303.8</c:v>
                      </c:pt>
                      <c:pt idx="86">
                        <c:v>83310.3</c:v>
                      </c:pt>
                      <c:pt idx="87">
                        <c:v>83209.84</c:v>
                      </c:pt>
                      <c:pt idx="88">
                        <c:v>83147.53</c:v>
                      </c:pt>
                      <c:pt idx="89">
                        <c:v>83207.72</c:v>
                      </c:pt>
                      <c:pt idx="90">
                        <c:v>83228.66</c:v>
                      </c:pt>
                      <c:pt idx="91">
                        <c:v>83229.33</c:v>
                      </c:pt>
                      <c:pt idx="92">
                        <c:v>83247.839999999997</c:v>
                      </c:pt>
                      <c:pt idx="93">
                        <c:v>83230.009999999995</c:v>
                      </c:pt>
                      <c:pt idx="94">
                        <c:v>83181.98</c:v>
                      </c:pt>
                      <c:pt idx="95">
                        <c:v>83186.539999999994</c:v>
                      </c:pt>
                      <c:pt idx="96">
                        <c:v>83190.44</c:v>
                      </c:pt>
                      <c:pt idx="97">
                        <c:v>83163.69</c:v>
                      </c:pt>
                      <c:pt idx="98">
                        <c:v>83125.81</c:v>
                      </c:pt>
                      <c:pt idx="99">
                        <c:v>83070.05</c:v>
                      </c:pt>
                      <c:pt idx="100">
                        <c:v>83074.31</c:v>
                      </c:pt>
                      <c:pt idx="101">
                        <c:v>83058.22</c:v>
                      </c:pt>
                      <c:pt idx="102">
                        <c:v>83022.84</c:v>
                      </c:pt>
                      <c:pt idx="103">
                        <c:v>83012.710000000006</c:v>
                      </c:pt>
                      <c:pt idx="104">
                        <c:v>82975.28</c:v>
                      </c:pt>
                      <c:pt idx="105">
                        <c:v>82929.53</c:v>
                      </c:pt>
                      <c:pt idx="106">
                        <c:v>82917.240000000005</c:v>
                      </c:pt>
                      <c:pt idx="107">
                        <c:v>82821.990000000005</c:v>
                      </c:pt>
                      <c:pt idx="108">
                        <c:v>82965.460000000006</c:v>
                      </c:pt>
                      <c:pt idx="109">
                        <c:v>82990.5</c:v>
                      </c:pt>
                      <c:pt idx="110">
                        <c:v>82966.990000000005</c:v>
                      </c:pt>
                      <c:pt idx="111">
                        <c:v>82890.31</c:v>
                      </c:pt>
                      <c:pt idx="112">
                        <c:v>82815.210000000006</c:v>
                      </c:pt>
                      <c:pt idx="113">
                        <c:v>82771.3</c:v>
                      </c:pt>
                      <c:pt idx="114">
                        <c:v>82687.62</c:v>
                      </c:pt>
                      <c:pt idx="115">
                        <c:v>82749.72</c:v>
                      </c:pt>
                      <c:pt idx="116">
                        <c:v>82806.61</c:v>
                      </c:pt>
                      <c:pt idx="117">
                        <c:v>82827.12</c:v>
                      </c:pt>
                      <c:pt idx="118">
                        <c:v>82816.899999999994</c:v>
                      </c:pt>
                      <c:pt idx="119">
                        <c:v>82766.75</c:v>
                      </c:pt>
                      <c:pt idx="120">
                        <c:v>82838.210000000006</c:v>
                      </c:pt>
                      <c:pt idx="121">
                        <c:v>82830.350000000006</c:v>
                      </c:pt>
                      <c:pt idx="122">
                        <c:v>82948.570000000007</c:v>
                      </c:pt>
                      <c:pt idx="123">
                        <c:v>82938.399999999994</c:v>
                      </c:pt>
                      <c:pt idx="124">
                        <c:v>83016.09</c:v>
                      </c:pt>
                      <c:pt idx="125">
                        <c:v>83067.179999999993</c:v>
                      </c:pt>
                      <c:pt idx="126">
                        <c:v>83072.429999999993</c:v>
                      </c:pt>
                      <c:pt idx="127">
                        <c:v>83124.34</c:v>
                      </c:pt>
                      <c:pt idx="128">
                        <c:v>83172.570000000007</c:v>
                      </c:pt>
                      <c:pt idx="129">
                        <c:v>83140.320000000007</c:v>
                      </c:pt>
                      <c:pt idx="130">
                        <c:v>83089.33</c:v>
                      </c:pt>
                      <c:pt idx="131">
                        <c:v>83096.929999999993</c:v>
                      </c:pt>
                      <c:pt idx="132">
                        <c:v>83096.350000000006</c:v>
                      </c:pt>
                      <c:pt idx="133">
                        <c:v>83110.350000000006</c:v>
                      </c:pt>
                      <c:pt idx="134">
                        <c:v>83190.399999999994</c:v>
                      </c:pt>
                      <c:pt idx="135">
                        <c:v>83241.179999999993</c:v>
                      </c:pt>
                      <c:pt idx="136">
                        <c:v>83235.399999999994</c:v>
                      </c:pt>
                      <c:pt idx="137">
                        <c:v>83217.84</c:v>
                      </c:pt>
                      <c:pt idx="138">
                        <c:v>83095.33</c:v>
                      </c:pt>
                      <c:pt idx="139">
                        <c:v>83135.350000000006</c:v>
                      </c:pt>
                      <c:pt idx="140">
                        <c:v>83140.34</c:v>
                      </c:pt>
                      <c:pt idx="141">
                        <c:v>83159.55</c:v>
                      </c:pt>
                      <c:pt idx="142">
                        <c:v>83182.649999999994</c:v>
                      </c:pt>
                      <c:pt idx="143">
                        <c:v>83142.62</c:v>
                      </c:pt>
                      <c:pt idx="144">
                        <c:v>83154.289999999994</c:v>
                      </c:pt>
                      <c:pt idx="145">
                        <c:v>83152.850000000006</c:v>
                      </c:pt>
                      <c:pt idx="146">
                        <c:v>83120.3</c:v>
                      </c:pt>
                      <c:pt idx="147">
                        <c:v>83115.199999999997</c:v>
                      </c:pt>
                      <c:pt idx="148">
                        <c:v>83139.63</c:v>
                      </c:pt>
                      <c:pt idx="149">
                        <c:v>83135.8</c:v>
                      </c:pt>
                      <c:pt idx="150">
                        <c:v>83114.91</c:v>
                      </c:pt>
                      <c:pt idx="151">
                        <c:v>83076.97</c:v>
                      </c:pt>
                      <c:pt idx="152">
                        <c:v>83021.22</c:v>
                      </c:pt>
                      <c:pt idx="153">
                        <c:v>82999.490000000005</c:v>
                      </c:pt>
                      <c:pt idx="154">
                        <c:v>82975.350000000006</c:v>
                      </c:pt>
                      <c:pt idx="155">
                        <c:v>82929.81</c:v>
                      </c:pt>
                      <c:pt idx="156">
                        <c:v>82886.759999999995</c:v>
                      </c:pt>
                      <c:pt idx="157">
                        <c:v>82887</c:v>
                      </c:pt>
                      <c:pt idx="158">
                        <c:v>82909.509999999995</c:v>
                      </c:pt>
                      <c:pt idx="159">
                        <c:v>82929.84</c:v>
                      </c:pt>
                      <c:pt idx="160">
                        <c:v>82998.42</c:v>
                      </c:pt>
                      <c:pt idx="161">
                        <c:v>83034.66</c:v>
                      </c:pt>
                      <c:pt idx="162">
                        <c:v>83144.5</c:v>
                      </c:pt>
                      <c:pt idx="163">
                        <c:v>83166.33</c:v>
                      </c:pt>
                      <c:pt idx="164">
                        <c:v>83177.03</c:v>
                      </c:pt>
                      <c:pt idx="165">
                        <c:v>83250.73</c:v>
                      </c:pt>
                      <c:pt idx="166">
                        <c:v>83250.37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83188.81</c:v>
                      </c:pt>
                      <c:pt idx="170">
                        <c:v>83189.490000000005</c:v>
                      </c:pt>
                      <c:pt idx="171">
                        <c:v>83190.399999999994</c:v>
                      </c:pt>
                      <c:pt idx="172">
                        <c:v>83193.7</c:v>
                      </c:pt>
                      <c:pt idx="173">
                        <c:v>83209.100000000006</c:v>
                      </c:pt>
                      <c:pt idx="174">
                        <c:v>83223.61</c:v>
                      </c:pt>
                      <c:pt idx="175">
                        <c:v>83185.899999999994</c:v>
                      </c:pt>
                      <c:pt idx="176">
                        <c:v>83185.279999999999</c:v>
                      </c:pt>
                      <c:pt idx="177">
                        <c:v>83170.149999999994</c:v>
                      </c:pt>
                      <c:pt idx="178">
                        <c:v>83159.8</c:v>
                      </c:pt>
                      <c:pt idx="179">
                        <c:v>83119.990000000005</c:v>
                      </c:pt>
                      <c:pt idx="180">
                        <c:v>83088.5</c:v>
                      </c:pt>
                      <c:pt idx="181">
                        <c:v>83170.73</c:v>
                      </c:pt>
                      <c:pt idx="182">
                        <c:v>83097.399999999994</c:v>
                      </c:pt>
                      <c:pt idx="183">
                        <c:v>83079.62</c:v>
                      </c:pt>
                      <c:pt idx="184">
                        <c:v>83101.5</c:v>
                      </c:pt>
                      <c:pt idx="185">
                        <c:v>83102.899999999994</c:v>
                      </c:pt>
                      <c:pt idx="186">
                        <c:v>83131.5</c:v>
                      </c:pt>
                      <c:pt idx="187">
                        <c:v>83140.259999999995</c:v>
                      </c:pt>
                      <c:pt idx="188">
                        <c:v>83133.95</c:v>
                      </c:pt>
                      <c:pt idx="189">
                        <c:v>83125.009999999995</c:v>
                      </c:pt>
                      <c:pt idx="190">
                        <c:v>83076.89</c:v>
                      </c:pt>
                      <c:pt idx="191">
                        <c:v>83095.73</c:v>
                      </c:pt>
                      <c:pt idx="192">
                        <c:v>83122.350000000006</c:v>
                      </c:pt>
                      <c:pt idx="193">
                        <c:v>83093.52</c:v>
                      </c:pt>
                      <c:pt idx="194">
                        <c:v>83089.36</c:v>
                      </c:pt>
                      <c:pt idx="195">
                        <c:v>83058.75</c:v>
                      </c:pt>
                      <c:pt idx="196">
                        <c:v>83071.399999999994</c:v>
                      </c:pt>
                      <c:pt idx="197">
                        <c:v>83063.520000000004</c:v>
                      </c:pt>
                      <c:pt idx="198">
                        <c:v>83055.34</c:v>
                      </c:pt>
                      <c:pt idx="199">
                        <c:v>82998.070000000007</c:v>
                      </c:pt>
                      <c:pt idx="200">
                        <c:v>82950.210000000006</c:v>
                      </c:pt>
                      <c:pt idx="201">
                        <c:v>82981.960000000006</c:v>
                      </c:pt>
                      <c:pt idx="202">
                        <c:v>83014.5</c:v>
                      </c:pt>
                      <c:pt idx="203">
                        <c:v>83014.41</c:v>
                      </c:pt>
                      <c:pt idx="204">
                        <c:v>82992.22</c:v>
                      </c:pt>
                      <c:pt idx="205">
                        <c:v>82967.100000000006</c:v>
                      </c:pt>
                      <c:pt idx="206">
                        <c:v>82971.94</c:v>
                      </c:pt>
                      <c:pt idx="207">
                        <c:v>82971.62</c:v>
                      </c:pt>
                      <c:pt idx="208">
                        <c:v>82959.399999999994</c:v>
                      </c:pt>
                      <c:pt idx="209">
                        <c:v>82975.600000000006</c:v>
                      </c:pt>
                      <c:pt idx="210">
                        <c:v>82939.14</c:v>
                      </c:pt>
                      <c:pt idx="211">
                        <c:v>82956</c:v>
                      </c:pt>
                      <c:pt idx="212">
                        <c:v>82988.3</c:v>
                      </c:pt>
                      <c:pt idx="213">
                        <c:v>82976.41</c:v>
                      </c:pt>
                      <c:pt idx="214">
                        <c:v>83035.33</c:v>
                      </c:pt>
                      <c:pt idx="215">
                        <c:v>82982.61</c:v>
                      </c:pt>
                      <c:pt idx="216">
                        <c:v>83027.94</c:v>
                      </c:pt>
                      <c:pt idx="217">
                        <c:v>83029.399999999994</c:v>
                      </c:pt>
                      <c:pt idx="218">
                        <c:v>83022.240000000005</c:v>
                      </c:pt>
                      <c:pt idx="219">
                        <c:v>83016.98</c:v>
                      </c:pt>
                      <c:pt idx="220">
                        <c:v>83023.600000000006</c:v>
                      </c:pt>
                      <c:pt idx="221">
                        <c:v>83056.850000000006</c:v>
                      </c:pt>
                      <c:pt idx="222">
                        <c:v>83102.17</c:v>
                      </c:pt>
                      <c:pt idx="223">
                        <c:v>83150.399999999994</c:v>
                      </c:pt>
                      <c:pt idx="224">
                        <c:v>83144.62</c:v>
                      </c:pt>
                      <c:pt idx="225">
                        <c:v>83111.710000000006</c:v>
                      </c:pt>
                      <c:pt idx="226">
                        <c:v>83076.2</c:v>
                      </c:pt>
                      <c:pt idx="227">
                        <c:v>83074.100000000006</c:v>
                      </c:pt>
                      <c:pt idx="228">
                        <c:v>83081.539999999994</c:v>
                      </c:pt>
                      <c:pt idx="229">
                        <c:v>83081.17</c:v>
                      </c:pt>
                      <c:pt idx="230">
                        <c:v>83066.14</c:v>
                      </c:pt>
                      <c:pt idx="231">
                        <c:v>83070.27</c:v>
                      </c:pt>
                      <c:pt idx="232">
                        <c:v>83090.399999999994</c:v>
                      </c:pt>
                      <c:pt idx="233">
                        <c:v>83125.34</c:v>
                      </c:pt>
                      <c:pt idx="234">
                        <c:v>83115.399999999994</c:v>
                      </c:pt>
                      <c:pt idx="235">
                        <c:v>83128.3</c:v>
                      </c:pt>
                      <c:pt idx="236">
                        <c:v>83128.23</c:v>
                      </c:pt>
                      <c:pt idx="237">
                        <c:v>83090.399999999994</c:v>
                      </c:pt>
                      <c:pt idx="238">
                        <c:v>83115.75</c:v>
                      </c:pt>
                      <c:pt idx="239">
                        <c:v>83079.73</c:v>
                      </c:pt>
                      <c:pt idx="240">
                        <c:v>83079.48</c:v>
                      </c:pt>
                      <c:pt idx="241">
                        <c:v>83093.72</c:v>
                      </c:pt>
                      <c:pt idx="242">
                        <c:v>83093.759999999995</c:v>
                      </c:pt>
                      <c:pt idx="243">
                        <c:v>83059.199999999997</c:v>
                      </c:pt>
                      <c:pt idx="244">
                        <c:v>83074.47</c:v>
                      </c:pt>
                      <c:pt idx="245">
                        <c:v>83121.5</c:v>
                      </c:pt>
                      <c:pt idx="246">
                        <c:v>83143.75</c:v>
                      </c:pt>
                      <c:pt idx="247">
                        <c:v>83140.95</c:v>
                      </c:pt>
                      <c:pt idx="248">
                        <c:v>83125.100000000006</c:v>
                      </c:pt>
                      <c:pt idx="249">
                        <c:v>83123.199999999997</c:v>
                      </c:pt>
                      <c:pt idx="250">
                        <c:v>83111.38</c:v>
                      </c:pt>
                      <c:pt idx="251">
                        <c:v>83111.240000000005</c:v>
                      </c:pt>
                      <c:pt idx="252">
                        <c:v>83070.31</c:v>
                      </c:pt>
                      <c:pt idx="253">
                        <c:v>83066.25</c:v>
                      </c:pt>
                      <c:pt idx="254">
                        <c:v>83028.600000000006</c:v>
                      </c:pt>
                      <c:pt idx="255">
                        <c:v>83027.600000000006</c:v>
                      </c:pt>
                      <c:pt idx="256">
                        <c:v>83015.199999999997</c:v>
                      </c:pt>
                      <c:pt idx="257">
                        <c:v>83025.600000000006</c:v>
                      </c:pt>
                      <c:pt idx="258">
                        <c:v>83024.899999999994</c:v>
                      </c:pt>
                      <c:pt idx="259">
                        <c:v>83022.34</c:v>
                      </c:pt>
                      <c:pt idx="260">
                        <c:v>83036.960000000006</c:v>
                      </c:pt>
                      <c:pt idx="261">
                        <c:v>83033.23</c:v>
                      </c:pt>
                      <c:pt idx="262">
                        <c:v>83005.600000000006</c:v>
                      </c:pt>
                      <c:pt idx="263">
                        <c:v>83023.45</c:v>
                      </c:pt>
                      <c:pt idx="264">
                        <c:v>82989.649999999994</c:v>
                      </c:pt>
                      <c:pt idx="265">
                        <c:v>82969.820000000007</c:v>
                      </c:pt>
                      <c:pt idx="266">
                        <c:v>82990.23</c:v>
                      </c:pt>
                      <c:pt idx="267">
                        <c:v>83035.240000000005</c:v>
                      </c:pt>
                      <c:pt idx="268">
                        <c:v>83000.210000000006</c:v>
                      </c:pt>
                      <c:pt idx="269">
                        <c:v>82985.759999999995</c:v>
                      </c:pt>
                      <c:pt idx="270">
                        <c:v>83020.95</c:v>
                      </c:pt>
                      <c:pt idx="271">
                        <c:v>83027.399999999994</c:v>
                      </c:pt>
                      <c:pt idx="272">
                        <c:v>83007.149999999994</c:v>
                      </c:pt>
                      <c:pt idx="273">
                        <c:v>82994.7</c:v>
                      </c:pt>
                      <c:pt idx="274">
                        <c:v>83011.240000000005</c:v>
                      </c:pt>
                      <c:pt idx="275">
                        <c:v>83017.2</c:v>
                      </c:pt>
                      <c:pt idx="276">
                        <c:v>83017.100000000006</c:v>
                      </c:pt>
                      <c:pt idx="277">
                        <c:v>83040.039999999994</c:v>
                      </c:pt>
                      <c:pt idx="278">
                        <c:v>83021.460000000006</c:v>
                      </c:pt>
                      <c:pt idx="279">
                        <c:v>83011.09</c:v>
                      </c:pt>
                      <c:pt idx="280">
                        <c:v>82975.45</c:v>
                      </c:pt>
                      <c:pt idx="281">
                        <c:v>82975.600000000006</c:v>
                      </c:pt>
                      <c:pt idx="282">
                        <c:v>83010.399999999994</c:v>
                      </c:pt>
                      <c:pt idx="283">
                        <c:v>83022.25</c:v>
                      </c:pt>
                      <c:pt idx="284">
                        <c:v>82996.850000000006</c:v>
                      </c:pt>
                      <c:pt idx="285">
                        <c:v>82989.84</c:v>
                      </c:pt>
                      <c:pt idx="286">
                        <c:v>83001.399999999994</c:v>
                      </c:pt>
                      <c:pt idx="287">
                        <c:v>83001.399999999994</c:v>
                      </c:pt>
                      <c:pt idx="288">
                        <c:v>82991.55</c:v>
                      </c:pt>
                      <c:pt idx="289">
                        <c:v>83022.2</c:v>
                      </c:pt>
                      <c:pt idx="290">
                        <c:v>82998.89</c:v>
                      </c:pt>
                      <c:pt idx="291">
                        <c:v>82989.84</c:v>
                      </c:pt>
                      <c:pt idx="292">
                        <c:v>82985.600000000006</c:v>
                      </c:pt>
                      <c:pt idx="293">
                        <c:v>82998.720000000001</c:v>
                      </c:pt>
                      <c:pt idx="294">
                        <c:v>82979.3</c:v>
                      </c:pt>
                      <c:pt idx="295">
                        <c:v>82970.820000000007</c:v>
                      </c:pt>
                      <c:pt idx="296">
                        <c:v>82961.03</c:v>
                      </c:pt>
                      <c:pt idx="297">
                        <c:v>82954.100000000006</c:v>
                      </c:pt>
                      <c:pt idx="298">
                        <c:v>82945.899999999994</c:v>
                      </c:pt>
                      <c:pt idx="299">
                        <c:v>82962.899999999994</c:v>
                      </c:pt>
                      <c:pt idx="300">
                        <c:v>82963.5</c:v>
                      </c:pt>
                      <c:pt idx="301">
                        <c:v>82972.160000000003</c:v>
                      </c:pt>
                      <c:pt idx="302">
                        <c:v>82973.72</c:v>
                      </c:pt>
                      <c:pt idx="303">
                        <c:v>82909.3</c:v>
                      </c:pt>
                      <c:pt idx="304">
                        <c:v>82899.3</c:v>
                      </c:pt>
                      <c:pt idx="305">
                        <c:v>82946.100000000006</c:v>
                      </c:pt>
                      <c:pt idx="306">
                        <c:v>82940.399999999994</c:v>
                      </c:pt>
                      <c:pt idx="307">
                        <c:v>82962.11</c:v>
                      </c:pt>
                      <c:pt idx="308">
                        <c:v>82975.3</c:v>
                      </c:pt>
                      <c:pt idx="309">
                        <c:v>82953.37</c:v>
                      </c:pt>
                      <c:pt idx="310">
                        <c:v>82973.649999999994</c:v>
                      </c:pt>
                      <c:pt idx="311">
                        <c:v>82971.539999999994</c:v>
                      </c:pt>
                      <c:pt idx="312">
                        <c:v>82989.42</c:v>
                      </c:pt>
                      <c:pt idx="313">
                        <c:v>82982.320000000007</c:v>
                      </c:pt>
                      <c:pt idx="314">
                        <c:v>82970.320000000007</c:v>
                      </c:pt>
                      <c:pt idx="315">
                        <c:v>82966.2</c:v>
                      </c:pt>
                      <c:pt idx="316">
                        <c:v>82978.47</c:v>
                      </c:pt>
                      <c:pt idx="317">
                        <c:v>83006.720000000001</c:v>
                      </c:pt>
                      <c:pt idx="318">
                        <c:v>82805.509999999995</c:v>
                      </c:pt>
                      <c:pt idx="319">
                        <c:v>82825.53</c:v>
                      </c:pt>
                      <c:pt idx="320">
                        <c:v>82911.77</c:v>
                      </c:pt>
                      <c:pt idx="321">
                        <c:v>82921.5</c:v>
                      </c:pt>
                      <c:pt idx="322">
                        <c:v>82921.87</c:v>
                      </c:pt>
                      <c:pt idx="323">
                        <c:v>82973.259999999995</c:v>
                      </c:pt>
                      <c:pt idx="324">
                        <c:v>83040.399999999994</c:v>
                      </c:pt>
                      <c:pt idx="325">
                        <c:v>82962.2</c:v>
                      </c:pt>
                      <c:pt idx="326">
                        <c:v>82921.350000000006</c:v>
                      </c:pt>
                      <c:pt idx="327">
                        <c:v>82954.81</c:v>
                      </c:pt>
                      <c:pt idx="328">
                        <c:v>82990.399999999994</c:v>
                      </c:pt>
                      <c:pt idx="329">
                        <c:v>82971.48</c:v>
                      </c:pt>
                      <c:pt idx="330">
                        <c:v>82977.41</c:v>
                      </c:pt>
                      <c:pt idx="331">
                        <c:v>82957.61</c:v>
                      </c:pt>
                      <c:pt idx="332">
                        <c:v>82960.77</c:v>
                      </c:pt>
                      <c:pt idx="333">
                        <c:v>82951.649999999994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82951.7</c:v>
                      </c:pt>
                      <c:pt idx="337">
                        <c:v>82945.100000000006</c:v>
                      </c:pt>
                      <c:pt idx="338">
                        <c:v>82894.429999999993</c:v>
                      </c:pt>
                      <c:pt idx="339">
                        <c:v>82888</c:v>
                      </c:pt>
                      <c:pt idx="340">
                        <c:v>82908.97</c:v>
                      </c:pt>
                      <c:pt idx="341">
                        <c:v>82861.149999999994</c:v>
                      </c:pt>
                      <c:pt idx="342">
                        <c:v>82881.5</c:v>
                      </c:pt>
                      <c:pt idx="343">
                        <c:v>82881.2</c:v>
                      </c:pt>
                      <c:pt idx="344">
                        <c:v>82906.2</c:v>
                      </c:pt>
                      <c:pt idx="345">
                        <c:v>82925.55</c:v>
                      </c:pt>
                      <c:pt idx="346">
                        <c:v>82928.75</c:v>
                      </c:pt>
                      <c:pt idx="347">
                        <c:v>82902.350000000006</c:v>
                      </c:pt>
                      <c:pt idx="348">
                        <c:v>82889.3</c:v>
                      </c:pt>
                      <c:pt idx="349">
                        <c:v>82909.55</c:v>
                      </c:pt>
                      <c:pt idx="350">
                        <c:v>82905.460000000006</c:v>
                      </c:pt>
                      <c:pt idx="351">
                        <c:v>82892.070000000007</c:v>
                      </c:pt>
                      <c:pt idx="352">
                        <c:v>82853.36</c:v>
                      </c:pt>
                      <c:pt idx="353">
                        <c:v>82775.240000000005</c:v>
                      </c:pt>
                      <c:pt idx="354">
                        <c:v>82773.75</c:v>
                      </c:pt>
                      <c:pt idx="355">
                        <c:v>82750.399999999994</c:v>
                      </c:pt>
                      <c:pt idx="356">
                        <c:v>82760.039999999994</c:v>
                      </c:pt>
                      <c:pt idx="357">
                        <c:v>82748.740000000005</c:v>
                      </c:pt>
                      <c:pt idx="358">
                        <c:v>82769.23</c:v>
                      </c:pt>
                      <c:pt idx="359">
                        <c:v>82805.440000000002</c:v>
                      </c:pt>
                      <c:pt idx="360">
                        <c:v>82825.8</c:v>
                      </c:pt>
                      <c:pt idx="361">
                        <c:v>82817.36</c:v>
                      </c:pt>
                      <c:pt idx="362">
                        <c:v>82749.539999999994</c:v>
                      </c:pt>
                      <c:pt idx="363">
                        <c:v>82744</c:v>
                      </c:pt>
                      <c:pt idx="364">
                        <c:v>82746.5</c:v>
                      </c:pt>
                      <c:pt idx="365">
                        <c:v>82715.59</c:v>
                      </c:pt>
                      <c:pt idx="366">
                        <c:v>82821.3</c:v>
                      </c:pt>
                      <c:pt idx="367">
                        <c:v>82804.22</c:v>
                      </c:pt>
                      <c:pt idx="368">
                        <c:v>82767.399999999994</c:v>
                      </c:pt>
                      <c:pt idx="369">
                        <c:v>82784.05</c:v>
                      </c:pt>
                      <c:pt idx="370">
                        <c:v>82773.350000000006</c:v>
                      </c:pt>
                      <c:pt idx="371">
                        <c:v>82777.84</c:v>
                      </c:pt>
                      <c:pt idx="372">
                        <c:v>82840.33</c:v>
                      </c:pt>
                      <c:pt idx="373">
                        <c:v>82864.100000000006</c:v>
                      </c:pt>
                      <c:pt idx="374">
                        <c:v>82855.179999999993</c:v>
                      </c:pt>
                      <c:pt idx="375">
                        <c:v>82825.31</c:v>
                      </c:pt>
                      <c:pt idx="376">
                        <c:v>82821.23</c:v>
                      </c:pt>
                      <c:pt idx="377">
                        <c:v>82806.77</c:v>
                      </c:pt>
                      <c:pt idx="378">
                        <c:v>82816.899999999994</c:v>
                      </c:pt>
                      <c:pt idx="379">
                        <c:v>82792.2</c:v>
                      </c:pt>
                      <c:pt idx="380">
                        <c:v>82838.59</c:v>
                      </c:pt>
                      <c:pt idx="381">
                        <c:v>82859.22</c:v>
                      </c:pt>
                      <c:pt idx="382">
                        <c:v>82878.36</c:v>
                      </c:pt>
                      <c:pt idx="383">
                        <c:v>82854.22</c:v>
                      </c:pt>
                      <c:pt idx="384">
                        <c:v>82812.19</c:v>
                      </c:pt>
                      <c:pt idx="385">
                        <c:v>82798.55</c:v>
                      </c:pt>
                      <c:pt idx="386">
                        <c:v>82796.210000000006</c:v>
                      </c:pt>
                      <c:pt idx="387">
                        <c:v>82773.63</c:v>
                      </c:pt>
                      <c:pt idx="388">
                        <c:v>82758.38</c:v>
                      </c:pt>
                      <c:pt idx="389">
                        <c:v>82776.97</c:v>
                      </c:pt>
                      <c:pt idx="390">
                        <c:v>82791.009999999995</c:v>
                      </c:pt>
                      <c:pt idx="391">
                        <c:v>82811.13</c:v>
                      </c:pt>
                      <c:pt idx="392">
                        <c:v>82790.3</c:v>
                      </c:pt>
                      <c:pt idx="393">
                        <c:v>82761.289999999994</c:v>
                      </c:pt>
                      <c:pt idx="394">
                        <c:v>82632</c:v>
                      </c:pt>
                      <c:pt idx="395">
                        <c:v>82588.84</c:v>
                      </c:pt>
                      <c:pt idx="396">
                        <c:v>82598.27</c:v>
                      </c:pt>
                      <c:pt idx="397">
                        <c:v>82673.23</c:v>
                      </c:pt>
                      <c:pt idx="398">
                        <c:v>82539.820000000007</c:v>
                      </c:pt>
                      <c:pt idx="399">
                        <c:v>82536.800000000003</c:v>
                      </c:pt>
                      <c:pt idx="400">
                        <c:v>82502.42</c:v>
                      </c:pt>
                      <c:pt idx="401">
                        <c:v>82578.63</c:v>
                      </c:pt>
                      <c:pt idx="402">
                        <c:v>82582.460000000006</c:v>
                      </c:pt>
                      <c:pt idx="403">
                        <c:v>82594.929999999993</c:v>
                      </c:pt>
                      <c:pt idx="404">
                        <c:v>82581.539999999994</c:v>
                      </c:pt>
                      <c:pt idx="405">
                        <c:v>82615.42</c:v>
                      </c:pt>
                      <c:pt idx="406">
                        <c:v>82620.320000000007</c:v>
                      </c:pt>
                      <c:pt idx="407">
                        <c:v>82686.100000000006</c:v>
                      </c:pt>
                      <c:pt idx="408">
                        <c:v>82656.899999999994</c:v>
                      </c:pt>
                      <c:pt idx="409">
                        <c:v>82613.66</c:v>
                      </c:pt>
                      <c:pt idx="410">
                        <c:v>82636.039999999994</c:v>
                      </c:pt>
                      <c:pt idx="411">
                        <c:v>82638.41</c:v>
                      </c:pt>
                      <c:pt idx="412">
                        <c:v>82643.31</c:v>
                      </c:pt>
                      <c:pt idx="413">
                        <c:v>82608.539999999994</c:v>
                      </c:pt>
                      <c:pt idx="414">
                        <c:v>82623.78</c:v>
                      </c:pt>
                      <c:pt idx="415">
                        <c:v>82636.77</c:v>
                      </c:pt>
                      <c:pt idx="416">
                        <c:v>82688.820000000007</c:v>
                      </c:pt>
                      <c:pt idx="417">
                        <c:v>82654.3</c:v>
                      </c:pt>
                      <c:pt idx="418">
                        <c:v>82677.100000000006</c:v>
                      </c:pt>
                      <c:pt idx="419">
                        <c:v>82702.600000000006</c:v>
                      </c:pt>
                      <c:pt idx="420">
                        <c:v>82732.97</c:v>
                      </c:pt>
                      <c:pt idx="421">
                        <c:v>82778.320000000007</c:v>
                      </c:pt>
                      <c:pt idx="422">
                        <c:v>82790.399999999994</c:v>
                      </c:pt>
                      <c:pt idx="423">
                        <c:v>82774.3</c:v>
                      </c:pt>
                      <c:pt idx="424">
                        <c:v>82774.3</c:v>
                      </c:pt>
                      <c:pt idx="425">
                        <c:v>82833.490000000005</c:v>
                      </c:pt>
                      <c:pt idx="426">
                        <c:v>82872.210000000006</c:v>
                      </c:pt>
                      <c:pt idx="427">
                        <c:v>82889.100000000006</c:v>
                      </c:pt>
                      <c:pt idx="428">
                        <c:v>82878.320000000007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82626.740000000005</c:v>
                      </c:pt>
                      <c:pt idx="432">
                        <c:v>82541.210000000006</c:v>
                      </c:pt>
                      <c:pt idx="433">
                        <c:v>82487.22</c:v>
                      </c:pt>
                      <c:pt idx="434">
                        <c:v>82444.94</c:v>
                      </c:pt>
                      <c:pt idx="435">
                        <c:v>82492.5</c:v>
                      </c:pt>
                      <c:pt idx="436">
                        <c:v>82457.710000000006</c:v>
                      </c:pt>
                      <c:pt idx="437">
                        <c:v>82476</c:v>
                      </c:pt>
                      <c:pt idx="438">
                        <c:v>82470.850000000006</c:v>
                      </c:pt>
                      <c:pt idx="439">
                        <c:v>82379</c:v>
                      </c:pt>
                      <c:pt idx="440">
                        <c:v>82310.03</c:v>
                      </c:pt>
                      <c:pt idx="441">
                        <c:v>82289.95</c:v>
                      </c:pt>
                      <c:pt idx="442">
                        <c:v>82317.740000000005</c:v>
                      </c:pt>
                      <c:pt idx="443">
                        <c:v>82282.36</c:v>
                      </c:pt>
                      <c:pt idx="444">
                        <c:v>82178</c:v>
                      </c:pt>
                      <c:pt idx="445">
                        <c:v>82093.16</c:v>
                      </c:pt>
                      <c:pt idx="446">
                        <c:v>82057.320000000007</c:v>
                      </c:pt>
                      <c:pt idx="447">
                        <c:v>82004.009999999995</c:v>
                      </c:pt>
                      <c:pt idx="448">
                        <c:v>81728.7</c:v>
                      </c:pt>
                      <c:pt idx="449">
                        <c:v>81674.600000000006</c:v>
                      </c:pt>
                      <c:pt idx="450">
                        <c:v>81612.039999999994</c:v>
                      </c:pt>
                      <c:pt idx="451">
                        <c:v>81590.240000000005</c:v>
                      </c:pt>
                      <c:pt idx="452">
                        <c:v>81442.8</c:v>
                      </c:pt>
                      <c:pt idx="453">
                        <c:v>81372.210000000006</c:v>
                      </c:pt>
                      <c:pt idx="454">
                        <c:v>81494.740000000005</c:v>
                      </c:pt>
                      <c:pt idx="455">
                        <c:v>81420.509999999995</c:v>
                      </c:pt>
                      <c:pt idx="456">
                        <c:v>81514.11</c:v>
                      </c:pt>
                      <c:pt idx="457">
                        <c:v>81530.399999999994</c:v>
                      </c:pt>
                      <c:pt idx="458">
                        <c:v>81243.710000000006</c:v>
                      </c:pt>
                      <c:pt idx="459">
                        <c:v>81196.38</c:v>
                      </c:pt>
                      <c:pt idx="460">
                        <c:v>81136.960000000006</c:v>
                      </c:pt>
                      <c:pt idx="461">
                        <c:v>81062.31</c:v>
                      </c:pt>
                      <c:pt idx="462">
                        <c:v>81067.61</c:v>
                      </c:pt>
                      <c:pt idx="463">
                        <c:v>81008.14</c:v>
                      </c:pt>
                      <c:pt idx="464">
                        <c:v>81008.2</c:v>
                      </c:pt>
                      <c:pt idx="465">
                        <c:v>81013.73</c:v>
                      </c:pt>
                      <c:pt idx="466">
                        <c:v>81034.83</c:v>
                      </c:pt>
                      <c:pt idx="467">
                        <c:v>81245.39</c:v>
                      </c:pt>
                      <c:pt idx="468">
                        <c:v>81174.509999999995</c:v>
                      </c:pt>
                      <c:pt idx="469">
                        <c:v>81193.03</c:v>
                      </c:pt>
                      <c:pt idx="470">
                        <c:v>81205.7</c:v>
                      </c:pt>
                      <c:pt idx="471">
                        <c:v>81127.83</c:v>
                      </c:pt>
                      <c:pt idx="472">
                        <c:v>81210.5</c:v>
                      </c:pt>
                      <c:pt idx="473">
                        <c:v>81210.649999999994</c:v>
                      </c:pt>
                      <c:pt idx="474">
                        <c:v>81215.070000000007</c:v>
                      </c:pt>
                      <c:pt idx="475">
                        <c:v>81421.02</c:v>
                      </c:pt>
                      <c:pt idx="476">
                        <c:v>81526.63</c:v>
                      </c:pt>
                      <c:pt idx="477">
                        <c:v>81494.149999999994</c:v>
                      </c:pt>
                      <c:pt idx="478">
                        <c:v>81499.39</c:v>
                      </c:pt>
                      <c:pt idx="479">
                        <c:v>81507.03</c:v>
                      </c:pt>
                      <c:pt idx="480">
                        <c:v>81486.429999999993</c:v>
                      </c:pt>
                      <c:pt idx="481">
                        <c:v>81502.399999999994</c:v>
                      </c:pt>
                      <c:pt idx="482">
                        <c:v>81377.55</c:v>
                      </c:pt>
                      <c:pt idx="483">
                        <c:v>81251.509999999995</c:v>
                      </c:pt>
                      <c:pt idx="484">
                        <c:v>81273.899999999994</c:v>
                      </c:pt>
                      <c:pt idx="485">
                        <c:v>81304.039999999994</c:v>
                      </c:pt>
                      <c:pt idx="486">
                        <c:v>81668.509999999995</c:v>
                      </c:pt>
                      <c:pt idx="487">
                        <c:v>81737.8</c:v>
                      </c:pt>
                      <c:pt idx="488">
                        <c:v>81617.75</c:v>
                      </c:pt>
                      <c:pt idx="489">
                        <c:v>81564.14</c:v>
                      </c:pt>
                      <c:pt idx="490">
                        <c:v>81448.850000000006</c:v>
                      </c:pt>
                      <c:pt idx="491">
                        <c:v>81406.23</c:v>
                      </c:pt>
                      <c:pt idx="492">
                        <c:v>81419.62</c:v>
                      </c:pt>
                      <c:pt idx="493">
                        <c:v>81320.03</c:v>
                      </c:pt>
                      <c:pt idx="494">
                        <c:v>81252.429999999993</c:v>
                      </c:pt>
                      <c:pt idx="495">
                        <c:v>81251.41</c:v>
                      </c:pt>
                      <c:pt idx="496">
                        <c:v>81227.09</c:v>
                      </c:pt>
                      <c:pt idx="497">
                        <c:v>81113.66</c:v>
                      </c:pt>
                      <c:pt idx="498">
                        <c:v>81188.429999999993</c:v>
                      </c:pt>
                      <c:pt idx="499">
                        <c:v>81216.89</c:v>
                      </c:pt>
                      <c:pt idx="500">
                        <c:v>81204.7</c:v>
                      </c:pt>
                      <c:pt idx="501">
                        <c:v>81144.259999999995</c:v>
                      </c:pt>
                      <c:pt idx="502">
                        <c:v>81187.710000000006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CC-4C5F-8AB7-2C50CA62D7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Issue1949!$E$2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Issue1949!$E$3:$E$505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83637.81</c:v>
                      </c:pt>
                      <c:pt idx="1">
                        <c:v>83642.100000000006</c:v>
                      </c:pt>
                      <c:pt idx="2">
                        <c:v>83695.81</c:v>
                      </c:pt>
                      <c:pt idx="3">
                        <c:v>83711.75</c:v>
                      </c:pt>
                      <c:pt idx="4">
                        <c:v>83718.03</c:v>
                      </c:pt>
                      <c:pt idx="5">
                        <c:v>83730.080000000002</c:v>
                      </c:pt>
                      <c:pt idx="6">
                        <c:v>83730.649999999994</c:v>
                      </c:pt>
                      <c:pt idx="7">
                        <c:v>83708.38</c:v>
                      </c:pt>
                      <c:pt idx="8">
                        <c:v>83708.03</c:v>
                      </c:pt>
                      <c:pt idx="9">
                        <c:v>83708.69</c:v>
                      </c:pt>
                      <c:pt idx="10">
                        <c:v>83728.5</c:v>
                      </c:pt>
                      <c:pt idx="11">
                        <c:v>83727.759999999995</c:v>
                      </c:pt>
                      <c:pt idx="12">
                        <c:v>83734.740000000005</c:v>
                      </c:pt>
                      <c:pt idx="13">
                        <c:v>83701.7</c:v>
                      </c:pt>
                      <c:pt idx="14">
                        <c:v>83699.070000000007</c:v>
                      </c:pt>
                      <c:pt idx="15">
                        <c:v>83696.52</c:v>
                      </c:pt>
                      <c:pt idx="16">
                        <c:v>83718.710000000006</c:v>
                      </c:pt>
                      <c:pt idx="17">
                        <c:v>83644.58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83640.710000000006</c:v>
                      </c:pt>
                      <c:pt idx="21">
                        <c:v>83655.399999999994</c:v>
                      </c:pt>
                      <c:pt idx="22">
                        <c:v>83683.81</c:v>
                      </c:pt>
                      <c:pt idx="23">
                        <c:v>83685.2</c:v>
                      </c:pt>
                      <c:pt idx="24">
                        <c:v>83685.210000000006</c:v>
                      </c:pt>
                      <c:pt idx="25">
                        <c:v>83699.259999999995</c:v>
                      </c:pt>
                      <c:pt idx="26">
                        <c:v>83683.81</c:v>
                      </c:pt>
                      <c:pt idx="27">
                        <c:v>83669.25</c:v>
                      </c:pt>
                      <c:pt idx="28">
                        <c:v>83663.8</c:v>
                      </c:pt>
                      <c:pt idx="29">
                        <c:v>83651.05</c:v>
                      </c:pt>
                      <c:pt idx="30">
                        <c:v>83627.12</c:v>
                      </c:pt>
                      <c:pt idx="31">
                        <c:v>83639.31</c:v>
                      </c:pt>
                      <c:pt idx="32">
                        <c:v>83647.91</c:v>
                      </c:pt>
                      <c:pt idx="33">
                        <c:v>83648.11</c:v>
                      </c:pt>
                      <c:pt idx="34">
                        <c:v>83668.960000000006</c:v>
                      </c:pt>
                      <c:pt idx="35">
                        <c:v>83673.42</c:v>
                      </c:pt>
                      <c:pt idx="36">
                        <c:v>83690.67</c:v>
                      </c:pt>
                      <c:pt idx="37">
                        <c:v>83697.119999999995</c:v>
                      </c:pt>
                      <c:pt idx="38">
                        <c:v>83693.84</c:v>
                      </c:pt>
                      <c:pt idx="39">
                        <c:v>83663.44</c:v>
                      </c:pt>
                      <c:pt idx="40">
                        <c:v>83650.5</c:v>
                      </c:pt>
                      <c:pt idx="41">
                        <c:v>83540.11</c:v>
                      </c:pt>
                      <c:pt idx="42">
                        <c:v>83507.19</c:v>
                      </c:pt>
                      <c:pt idx="43">
                        <c:v>83510.009999999995</c:v>
                      </c:pt>
                      <c:pt idx="44">
                        <c:v>83438.720000000001</c:v>
                      </c:pt>
                      <c:pt idx="45">
                        <c:v>83486.37</c:v>
                      </c:pt>
                      <c:pt idx="46">
                        <c:v>83491.509999999995</c:v>
                      </c:pt>
                      <c:pt idx="47">
                        <c:v>83494.539999999994</c:v>
                      </c:pt>
                      <c:pt idx="48">
                        <c:v>83446.81</c:v>
                      </c:pt>
                      <c:pt idx="49">
                        <c:v>83409.87</c:v>
                      </c:pt>
                      <c:pt idx="50">
                        <c:v>83369.350000000006</c:v>
                      </c:pt>
                      <c:pt idx="51">
                        <c:v>83365.5</c:v>
                      </c:pt>
                      <c:pt idx="52">
                        <c:v>83357.94</c:v>
                      </c:pt>
                      <c:pt idx="53">
                        <c:v>83358.399999999994</c:v>
                      </c:pt>
                      <c:pt idx="54">
                        <c:v>83412.31</c:v>
                      </c:pt>
                      <c:pt idx="55">
                        <c:v>83416.42</c:v>
                      </c:pt>
                      <c:pt idx="56">
                        <c:v>83432.91</c:v>
                      </c:pt>
                      <c:pt idx="57">
                        <c:v>83434.66</c:v>
                      </c:pt>
                      <c:pt idx="58">
                        <c:v>83456.5</c:v>
                      </c:pt>
                      <c:pt idx="59">
                        <c:v>83499.899999999994</c:v>
                      </c:pt>
                      <c:pt idx="60">
                        <c:v>83469.960000000006</c:v>
                      </c:pt>
                      <c:pt idx="61">
                        <c:v>83468.81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83494.5</c:v>
                      </c:pt>
                      <c:pt idx="65">
                        <c:v>83495.929999999993</c:v>
                      </c:pt>
                      <c:pt idx="66">
                        <c:v>83500.100000000006</c:v>
                      </c:pt>
                      <c:pt idx="67">
                        <c:v>83483.899999999994</c:v>
                      </c:pt>
                      <c:pt idx="68">
                        <c:v>83467.990000000005</c:v>
                      </c:pt>
                      <c:pt idx="69">
                        <c:v>83500.789999999994</c:v>
                      </c:pt>
                      <c:pt idx="70">
                        <c:v>83490.44</c:v>
                      </c:pt>
                      <c:pt idx="71">
                        <c:v>83502.070000000007</c:v>
                      </c:pt>
                      <c:pt idx="72">
                        <c:v>83514.320000000007</c:v>
                      </c:pt>
                      <c:pt idx="73">
                        <c:v>83522.600000000006</c:v>
                      </c:pt>
                      <c:pt idx="74">
                        <c:v>83512.509999999995</c:v>
                      </c:pt>
                      <c:pt idx="75">
                        <c:v>83452.38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83443.399999999994</c:v>
                      </c:pt>
                      <c:pt idx="79">
                        <c:v>83425.58</c:v>
                      </c:pt>
                      <c:pt idx="80">
                        <c:v>83417.240000000005</c:v>
                      </c:pt>
                      <c:pt idx="81">
                        <c:v>83367.850000000006</c:v>
                      </c:pt>
                      <c:pt idx="82">
                        <c:v>83249.3</c:v>
                      </c:pt>
                      <c:pt idx="83">
                        <c:v>83124.100000000006</c:v>
                      </c:pt>
                      <c:pt idx="84">
                        <c:v>83149.350000000006</c:v>
                      </c:pt>
                      <c:pt idx="85">
                        <c:v>83150.61</c:v>
                      </c:pt>
                      <c:pt idx="86">
                        <c:v>83130.929999999993</c:v>
                      </c:pt>
                      <c:pt idx="87">
                        <c:v>83124.600000000006</c:v>
                      </c:pt>
                      <c:pt idx="88">
                        <c:v>83008.12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83190.63</c:v>
                      </c:pt>
                      <c:pt idx="92">
                        <c:v>83209.09</c:v>
                      </c:pt>
                      <c:pt idx="93">
                        <c:v>83167.39</c:v>
                      </c:pt>
                      <c:pt idx="94">
                        <c:v>83159.23</c:v>
                      </c:pt>
                      <c:pt idx="95">
                        <c:v>83149.31</c:v>
                      </c:pt>
                      <c:pt idx="96">
                        <c:v>83141.84</c:v>
                      </c:pt>
                      <c:pt idx="97">
                        <c:v>83098.429999999993</c:v>
                      </c:pt>
                      <c:pt idx="98">
                        <c:v>83069.63</c:v>
                      </c:pt>
                      <c:pt idx="99">
                        <c:v>82995.710000000006</c:v>
                      </c:pt>
                      <c:pt idx="100">
                        <c:v>83024.2</c:v>
                      </c:pt>
                      <c:pt idx="101">
                        <c:v>83012.91</c:v>
                      </c:pt>
                      <c:pt idx="102">
                        <c:v>82952.37</c:v>
                      </c:pt>
                      <c:pt idx="103">
                        <c:v>82941.7</c:v>
                      </c:pt>
                      <c:pt idx="104">
                        <c:v>82879.61</c:v>
                      </c:pt>
                      <c:pt idx="105">
                        <c:v>82838.820000000007</c:v>
                      </c:pt>
                      <c:pt idx="106">
                        <c:v>82799.509999999995</c:v>
                      </c:pt>
                      <c:pt idx="107">
                        <c:v>82748.5</c:v>
                      </c:pt>
                      <c:pt idx="108">
                        <c:v>82688.59</c:v>
                      </c:pt>
                      <c:pt idx="109">
                        <c:v>82931.42</c:v>
                      </c:pt>
                      <c:pt idx="110">
                        <c:v>82868.5</c:v>
                      </c:pt>
                      <c:pt idx="111">
                        <c:v>82648.100000000006</c:v>
                      </c:pt>
                      <c:pt idx="112">
                        <c:v>82636.2</c:v>
                      </c:pt>
                      <c:pt idx="113">
                        <c:v>82640.53</c:v>
                      </c:pt>
                      <c:pt idx="114">
                        <c:v>82522.850000000006</c:v>
                      </c:pt>
                      <c:pt idx="115">
                        <c:v>82656.66</c:v>
                      </c:pt>
                      <c:pt idx="116">
                        <c:v>82661.149999999994</c:v>
                      </c:pt>
                      <c:pt idx="117">
                        <c:v>82747.149999999994</c:v>
                      </c:pt>
                      <c:pt idx="118">
                        <c:v>82656.67</c:v>
                      </c:pt>
                      <c:pt idx="119">
                        <c:v>82699.03</c:v>
                      </c:pt>
                      <c:pt idx="120">
                        <c:v>82745.63</c:v>
                      </c:pt>
                      <c:pt idx="121">
                        <c:v>82775.460000000006</c:v>
                      </c:pt>
                      <c:pt idx="122">
                        <c:v>82812.509999999995</c:v>
                      </c:pt>
                      <c:pt idx="123">
                        <c:v>82891.19</c:v>
                      </c:pt>
                      <c:pt idx="124">
                        <c:v>82921.52</c:v>
                      </c:pt>
                      <c:pt idx="125">
                        <c:v>82965.91</c:v>
                      </c:pt>
                      <c:pt idx="126">
                        <c:v>82991.13</c:v>
                      </c:pt>
                      <c:pt idx="127">
                        <c:v>83058.350000000006</c:v>
                      </c:pt>
                      <c:pt idx="128">
                        <c:v>83094.22</c:v>
                      </c:pt>
                      <c:pt idx="129">
                        <c:v>83047.039999999994</c:v>
                      </c:pt>
                      <c:pt idx="130">
                        <c:v>83017.63</c:v>
                      </c:pt>
                      <c:pt idx="131">
                        <c:v>83024.100000000006</c:v>
                      </c:pt>
                      <c:pt idx="132">
                        <c:v>83029.2</c:v>
                      </c:pt>
                      <c:pt idx="133">
                        <c:v>83056.02</c:v>
                      </c:pt>
                      <c:pt idx="134">
                        <c:v>83110.350000000006</c:v>
                      </c:pt>
                      <c:pt idx="135">
                        <c:v>83129.08</c:v>
                      </c:pt>
                      <c:pt idx="136">
                        <c:v>83120.88</c:v>
                      </c:pt>
                      <c:pt idx="137">
                        <c:v>83031.13</c:v>
                      </c:pt>
                      <c:pt idx="138">
                        <c:v>83026.28</c:v>
                      </c:pt>
                      <c:pt idx="139">
                        <c:v>83070.75</c:v>
                      </c:pt>
                      <c:pt idx="140">
                        <c:v>83079.77</c:v>
                      </c:pt>
                      <c:pt idx="141">
                        <c:v>83098.399999999994</c:v>
                      </c:pt>
                      <c:pt idx="142">
                        <c:v>83110.73</c:v>
                      </c:pt>
                      <c:pt idx="143">
                        <c:v>83117.820000000007</c:v>
                      </c:pt>
                      <c:pt idx="144">
                        <c:v>83134.679999999993</c:v>
                      </c:pt>
                      <c:pt idx="145">
                        <c:v>83090.42</c:v>
                      </c:pt>
                      <c:pt idx="146">
                        <c:v>83064.539999999994</c:v>
                      </c:pt>
                      <c:pt idx="147">
                        <c:v>83028.47</c:v>
                      </c:pt>
                      <c:pt idx="148">
                        <c:v>83087.839999999997</c:v>
                      </c:pt>
                      <c:pt idx="149">
                        <c:v>83106.36</c:v>
                      </c:pt>
                      <c:pt idx="150">
                        <c:v>83033.81</c:v>
                      </c:pt>
                      <c:pt idx="151">
                        <c:v>83020.36</c:v>
                      </c:pt>
                      <c:pt idx="152">
                        <c:v>82965.39</c:v>
                      </c:pt>
                      <c:pt idx="153">
                        <c:v>82944.28</c:v>
                      </c:pt>
                      <c:pt idx="154">
                        <c:v>82905.81</c:v>
                      </c:pt>
                      <c:pt idx="155">
                        <c:v>82855.070000000007</c:v>
                      </c:pt>
                      <c:pt idx="156">
                        <c:v>82855.67</c:v>
                      </c:pt>
                      <c:pt idx="157">
                        <c:v>82839.009999999995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83097.36</c:v>
                      </c:pt>
                      <c:pt idx="164">
                        <c:v>83133.2</c:v>
                      </c:pt>
                      <c:pt idx="165">
                        <c:v>83167.210000000006</c:v>
                      </c:pt>
                      <c:pt idx="166">
                        <c:v>83181.41</c:v>
                      </c:pt>
                      <c:pt idx="167">
                        <c:v>83189.53</c:v>
                      </c:pt>
                      <c:pt idx="168">
                        <c:v>83121.41</c:v>
                      </c:pt>
                      <c:pt idx="169">
                        <c:v>83128.47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83182.429999999993</c:v>
                      </c:pt>
                      <c:pt idx="173">
                        <c:v>83170.509999999995</c:v>
                      </c:pt>
                      <c:pt idx="174">
                        <c:v>83178.23</c:v>
                      </c:pt>
                      <c:pt idx="175">
                        <c:v>83155.3</c:v>
                      </c:pt>
                      <c:pt idx="176">
                        <c:v>83131.92</c:v>
                      </c:pt>
                      <c:pt idx="177">
                        <c:v>83142.990000000005</c:v>
                      </c:pt>
                      <c:pt idx="178">
                        <c:v>83082.19</c:v>
                      </c:pt>
                      <c:pt idx="179">
                        <c:v>83079.570000000007</c:v>
                      </c:pt>
                      <c:pt idx="180">
                        <c:v>83056.710000000006</c:v>
                      </c:pt>
                      <c:pt idx="181">
                        <c:v>83069.13</c:v>
                      </c:pt>
                      <c:pt idx="182">
                        <c:v>83069.05</c:v>
                      </c:pt>
                      <c:pt idx="183">
                        <c:v>83045.17</c:v>
                      </c:pt>
                      <c:pt idx="184">
                        <c:v>83059.25</c:v>
                      </c:pt>
                      <c:pt idx="185">
                        <c:v>83040.81</c:v>
                      </c:pt>
                      <c:pt idx="186">
                        <c:v>83102.720000000001</c:v>
                      </c:pt>
                      <c:pt idx="187">
                        <c:v>83120.5</c:v>
                      </c:pt>
                      <c:pt idx="188">
                        <c:v>83107.91</c:v>
                      </c:pt>
                      <c:pt idx="189">
                        <c:v>83074.87</c:v>
                      </c:pt>
                      <c:pt idx="190">
                        <c:v>83040.320000000007</c:v>
                      </c:pt>
                      <c:pt idx="191">
                        <c:v>83050.63</c:v>
                      </c:pt>
                      <c:pt idx="192">
                        <c:v>83079.179999999993</c:v>
                      </c:pt>
                      <c:pt idx="193">
                        <c:v>83067.149999999994</c:v>
                      </c:pt>
                      <c:pt idx="194">
                        <c:v>83050.42</c:v>
                      </c:pt>
                      <c:pt idx="195">
                        <c:v>82998.31</c:v>
                      </c:pt>
                      <c:pt idx="196">
                        <c:v>83036.75</c:v>
                      </c:pt>
                      <c:pt idx="197">
                        <c:v>83033.45</c:v>
                      </c:pt>
                      <c:pt idx="198">
                        <c:v>82998.320000000007</c:v>
                      </c:pt>
                      <c:pt idx="199">
                        <c:v>82931.3</c:v>
                      </c:pt>
                      <c:pt idx="200">
                        <c:v>82914.53</c:v>
                      </c:pt>
                      <c:pt idx="201">
                        <c:v>82941.279999999999</c:v>
                      </c:pt>
                      <c:pt idx="202">
                        <c:v>82972.7</c:v>
                      </c:pt>
                      <c:pt idx="203">
                        <c:v>82953.69</c:v>
                      </c:pt>
                      <c:pt idx="204">
                        <c:v>82957.66</c:v>
                      </c:pt>
                      <c:pt idx="205">
                        <c:v>82950.490000000005</c:v>
                      </c:pt>
                      <c:pt idx="206">
                        <c:v>82950.27</c:v>
                      </c:pt>
                      <c:pt idx="207">
                        <c:v>82950.039999999994</c:v>
                      </c:pt>
                      <c:pt idx="208">
                        <c:v>82890.09</c:v>
                      </c:pt>
                      <c:pt idx="209">
                        <c:v>82870.5</c:v>
                      </c:pt>
                      <c:pt idx="210">
                        <c:v>82870.02</c:v>
                      </c:pt>
                      <c:pt idx="211">
                        <c:v>82908.75</c:v>
                      </c:pt>
                      <c:pt idx="212">
                        <c:v>82940.990000000005</c:v>
                      </c:pt>
                      <c:pt idx="213">
                        <c:v>82961.179999999993</c:v>
                      </c:pt>
                      <c:pt idx="214">
                        <c:v>82966</c:v>
                      </c:pt>
                      <c:pt idx="215">
                        <c:v>82940.66</c:v>
                      </c:pt>
                      <c:pt idx="216">
                        <c:v>82941.02</c:v>
                      </c:pt>
                      <c:pt idx="217">
                        <c:v>83000.84</c:v>
                      </c:pt>
                      <c:pt idx="218">
                        <c:v>82994.509999999995</c:v>
                      </c:pt>
                      <c:pt idx="219">
                        <c:v>83005.429999999993</c:v>
                      </c:pt>
                      <c:pt idx="220">
                        <c:v>83003.77</c:v>
                      </c:pt>
                      <c:pt idx="221">
                        <c:v>82989.47</c:v>
                      </c:pt>
                      <c:pt idx="222">
                        <c:v>83023.990000000005</c:v>
                      </c:pt>
                      <c:pt idx="223">
                        <c:v>83101.710000000006</c:v>
                      </c:pt>
                      <c:pt idx="224">
                        <c:v>83114.039999999994</c:v>
                      </c:pt>
                      <c:pt idx="225">
                        <c:v>83055.48</c:v>
                      </c:pt>
                      <c:pt idx="226">
                        <c:v>83018.41</c:v>
                      </c:pt>
                      <c:pt idx="227">
                        <c:v>83012.91</c:v>
                      </c:pt>
                      <c:pt idx="228">
                        <c:v>83046.8</c:v>
                      </c:pt>
                      <c:pt idx="229">
                        <c:v>83026.100000000006</c:v>
                      </c:pt>
                      <c:pt idx="230">
                        <c:v>83027.53</c:v>
                      </c:pt>
                      <c:pt idx="231">
                        <c:v>83049.539999999994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83084.429999999993</c:v>
                      </c:pt>
                      <c:pt idx="235">
                        <c:v>83115.03</c:v>
                      </c:pt>
                      <c:pt idx="236">
                        <c:v>83090.5</c:v>
                      </c:pt>
                      <c:pt idx="237">
                        <c:v>83077.67</c:v>
                      </c:pt>
                      <c:pt idx="238">
                        <c:v>83078.679999999993</c:v>
                      </c:pt>
                      <c:pt idx="239">
                        <c:v>83048.679999999993</c:v>
                      </c:pt>
                      <c:pt idx="240">
                        <c:v>83057.39</c:v>
                      </c:pt>
                      <c:pt idx="241">
                        <c:v>83061.350000000006</c:v>
                      </c:pt>
                      <c:pt idx="242">
                        <c:v>83009.899999999994</c:v>
                      </c:pt>
                      <c:pt idx="243">
                        <c:v>83016.149999999994</c:v>
                      </c:pt>
                      <c:pt idx="244">
                        <c:v>83051.33</c:v>
                      </c:pt>
                      <c:pt idx="245">
                        <c:v>83073.98</c:v>
                      </c:pt>
                      <c:pt idx="246">
                        <c:v>83121.460000000006</c:v>
                      </c:pt>
                      <c:pt idx="247">
                        <c:v>83097.679999999993</c:v>
                      </c:pt>
                      <c:pt idx="248">
                        <c:v>83109.919999999998</c:v>
                      </c:pt>
                      <c:pt idx="249">
                        <c:v>83081.960000000006</c:v>
                      </c:pt>
                      <c:pt idx="250">
                        <c:v>83067.3</c:v>
                      </c:pt>
                      <c:pt idx="251">
                        <c:v>83025.37</c:v>
                      </c:pt>
                      <c:pt idx="252">
                        <c:v>83034.58</c:v>
                      </c:pt>
                      <c:pt idx="253">
                        <c:v>82990.509999999995</c:v>
                      </c:pt>
                      <c:pt idx="254">
                        <c:v>82997.8</c:v>
                      </c:pt>
                      <c:pt idx="255">
                        <c:v>82995.710000000006</c:v>
                      </c:pt>
                      <c:pt idx="256">
                        <c:v>82971.22</c:v>
                      </c:pt>
                      <c:pt idx="257">
                        <c:v>82982.960000000006</c:v>
                      </c:pt>
                      <c:pt idx="258">
                        <c:v>83011.320000000007</c:v>
                      </c:pt>
                      <c:pt idx="259">
                        <c:v>82988.259999999995</c:v>
                      </c:pt>
                      <c:pt idx="260">
                        <c:v>82989.509999999995</c:v>
                      </c:pt>
                      <c:pt idx="261">
                        <c:v>82972.22</c:v>
                      </c:pt>
                      <c:pt idx="262">
                        <c:v>82975.100000000006</c:v>
                      </c:pt>
                      <c:pt idx="263">
                        <c:v>82988.2</c:v>
                      </c:pt>
                      <c:pt idx="264">
                        <c:v>82955.61</c:v>
                      </c:pt>
                      <c:pt idx="265">
                        <c:v>82933.17</c:v>
                      </c:pt>
                      <c:pt idx="266">
                        <c:v>82955.73</c:v>
                      </c:pt>
                      <c:pt idx="267">
                        <c:v>82986.03</c:v>
                      </c:pt>
                      <c:pt idx="268">
                        <c:v>82949.11</c:v>
                      </c:pt>
                      <c:pt idx="269">
                        <c:v>82949.42</c:v>
                      </c:pt>
                      <c:pt idx="270">
                        <c:v>82964.66</c:v>
                      </c:pt>
                      <c:pt idx="271">
                        <c:v>82982.02</c:v>
                      </c:pt>
                      <c:pt idx="272">
                        <c:v>82968.44</c:v>
                      </c:pt>
                      <c:pt idx="273">
                        <c:v>82983.48</c:v>
                      </c:pt>
                      <c:pt idx="274">
                        <c:v>82993.61</c:v>
                      </c:pt>
                      <c:pt idx="275">
                        <c:v>83000.41</c:v>
                      </c:pt>
                      <c:pt idx="276">
                        <c:v>82983.34</c:v>
                      </c:pt>
                      <c:pt idx="277">
                        <c:v>83008.39</c:v>
                      </c:pt>
                      <c:pt idx="278">
                        <c:v>82990.63</c:v>
                      </c:pt>
                      <c:pt idx="279">
                        <c:v>82956.850000000006</c:v>
                      </c:pt>
                      <c:pt idx="280">
                        <c:v>82942.63</c:v>
                      </c:pt>
                      <c:pt idx="281">
                        <c:v>82954.710000000006</c:v>
                      </c:pt>
                      <c:pt idx="282">
                        <c:v>82975.710000000006</c:v>
                      </c:pt>
                      <c:pt idx="283">
                        <c:v>82967.259999999995</c:v>
                      </c:pt>
                      <c:pt idx="284">
                        <c:v>82986.83</c:v>
                      </c:pt>
                      <c:pt idx="285">
                        <c:v>82970.5</c:v>
                      </c:pt>
                      <c:pt idx="286">
                        <c:v>82987.62</c:v>
                      </c:pt>
                      <c:pt idx="287">
                        <c:v>82983.58</c:v>
                      </c:pt>
                      <c:pt idx="288">
                        <c:v>82972.75</c:v>
                      </c:pt>
                      <c:pt idx="289">
                        <c:v>82976.539999999994</c:v>
                      </c:pt>
                      <c:pt idx="290">
                        <c:v>82970.5</c:v>
                      </c:pt>
                      <c:pt idx="291">
                        <c:v>82970.5</c:v>
                      </c:pt>
                      <c:pt idx="292">
                        <c:v>82947.600000000006</c:v>
                      </c:pt>
                      <c:pt idx="293">
                        <c:v>82972.58</c:v>
                      </c:pt>
                      <c:pt idx="294">
                        <c:v>82959.17</c:v>
                      </c:pt>
                      <c:pt idx="295">
                        <c:v>82918.09</c:v>
                      </c:pt>
                      <c:pt idx="296">
                        <c:v>82933.3</c:v>
                      </c:pt>
                      <c:pt idx="297">
                        <c:v>82911.179999999993</c:v>
                      </c:pt>
                      <c:pt idx="298">
                        <c:v>82915.19</c:v>
                      </c:pt>
                      <c:pt idx="299">
                        <c:v>82922.97</c:v>
                      </c:pt>
                      <c:pt idx="300">
                        <c:v>82922.97</c:v>
                      </c:pt>
                      <c:pt idx="301">
                        <c:v>82947.210000000006</c:v>
                      </c:pt>
                      <c:pt idx="302">
                        <c:v>82889.95</c:v>
                      </c:pt>
                      <c:pt idx="303">
                        <c:v>82803.88</c:v>
                      </c:pt>
                      <c:pt idx="304">
                        <c:v>82835.039999999994</c:v>
                      </c:pt>
                      <c:pt idx="305">
                        <c:v>82886.399999999994</c:v>
                      </c:pt>
                      <c:pt idx="306">
                        <c:v>82908.25</c:v>
                      </c:pt>
                      <c:pt idx="307">
                        <c:v>82939.62</c:v>
                      </c:pt>
                      <c:pt idx="308">
                        <c:v>82939.520000000004</c:v>
                      </c:pt>
                      <c:pt idx="309">
                        <c:v>82900.759999999995</c:v>
                      </c:pt>
                      <c:pt idx="310">
                        <c:v>82905.69</c:v>
                      </c:pt>
                      <c:pt idx="311">
                        <c:v>82953.289999999994</c:v>
                      </c:pt>
                      <c:pt idx="312">
                        <c:v>82950.759999999995</c:v>
                      </c:pt>
                      <c:pt idx="313">
                        <c:v>82940.759999999995</c:v>
                      </c:pt>
                      <c:pt idx="314">
                        <c:v>82948.17</c:v>
                      </c:pt>
                      <c:pt idx="315">
                        <c:v>82947.97</c:v>
                      </c:pt>
                      <c:pt idx="316">
                        <c:v>82945.679999999993</c:v>
                      </c:pt>
                      <c:pt idx="317">
                        <c:v>82978.55</c:v>
                      </c:pt>
                      <c:pt idx="318">
                        <c:v>82797.5</c:v>
                      </c:pt>
                      <c:pt idx="319">
                        <c:v>82797.53</c:v>
                      </c:pt>
                      <c:pt idx="320">
                        <c:v>82815.5</c:v>
                      </c:pt>
                      <c:pt idx="321">
                        <c:v>82881.06</c:v>
                      </c:pt>
                      <c:pt idx="322">
                        <c:v>82880.240000000005</c:v>
                      </c:pt>
                      <c:pt idx="323">
                        <c:v>82887.58</c:v>
                      </c:pt>
                      <c:pt idx="324">
                        <c:v>82960.22</c:v>
                      </c:pt>
                      <c:pt idx="325">
                        <c:v>82906.009999999995</c:v>
                      </c:pt>
                      <c:pt idx="326">
                        <c:v>82887.039999999994</c:v>
                      </c:pt>
                      <c:pt idx="327">
                        <c:v>82928.22</c:v>
                      </c:pt>
                      <c:pt idx="328">
                        <c:v>82946.42</c:v>
                      </c:pt>
                      <c:pt idx="329">
                        <c:v>82946.89</c:v>
                      </c:pt>
                      <c:pt idx="330">
                        <c:v>82956.83</c:v>
                      </c:pt>
                      <c:pt idx="331">
                        <c:v>82938.350000000006</c:v>
                      </c:pt>
                      <c:pt idx="332">
                        <c:v>82931.05</c:v>
                      </c:pt>
                      <c:pt idx="333">
                        <c:v>82926.720000000001</c:v>
                      </c:pt>
                      <c:pt idx="334">
                        <c:v>82917.61</c:v>
                      </c:pt>
                      <c:pt idx="335">
                        <c:v>82875.850000000006</c:v>
                      </c:pt>
                      <c:pt idx="336">
                        <c:v>82848.160000000003</c:v>
                      </c:pt>
                      <c:pt idx="337">
                        <c:v>82885.91</c:v>
                      </c:pt>
                      <c:pt idx="338">
                        <c:v>82862.14</c:v>
                      </c:pt>
                      <c:pt idx="339">
                        <c:v>82851.25</c:v>
                      </c:pt>
                      <c:pt idx="340">
                        <c:v>82854</c:v>
                      </c:pt>
                      <c:pt idx="341">
                        <c:v>82758.5</c:v>
                      </c:pt>
                      <c:pt idx="342">
                        <c:v>82796.62</c:v>
                      </c:pt>
                      <c:pt idx="343">
                        <c:v>82850.78</c:v>
                      </c:pt>
                      <c:pt idx="344">
                        <c:v>82856.649999999994</c:v>
                      </c:pt>
                      <c:pt idx="345">
                        <c:v>82893.399999999994</c:v>
                      </c:pt>
                      <c:pt idx="346">
                        <c:v>82887.8</c:v>
                      </c:pt>
                      <c:pt idx="347">
                        <c:v>82879.3</c:v>
                      </c:pt>
                      <c:pt idx="348">
                        <c:v>82864.44</c:v>
                      </c:pt>
                      <c:pt idx="349">
                        <c:v>82881.3</c:v>
                      </c:pt>
                      <c:pt idx="350">
                        <c:v>82885.440000000002</c:v>
                      </c:pt>
                      <c:pt idx="351">
                        <c:v>82843.55</c:v>
                      </c:pt>
                      <c:pt idx="352">
                        <c:v>82759.539999999994</c:v>
                      </c:pt>
                      <c:pt idx="353">
                        <c:v>82759.520000000004</c:v>
                      </c:pt>
                      <c:pt idx="354">
                        <c:v>82707.3</c:v>
                      </c:pt>
                      <c:pt idx="355">
                        <c:v>82719.179999999993</c:v>
                      </c:pt>
                      <c:pt idx="356">
                        <c:v>82667.45</c:v>
                      </c:pt>
                      <c:pt idx="357">
                        <c:v>82693.67</c:v>
                      </c:pt>
                      <c:pt idx="358">
                        <c:v>82742.33</c:v>
                      </c:pt>
                      <c:pt idx="359">
                        <c:v>82745.039999999994</c:v>
                      </c:pt>
                      <c:pt idx="360">
                        <c:v>82744.67</c:v>
                      </c:pt>
                      <c:pt idx="361">
                        <c:v>82738.759999999995</c:v>
                      </c:pt>
                      <c:pt idx="362">
                        <c:v>82709.210000000006</c:v>
                      </c:pt>
                      <c:pt idx="363">
                        <c:v>82690.5</c:v>
                      </c:pt>
                      <c:pt idx="364">
                        <c:v>82676.02</c:v>
                      </c:pt>
                      <c:pt idx="365">
                        <c:v>82675.37</c:v>
                      </c:pt>
                      <c:pt idx="366">
                        <c:v>82655.53</c:v>
                      </c:pt>
                      <c:pt idx="367">
                        <c:v>82728.31</c:v>
                      </c:pt>
                      <c:pt idx="368">
                        <c:v>82736.95</c:v>
                      </c:pt>
                      <c:pt idx="369">
                        <c:v>82753.320000000007</c:v>
                      </c:pt>
                      <c:pt idx="370">
                        <c:v>82747.33</c:v>
                      </c:pt>
                      <c:pt idx="371">
                        <c:v>82750.55</c:v>
                      </c:pt>
                      <c:pt idx="372">
                        <c:v>82777.63</c:v>
                      </c:pt>
                      <c:pt idx="373">
                        <c:v>82814.100000000006</c:v>
                      </c:pt>
                      <c:pt idx="374">
                        <c:v>82786.55</c:v>
                      </c:pt>
                      <c:pt idx="375">
                        <c:v>82797.119999999995</c:v>
                      </c:pt>
                      <c:pt idx="376">
                        <c:v>82773.66</c:v>
                      </c:pt>
                      <c:pt idx="377">
                        <c:v>82745.48</c:v>
                      </c:pt>
                      <c:pt idx="378">
                        <c:v>82749.23</c:v>
                      </c:pt>
                      <c:pt idx="379">
                        <c:v>82750.02</c:v>
                      </c:pt>
                      <c:pt idx="380">
                        <c:v>82768.41</c:v>
                      </c:pt>
                      <c:pt idx="381">
                        <c:v>82820.5</c:v>
                      </c:pt>
                      <c:pt idx="382">
                        <c:v>82854.06</c:v>
                      </c:pt>
                      <c:pt idx="383">
                        <c:v>82740.58</c:v>
                      </c:pt>
                      <c:pt idx="384">
                        <c:v>82773.919999999998</c:v>
                      </c:pt>
                      <c:pt idx="385">
                        <c:v>82771.31</c:v>
                      </c:pt>
                      <c:pt idx="386">
                        <c:v>82756.78</c:v>
                      </c:pt>
                      <c:pt idx="387">
                        <c:v>82748.100000000006</c:v>
                      </c:pt>
                      <c:pt idx="388">
                        <c:v>82738.67</c:v>
                      </c:pt>
                      <c:pt idx="389">
                        <c:v>82732.33</c:v>
                      </c:pt>
                      <c:pt idx="390">
                        <c:v>82771.100000000006</c:v>
                      </c:pt>
                      <c:pt idx="391">
                        <c:v>82778.83</c:v>
                      </c:pt>
                      <c:pt idx="392">
                        <c:v>82723.509999999995</c:v>
                      </c:pt>
                      <c:pt idx="393">
                        <c:v>82599.22</c:v>
                      </c:pt>
                      <c:pt idx="394">
                        <c:v>82548.600000000006</c:v>
                      </c:pt>
                      <c:pt idx="395">
                        <c:v>82461.56</c:v>
                      </c:pt>
                      <c:pt idx="396">
                        <c:v>82489.5</c:v>
                      </c:pt>
                      <c:pt idx="397">
                        <c:v>82462.31</c:v>
                      </c:pt>
                      <c:pt idx="398">
                        <c:v>82453.61</c:v>
                      </c:pt>
                      <c:pt idx="399">
                        <c:v>82438.559999999998</c:v>
                      </c:pt>
                      <c:pt idx="400">
                        <c:v>82447.600000000006</c:v>
                      </c:pt>
                      <c:pt idx="401">
                        <c:v>82495.63</c:v>
                      </c:pt>
                      <c:pt idx="402">
                        <c:v>82546.720000000001</c:v>
                      </c:pt>
                      <c:pt idx="403">
                        <c:v>82546.399999999994</c:v>
                      </c:pt>
                      <c:pt idx="404">
                        <c:v>82518.5</c:v>
                      </c:pt>
                      <c:pt idx="405">
                        <c:v>82554.42</c:v>
                      </c:pt>
                      <c:pt idx="406">
                        <c:v>82563.72</c:v>
                      </c:pt>
                      <c:pt idx="407">
                        <c:v>82578.2</c:v>
                      </c:pt>
                      <c:pt idx="408">
                        <c:v>82581.429999999993</c:v>
                      </c:pt>
                      <c:pt idx="409">
                        <c:v>82560.33</c:v>
                      </c:pt>
                      <c:pt idx="410">
                        <c:v>82589.02</c:v>
                      </c:pt>
                      <c:pt idx="411">
                        <c:v>82595.62</c:v>
                      </c:pt>
                      <c:pt idx="412">
                        <c:v>82579.990000000005</c:v>
                      </c:pt>
                      <c:pt idx="413">
                        <c:v>82546.3</c:v>
                      </c:pt>
                      <c:pt idx="414">
                        <c:v>82582.070000000007</c:v>
                      </c:pt>
                      <c:pt idx="415">
                        <c:v>82609.59</c:v>
                      </c:pt>
                      <c:pt idx="416">
                        <c:v>82630.490000000005</c:v>
                      </c:pt>
                      <c:pt idx="417">
                        <c:v>82632.539999999994</c:v>
                      </c:pt>
                      <c:pt idx="418">
                        <c:v>82635.34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82723.23</c:v>
                      </c:pt>
                      <c:pt idx="422">
                        <c:v>82763.509999999995</c:v>
                      </c:pt>
                      <c:pt idx="423">
                        <c:v>82670.259999999995</c:v>
                      </c:pt>
                      <c:pt idx="424">
                        <c:v>82710.31</c:v>
                      </c:pt>
                      <c:pt idx="425">
                        <c:v>82739.100000000006</c:v>
                      </c:pt>
                      <c:pt idx="426">
                        <c:v>82810.149999999994</c:v>
                      </c:pt>
                      <c:pt idx="427">
                        <c:v>82810.22</c:v>
                      </c:pt>
                      <c:pt idx="428">
                        <c:v>82770.28</c:v>
                      </c:pt>
                      <c:pt idx="429">
                        <c:v>82590.22</c:v>
                      </c:pt>
                      <c:pt idx="430">
                        <c:v>82537</c:v>
                      </c:pt>
                      <c:pt idx="431">
                        <c:v>82369.100000000006</c:v>
                      </c:pt>
                      <c:pt idx="432">
                        <c:v>82406.28</c:v>
                      </c:pt>
                      <c:pt idx="433">
                        <c:v>82378.84</c:v>
                      </c:pt>
                      <c:pt idx="434">
                        <c:v>82340.63</c:v>
                      </c:pt>
                      <c:pt idx="435">
                        <c:v>82299.100000000006</c:v>
                      </c:pt>
                      <c:pt idx="436">
                        <c:v>82249.350000000006</c:v>
                      </c:pt>
                      <c:pt idx="437">
                        <c:v>82339.94</c:v>
                      </c:pt>
                      <c:pt idx="438">
                        <c:v>82328.81</c:v>
                      </c:pt>
                      <c:pt idx="439">
                        <c:v>82229.73</c:v>
                      </c:pt>
                      <c:pt idx="440">
                        <c:v>82190.789999999994</c:v>
                      </c:pt>
                      <c:pt idx="441">
                        <c:v>82204.09</c:v>
                      </c:pt>
                      <c:pt idx="442">
                        <c:v>82210.37</c:v>
                      </c:pt>
                      <c:pt idx="443">
                        <c:v>82121.61</c:v>
                      </c:pt>
                      <c:pt idx="444">
                        <c:v>81961.960000000006</c:v>
                      </c:pt>
                      <c:pt idx="445">
                        <c:v>81918.039999999994</c:v>
                      </c:pt>
                      <c:pt idx="446">
                        <c:v>81907.45</c:v>
                      </c:pt>
                      <c:pt idx="447">
                        <c:v>81239.490000000005</c:v>
                      </c:pt>
                      <c:pt idx="448">
                        <c:v>81257.919999999998</c:v>
                      </c:pt>
                      <c:pt idx="449">
                        <c:v>81324.88</c:v>
                      </c:pt>
                      <c:pt idx="450">
                        <c:v>81349.67</c:v>
                      </c:pt>
                      <c:pt idx="451">
                        <c:v>81360.289999999994</c:v>
                      </c:pt>
                      <c:pt idx="452">
                        <c:v>81101.23</c:v>
                      </c:pt>
                      <c:pt idx="453">
                        <c:v>81101.460000000006</c:v>
                      </c:pt>
                      <c:pt idx="454">
                        <c:v>81297.64</c:v>
                      </c:pt>
                      <c:pt idx="455">
                        <c:v>81260.179999999993</c:v>
                      </c:pt>
                      <c:pt idx="456">
                        <c:v>81348.17</c:v>
                      </c:pt>
                      <c:pt idx="457">
                        <c:v>81145.55</c:v>
                      </c:pt>
                      <c:pt idx="458">
                        <c:v>81080.06</c:v>
                      </c:pt>
                      <c:pt idx="459">
                        <c:v>80754.13</c:v>
                      </c:pt>
                      <c:pt idx="460">
                        <c:v>80895.72</c:v>
                      </c:pt>
                      <c:pt idx="461">
                        <c:v>80959.75</c:v>
                      </c:pt>
                      <c:pt idx="462">
                        <c:v>80927.31</c:v>
                      </c:pt>
                      <c:pt idx="463">
                        <c:v>80848.960000000006</c:v>
                      </c:pt>
                      <c:pt idx="464">
                        <c:v>80919.710000000006</c:v>
                      </c:pt>
                      <c:pt idx="465">
                        <c:v>80891.92</c:v>
                      </c:pt>
                      <c:pt idx="466">
                        <c:v>80840.52</c:v>
                      </c:pt>
                      <c:pt idx="467">
                        <c:v>80955.98</c:v>
                      </c:pt>
                      <c:pt idx="468">
                        <c:v>81026.53</c:v>
                      </c:pt>
                      <c:pt idx="469">
                        <c:v>81028.3</c:v>
                      </c:pt>
                      <c:pt idx="470">
                        <c:v>81054.61</c:v>
                      </c:pt>
                      <c:pt idx="471">
                        <c:v>81040.52</c:v>
                      </c:pt>
                      <c:pt idx="472">
                        <c:v>81060.84</c:v>
                      </c:pt>
                      <c:pt idx="473">
                        <c:v>81172.86</c:v>
                      </c:pt>
                      <c:pt idx="474">
                        <c:v>81168.67</c:v>
                      </c:pt>
                      <c:pt idx="475">
                        <c:v>81207</c:v>
                      </c:pt>
                      <c:pt idx="476">
                        <c:v>81365.27</c:v>
                      </c:pt>
                      <c:pt idx="477">
                        <c:v>81373.05</c:v>
                      </c:pt>
                      <c:pt idx="478">
                        <c:v>81400.94</c:v>
                      </c:pt>
                      <c:pt idx="479">
                        <c:v>81424.800000000003</c:v>
                      </c:pt>
                      <c:pt idx="480">
                        <c:v>81426.66</c:v>
                      </c:pt>
                      <c:pt idx="481">
                        <c:v>81367.89</c:v>
                      </c:pt>
                      <c:pt idx="482">
                        <c:v>81190.25</c:v>
                      </c:pt>
                      <c:pt idx="483">
                        <c:v>81149.820000000007</c:v>
                      </c:pt>
                      <c:pt idx="484">
                        <c:v>81192.539999999994</c:v>
                      </c:pt>
                      <c:pt idx="485">
                        <c:v>81193.990000000005</c:v>
                      </c:pt>
                      <c:pt idx="486">
                        <c:v>81269.2</c:v>
                      </c:pt>
                      <c:pt idx="487">
                        <c:v>81590.59</c:v>
                      </c:pt>
                      <c:pt idx="488">
                        <c:v>81520.08</c:v>
                      </c:pt>
                      <c:pt idx="489">
                        <c:v>81397.509999999995</c:v>
                      </c:pt>
                      <c:pt idx="490">
                        <c:v>81347.63</c:v>
                      </c:pt>
                      <c:pt idx="491">
                        <c:v>81325.789999999994</c:v>
                      </c:pt>
                      <c:pt idx="492">
                        <c:v>81287.03</c:v>
                      </c:pt>
                      <c:pt idx="493">
                        <c:v>81211.12</c:v>
                      </c:pt>
                      <c:pt idx="494">
                        <c:v>81197.23</c:v>
                      </c:pt>
                      <c:pt idx="495">
                        <c:v>81170.539999999994</c:v>
                      </c:pt>
                      <c:pt idx="496">
                        <c:v>81113.429999999993</c:v>
                      </c:pt>
                      <c:pt idx="497">
                        <c:v>81044.83</c:v>
                      </c:pt>
                      <c:pt idx="498">
                        <c:v>81058.45</c:v>
                      </c:pt>
                      <c:pt idx="499">
                        <c:v>81101.55</c:v>
                      </c:pt>
                      <c:pt idx="500">
                        <c:v>81089.42</c:v>
                      </c:pt>
                      <c:pt idx="501">
                        <c:v>81069.25</c:v>
                      </c:pt>
                      <c:pt idx="502">
                        <c:v>81081.7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CC-4C5F-8AB7-2C50CA62D77A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84000"/>
          <c:min val="7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Issue1949!$F$2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Issue1949!$F$3:$F$1432</c:f>
              <c:numCache>
                <c:formatCode>_("$"* #,##0.00_);_("$"* \(#,##0.00\);_("$"* "-"??_);_(@_)</c:formatCode>
                <c:ptCount val="1430"/>
                <c:pt idx="0">
                  <c:v>83642.100000000006</c:v>
                </c:pt>
                <c:pt idx="1">
                  <c:v>83685.62</c:v>
                </c:pt>
                <c:pt idx="2">
                  <c:v>83727.77</c:v>
                </c:pt>
                <c:pt idx="3">
                  <c:v>83725.09</c:v>
                </c:pt>
                <c:pt idx="4">
                  <c:v>83730.58</c:v>
                </c:pt>
                <c:pt idx="5">
                  <c:v>83737.41</c:v>
                </c:pt>
                <c:pt idx="6">
                  <c:v>83736.960000000006</c:v>
                </c:pt>
                <c:pt idx="7">
                  <c:v>83709</c:v>
                </c:pt>
                <c:pt idx="8">
                  <c:v>83708.77</c:v>
                </c:pt>
                <c:pt idx="9">
                  <c:v>83729.59</c:v>
                </c:pt>
                <c:pt idx="10">
                  <c:v>83728.5</c:v>
                </c:pt>
                <c:pt idx="11">
                  <c:v>83740.97</c:v>
                </c:pt>
                <c:pt idx="12">
                  <c:v>83735.199999999997</c:v>
                </c:pt>
                <c:pt idx="13">
                  <c:v>83707.850000000006</c:v>
                </c:pt>
                <c:pt idx="14">
                  <c:v>83699.929999999993</c:v>
                </c:pt>
                <c:pt idx="15">
                  <c:v>83716.679999999993</c:v>
                </c:pt>
                <c:pt idx="16">
                  <c:v>83740.34</c:v>
                </c:pt>
                <c:pt idx="17">
                  <c:v>83646.009999999995</c:v>
                </c:pt>
                <c:pt idx="18">
                  <c:v>83652.600000000006</c:v>
                </c:pt>
                <c:pt idx="19">
                  <c:v>83655.320000000007</c:v>
                </c:pt>
                <c:pt idx="20">
                  <c:v>83655.399999999994</c:v>
                </c:pt>
                <c:pt idx="21">
                  <c:v>83685.009999999995</c:v>
                </c:pt>
                <c:pt idx="22">
                  <c:v>83685.3</c:v>
                </c:pt>
                <c:pt idx="23">
                  <c:v>83685.210000000006</c:v>
                </c:pt>
                <c:pt idx="24">
                  <c:v>83712.78</c:v>
                </c:pt>
                <c:pt idx="25">
                  <c:v>83702.600000000006</c:v>
                </c:pt>
                <c:pt idx="26">
                  <c:v>83683.94</c:v>
                </c:pt>
                <c:pt idx="27">
                  <c:v>83669.33</c:v>
                </c:pt>
                <c:pt idx="28">
                  <c:v>83663.820000000007</c:v>
                </c:pt>
                <c:pt idx="29">
                  <c:v>83652.41</c:v>
                </c:pt>
                <c:pt idx="30">
                  <c:v>83627.81</c:v>
                </c:pt>
                <c:pt idx="31">
                  <c:v>83647.91</c:v>
                </c:pt>
                <c:pt idx="32">
                  <c:v>83648.149999999994</c:v>
                </c:pt>
                <c:pt idx="33">
                  <c:v>83668.960000000006</c:v>
                </c:pt>
                <c:pt idx="34">
                  <c:v>83685.100000000006</c:v>
                </c:pt>
                <c:pt idx="35">
                  <c:v>83700.350000000006</c:v>
                </c:pt>
                <c:pt idx="36">
                  <c:v>83708.61</c:v>
                </c:pt>
                <c:pt idx="37">
                  <c:v>83724.2</c:v>
                </c:pt>
                <c:pt idx="38">
                  <c:v>83693.84</c:v>
                </c:pt>
                <c:pt idx="39">
                  <c:v>83663.61</c:v>
                </c:pt>
                <c:pt idx="40">
                  <c:v>83651.92</c:v>
                </c:pt>
                <c:pt idx="41">
                  <c:v>83540.11</c:v>
                </c:pt>
                <c:pt idx="42">
                  <c:v>83559.009999999995</c:v>
                </c:pt>
                <c:pt idx="43">
                  <c:v>83522.509999999995</c:v>
                </c:pt>
                <c:pt idx="44">
                  <c:v>83531.7</c:v>
                </c:pt>
                <c:pt idx="45">
                  <c:v>83491.509999999995</c:v>
                </c:pt>
                <c:pt idx="46">
                  <c:v>83504.210000000006</c:v>
                </c:pt>
                <c:pt idx="47">
                  <c:v>83499.600000000006</c:v>
                </c:pt>
                <c:pt idx="48">
                  <c:v>83446.81</c:v>
                </c:pt>
                <c:pt idx="49">
                  <c:v>83417.320000000007</c:v>
                </c:pt>
                <c:pt idx="50">
                  <c:v>83416.039999999994</c:v>
                </c:pt>
                <c:pt idx="51">
                  <c:v>83373.399999999994</c:v>
                </c:pt>
                <c:pt idx="52">
                  <c:v>83358.490000000005</c:v>
                </c:pt>
                <c:pt idx="53">
                  <c:v>83413.98</c:v>
                </c:pt>
                <c:pt idx="54">
                  <c:v>83416.44</c:v>
                </c:pt>
                <c:pt idx="55">
                  <c:v>83432.91</c:v>
                </c:pt>
                <c:pt idx="56">
                  <c:v>83480</c:v>
                </c:pt>
                <c:pt idx="57">
                  <c:v>83451.240000000005</c:v>
                </c:pt>
                <c:pt idx="58">
                  <c:v>83506.350000000006</c:v>
                </c:pt>
                <c:pt idx="59">
                  <c:v>83514.59</c:v>
                </c:pt>
                <c:pt idx="60">
                  <c:v>83478.34</c:v>
                </c:pt>
                <c:pt idx="61">
                  <c:v>83469.7</c:v>
                </c:pt>
                <c:pt idx="62">
                  <c:v>83494.13</c:v>
                </c:pt>
                <c:pt idx="63">
                  <c:v>83503.34</c:v>
                </c:pt>
                <c:pt idx="64">
                  <c:v>83501.429999999993</c:v>
                </c:pt>
                <c:pt idx="65">
                  <c:v>83500.100000000006</c:v>
                </c:pt>
                <c:pt idx="66">
                  <c:v>83515</c:v>
                </c:pt>
                <c:pt idx="67">
                  <c:v>83483.899999999994</c:v>
                </c:pt>
                <c:pt idx="68">
                  <c:v>83510.8</c:v>
                </c:pt>
                <c:pt idx="69">
                  <c:v>83506.539999999994</c:v>
                </c:pt>
                <c:pt idx="70">
                  <c:v>83503.94</c:v>
                </c:pt>
                <c:pt idx="71">
                  <c:v>83514.320000000007</c:v>
                </c:pt>
                <c:pt idx="72">
                  <c:v>83550.399999999994</c:v>
                </c:pt>
                <c:pt idx="73">
                  <c:v>83533.42</c:v>
                </c:pt>
                <c:pt idx="74">
                  <c:v>83512.509999999995</c:v>
                </c:pt>
                <c:pt idx="75">
                  <c:v>83453.31</c:v>
                </c:pt>
                <c:pt idx="76">
                  <c:v>83486.559999999998</c:v>
                </c:pt>
                <c:pt idx="77">
                  <c:v>83515.100000000006</c:v>
                </c:pt>
                <c:pt idx="78">
                  <c:v>83443.399999999994</c:v>
                </c:pt>
                <c:pt idx="79">
                  <c:v>83426.070000000007</c:v>
                </c:pt>
                <c:pt idx="80">
                  <c:v>83423.509999999995</c:v>
                </c:pt>
                <c:pt idx="81">
                  <c:v>83394.63</c:v>
                </c:pt>
                <c:pt idx="82">
                  <c:v>83292.600000000006</c:v>
                </c:pt>
                <c:pt idx="83">
                  <c:v>83157.600000000006</c:v>
                </c:pt>
                <c:pt idx="84">
                  <c:v>83150.559999999998</c:v>
                </c:pt>
                <c:pt idx="85">
                  <c:v>83303.8</c:v>
                </c:pt>
                <c:pt idx="86">
                  <c:v>83165.039999999994</c:v>
                </c:pt>
                <c:pt idx="87">
                  <c:v>83130.25</c:v>
                </c:pt>
                <c:pt idx="88">
                  <c:v>83133.63</c:v>
                </c:pt>
                <c:pt idx="89">
                  <c:v>83182.81</c:v>
                </c:pt>
                <c:pt idx="90">
                  <c:v>83205.77</c:v>
                </c:pt>
                <c:pt idx="91">
                  <c:v>83209.100000000006</c:v>
                </c:pt>
                <c:pt idx="92">
                  <c:v>83228.36</c:v>
                </c:pt>
                <c:pt idx="93">
                  <c:v>83184.240000000005</c:v>
                </c:pt>
                <c:pt idx="94">
                  <c:v>83180.36</c:v>
                </c:pt>
                <c:pt idx="95">
                  <c:v>83167.520000000004</c:v>
                </c:pt>
                <c:pt idx="96">
                  <c:v>83143.42</c:v>
                </c:pt>
                <c:pt idx="97">
                  <c:v>83124.639999999999</c:v>
                </c:pt>
                <c:pt idx="98">
                  <c:v>83069.63</c:v>
                </c:pt>
                <c:pt idx="99">
                  <c:v>83024.210000000006</c:v>
                </c:pt>
                <c:pt idx="100">
                  <c:v>83048.39</c:v>
                </c:pt>
                <c:pt idx="101">
                  <c:v>83012.91</c:v>
                </c:pt>
                <c:pt idx="102">
                  <c:v>82954.38</c:v>
                </c:pt>
                <c:pt idx="103">
                  <c:v>82975.28</c:v>
                </c:pt>
                <c:pt idx="104">
                  <c:v>82911.03</c:v>
                </c:pt>
                <c:pt idx="105">
                  <c:v>82919.62</c:v>
                </c:pt>
                <c:pt idx="106">
                  <c:v>82816.86</c:v>
                </c:pt>
                <c:pt idx="107">
                  <c:v>82776.91</c:v>
                </c:pt>
                <c:pt idx="108">
                  <c:v>82929.53</c:v>
                </c:pt>
                <c:pt idx="109">
                  <c:v>82967.81</c:v>
                </c:pt>
                <c:pt idx="110">
                  <c:v>82868.5</c:v>
                </c:pt>
                <c:pt idx="111">
                  <c:v>82667.570000000007</c:v>
                </c:pt>
                <c:pt idx="112">
                  <c:v>82744.91</c:v>
                </c:pt>
                <c:pt idx="113">
                  <c:v>82644.39</c:v>
                </c:pt>
                <c:pt idx="114">
                  <c:v>82682.039999999994</c:v>
                </c:pt>
                <c:pt idx="115">
                  <c:v>82744.399999999994</c:v>
                </c:pt>
                <c:pt idx="116">
                  <c:v>82747.23</c:v>
                </c:pt>
                <c:pt idx="117">
                  <c:v>82790.460000000006</c:v>
                </c:pt>
                <c:pt idx="118">
                  <c:v>82720.929999999993</c:v>
                </c:pt>
                <c:pt idx="119">
                  <c:v>82760.240000000005</c:v>
                </c:pt>
                <c:pt idx="120">
                  <c:v>82790.17</c:v>
                </c:pt>
                <c:pt idx="121">
                  <c:v>82812.53</c:v>
                </c:pt>
                <c:pt idx="122">
                  <c:v>82923.14</c:v>
                </c:pt>
                <c:pt idx="123">
                  <c:v>82921.63</c:v>
                </c:pt>
                <c:pt idx="124">
                  <c:v>83005.64</c:v>
                </c:pt>
                <c:pt idx="125">
                  <c:v>82989.87</c:v>
                </c:pt>
                <c:pt idx="126">
                  <c:v>83050.320000000007</c:v>
                </c:pt>
                <c:pt idx="127">
                  <c:v>83124.34</c:v>
                </c:pt>
                <c:pt idx="128">
                  <c:v>83126.720000000001</c:v>
                </c:pt>
                <c:pt idx="129">
                  <c:v>83047.039999999994</c:v>
                </c:pt>
                <c:pt idx="130">
                  <c:v>83018.66</c:v>
                </c:pt>
                <c:pt idx="131">
                  <c:v>83093.56</c:v>
                </c:pt>
                <c:pt idx="132">
                  <c:v>83056.899999999994</c:v>
                </c:pt>
                <c:pt idx="133">
                  <c:v>83110.350000000006</c:v>
                </c:pt>
                <c:pt idx="134">
                  <c:v>83161.06</c:v>
                </c:pt>
                <c:pt idx="135">
                  <c:v>83129.08</c:v>
                </c:pt>
                <c:pt idx="136">
                  <c:v>83206.5</c:v>
                </c:pt>
                <c:pt idx="137">
                  <c:v>83031.13</c:v>
                </c:pt>
                <c:pt idx="138">
                  <c:v>83080.86</c:v>
                </c:pt>
                <c:pt idx="139">
                  <c:v>83107.92</c:v>
                </c:pt>
                <c:pt idx="140">
                  <c:v>83098.34</c:v>
                </c:pt>
                <c:pt idx="141">
                  <c:v>83149.42</c:v>
                </c:pt>
                <c:pt idx="142">
                  <c:v>83117.850000000006</c:v>
                </c:pt>
                <c:pt idx="143">
                  <c:v>83138.13</c:v>
                </c:pt>
                <c:pt idx="144">
                  <c:v>83149.63</c:v>
                </c:pt>
                <c:pt idx="145">
                  <c:v>83093.16</c:v>
                </c:pt>
                <c:pt idx="146">
                  <c:v>83096.539999999994</c:v>
                </c:pt>
                <c:pt idx="147">
                  <c:v>83087.899999999994</c:v>
                </c:pt>
                <c:pt idx="148">
                  <c:v>83124.91</c:v>
                </c:pt>
                <c:pt idx="149">
                  <c:v>83112.31</c:v>
                </c:pt>
                <c:pt idx="150">
                  <c:v>83033.81</c:v>
                </c:pt>
                <c:pt idx="151">
                  <c:v>83020.36</c:v>
                </c:pt>
                <c:pt idx="152">
                  <c:v>82999.600000000006</c:v>
                </c:pt>
                <c:pt idx="153">
                  <c:v>82963.63</c:v>
                </c:pt>
                <c:pt idx="154">
                  <c:v>82928.03</c:v>
                </c:pt>
                <c:pt idx="155">
                  <c:v>82859.570000000007</c:v>
                </c:pt>
                <c:pt idx="156">
                  <c:v>82886.679999999993</c:v>
                </c:pt>
                <c:pt idx="157">
                  <c:v>82886.83</c:v>
                </c:pt>
                <c:pt idx="158">
                  <c:v>82904.03</c:v>
                </c:pt>
                <c:pt idx="159">
                  <c:v>82922.5</c:v>
                </c:pt>
                <c:pt idx="160">
                  <c:v>82987.710000000006</c:v>
                </c:pt>
                <c:pt idx="161">
                  <c:v>83025.8</c:v>
                </c:pt>
                <c:pt idx="162">
                  <c:v>83098.84</c:v>
                </c:pt>
                <c:pt idx="163">
                  <c:v>83164.36</c:v>
                </c:pt>
                <c:pt idx="164">
                  <c:v>83164.59</c:v>
                </c:pt>
                <c:pt idx="165">
                  <c:v>83191.05</c:v>
                </c:pt>
                <c:pt idx="166">
                  <c:v>83250.37</c:v>
                </c:pt>
                <c:pt idx="167">
                  <c:v>83201.119999999995</c:v>
                </c:pt>
                <c:pt idx="168">
                  <c:v>83140.5</c:v>
                </c:pt>
                <c:pt idx="169">
                  <c:v>83142.05</c:v>
                </c:pt>
                <c:pt idx="170">
                  <c:v>83156.37</c:v>
                </c:pt>
                <c:pt idx="171">
                  <c:v>83189.210000000006</c:v>
                </c:pt>
                <c:pt idx="172">
                  <c:v>83193.7</c:v>
                </c:pt>
                <c:pt idx="173">
                  <c:v>83198.55</c:v>
                </c:pt>
                <c:pt idx="174">
                  <c:v>83178.929999999993</c:v>
                </c:pt>
                <c:pt idx="175">
                  <c:v>83165.289999999994</c:v>
                </c:pt>
                <c:pt idx="176">
                  <c:v>83142.990000000005</c:v>
                </c:pt>
                <c:pt idx="177">
                  <c:v>83159.8</c:v>
                </c:pt>
                <c:pt idx="178">
                  <c:v>83099.31</c:v>
                </c:pt>
                <c:pt idx="179">
                  <c:v>83088.600000000006</c:v>
                </c:pt>
                <c:pt idx="180">
                  <c:v>83070.81</c:v>
                </c:pt>
                <c:pt idx="181">
                  <c:v>83109.25</c:v>
                </c:pt>
                <c:pt idx="182">
                  <c:v>83079.62</c:v>
                </c:pt>
                <c:pt idx="183">
                  <c:v>83067.240000000005</c:v>
                </c:pt>
                <c:pt idx="184">
                  <c:v>83060.56</c:v>
                </c:pt>
                <c:pt idx="185">
                  <c:v>83102.720000000001</c:v>
                </c:pt>
                <c:pt idx="186">
                  <c:v>83131.5</c:v>
                </c:pt>
                <c:pt idx="187">
                  <c:v>83120.73</c:v>
                </c:pt>
                <c:pt idx="188">
                  <c:v>83123.289999999994</c:v>
                </c:pt>
                <c:pt idx="189">
                  <c:v>83074.98</c:v>
                </c:pt>
                <c:pt idx="190">
                  <c:v>83065.710000000006</c:v>
                </c:pt>
                <c:pt idx="191">
                  <c:v>83095.63</c:v>
                </c:pt>
                <c:pt idx="192">
                  <c:v>83079.97</c:v>
                </c:pt>
                <c:pt idx="193">
                  <c:v>83079.94</c:v>
                </c:pt>
                <c:pt idx="194">
                  <c:v>83059.759999999995</c:v>
                </c:pt>
                <c:pt idx="195">
                  <c:v>83036.75</c:v>
                </c:pt>
                <c:pt idx="196">
                  <c:v>83049.740000000005</c:v>
                </c:pt>
                <c:pt idx="197">
                  <c:v>83059.92</c:v>
                </c:pt>
                <c:pt idx="198">
                  <c:v>82998.320000000007</c:v>
                </c:pt>
                <c:pt idx="199">
                  <c:v>82942.009999999995</c:v>
                </c:pt>
                <c:pt idx="200">
                  <c:v>82942.2</c:v>
                </c:pt>
                <c:pt idx="201">
                  <c:v>82974.929999999993</c:v>
                </c:pt>
                <c:pt idx="202">
                  <c:v>83014.41</c:v>
                </c:pt>
                <c:pt idx="203">
                  <c:v>82981.990000000005</c:v>
                </c:pt>
                <c:pt idx="204">
                  <c:v>82957.67</c:v>
                </c:pt>
                <c:pt idx="205">
                  <c:v>82950.490000000005</c:v>
                </c:pt>
                <c:pt idx="206">
                  <c:v>82971.75</c:v>
                </c:pt>
                <c:pt idx="207">
                  <c:v>82950.37</c:v>
                </c:pt>
                <c:pt idx="208">
                  <c:v>82959.399999999994</c:v>
                </c:pt>
                <c:pt idx="209">
                  <c:v>82881.64</c:v>
                </c:pt>
                <c:pt idx="210">
                  <c:v>82899.899999999994</c:v>
                </c:pt>
                <c:pt idx="211">
                  <c:v>82940.97</c:v>
                </c:pt>
                <c:pt idx="212">
                  <c:v>82978.36</c:v>
                </c:pt>
                <c:pt idx="213">
                  <c:v>82961.740000000005</c:v>
                </c:pt>
                <c:pt idx="214">
                  <c:v>82982.38</c:v>
                </c:pt>
                <c:pt idx="215">
                  <c:v>82941.05</c:v>
                </c:pt>
                <c:pt idx="216">
                  <c:v>83027.94</c:v>
                </c:pt>
                <c:pt idx="217">
                  <c:v>83002.179999999993</c:v>
                </c:pt>
                <c:pt idx="218">
                  <c:v>83005.38</c:v>
                </c:pt>
                <c:pt idx="219">
                  <c:v>83007.77</c:v>
                </c:pt>
                <c:pt idx="220">
                  <c:v>83009.83</c:v>
                </c:pt>
                <c:pt idx="221">
                  <c:v>83034.63</c:v>
                </c:pt>
                <c:pt idx="222">
                  <c:v>83102.17</c:v>
                </c:pt>
                <c:pt idx="223">
                  <c:v>83149.320000000007</c:v>
                </c:pt>
                <c:pt idx="224">
                  <c:v>83114.039999999994</c:v>
                </c:pt>
                <c:pt idx="225">
                  <c:v>83055.48</c:v>
                </c:pt>
                <c:pt idx="226">
                  <c:v>83020.070000000007</c:v>
                </c:pt>
                <c:pt idx="227">
                  <c:v>83074.03</c:v>
                </c:pt>
                <c:pt idx="228">
                  <c:v>83080.75</c:v>
                </c:pt>
                <c:pt idx="229">
                  <c:v>83027.520000000004</c:v>
                </c:pt>
                <c:pt idx="230">
                  <c:v>83056.27</c:v>
                </c:pt>
                <c:pt idx="231">
                  <c:v>83051.05</c:v>
                </c:pt>
                <c:pt idx="232">
                  <c:v>83090.399999999994</c:v>
                </c:pt>
                <c:pt idx="233">
                  <c:v>83099.34</c:v>
                </c:pt>
                <c:pt idx="234">
                  <c:v>83115.12</c:v>
                </c:pt>
                <c:pt idx="235">
                  <c:v>83128.25</c:v>
                </c:pt>
                <c:pt idx="236">
                  <c:v>83090.5</c:v>
                </c:pt>
                <c:pt idx="237">
                  <c:v>83090.399999999994</c:v>
                </c:pt>
                <c:pt idx="238">
                  <c:v>83079.38</c:v>
                </c:pt>
                <c:pt idx="239">
                  <c:v>83057.440000000002</c:v>
                </c:pt>
                <c:pt idx="240">
                  <c:v>83069.509999999995</c:v>
                </c:pt>
                <c:pt idx="241">
                  <c:v>83093.72</c:v>
                </c:pt>
                <c:pt idx="242">
                  <c:v>83016.28</c:v>
                </c:pt>
                <c:pt idx="243">
                  <c:v>83059.039999999994</c:v>
                </c:pt>
                <c:pt idx="244">
                  <c:v>83074.41</c:v>
                </c:pt>
                <c:pt idx="245">
                  <c:v>83121.47</c:v>
                </c:pt>
                <c:pt idx="246">
                  <c:v>83134.73</c:v>
                </c:pt>
                <c:pt idx="247">
                  <c:v>83109.919999999998</c:v>
                </c:pt>
                <c:pt idx="248">
                  <c:v>83123.210000000006</c:v>
                </c:pt>
                <c:pt idx="249">
                  <c:v>83083.509999999995</c:v>
                </c:pt>
                <c:pt idx="250">
                  <c:v>83110.84</c:v>
                </c:pt>
                <c:pt idx="251">
                  <c:v>83037.94</c:v>
                </c:pt>
                <c:pt idx="252">
                  <c:v>83053.81</c:v>
                </c:pt>
                <c:pt idx="253">
                  <c:v>83004.23</c:v>
                </c:pt>
                <c:pt idx="254">
                  <c:v>83017.86</c:v>
                </c:pt>
                <c:pt idx="255">
                  <c:v>82997.02</c:v>
                </c:pt>
                <c:pt idx="256">
                  <c:v>82990.61</c:v>
                </c:pt>
                <c:pt idx="257">
                  <c:v>83025.53</c:v>
                </c:pt>
                <c:pt idx="258">
                  <c:v>83019.03</c:v>
                </c:pt>
                <c:pt idx="259">
                  <c:v>83005.94</c:v>
                </c:pt>
                <c:pt idx="260">
                  <c:v>83033.73</c:v>
                </c:pt>
                <c:pt idx="261">
                  <c:v>82995.41</c:v>
                </c:pt>
                <c:pt idx="262">
                  <c:v>83005.600000000006</c:v>
                </c:pt>
                <c:pt idx="263">
                  <c:v>82988.2</c:v>
                </c:pt>
                <c:pt idx="264">
                  <c:v>82956.479999999996</c:v>
                </c:pt>
                <c:pt idx="265">
                  <c:v>82963.199999999997</c:v>
                </c:pt>
                <c:pt idx="266">
                  <c:v>82986.03</c:v>
                </c:pt>
                <c:pt idx="267">
                  <c:v>83000.100000000006</c:v>
                </c:pt>
                <c:pt idx="268">
                  <c:v>82949.37</c:v>
                </c:pt>
                <c:pt idx="269">
                  <c:v>82970.460000000006</c:v>
                </c:pt>
                <c:pt idx="270">
                  <c:v>83004.61</c:v>
                </c:pt>
                <c:pt idx="271">
                  <c:v>82997.22</c:v>
                </c:pt>
                <c:pt idx="272">
                  <c:v>82988.72</c:v>
                </c:pt>
                <c:pt idx="273">
                  <c:v>82993.62</c:v>
                </c:pt>
                <c:pt idx="274">
                  <c:v>83006.240000000005</c:v>
                </c:pt>
                <c:pt idx="275">
                  <c:v>83017.039999999994</c:v>
                </c:pt>
                <c:pt idx="276">
                  <c:v>83008.41</c:v>
                </c:pt>
                <c:pt idx="277">
                  <c:v>83020.92</c:v>
                </c:pt>
                <c:pt idx="278">
                  <c:v>83011.039999999994</c:v>
                </c:pt>
                <c:pt idx="279">
                  <c:v>82957.440000000002</c:v>
                </c:pt>
                <c:pt idx="280">
                  <c:v>82954.740000000005</c:v>
                </c:pt>
                <c:pt idx="281">
                  <c:v>82975.600000000006</c:v>
                </c:pt>
                <c:pt idx="282">
                  <c:v>83010.399999999994</c:v>
                </c:pt>
                <c:pt idx="283">
                  <c:v>82986.84</c:v>
                </c:pt>
                <c:pt idx="284">
                  <c:v>82990.69</c:v>
                </c:pt>
                <c:pt idx="285">
                  <c:v>82988.52</c:v>
                </c:pt>
                <c:pt idx="286">
                  <c:v>83001.31</c:v>
                </c:pt>
                <c:pt idx="287">
                  <c:v>82991.570000000007</c:v>
                </c:pt>
                <c:pt idx="288">
                  <c:v>82977.52</c:v>
                </c:pt>
                <c:pt idx="289">
                  <c:v>82990.350000000006</c:v>
                </c:pt>
                <c:pt idx="290">
                  <c:v>82973.73</c:v>
                </c:pt>
                <c:pt idx="291">
                  <c:v>82970.5</c:v>
                </c:pt>
                <c:pt idx="292">
                  <c:v>82973.59</c:v>
                </c:pt>
                <c:pt idx="293">
                  <c:v>82979.31</c:v>
                </c:pt>
                <c:pt idx="294">
                  <c:v>82970.61</c:v>
                </c:pt>
                <c:pt idx="295">
                  <c:v>82933.259999999995</c:v>
                </c:pt>
                <c:pt idx="296">
                  <c:v>82947.25</c:v>
                </c:pt>
                <c:pt idx="297">
                  <c:v>82915.17</c:v>
                </c:pt>
                <c:pt idx="298">
                  <c:v>82936.11</c:v>
                </c:pt>
                <c:pt idx="299">
                  <c:v>82922.97</c:v>
                </c:pt>
                <c:pt idx="300">
                  <c:v>82957.63</c:v>
                </c:pt>
                <c:pt idx="301">
                  <c:v>82972.12</c:v>
                </c:pt>
                <c:pt idx="302">
                  <c:v>82909.06</c:v>
                </c:pt>
                <c:pt idx="303">
                  <c:v>82835.53</c:v>
                </c:pt>
                <c:pt idx="304">
                  <c:v>82886.39</c:v>
                </c:pt>
                <c:pt idx="305">
                  <c:v>82920.53</c:v>
                </c:pt>
                <c:pt idx="306">
                  <c:v>82928.600000000006</c:v>
                </c:pt>
                <c:pt idx="307">
                  <c:v>82945.55</c:v>
                </c:pt>
                <c:pt idx="308">
                  <c:v>82953.350000000006</c:v>
                </c:pt>
                <c:pt idx="309">
                  <c:v>82905.98</c:v>
                </c:pt>
                <c:pt idx="310">
                  <c:v>82973.320000000007</c:v>
                </c:pt>
                <c:pt idx="311">
                  <c:v>82970.13</c:v>
                </c:pt>
                <c:pt idx="312">
                  <c:v>82953.600000000006</c:v>
                </c:pt>
                <c:pt idx="313">
                  <c:v>82956.33</c:v>
                </c:pt>
                <c:pt idx="314">
                  <c:v>82960.55</c:v>
                </c:pt>
                <c:pt idx="315">
                  <c:v>82956.84</c:v>
                </c:pt>
                <c:pt idx="316">
                  <c:v>82977.7</c:v>
                </c:pt>
                <c:pt idx="317">
                  <c:v>83006.720000000001</c:v>
                </c:pt>
                <c:pt idx="318">
                  <c:v>82797.53</c:v>
                </c:pt>
                <c:pt idx="319">
                  <c:v>82811.5</c:v>
                </c:pt>
                <c:pt idx="320">
                  <c:v>82910.86</c:v>
                </c:pt>
                <c:pt idx="321">
                  <c:v>82921.45</c:v>
                </c:pt>
                <c:pt idx="322">
                  <c:v>82910.62</c:v>
                </c:pt>
                <c:pt idx="323">
                  <c:v>82965.509999999995</c:v>
                </c:pt>
                <c:pt idx="324">
                  <c:v>82961.240000000005</c:v>
                </c:pt>
                <c:pt idx="325">
                  <c:v>82906.5</c:v>
                </c:pt>
                <c:pt idx="326">
                  <c:v>82921.350000000006</c:v>
                </c:pt>
                <c:pt idx="327">
                  <c:v>82946.45</c:v>
                </c:pt>
                <c:pt idx="328">
                  <c:v>82963</c:v>
                </c:pt>
                <c:pt idx="329">
                  <c:v>82957.2</c:v>
                </c:pt>
                <c:pt idx="330">
                  <c:v>82957.62</c:v>
                </c:pt>
                <c:pt idx="331">
                  <c:v>82951.899999999994</c:v>
                </c:pt>
                <c:pt idx="332">
                  <c:v>82932.61</c:v>
                </c:pt>
                <c:pt idx="333">
                  <c:v>82947.61</c:v>
                </c:pt>
                <c:pt idx="334">
                  <c:v>82927.429999999993</c:v>
                </c:pt>
                <c:pt idx="335">
                  <c:v>82877.17</c:v>
                </c:pt>
                <c:pt idx="336">
                  <c:v>82919.94</c:v>
                </c:pt>
                <c:pt idx="337">
                  <c:v>82888.09</c:v>
                </c:pt>
                <c:pt idx="338">
                  <c:v>82878.820000000007</c:v>
                </c:pt>
                <c:pt idx="339">
                  <c:v>82882.25</c:v>
                </c:pt>
                <c:pt idx="340">
                  <c:v>82860.31</c:v>
                </c:pt>
                <c:pt idx="341">
                  <c:v>82791.3</c:v>
                </c:pt>
                <c:pt idx="342">
                  <c:v>82860.350000000006</c:v>
                </c:pt>
                <c:pt idx="343">
                  <c:v>82856.600000000006</c:v>
                </c:pt>
                <c:pt idx="344">
                  <c:v>82905.5</c:v>
                </c:pt>
                <c:pt idx="345">
                  <c:v>82925.37</c:v>
                </c:pt>
                <c:pt idx="346">
                  <c:v>82890.210000000006</c:v>
                </c:pt>
                <c:pt idx="347">
                  <c:v>82889.3</c:v>
                </c:pt>
                <c:pt idx="348">
                  <c:v>82876.5</c:v>
                </c:pt>
                <c:pt idx="349">
                  <c:v>82895.41</c:v>
                </c:pt>
                <c:pt idx="350">
                  <c:v>82892.070000000007</c:v>
                </c:pt>
                <c:pt idx="351">
                  <c:v>82854.009999999995</c:v>
                </c:pt>
                <c:pt idx="352">
                  <c:v>82759.539999999994</c:v>
                </c:pt>
                <c:pt idx="353">
                  <c:v>82773.75</c:v>
                </c:pt>
                <c:pt idx="354">
                  <c:v>82719.33</c:v>
                </c:pt>
                <c:pt idx="355">
                  <c:v>82727.33</c:v>
                </c:pt>
                <c:pt idx="356">
                  <c:v>82693.679999999993</c:v>
                </c:pt>
                <c:pt idx="357">
                  <c:v>82747.240000000005</c:v>
                </c:pt>
                <c:pt idx="358">
                  <c:v>82765.33</c:v>
                </c:pt>
                <c:pt idx="359">
                  <c:v>82754.559999999998</c:v>
                </c:pt>
                <c:pt idx="360">
                  <c:v>82809.31</c:v>
                </c:pt>
                <c:pt idx="361">
                  <c:v>82738.759999999995</c:v>
                </c:pt>
                <c:pt idx="362">
                  <c:v>82728.83</c:v>
                </c:pt>
                <c:pt idx="363">
                  <c:v>82725.95</c:v>
                </c:pt>
                <c:pt idx="364">
                  <c:v>82681.3</c:v>
                </c:pt>
                <c:pt idx="365">
                  <c:v>82676.710000000006</c:v>
                </c:pt>
                <c:pt idx="366">
                  <c:v>82791.759999999995</c:v>
                </c:pt>
                <c:pt idx="367">
                  <c:v>82755.11</c:v>
                </c:pt>
                <c:pt idx="368">
                  <c:v>82767.399999999994</c:v>
                </c:pt>
                <c:pt idx="369">
                  <c:v>82759.25</c:v>
                </c:pt>
                <c:pt idx="370">
                  <c:v>82765.83</c:v>
                </c:pt>
                <c:pt idx="371">
                  <c:v>82777.83</c:v>
                </c:pt>
                <c:pt idx="372">
                  <c:v>82827.05</c:v>
                </c:pt>
                <c:pt idx="373">
                  <c:v>82854.98</c:v>
                </c:pt>
                <c:pt idx="374">
                  <c:v>82797.02</c:v>
                </c:pt>
                <c:pt idx="375">
                  <c:v>82816.45</c:v>
                </c:pt>
                <c:pt idx="376">
                  <c:v>82781.460000000006</c:v>
                </c:pt>
                <c:pt idx="377">
                  <c:v>82762.95</c:v>
                </c:pt>
                <c:pt idx="378">
                  <c:v>82749.23</c:v>
                </c:pt>
                <c:pt idx="379">
                  <c:v>82788.259999999995</c:v>
                </c:pt>
                <c:pt idx="380">
                  <c:v>82838.59</c:v>
                </c:pt>
                <c:pt idx="381">
                  <c:v>82859.22</c:v>
                </c:pt>
                <c:pt idx="382">
                  <c:v>82854.06</c:v>
                </c:pt>
                <c:pt idx="383">
                  <c:v>82773.919999999998</c:v>
                </c:pt>
                <c:pt idx="384">
                  <c:v>82780.429999999993</c:v>
                </c:pt>
                <c:pt idx="385">
                  <c:v>82789.5</c:v>
                </c:pt>
                <c:pt idx="386">
                  <c:v>82777.52</c:v>
                </c:pt>
                <c:pt idx="387">
                  <c:v>82759.75</c:v>
                </c:pt>
                <c:pt idx="388">
                  <c:v>82744</c:v>
                </c:pt>
                <c:pt idx="389">
                  <c:v>82771.100000000006</c:v>
                </c:pt>
                <c:pt idx="390">
                  <c:v>82790.399999999994</c:v>
                </c:pt>
                <c:pt idx="391">
                  <c:v>82780.5</c:v>
                </c:pt>
                <c:pt idx="392">
                  <c:v>82743.94</c:v>
                </c:pt>
                <c:pt idx="393">
                  <c:v>82610.52</c:v>
                </c:pt>
                <c:pt idx="394">
                  <c:v>82589</c:v>
                </c:pt>
                <c:pt idx="395">
                  <c:v>82506.59</c:v>
                </c:pt>
                <c:pt idx="396">
                  <c:v>82598.27</c:v>
                </c:pt>
                <c:pt idx="397">
                  <c:v>82473.91</c:v>
                </c:pt>
                <c:pt idx="398">
                  <c:v>82509.36</c:v>
                </c:pt>
                <c:pt idx="399">
                  <c:v>82458.720000000001</c:v>
                </c:pt>
                <c:pt idx="400">
                  <c:v>82492.69</c:v>
                </c:pt>
                <c:pt idx="401">
                  <c:v>82560.67</c:v>
                </c:pt>
                <c:pt idx="402">
                  <c:v>82568</c:v>
                </c:pt>
                <c:pt idx="403">
                  <c:v>82558.66</c:v>
                </c:pt>
                <c:pt idx="404">
                  <c:v>82554.23</c:v>
                </c:pt>
                <c:pt idx="405">
                  <c:v>82608.73</c:v>
                </c:pt>
                <c:pt idx="406">
                  <c:v>82589.53</c:v>
                </c:pt>
                <c:pt idx="407">
                  <c:v>82581.87</c:v>
                </c:pt>
                <c:pt idx="408">
                  <c:v>82590.679999999993</c:v>
                </c:pt>
                <c:pt idx="409">
                  <c:v>82613.649999999994</c:v>
                </c:pt>
                <c:pt idx="410">
                  <c:v>82631.199999999997</c:v>
                </c:pt>
                <c:pt idx="411">
                  <c:v>82634.399999999994</c:v>
                </c:pt>
                <c:pt idx="412">
                  <c:v>82582.83</c:v>
                </c:pt>
                <c:pt idx="413">
                  <c:v>82581.259999999995</c:v>
                </c:pt>
                <c:pt idx="414">
                  <c:v>82614.03</c:v>
                </c:pt>
                <c:pt idx="415">
                  <c:v>82636.06</c:v>
                </c:pt>
                <c:pt idx="416">
                  <c:v>82634.149999999994</c:v>
                </c:pt>
                <c:pt idx="417">
                  <c:v>82639.360000000001</c:v>
                </c:pt>
                <c:pt idx="418">
                  <c:v>82647.539999999994</c:v>
                </c:pt>
                <c:pt idx="419">
                  <c:v>82701.990000000005</c:v>
                </c:pt>
                <c:pt idx="420">
                  <c:v>82723.3</c:v>
                </c:pt>
                <c:pt idx="421">
                  <c:v>82763.73</c:v>
                </c:pt>
                <c:pt idx="422">
                  <c:v>82774.28</c:v>
                </c:pt>
                <c:pt idx="423">
                  <c:v>82710.31</c:v>
                </c:pt>
                <c:pt idx="424">
                  <c:v>82742.899999999994</c:v>
                </c:pt>
                <c:pt idx="425">
                  <c:v>82833.490000000005</c:v>
                </c:pt>
                <c:pt idx="426">
                  <c:v>82810.5</c:v>
                </c:pt>
                <c:pt idx="427">
                  <c:v>82878</c:v>
                </c:pt>
                <c:pt idx="428">
                  <c:v>82780.55</c:v>
                </c:pt>
                <c:pt idx="429">
                  <c:v>82595.11</c:v>
                </c:pt>
                <c:pt idx="430">
                  <c:v>82556.89</c:v>
                </c:pt>
                <c:pt idx="431">
                  <c:v>82415.58</c:v>
                </c:pt>
                <c:pt idx="432">
                  <c:v>82477.490000000005</c:v>
                </c:pt>
                <c:pt idx="433">
                  <c:v>82420.88</c:v>
                </c:pt>
                <c:pt idx="434">
                  <c:v>82444.94</c:v>
                </c:pt>
                <c:pt idx="435">
                  <c:v>82407.899999999994</c:v>
                </c:pt>
                <c:pt idx="436">
                  <c:v>82347.89</c:v>
                </c:pt>
                <c:pt idx="437">
                  <c:v>82476</c:v>
                </c:pt>
                <c:pt idx="438">
                  <c:v>82358.2</c:v>
                </c:pt>
                <c:pt idx="439">
                  <c:v>82238.990000000005</c:v>
                </c:pt>
                <c:pt idx="440">
                  <c:v>82230.710000000006</c:v>
                </c:pt>
                <c:pt idx="441">
                  <c:v>82222.929999999993</c:v>
                </c:pt>
                <c:pt idx="442">
                  <c:v>82245.59</c:v>
                </c:pt>
                <c:pt idx="443">
                  <c:v>82121.61</c:v>
                </c:pt>
                <c:pt idx="444">
                  <c:v>82000.58</c:v>
                </c:pt>
                <c:pt idx="445">
                  <c:v>81927.3</c:v>
                </c:pt>
                <c:pt idx="446">
                  <c:v>81952.5</c:v>
                </c:pt>
                <c:pt idx="447">
                  <c:v>81532.800000000003</c:v>
                </c:pt>
                <c:pt idx="448">
                  <c:v>81488.66</c:v>
                </c:pt>
                <c:pt idx="449">
                  <c:v>81543.929999999993</c:v>
                </c:pt>
                <c:pt idx="450">
                  <c:v>81556.12</c:v>
                </c:pt>
                <c:pt idx="451">
                  <c:v>81402.13</c:v>
                </c:pt>
                <c:pt idx="452">
                  <c:v>81101.23</c:v>
                </c:pt>
                <c:pt idx="453">
                  <c:v>81368.52</c:v>
                </c:pt>
                <c:pt idx="454">
                  <c:v>81323.789999999994</c:v>
                </c:pt>
                <c:pt idx="455">
                  <c:v>81413.87</c:v>
                </c:pt>
                <c:pt idx="456">
                  <c:v>81494.47</c:v>
                </c:pt>
                <c:pt idx="457">
                  <c:v>81188.240000000005</c:v>
                </c:pt>
                <c:pt idx="458">
                  <c:v>81145.81</c:v>
                </c:pt>
                <c:pt idx="459">
                  <c:v>81136.91</c:v>
                </c:pt>
                <c:pt idx="460">
                  <c:v>81017.440000000002</c:v>
                </c:pt>
                <c:pt idx="461">
                  <c:v>80970.009999999995</c:v>
                </c:pt>
                <c:pt idx="462">
                  <c:v>80959.56</c:v>
                </c:pt>
                <c:pt idx="463">
                  <c:v>80947.520000000004</c:v>
                </c:pt>
                <c:pt idx="464">
                  <c:v>80974.399999999994</c:v>
                </c:pt>
                <c:pt idx="465">
                  <c:v>80953.5</c:v>
                </c:pt>
                <c:pt idx="466">
                  <c:v>80995.06</c:v>
                </c:pt>
                <c:pt idx="467">
                  <c:v>81154.259999999995</c:v>
                </c:pt>
                <c:pt idx="468">
                  <c:v>81045.899999999994</c:v>
                </c:pt>
                <c:pt idx="469">
                  <c:v>81192.09</c:v>
                </c:pt>
                <c:pt idx="470">
                  <c:v>81060.08</c:v>
                </c:pt>
                <c:pt idx="471">
                  <c:v>81074.75</c:v>
                </c:pt>
                <c:pt idx="472">
                  <c:v>81198.3</c:v>
                </c:pt>
                <c:pt idx="473">
                  <c:v>81200.570000000007</c:v>
                </c:pt>
                <c:pt idx="474">
                  <c:v>81215.070000000007</c:v>
                </c:pt>
                <c:pt idx="475">
                  <c:v>81388.320000000007</c:v>
                </c:pt>
                <c:pt idx="476">
                  <c:v>81502.039999999994</c:v>
                </c:pt>
                <c:pt idx="477">
                  <c:v>81401.350000000006</c:v>
                </c:pt>
                <c:pt idx="478">
                  <c:v>81488.47</c:v>
                </c:pt>
                <c:pt idx="479">
                  <c:v>81427.509999999995</c:v>
                </c:pt>
                <c:pt idx="480">
                  <c:v>81442.37</c:v>
                </c:pt>
                <c:pt idx="481">
                  <c:v>81372.83</c:v>
                </c:pt>
                <c:pt idx="482">
                  <c:v>81238.41</c:v>
                </c:pt>
                <c:pt idx="483">
                  <c:v>81241.289999999994</c:v>
                </c:pt>
                <c:pt idx="484">
                  <c:v>81213.56</c:v>
                </c:pt>
                <c:pt idx="485">
                  <c:v>81266.320000000007</c:v>
                </c:pt>
                <c:pt idx="486">
                  <c:v>81646.81</c:v>
                </c:pt>
                <c:pt idx="487">
                  <c:v>81601.14</c:v>
                </c:pt>
                <c:pt idx="488">
                  <c:v>81541.98</c:v>
                </c:pt>
                <c:pt idx="489">
                  <c:v>81428.929999999993</c:v>
                </c:pt>
                <c:pt idx="490">
                  <c:v>81373.91</c:v>
                </c:pt>
                <c:pt idx="491">
                  <c:v>81406.12</c:v>
                </c:pt>
                <c:pt idx="492">
                  <c:v>81297.53</c:v>
                </c:pt>
                <c:pt idx="493">
                  <c:v>81231.820000000007</c:v>
                </c:pt>
                <c:pt idx="494">
                  <c:v>81236.800000000003</c:v>
                </c:pt>
                <c:pt idx="495">
                  <c:v>81219.429999999993</c:v>
                </c:pt>
                <c:pt idx="496">
                  <c:v>81113.600000000006</c:v>
                </c:pt>
                <c:pt idx="497">
                  <c:v>81087.56</c:v>
                </c:pt>
                <c:pt idx="498">
                  <c:v>81188.08</c:v>
                </c:pt>
                <c:pt idx="499">
                  <c:v>81162.100000000006</c:v>
                </c:pt>
                <c:pt idx="500">
                  <c:v>81092.429999999993</c:v>
                </c:pt>
                <c:pt idx="501">
                  <c:v>81095.64</c:v>
                </c:pt>
                <c:pt idx="502">
                  <c:v>81173.98</c:v>
                </c:pt>
                <c:pt idx="503">
                  <c:v>81182.09</c:v>
                </c:pt>
                <c:pt idx="504">
                  <c:v>81124.55</c:v>
                </c:pt>
                <c:pt idx="505">
                  <c:v>81106.31</c:v>
                </c:pt>
                <c:pt idx="506">
                  <c:v>81165.62</c:v>
                </c:pt>
                <c:pt idx="507">
                  <c:v>81174.350000000006</c:v>
                </c:pt>
                <c:pt idx="508">
                  <c:v>81152.78</c:v>
                </c:pt>
                <c:pt idx="509">
                  <c:v>81205.2</c:v>
                </c:pt>
                <c:pt idx="510">
                  <c:v>81262.41</c:v>
                </c:pt>
                <c:pt idx="511">
                  <c:v>81250.53</c:v>
                </c:pt>
                <c:pt idx="512">
                  <c:v>81194.69</c:v>
                </c:pt>
                <c:pt idx="513">
                  <c:v>81301.89</c:v>
                </c:pt>
                <c:pt idx="514">
                  <c:v>81292.22</c:v>
                </c:pt>
                <c:pt idx="515">
                  <c:v>81298.37</c:v>
                </c:pt>
                <c:pt idx="516">
                  <c:v>81241.509999999995</c:v>
                </c:pt>
                <c:pt idx="517">
                  <c:v>81156.67</c:v>
                </c:pt>
                <c:pt idx="518">
                  <c:v>81174.62</c:v>
                </c:pt>
                <c:pt idx="519">
                  <c:v>81206.429999999993</c:v>
                </c:pt>
                <c:pt idx="520">
                  <c:v>81236.47</c:v>
                </c:pt>
                <c:pt idx="521">
                  <c:v>81157.73</c:v>
                </c:pt>
                <c:pt idx="522">
                  <c:v>81166.990000000005</c:v>
                </c:pt>
                <c:pt idx="523">
                  <c:v>81178.53</c:v>
                </c:pt>
                <c:pt idx="524">
                  <c:v>81206.350000000006</c:v>
                </c:pt>
                <c:pt idx="525">
                  <c:v>81295.199999999997</c:v>
                </c:pt>
                <c:pt idx="526">
                  <c:v>81310.399999999994</c:v>
                </c:pt>
                <c:pt idx="527">
                  <c:v>81246.69</c:v>
                </c:pt>
                <c:pt idx="528">
                  <c:v>81269.31</c:v>
                </c:pt>
                <c:pt idx="529">
                  <c:v>81453.119999999995</c:v>
                </c:pt>
                <c:pt idx="530">
                  <c:v>81435.92</c:v>
                </c:pt>
                <c:pt idx="531">
                  <c:v>81401.039999999994</c:v>
                </c:pt>
                <c:pt idx="532">
                  <c:v>81372.210000000006</c:v>
                </c:pt>
                <c:pt idx="533">
                  <c:v>81392.12</c:v>
                </c:pt>
                <c:pt idx="534">
                  <c:v>81378.259999999995</c:v>
                </c:pt>
                <c:pt idx="535">
                  <c:v>81368.479999999996</c:v>
                </c:pt>
                <c:pt idx="536">
                  <c:v>81430.5</c:v>
                </c:pt>
                <c:pt idx="537">
                  <c:v>81396.33</c:v>
                </c:pt>
                <c:pt idx="538">
                  <c:v>81262.23</c:v>
                </c:pt>
                <c:pt idx="539">
                  <c:v>81225.3</c:v>
                </c:pt>
                <c:pt idx="540">
                  <c:v>81256.820000000007</c:v>
                </c:pt>
                <c:pt idx="541">
                  <c:v>81332.210000000006</c:v>
                </c:pt>
                <c:pt idx="542">
                  <c:v>81248.52</c:v>
                </c:pt>
                <c:pt idx="543">
                  <c:v>81313.14</c:v>
                </c:pt>
                <c:pt idx="544">
                  <c:v>81350.73</c:v>
                </c:pt>
                <c:pt idx="545">
                  <c:v>81297.679999999993</c:v>
                </c:pt>
                <c:pt idx="546">
                  <c:v>81292.31</c:v>
                </c:pt>
                <c:pt idx="547">
                  <c:v>81239.73</c:v>
                </c:pt>
                <c:pt idx="548">
                  <c:v>81042.720000000001</c:v>
                </c:pt>
                <c:pt idx="549">
                  <c:v>80956.69</c:v>
                </c:pt>
                <c:pt idx="550">
                  <c:v>80698.42</c:v>
                </c:pt>
                <c:pt idx="551">
                  <c:v>80926.320000000007</c:v>
                </c:pt>
                <c:pt idx="552">
                  <c:v>80987.94</c:v>
                </c:pt>
                <c:pt idx="553">
                  <c:v>81021.72</c:v>
                </c:pt>
                <c:pt idx="554">
                  <c:v>80977.210000000006</c:v>
                </c:pt>
                <c:pt idx="555">
                  <c:v>80950.649999999994</c:v>
                </c:pt>
                <c:pt idx="556">
                  <c:v>80971.960000000006</c:v>
                </c:pt>
                <c:pt idx="557">
                  <c:v>80803.12</c:v>
                </c:pt>
                <c:pt idx="558">
                  <c:v>81063.66</c:v>
                </c:pt>
                <c:pt idx="559">
                  <c:v>81394.05</c:v>
                </c:pt>
                <c:pt idx="560">
                  <c:v>81380.960000000006</c:v>
                </c:pt>
                <c:pt idx="561">
                  <c:v>81668</c:v>
                </c:pt>
                <c:pt idx="562">
                  <c:v>81770.33</c:v>
                </c:pt>
                <c:pt idx="563">
                  <c:v>81699.83</c:v>
                </c:pt>
                <c:pt idx="564">
                  <c:v>81751.460000000006</c:v>
                </c:pt>
                <c:pt idx="565">
                  <c:v>81701.27</c:v>
                </c:pt>
                <c:pt idx="566">
                  <c:v>81495.240000000005</c:v>
                </c:pt>
                <c:pt idx="567">
                  <c:v>81418.69</c:v>
                </c:pt>
                <c:pt idx="568">
                  <c:v>81220.58</c:v>
                </c:pt>
                <c:pt idx="569">
                  <c:v>81093.81</c:v>
                </c:pt>
                <c:pt idx="570">
                  <c:v>81064.52</c:v>
                </c:pt>
                <c:pt idx="571">
                  <c:v>81049.600000000006</c:v>
                </c:pt>
                <c:pt idx="572">
                  <c:v>81160</c:v>
                </c:pt>
                <c:pt idx="573">
                  <c:v>81124.639999999999</c:v>
                </c:pt>
                <c:pt idx="574">
                  <c:v>81192.710000000006</c:v>
                </c:pt>
                <c:pt idx="575">
                  <c:v>81132.929999999993</c:v>
                </c:pt>
                <c:pt idx="576">
                  <c:v>81063.94</c:v>
                </c:pt>
                <c:pt idx="577">
                  <c:v>81037.490000000005</c:v>
                </c:pt>
                <c:pt idx="578">
                  <c:v>81090.38</c:v>
                </c:pt>
                <c:pt idx="579">
                  <c:v>80967</c:v>
                </c:pt>
                <c:pt idx="580">
                  <c:v>80986.73</c:v>
                </c:pt>
                <c:pt idx="581">
                  <c:v>80907.14</c:v>
                </c:pt>
                <c:pt idx="582">
                  <c:v>80933.91</c:v>
                </c:pt>
                <c:pt idx="583">
                  <c:v>81002.11</c:v>
                </c:pt>
                <c:pt idx="584">
                  <c:v>80915.210000000006</c:v>
                </c:pt>
                <c:pt idx="585">
                  <c:v>80937.539999999994</c:v>
                </c:pt>
                <c:pt idx="586">
                  <c:v>80963.31</c:v>
                </c:pt>
                <c:pt idx="587">
                  <c:v>80788.3</c:v>
                </c:pt>
                <c:pt idx="588">
                  <c:v>80273.509999999995</c:v>
                </c:pt>
                <c:pt idx="589">
                  <c:v>80422.509999999995</c:v>
                </c:pt>
                <c:pt idx="590">
                  <c:v>80414</c:v>
                </c:pt>
                <c:pt idx="591">
                  <c:v>80352.429999999993</c:v>
                </c:pt>
                <c:pt idx="592">
                  <c:v>80177.100000000006</c:v>
                </c:pt>
                <c:pt idx="593">
                  <c:v>80310.740000000005</c:v>
                </c:pt>
                <c:pt idx="594">
                  <c:v>80088.009999999995</c:v>
                </c:pt>
                <c:pt idx="595">
                  <c:v>80109.100000000006</c:v>
                </c:pt>
                <c:pt idx="596">
                  <c:v>80120.59</c:v>
                </c:pt>
                <c:pt idx="597">
                  <c:v>80200.710000000006</c:v>
                </c:pt>
                <c:pt idx="598">
                  <c:v>80117.600000000006</c:v>
                </c:pt>
                <c:pt idx="599">
                  <c:v>80225.009999999995</c:v>
                </c:pt>
                <c:pt idx="600">
                  <c:v>80311.13</c:v>
                </c:pt>
                <c:pt idx="601">
                  <c:v>80474.98</c:v>
                </c:pt>
                <c:pt idx="602">
                  <c:v>80291.22</c:v>
                </c:pt>
                <c:pt idx="603">
                  <c:v>80406.61</c:v>
                </c:pt>
                <c:pt idx="604">
                  <c:v>80485.210000000006</c:v>
                </c:pt>
                <c:pt idx="605">
                  <c:v>80290.62</c:v>
                </c:pt>
                <c:pt idx="606">
                  <c:v>80087.320000000007</c:v>
                </c:pt>
                <c:pt idx="607">
                  <c:v>80102.73</c:v>
                </c:pt>
                <c:pt idx="608">
                  <c:v>80118.05</c:v>
                </c:pt>
                <c:pt idx="609">
                  <c:v>79360.47</c:v>
                </c:pt>
                <c:pt idx="610">
                  <c:v>79459.259999999995</c:v>
                </c:pt>
                <c:pt idx="611">
                  <c:v>79356.12</c:v>
                </c:pt>
                <c:pt idx="612">
                  <c:v>78708.52</c:v>
                </c:pt>
                <c:pt idx="613">
                  <c:v>78736.679999999993</c:v>
                </c:pt>
                <c:pt idx="614">
                  <c:v>79231.39</c:v>
                </c:pt>
                <c:pt idx="615">
                  <c:v>78750.5</c:v>
                </c:pt>
                <c:pt idx="616">
                  <c:v>79027.259999999995</c:v>
                </c:pt>
                <c:pt idx="617">
                  <c:v>79046.06</c:v>
                </c:pt>
                <c:pt idx="618">
                  <c:v>79153.600000000006</c:v>
                </c:pt>
                <c:pt idx="619">
                  <c:v>79188.81</c:v>
                </c:pt>
                <c:pt idx="620">
                  <c:v>79024.149999999994</c:v>
                </c:pt>
                <c:pt idx="621">
                  <c:v>78889.19</c:v>
                </c:pt>
                <c:pt idx="622">
                  <c:v>78927.360000000001</c:v>
                </c:pt>
                <c:pt idx="623">
                  <c:v>79005.2</c:v>
                </c:pt>
                <c:pt idx="624">
                  <c:v>78883.44</c:v>
                </c:pt>
                <c:pt idx="625">
                  <c:v>78960.039999999994</c:v>
                </c:pt>
                <c:pt idx="626">
                  <c:v>79023.009999999995</c:v>
                </c:pt>
                <c:pt idx="627">
                  <c:v>79004.42</c:v>
                </c:pt>
                <c:pt idx="628">
                  <c:v>79069.75</c:v>
                </c:pt>
                <c:pt idx="629">
                  <c:v>79033.600000000006</c:v>
                </c:pt>
                <c:pt idx="630">
                  <c:v>79073.02</c:v>
                </c:pt>
                <c:pt idx="631">
                  <c:v>78996.37</c:v>
                </c:pt>
                <c:pt idx="632">
                  <c:v>78896.61</c:v>
                </c:pt>
                <c:pt idx="633">
                  <c:v>78903.759999999995</c:v>
                </c:pt>
                <c:pt idx="634">
                  <c:v>78485.25</c:v>
                </c:pt>
                <c:pt idx="635">
                  <c:v>78546.710000000006</c:v>
                </c:pt>
                <c:pt idx="636">
                  <c:v>78680.33</c:v>
                </c:pt>
                <c:pt idx="637">
                  <c:v>79069</c:v>
                </c:pt>
                <c:pt idx="638">
                  <c:v>78954.77</c:v>
                </c:pt>
                <c:pt idx="639">
                  <c:v>78792.52</c:v>
                </c:pt>
                <c:pt idx="640">
                  <c:v>78755.06</c:v>
                </c:pt>
                <c:pt idx="641">
                  <c:v>78616.72</c:v>
                </c:pt>
                <c:pt idx="642">
                  <c:v>78528.05</c:v>
                </c:pt>
                <c:pt idx="643">
                  <c:v>78635.28</c:v>
                </c:pt>
                <c:pt idx="644">
                  <c:v>78782.539999999994</c:v>
                </c:pt>
                <c:pt idx="645">
                  <c:v>78868.320000000007</c:v>
                </c:pt>
                <c:pt idx="646">
                  <c:v>79004.34</c:v>
                </c:pt>
                <c:pt idx="647">
                  <c:v>78807.92</c:v>
                </c:pt>
                <c:pt idx="648">
                  <c:v>78716.37</c:v>
                </c:pt>
                <c:pt idx="649">
                  <c:v>78721.94</c:v>
                </c:pt>
                <c:pt idx="650">
                  <c:v>78704.009999999995</c:v>
                </c:pt>
                <c:pt idx="651">
                  <c:v>78714.31</c:v>
                </c:pt>
                <c:pt idx="652">
                  <c:v>78875.009999999995</c:v>
                </c:pt>
                <c:pt idx="653">
                  <c:v>78988.72</c:v>
                </c:pt>
                <c:pt idx="654">
                  <c:v>78949.31</c:v>
                </c:pt>
                <c:pt idx="655">
                  <c:v>78903.740000000005</c:v>
                </c:pt>
                <c:pt idx="656">
                  <c:v>78912.960000000006</c:v>
                </c:pt>
                <c:pt idx="657">
                  <c:v>78950.41</c:v>
                </c:pt>
                <c:pt idx="658">
                  <c:v>78858.7</c:v>
                </c:pt>
                <c:pt idx="659">
                  <c:v>78770.12</c:v>
                </c:pt>
                <c:pt idx="660">
                  <c:v>78844.73</c:v>
                </c:pt>
                <c:pt idx="661">
                  <c:v>79065.78</c:v>
                </c:pt>
                <c:pt idx="662">
                  <c:v>78913.77</c:v>
                </c:pt>
                <c:pt idx="663">
                  <c:v>78908.81</c:v>
                </c:pt>
                <c:pt idx="664">
                  <c:v>78805.8</c:v>
                </c:pt>
                <c:pt idx="665">
                  <c:v>78785.25</c:v>
                </c:pt>
                <c:pt idx="666">
                  <c:v>78896.06</c:v>
                </c:pt>
                <c:pt idx="667">
                  <c:v>78770.63</c:v>
                </c:pt>
                <c:pt idx="668">
                  <c:v>78712.149999999994</c:v>
                </c:pt>
                <c:pt idx="669">
                  <c:v>78631.899999999994</c:v>
                </c:pt>
                <c:pt idx="670">
                  <c:v>78790.210000000006</c:v>
                </c:pt>
                <c:pt idx="671">
                  <c:v>78734.91</c:v>
                </c:pt>
                <c:pt idx="672">
                  <c:v>78755.33</c:v>
                </c:pt>
                <c:pt idx="673">
                  <c:v>78756</c:v>
                </c:pt>
                <c:pt idx="674">
                  <c:v>78680.72</c:v>
                </c:pt>
                <c:pt idx="675">
                  <c:v>78585.38</c:v>
                </c:pt>
                <c:pt idx="676">
                  <c:v>78547.25</c:v>
                </c:pt>
                <c:pt idx="677">
                  <c:v>78380.259999999995</c:v>
                </c:pt>
                <c:pt idx="678">
                  <c:v>78467.89</c:v>
                </c:pt>
                <c:pt idx="679">
                  <c:v>78319.98</c:v>
                </c:pt>
                <c:pt idx="680">
                  <c:v>78311.94</c:v>
                </c:pt>
                <c:pt idx="681">
                  <c:v>78216.149999999994</c:v>
                </c:pt>
                <c:pt idx="682">
                  <c:v>78136.08</c:v>
                </c:pt>
                <c:pt idx="683">
                  <c:v>78365.67</c:v>
                </c:pt>
                <c:pt idx="684">
                  <c:v>78360.03</c:v>
                </c:pt>
                <c:pt idx="685">
                  <c:v>78244.22</c:v>
                </c:pt>
                <c:pt idx="686">
                  <c:v>78390.320000000007</c:v>
                </c:pt>
                <c:pt idx="687">
                  <c:v>78222.12</c:v>
                </c:pt>
                <c:pt idx="688">
                  <c:v>78313.009999999995</c:v>
                </c:pt>
                <c:pt idx="689">
                  <c:v>78384.2</c:v>
                </c:pt>
                <c:pt idx="690">
                  <c:v>78388.789999999994</c:v>
                </c:pt>
                <c:pt idx="691">
                  <c:v>78645.710000000006</c:v>
                </c:pt>
                <c:pt idx="692">
                  <c:v>78417.820000000007</c:v>
                </c:pt>
                <c:pt idx="693">
                  <c:v>78379.81</c:v>
                </c:pt>
                <c:pt idx="694">
                  <c:v>78324.92</c:v>
                </c:pt>
                <c:pt idx="695">
                  <c:v>78369.36</c:v>
                </c:pt>
                <c:pt idx="696">
                  <c:v>78170.22</c:v>
                </c:pt>
                <c:pt idx="697">
                  <c:v>78150.97</c:v>
                </c:pt>
                <c:pt idx="698">
                  <c:v>77704.2</c:v>
                </c:pt>
                <c:pt idx="699">
                  <c:v>77753.34</c:v>
                </c:pt>
                <c:pt idx="700">
                  <c:v>77505.77</c:v>
                </c:pt>
                <c:pt idx="701">
                  <c:v>77120.88</c:v>
                </c:pt>
                <c:pt idx="702">
                  <c:v>77448.47</c:v>
                </c:pt>
                <c:pt idx="703">
                  <c:v>77325.649999999994</c:v>
                </c:pt>
                <c:pt idx="704">
                  <c:v>75540.800000000003</c:v>
                </c:pt>
                <c:pt idx="705">
                  <c:v>77520.460000000006</c:v>
                </c:pt>
                <c:pt idx="706">
                  <c:v>77858.3</c:v>
                </c:pt>
                <c:pt idx="707">
                  <c:v>77862.06</c:v>
                </c:pt>
                <c:pt idx="708">
                  <c:v>78053.08</c:v>
                </c:pt>
                <c:pt idx="709">
                  <c:v>77957.039999999994</c:v>
                </c:pt>
                <c:pt idx="710">
                  <c:v>77958.34</c:v>
                </c:pt>
                <c:pt idx="711">
                  <c:v>77947.759999999995</c:v>
                </c:pt>
                <c:pt idx="712">
                  <c:v>77807.89</c:v>
                </c:pt>
                <c:pt idx="713">
                  <c:v>78030.7</c:v>
                </c:pt>
                <c:pt idx="714">
                  <c:v>78050.06</c:v>
                </c:pt>
                <c:pt idx="715">
                  <c:v>77862.94</c:v>
                </c:pt>
                <c:pt idx="716">
                  <c:v>77689.39</c:v>
                </c:pt>
                <c:pt idx="717">
                  <c:v>77770.73</c:v>
                </c:pt>
                <c:pt idx="718">
                  <c:v>77851.17</c:v>
                </c:pt>
                <c:pt idx="719">
                  <c:v>77901.84</c:v>
                </c:pt>
                <c:pt idx="720">
                  <c:v>77987.16</c:v>
                </c:pt>
                <c:pt idx="721">
                  <c:v>78151.179999999993</c:v>
                </c:pt>
                <c:pt idx="722">
                  <c:v>77866.91</c:v>
                </c:pt>
                <c:pt idx="723">
                  <c:v>77838.87</c:v>
                </c:pt>
                <c:pt idx="724">
                  <c:v>77842.210000000006</c:v>
                </c:pt>
                <c:pt idx="725">
                  <c:v>77860.710000000006</c:v>
                </c:pt>
                <c:pt idx="726">
                  <c:v>78016.69</c:v>
                </c:pt>
                <c:pt idx="727">
                  <c:v>78026.34</c:v>
                </c:pt>
                <c:pt idx="728">
                  <c:v>78137.820000000007</c:v>
                </c:pt>
                <c:pt idx="729">
                  <c:v>78185.25</c:v>
                </c:pt>
                <c:pt idx="730">
                  <c:v>78302.850000000006</c:v>
                </c:pt>
                <c:pt idx="731">
                  <c:v>78204.89</c:v>
                </c:pt>
                <c:pt idx="732">
                  <c:v>78086.06</c:v>
                </c:pt>
                <c:pt idx="733">
                  <c:v>78102.22</c:v>
                </c:pt>
                <c:pt idx="734">
                  <c:v>78167.02</c:v>
                </c:pt>
                <c:pt idx="735">
                  <c:v>78174.02</c:v>
                </c:pt>
                <c:pt idx="736">
                  <c:v>78094.95</c:v>
                </c:pt>
                <c:pt idx="737">
                  <c:v>78124</c:v>
                </c:pt>
                <c:pt idx="738">
                  <c:v>77984.899999999994</c:v>
                </c:pt>
                <c:pt idx="739">
                  <c:v>78085.83</c:v>
                </c:pt>
                <c:pt idx="740">
                  <c:v>78127.48</c:v>
                </c:pt>
                <c:pt idx="741">
                  <c:v>78074.899999999994</c:v>
                </c:pt>
                <c:pt idx="742">
                  <c:v>77927.649999999994</c:v>
                </c:pt>
                <c:pt idx="743">
                  <c:v>77787.66</c:v>
                </c:pt>
                <c:pt idx="744">
                  <c:v>77834.070000000007</c:v>
                </c:pt>
                <c:pt idx="745">
                  <c:v>77889.31</c:v>
                </c:pt>
                <c:pt idx="746">
                  <c:v>77863.73</c:v>
                </c:pt>
                <c:pt idx="747">
                  <c:v>78025.63</c:v>
                </c:pt>
                <c:pt idx="748">
                  <c:v>77929.89</c:v>
                </c:pt>
                <c:pt idx="749">
                  <c:v>77916.36</c:v>
                </c:pt>
                <c:pt idx="750">
                  <c:v>77924.97</c:v>
                </c:pt>
                <c:pt idx="751">
                  <c:v>77833.009999999995</c:v>
                </c:pt>
                <c:pt idx="752">
                  <c:v>77748.66</c:v>
                </c:pt>
                <c:pt idx="753">
                  <c:v>77536.009999999995</c:v>
                </c:pt>
                <c:pt idx="754">
                  <c:v>77443.13</c:v>
                </c:pt>
                <c:pt idx="755">
                  <c:v>77490.3</c:v>
                </c:pt>
                <c:pt idx="756">
                  <c:v>77425.009999999995</c:v>
                </c:pt>
                <c:pt idx="757">
                  <c:v>77309.91</c:v>
                </c:pt>
                <c:pt idx="758">
                  <c:v>77299.58</c:v>
                </c:pt>
                <c:pt idx="759">
                  <c:v>77252.509999999995</c:v>
                </c:pt>
                <c:pt idx="760">
                  <c:v>77261.27</c:v>
                </c:pt>
                <c:pt idx="761">
                  <c:v>77222.31</c:v>
                </c:pt>
                <c:pt idx="762">
                  <c:v>77220.56</c:v>
                </c:pt>
                <c:pt idx="763">
                  <c:v>77246.64</c:v>
                </c:pt>
                <c:pt idx="764">
                  <c:v>77404.38</c:v>
                </c:pt>
                <c:pt idx="765">
                  <c:v>77472.19</c:v>
                </c:pt>
                <c:pt idx="766">
                  <c:v>77641.210000000006</c:v>
                </c:pt>
                <c:pt idx="767">
                  <c:v>77604.27</c:v>
                </c:pt>
                <c:pt idx="768">
                  <c:v>77744.28</c:v>
                </c:pt>
                <c:pt idx="769">
                  <c:v>77620.42</c:v>
                </c:pt>
                <c:pt idx="770">
                  <c:v>77722.59</c:v>
                </c:pt>
                <c:pt idx="771">
                  <c:v>77758.399999999994</c:v>
                </c:pt>
                <c:pt idx="772">
                  <c:v>77887.02</c:v>
                </c:pt>
                <c:pt idx="773">
                  <c:v>77818.070000000007</c:v>
                </c:pt>
                <c:pt idx="774">
                  <c:v>77740.67</c:v>
                </c:pt>
                <c:pt idx="775">
                  <c:v>77739.039999999994</c:v>
                </c:pt>
                <c:pt idx="776">
                  <c:v>77771.199999999997</c:v>
                </c:pt>
                <c:pt idx="777">
                  <c:v>77902.210000000006</c:v>
                </c:pt>
                <c:pt idx="778">
                  <c:v>77789.25</c:v>
                </c:pt>
                <c:pt idx="779">
                  <c:v>77851.210000000006</c:v>
                </c:pt>
                <c:pt idx="780">
                  <c:v>77698.13</c:v>
                </c:pt>
                <c:pt idx="781">
                  <c:v>77733.13</c:v>
                </c:pt>
                <c:pt idx="782">
                  <c:v>77760.240000000005</c:v>
                </c:pt>
                <c:pt idx="783">
                  <c:v>77768.210000000006</c:v>
                </c:pt>
                <c:pt idx="784">
                  <c:v>77595.22</c:v>
                </c:pt>
                <c:pt idx="785">
                  <c:v>77725.539999999994</c:v>
                </c:pt>
                <c:pt idx="786">
                  <c:v>77717.61</c:v>
                </c:pt>
                <c:pt idx="787">
                  <c:v>77864.67</c:v>
                </c:pt>
                <c:pt idx="788">
                  <c:v>77860.83</c:v>
                </c:pt>
                <c:pt idx="789">
                  <c:v>77802.84</c:v>
                </c:pt>
                <c:pt idx="790">
                  <c:v>77763.64</c:v>
                </c:pt>
                <c:pt idx="791">
                  <c:v>77676.210000000006</c:v>
                </c:pt>
                <c:pt idx="792">
                  <c:v>77779.490000000005</c:v>
                </c:pt>
                <c:pt idx="793">
                  <c:v>77610.73</c:v>
                </c:pt>
                <c:pt idx="794">
                  <c:v>77579.63</c:v>
                </c:pt>
                <c:pt idx="795">
                  <c:v>77479.66</c:v>
                </c:pt>
                <c:pt idx="796">
                  <c:v>77536.399999999994</c:v>
                </c:pt>
                <c:pt idx="797">
                  <c:v>77446.740000000005</c:v>
                </c:pt>
                <c:pt idx="798">
                  <c:v>77473.960000000006</c:v>
                </c:pt>
                <c:pt idx="799">
                  <c:v>77424.08</c:v>
                </c:pt>
                <c:pt idx="800">
                  <c:v>77558.59</c:v>
                </c:pt>
                <c:pt idx="801">
                  <c:v>77500.5</c:v>
                </c:pt>
                <c:pt idx="802">
                  <c:v>77641.95</c:v>
                </c:pt>
                <c:pt idx="803">
                  <c:v>77997.16</c:v>
                </c:pt>
                <c:pt idx="804">
                  <c:v>77774.63</c:v>
                </c:pt>
                <c:pt idx="805">
                  <c:v>77649.45</c:v>
                </c:pt>
                <c:pt idx="806">
                  <c:v>77623.039999999994</c:v>
                </c:pt>
                <c:pt idx="807">
                  <c:v>77489.48</c:v>
                </c:pt>
                <c:pt idx="808">
                  <c:v>77439.88</c:v>
                </c:pt>
                <c:pt idx="809">
                  <c:v>77354.539999999994</c:v>
                </c:pt>
                <c:pt idx="810">
                  <c:v>77337.919999999998</c:v>
                </c:pt>
                <c:pt idx="811">
                  <c:v>77230.350000000006</c:v>
                </c:pt>
                <c:pt idx="812">
                  <c:v>77195.740000000005</c:v>
                </c:pt>
                <c:pt idx="813">
                  <c:v>77118.94</c:v>
                </c:pt>
                <c:pt idx="814">
                  <c:v>77119.210000000006</c:v>
                </c:pt>
                <c:pt idx="815">
                  <c:v>77080.479999999996</c:v>
                </c:pt>
                <c:pt idx="816">
                  <c:v>77178.179999999993</c:v>
                </c:pt>
                <c:pt idx="817">
                  <c:v>77189.52</c:v>
                </c:pt>
                <c:pt idx="818">
                  <c:v>77174.320000000007</c:v>
                </c:pt>
                <c:pt idx="819">
                  <c:v>77241.27</c:v>
                </c:pt>
                <c:pt idx="820">
                  <c:v>77208.2</c:v>
                </c:pt>
                <c:pt idx="821">
                  <c:v>77230.509999999995</c:v>
                </c:pt>
                <c:pt idx="822">
                  <c:v>77285.509999999995</c:v>
                </c:pt>
                <c:pt idx="823">
                  <c:v>77318.75</c:v>
                </c:pt>
                <c:pt idx="824">
                  <c:v>77448.22</c:v>
                </c:pt>
                <c:pt idx="825">
                  <c:v>77473.95</c:v>
                </c:pt>
                <c:pt idx="826">
                  <c:v>77365.509999999995</c:v>
                </c:pt>
                <c:pt idx="827">
                  <c:v>77420.97</c:v>
                </c:pt>
                <c:pt idx="828">
                  <c:v>77355.78</c:v>
                </c:pt>
                <c:pt idx="829">
                  <c:v>77482.23</c:v>
                </c:pt>
                <c:pt idx="830">
                  <c:v>77362.649999999994</c:v>
                </c:pt>
                <c:pt idx="831">
                  <c:v>77439.73</c:v>
                </c:pt>
                <c:pt idx="832">
                  <c:v>77468.789999999994</c:v>
                </c:pt>
                <c:pt idx="833">
                  <c:v>77552.56</c:v>
                </c:pt>
                <c:pt idx="834">
                  <c:v>77560.5</c:v>
                </c:pt>
                <c:pt idx="835">
                  <c:v>77664.05</c:v>
                </c:pt>
                <c:pt idx="836">
                  <c:v>77751.19</c:v>
                </c:pt>
                <c:pt idx="837">
                  <c:v>77932.03</c:v>
                </c:pt>
                <c:pt idx="838">
                  <c:v>77926.67</c:v>
                </c:pt>
                <c:pt idx="839">
                  <c:v>78024.22</c:v>
                </c:pt>
                <c:pt idx="840">
                  <c:v>77945.94</c:v>
                </c:pt>
                <c:pt idx="841">
                  <c:v>78017.75</c:v>
                </c:pt>
                <c:pt idx="842">
                  <c:v>78049.58</c:v>
                </c:pt>
                <c:pt idx="843">
                  <c:v>77819.61</c:v>
                </c:pt>
                <c:pt idx="844">
                  <c:v>77630.78</c:v>
                </c:pt>
                <c:pt idx="845">
                  <c:v>77653.87</c:v>
                </c:pt>
                <c:pt idx="846">
                  <c:v>77637.820000000007</c:v>
                </c:pt>
                <c:pt idx="847">
                  <c:v>77743.64</c:v>
                </c:pt>
                <c:pt idx="848">
                  <c:v>77883.600000000006</c:v>
                </c:pt>
                <c:pt idx="849">
                  <c:v>77863.429999999993</c:v>
                </c:pt>
                <c:pt idx="850">
                  <c:v>77895.34</c:v>
                </c:pt>
                <c:pt idx="851">
                  <c:v>77886.2</c:v>
                </c:pt>
                <c:pt idx="852">
                  <c:v>77739.97</c:v>
                </c:pt>
                <c:pt idx="853">
                  <c:v>77700.820000000007</c:v>
                </c:pt>
                <c:pt idx="854">
                  <c:v>77636.75</c:v>
                </c:pt>
                <c:pt idx="855">
                  <c:v>77612.09</c:v>
                </c:pt>
                <c:pt idx="856">
                  <c:v>77657.14</c:v>
                </c:pt>
                <c:pt idx="857">
                  <c:v>77662.490000000005</c:v>
                </c:pt>
                <c:pt idx="858">
                  <c:v>77681.399999999994</c:v>
                </c:pt>
                <c:pt idx="859">
                  <c:v>77663.09</c:v>
                </c:pt>
                <c:pt idx="860">
                  <c:v>77605.86</c:v>
                </c:pt>
                <c:pt idx="861">
                  <c:v>77443.149999999994</c:v>
                </c:pt>
                <c:pt idx="862">
                  <c:v>77345.7</c:v>
                </c:pt>
                <c:pt idx="863">
                  <c:v>77333.11</c:v>
                </c:pt>
                <c:pt idx="864">
                  <c:v>77429.820000000007</c:v>
                </c:pt>
                <c:pt idx="865">
                  <c:v>77428.31</c:v>
                </c:pt>
                <c:pt idx="866">
                  <c:v>77519.990000000005</c:v>
                </c:pt>
                <c:pt idx="867">
                  <c:v>77681.14</c:v>
                </c:pt>
                <c:pt idx="868">
                  <c:v>77843.5</c:v>
                </c:pt>
                <c:pt idx="869">
                  <c:v>77837.899999999994</c:v>
                </c:pt>
                <c:pt idx="870">
                  <c:v>77782.720000000001</c:v>
                </c:pt>
                <c:pt idx="871">
                  <c:v>77745.5</c:v>
                </c:pt>
                <c:pt idx="872">
                  <c:v>77768.89</c:v>
                </c:pt>
                <c:pt idx="873">
                  <c:v>77895.509999999995</c:v>
                </c:pt>
                <c:pt idx="874">
                  <c:v>77802.600000000006</c:v>
                </c:pt>
                <c:pt idx="875">
                  <c:v>77923.009999999995</c:v>
                </c:pt>
                <c:pt idx="876">
                  <c:v>77963.22</c:v>
                </c:pt>
                <c:pt idx="877">
                  <c:v>77989.279999999999</c:v>
                </c:pt>
                <c:pt idx="878">
                  <c:v>78111.06</c:v>
                </c:pt>
                <c:pt idx="879">
                  <c:v>78041.259999999995</c:v>
                </c:pt>
                <c:pt idx="880">
                  <c:v>78097.34</c:v>
                </c:pt>
                <c:pt idx="881">
                  <c:v>78101.13</c:v>
                </c:pt>
                <c:pt idx="882">
                  <c:v>78139.3</c:v>
                </c:pt>
                <c:pt idx="883">
                  <c:v>78084.03</c:v>
                </c:pt>
                <c:pt idx="884">
                  <c:v>78115.95</c:v>
                </c:pt>
                <c:pt idx="885">
                  <c:v>78116.539999999994</c:v>
                </c:pt>
                <c:pt idx="886">
                  <c:v>78060.02</c:v>
                </c:pt>
                <c:pt idx="887">
                  <c:v>78059.92</c:v>
                </c:pt>
                <c:pt idx="888">
                  <c:v>78115.320000000007</c:v>
                </c:pt>
                <c:pt idx="889">
                  <c:v>78116.710000000006</c:v>
                </c:pt>
                <c:pt idx="890">
                  <c:v>78106.89</c:v>
                </c:pt>
                <c:pt idx="891">
                  <c:v>78169.33</c:v>
                </c:pt>
                <c:pt idx="892">
                  <c:v>78246.350000000006</c:v>
                </c:pt>
                <c:pt idx="893">
                  <c:v>78140.98</c:v>
                </c:pt>
                <c:pt idx="894">
                  <c:v>78200.61</c:v>
                </c:pt>
                <c:pt idx="895">
                  <c:v>78188.509999999995</c:v>
                </c:pt>
                <c:pt idx="896">
                  <c:v>78183.399999999994</c:v>
                </c:pt>
                <c:pt idx="897">
                  <c:v>78187.86</c:v>
                </c:pt>
                <c:pt idx="898">
                  <c:v>78151.75</c:v>
                </c:pt>
                <c:pt idx="899">
                  <c:v>78306.710000000006</c:v>
                </c:pt>
                <c:pt idx="900">
                  <c:v>78213.23</c:v>
                </c:pt>
                <c:pt idx="901">
                  <c:v>78250.7</c:v>
                </c:pt>
                <c:pt idx="902">
                  <c:v>78330.399999999994</c:v>
                </c:pt>
                <c:pt idx="903">
                  <c:v>78331.56</c:v>
                </c:pt>
                <c:pt idx="904">
                  <c:v>78349.100000000006</c:v>
                </c:pt>
                <c:pt idx="905">
                  <c:v>78416.13</c:v>
                </c:pt>
                <c:pt idx="906">
                  <c:v>78369.02</c:v>
                </c:pt>
                <c:pt idx="907">
                  <c:v>78287.509999999995</c:v>
                </c:pt>
                <c:pt idx="908">
                  <c:v>78300.460000000006</c:v>
                </c:pt>
                <c:pt idx="909">
                  <c:v>78252.13</c:v>
                </c:pt>
                <c:pt idx="910">
                  <c:v>78221.649999999994</c:v>
                </c:pt>
                <c:pt idx="911">
                  <c:v>78197.31</c:v>
                </c:pt>
                <c:pt idx="912">
                  <c:v>78113.61</c:v>
                </c:pt>
                <c:pt idx="913">
                  <c:v>78120.91</c:v>
                </c:pt>
                <c:pt idx="914">
                  <c:v>78131.34</c:v>
                </c:pt>
                <c:pt idx="915">
                  <c:v>78131.02</c:v>
                </c:pt>
                <c:pt idx="916">
                  <c:v>78188.37</c:v>
                </c:pt>
                <c:pt idx="917">
                  <c:v>78159.509999999995</c:v>
                </c:pt>
                <c:pt idx="918">
                  <c:v>78178.36</c:v>
                </c:pt>
                <c:pt idx="919">
                  <c:v>78130.06</c:v>
                </c:pt>
                <c:pt idx="920">
                  <c:v>78051.210000000006</c:v>
                </c:pt>
                <c:pt idx="921">
                  <c:v>78060.5</c:v>
                </c:pt>
                <c:pt idx="922">
                  <c:v>78180.28</c:v>
                </c:pt>
                <c:pt idx="923">
                  <c:v>78076.710000000006</c:v>
                </c:pt>
                <c:pt idx="924">
                  <c:v>78109.509999999995</c:v>
                </c:pt>
                <c:pt idx="925">
                  <c:v>78150.78</c:v>
                </c:pt>
                <c:pt idx="926">
                  <c:v>78217.88</c:v>
                </c:pt>
                <c:pt idx="927">
                  <c:v>78117.77</c:v>
                </c:pt>
                <c:pt idx="928">
                  <c:v>78159.73</c:v>
                </c:pt>
                <c:pt idx="929">
                  <c:v>78266.899999999994</c:v>
                </c:pt>
                <c:pt idx="930">
                  <c:v>78282.600000000006</c:v>
                </c:pt>
                <c:pt idx="931">
                  <c:v>78276.58</c:v>
                </c:pt>
                <c:pt idx="932">
                  <c:v>78214.78</c:v>
                </c:pt>
                <c:pt idx="933">
                  <c:v>78221.16</c:v>
                </c:pt>
                <c:pt idx="934">
                  <c:v>78288.37</c:v>
                </c:pt>
                <c:pt idx="935">
                  <c:v>78267.34</c:v>
                </c:pt>
                <c:pt idx="936">
                  <c:v>78190.5</c:v>
                </c:pt>
                <c:pt idx="937">
                  <c:v>78133.320000000007</c:v>
                </c:pt>
                <c:pt idx="938">
                  <c:v>78057.460000000006</c:v>
                </c:pt>
                <c:pt idx="939">
                  <c:v>78103.62</c:v>
                </c:pt>
                <c:pt idx="940">
                  <c:v>78145.33</c:v>
                </c:pt>
                <c:pt idx="941">
                  <c:v>78132.86</c:v>
                </c:pt>
                <c:pt idx="942">
                  <c:v>78088.42</c:v>
                </c:pt>
                <c:pt idx="943">
                  <c:v>78052.28</c:v>
                </c:pt>
                <c:pt idx="944">
                  <c:v>78112.62</c:v>
                </c:pt>
                <c:pt idx="945">
                  <c:v>78043.520000000004</c:v>
                </c:pt>
                <c:pt idx="946">
                  <c:v>77978.350000000006</c:v>
                </c:pt>
                <c:pt idx="947">
                  <c:v>77957.22</c:v>
                </c:pt>
                <c:pt idx="948">
                  <c:v>78002.210000000006</c:v>
                </c:pt>
                <c:pt idx="949">
                  <c:v>78042.539999999994</c:v>
                </c:pt>
                <c:pt idx="950">
                  <c:v>77957.75</c:v>
                </c:pt>
                <c:pt idx="951">
                  <c:v>78059.16</c:v>
                </c:pt>
                <c:pt idx="952">
                  <c:v>78011.86</c:v>
                </c:pt>
                <c:pt idx="953">
                  <c:v>77989.53</c:v>
                </c:pt>
                <c:pt idx="954">
                  <c:v>78013.73</c:v>
                </c:pt>
                <c:pt idx="955">
                  <c:v>78066.33</c:v>
                </c:pt>
                <c:pt idx="956">
                  <c:v>78155.520000000004</c:v>
                </c:pt>
                <c:pt idx="957">
                  <c:v>78158.2</c:v>
                </c:pt>
                <c:pt idx="958">
                  <c:v>78205.600000000006</c:v>
                </c:pt>
                <c:pt idx="959">
                  <c:v>78126.94</c:v>
                </c:pt>
                <c:pt idx="960">
                  <c:v>78102.61</c:v>
                </c:pt>
                <c:pt idx="961">
                  <c:v>78106.55</c:v>
                </c:pt>
                <c:pt idx="962">
                  <c:v>78134.53</c:v>
                </c:pt>
                <c:pt idx="963">
                  <c:v>78105.850000000006</c:v>
                </c:pt>
                <c:pt idx="964">
                  <c:v>78181.009999999995</c:v>
                </c:pt>
                <c:pt idx="965">
                  <c:v>78171.89</c:v>
                </c:pt>
                <c:pt idx="966">
                  <c:v>78191.899999999994</c:v>
                </c:pt>
                <c:pt idx="967">
                  <c:v>78233.94</c:v>
                </c:pt>
                <c:pt idx="968">
                  <c:v>78261.98</c:v>
                </c:pt>
                <c:pt idx="969">
                  <c:v>78241.05</c:v>
                </c:pt>
                <c:pt idx="970">
                  <c:v>78288.149999999994</c:v>
                </c:pt>
                <c:pt idx="971">
                  <c:v>78266.11</c:v>
                </c:pt>
                <c:pt idx="972">
                  <c:v>78194.649999999994</c:v>
                </c:pt>
                <c:pt idx="973">
                  <c:v>78160.350000000006</c:v>
                </c:pt>
                <c:pt idx="974">
                  <c:v>78207.37</c:v>
                </c:pt>
                <c:pt idx="975">
                  <c:v>78179.350000000006</c:v>
                </c:pt>
                <c:pt idx="976">
                  <c:v>78212.990000000005</c:v>
                </c:pt>
                <c:pt idx="977">
                  <c:v>78232.55</c:v>
                </c:pt>
                <c:pt idx="978">
                  <c:v>78359.13</c:v>
                </c:pt>
                <c:pt idx="979">
                  <c:v>78364.509999999995</c:v>
                </c:pt>
                <c:pt idx="980">
                  <c:v>78513</c:v>
                </c:pt>
                <c:pt idx="981">
                  <c:v>78508.990000000005</c:v>
                </c:pt>
                <c:pt idx="982">
                  <c:v>78717.070000000007</c:v>
                </c:pt>
                <c:pt idx="983">
                  <c:v>78731.83</c:v>
                </c:pt>
                <c:pt idx="984">
                  <c:v>79054.91</c:v>
                </c:pt>
                <c:pt idx="985">
                  <c:v>79156.740000000005</c:v>
                </c:pt>
                <c:pt idx="986">
                  <c:v>79013.5</c:v>
                </c:pt>
                <c:pt idx="987">
                  <c:v>78869.440000000002</c:v>
                </c:pt>
                <c:pt idx="988">
                  <c:v>78907.88</c:v>
                </c:pt>
                <c:pt idx="989">
                  <c:v>78872.95</c:v>
                </c:pt>
                <c:pt idx="990">
                  <c:v>78922.45</c:v>
                </c:pt>
                <c:pt idx="991">
                  <c:v>78899.05</c:v>
                </c:pt>
                <c:pt idx="992">
                  <c:v>78812.28</c:v>
                </c:pt>
                <c:pt idx="993">
                  <c:v>78873.31</c:v>
                </c:pt>
                <c:pt idx="994">
                  <c:v>78993.14</c:v>
                </c:pt>
                <c:pt idx="995">
                  <c:v>79069.72</c:v>
                </c:pt>
                <c:pt idx="996">
                  <c:v>79116.149999999994</c:v>
                </c:pt>
                <c:pt idx="997">
                  <c:v>79040.5</c:v>
                </c:pt>
                <c:pt idx="998">
                  <c:v>79039.149999999994</c:v>
                </c:pt>
                <c:pt idx="999">
                  <c:v>78845.100000000006</c:v>
                </c:pt>
                <c:pt idx="1000">
                  <c:v>78861.490000000005</c:v>
                </c:pt>
                <c:pt idx="1001">
                  <c:v>78963.820000000007</c:v>
                </c:pt>
                <c:pt idx="1002">
                  <c:v>78870.94</c:v>
                </c:pt>
                <c:pt idx="1003">
                  <c:v>78853.7</c:v>
                </c:pt>
                <c:pt idx="1004">
                  <c:v>78724.84</c:v>
                </c:pt>
                <c:pt idx="1005">
                  <c:v>78786.11</c:v>
                </c:pt>
                <c:pt idx="1006">
                  <c:v>78656.62</c:v>
                </c:pt>
                <c:pt idx="1007">
                  <c:v>78747.13</c:v>
                </c:pt>
                <c:pt idx="1008">
                  <c:v>78634.320000000007</c:v>
                </c:pt>
                <c:pt idx="1009">
                  <c:v>78688.92</c:v>
                </c:pt>
                <c:pt idx="1010">
                  <c:v>78696.28</c:v>
                </c:pt>
                <c:pt idx="1011">
                  <c:v>78772.13</c:v>
                </c:pt>
                <c:pt idx="1012">
                  <c:v>78813.149999999994</c:v>
                </c:pt>
                <c:pt idx="1013">
                  <c:v>78849.42</c:v>
                </c:pt>
                <c:pt idx="1014">
                  <c:v>78849.919999999998</c:v>
                </c:pt>
                <c:pt idx="1015">
                  <c:v>78717.5</c:v>
                </c:pt>
                <c:pt idx="1016">
                  <c:v>78642.509999999995</c:v>
                </c:pt>
                <c:pt idx="1017">
                  <c:v>78717.960000000006</c:v>
                </c:pt>
                <c:pt idx="1018">
                  <c:v>78700.399999999994</c:v>
                </c:pt>
                <c:pt idx="1019">
                  <c:v>78670.41</c:v>
                </c:pt>
                <c:pt idx="1020">
                  <c:v>78684.160000000003</c:v>
                </c:pt>
                <c:pt idx="1021">
                  <c:v>78637.98</c:v>
                </c:pt>
                <c:pt idx="1022">
                  <c:v>78631.710000000006</c:v>
                </c:pt>
                <c:pt idx="1023">
                  <c:v>78779.33</c:v>
                </c:pt>
                <c:pt idx="1024">
                  <c:v>78842.78</c:v>
                </c:pt>
                <c:pt idx="1025">
                  <c:v>78882.59</c:v>
                </c:pt>
                <c:pt idx="1026">
                  <c:v>78864.38</c:v>
                </c:pt>
                <c:pt idx="1027">
                  <c:v>78927.89</c:v>
                </c:pt>
                <c:pt idx="1028">
                  <c:v>78980.88</c:v>
                </c:pt>
                <c:pt idx="1029">
                  <c:v>79041.22</c:v>
                </c:pt>
                <c:pt idx="1030">
                  <c:v>79113.2</c:v>
                </c:pt>
                <c:pt idx="1031">
                  <c:v>79171.14</c:v>
                </c:pt>
                <c:pt idx="1032">
                  <c:v>79280.350000000006</c:v>
                </c:pt>
                <c:pt idx="1033">
                  <c:v>79196.7</c:v>
                </c:pt>
                <c:pt idx="1034">
                  <c:v>79217.11</c:v>
                </c:pt>
                <c:pt idx="1035">
                  <c:v>79295.02</c:v>
                </c:pt>
                <c:pt idx="1036">
                  <c:v>79274.33</c:v>
                </c:pt>
                <c:pt idx="1037">
                  <c:v>79249.759999999995</c:v>
                </c:pt>
                <c:pt idx="1038">
                  <c:v>79213.539999999994</c:v>
                </c:pt>
                <c:pt idx="1039">
                  <c:v>79186.960000000006</c:v>
                </c:pt>
                <c:pt idx="1040">
                  <c:v>79258.36</c:v>
                </c:pt>
                <c:pt idx="1041">
                  <c:v>79212.679999999993</c:v>
                </c:pt>
                <c:pt idx="1042">
                  <c:v>79174.48</c:v>
                </c:pt>
                <c:pt idx="1043">
                  <c:v>79022.41</c:v>
                </c:pt>
                <c:pt idx="1044">
                  <c:v>78937.62</c:v>
                </c:pt>
                <c:pt idx="1045">
                  <c:v>78938.28</c:v>
                </c:pt>
                <c:pt idx="1046">
                  <c:v>78935.47</c:v>
                </c:pt>
                <c:pt idx="1047">
                  <c:v>79008.759999999995</c:v>
                </c:pt>
                <c:pt idx="1048">
                  <c:v>79018.720000000001</c:v>
                </c:pt>
                <c:pt idx="1049">
                  <c:v>79080.84</c:v>
                </c:pt>
                <c:pt idx="1050">
                  <c:v>79046.09</c:v>
                </c:pt>
                <c:pt idx="1051">
                  <c:v>79102.77</c:v>
                </c:pt>
                <c:pt idx="1052">
                  <c:v>78980.66</c:v>
                </c:pt>
                <c:pt idx="1053">
                  <c:v>78960.72</c:v>
                </c:pt>
                <c:pt idx="1054">
                  <c:v>79002.89</c:v>
                </c:pt>
                <c:pt idx="1055">
                  <c:v>78954.3</c:v>
                </c:pt>
                <c:pt idx="1056">
                  <c:v>78948.41</c:v>
                </c:pt>
                <c:pt idx="1057">
                  <c:v>78867.42</c:v>
                </c:pt>
                <c:pt idx="1058">
                  <c:v>78813.429999999993</c:v>
                </c:pt>
                <c:pt idx="1059">
                  <c:v>78808.95</c:v>
                </c:pt>
                <c:pt idx="1060">
                  <c:v>78732.710000000006</c:v>
                </c:pt>
                <c:pt idx="1061">
                  <c:v>78708.289999999994</c:v>
                </c:pt>
                <c:pt idx="1062">
                  <c:v>78773.490000000005</c:v>
                </c:pt>
                <c:pt idx="1063">
                  <c:v>78803.48</c:v>
                </c:pt>
                <c:pt idx="1064">
                  <c:v>78794.070000000007</c:v>
                </c:pt>
                <c:pt idx="1065">
                  <c:v>78711.360000000001</c:v>
                </c:pt>
                <c:pt idx="1066">
                  <c:v>78781.72</c:v>
                </c:pt>
                <c:pt idx="1067">
                  <c:v>78811.11</c:v>
                </c:pt>
                <c:pt idx="1068">
                  <c:v>78908.83</c:v>
                </c:pt>
                <c:pt idx="1069">
                  <c:v>78882.8</c:v>
                </c:pt>
                <c:pt idx="1070">
                  <c:v>78908.59</c:v>
                </c:pt>
                <c:pt idx="1071">
                  <c:v>78937.62</c:v>
                </c:pt>
                <c:pt idx="1072">
                  <c:v>79062.75</c:v>
                </c:pt>
                <c:pt idx="1073">
                  <c:v>78909.97</c:v>
                </c:pt>
                <c:pt idx="1074">
                  <c:v>78974.070000000007</c:v>
                </c:pt>
                <c:pt idx="1075">
                  <c:v>78960.67</c:v>
                </c:pt>
                <c:pt idx="1076">
                  <c:v>78979.17</c:v>
                </c:pt>
                <c:pt idx="1077">
                  <c:v>78950.53</c:v>
                </c:pt>
                <c:pt idx="1078">
                  <c:v>78979.19</c:v>
                </c:pt>
                <c:pt idx="1079">
                  <c:v>78830.44</c:v>
                </c:pt>
                <c:pt idx="1080">
                  <c:v>78850.06</c:v>
                </c:pt>
                <c:pt idx="1081">
                  <c:v>78878.259999999995</c:v>
                </c:pt>
                <c:pt idx="1082">
                  <c:v>78743.14</c:v>
                </c:pt>
                <c:pt idx="1083">
                  <c:v>78763.48</c:v>
                </c:pt>
                <c:pt idx="1084">
                  <c:v>78759.69</c:v>
                </c:pt>
                <c:pt idx="1085">
                  <c:v>78724.009999999995</c:v>
                </c:pt>
                <c:pt idx="1086">
                  <c:v>78621.179999999993</c:v>
                </c:pt>
                <c:pt idx="1087">
                  <c:v>78637.429999999993</c:v>
                </c:pt>
                <c:pt idx="1088">
                  <c:v>78592.94</c:v>
                </c:pt>
                <c:pt idx="1089">
                  <c:v>78647.350000000006</c:v>
                </c:pt>
                <c:pt idx="1090">
                  <c:v>78594.240000000005</c:v>
                </c:pt>
                <c:pt idx="1091">
                  <c:v>78528.179999999993</c:v>
                </c:pt>
                <c:pt idx="1092">
                  <c:v>78548.990000000005</c:v>
                </c:pt>
                <c:pt idx="1093">
                  <c:v>78601.63</c:v>
                </c:pt>
                <c:pt idx="1094">
                  <c:v>78648.149999999994</c:v>
                </c:pt>
                <c:pt idx="1095">
                  <c:v>78655.740000000005</c:v>
                </c:pt>
                <c:pt idx="1096">
                  <c:v>78546.009999999995</c:v>
                </c:pt>
                <c:pt idx="1097">
                  <c:v>78426.100000000006</c:v>
                </c:pt>
                <c:pt idx="1098">
                  <c:v>78428.28</c:v>
                </c:pt>
                <c:pt idx="1099">
                  <c:v>78409.210000000006</c:v>
                </c:pt>
                <c:pt idx="1100">
                  <c:v>78351.22</c:v>
                </c:pt>
                <c:pt idx="1101">
                  <c:v>78391.850000000006</c:v>
                </c:pt>
                <c:pt idx="1102">
                  <c:v>78459.929999999993</c:v>
                </c:pt>
                <c:pt idx="1103">
                  <c:v>78503.100000000006</c:v>
                </c:pt>
                <c:pt idx="1104">
                  <c:v>78560.929999999993</c:v>
                </c:pt>
                <c:pt idx="1105">
                  <c:v>78575.61</c:v>
                </c:pt>
                <c:pt idx="1106">
                  <c:v>78556.53</c:v>
                </c:pt>
                <c:pt idx="1107">
                  <c:v>78555.259999999995</c:v>
                </c:pt>
                <c:pt idx="1108">
                  <c:v>78727.63</c:v>
                </c:pt>
                <c:pt idx="1109">
                  <c:v>78766.399999999994</c:v>
                </c:pt>
                <c:pt idx="1110">
                  <c:v>78790.5</c:v>
                </c:pt>
                <c:pt idx="1111">
                  <c:v>78761.62</c:v>
                </c:pt>
                <c:pt idx="1112">
                  <c:v>78753.52</c:v>
                </c:pt>
                <c:pt idx="1113">
                  <c:v>78622.8</c:v>
                </c:pt>
                <c:pt idx="1114">
                  <c:v>78561.460000000006</c:v>
                </c:pt>
                <c:pt idx="1115">
                  <c:v>78638.53</c:v>
                </c:pt>
                <c:pt idx="1116">
                  <c:v>78558.399999999994</c:v>
                </c:pt>
                <c:pt idx="1117">
                  <c:v>78557.62</c:v>
                </c:pt>
                <c:pt idx="1118">
                  <c:v>78541.3</c:v>
                </c:pt>
                <c:pt idx="1119">
                  <c:v>78499.17</c:v>
                </c:pt>
                <c:pt idx="1120">
                  <c:v>78453.36</c:v>
                </c:pt>
                <c:pt idx="1121">
                  <c:v>78479.58</c:v>
                </c:pt>
                <c:pt idx="1122">
                  <c:v>78347.58</c:v>
                </c:pt>
                <c:pt idx="1123">
                  <c:v>78340.17</c:v>
                </c:pt>
                <c:pt idx="1124">
                  <c:v>78335.27</c:v>
                </c:pt>
                <c:pt idx="1125">
                  <c:v>78300.990000000005</c:v>
                </c:pt>
                <c:pt idx="1126">
                  <c:v>78319.820000000007</c:v>
                </c:pt>
                <c:pt idx="1127">
                  <c:v>78280.539999999994</c:v>
                </c:pt>
                <c:pt idx="1128">
                  <c:v>78315.03</c:v>
                </c:pt>
                <c:pt idx="1129">
                  <c:v>78351.320000000007</c:v>
                </c:pt>
                <c:pt idx="1130">
                  <c:v>78436.22</c:v>
                </c:pt>
                <c:pt idx="1131">
                  <c:v>78428.45</c:v>
                </c:pt>
                <c:pt idx="1132">
                  <c:v>78470.34</c:v>
                </c:pt>
                <c:pt idx="1133">
                  <c:v>78435.17</c:v>
                </c:pt>
                <c:pt idx="1134">
                  <c:v>78458.94</c:v>
                </c:pt>
                <c:pt idx="1135">
                  <c:v>78440.5</c:v>
                </c:pt>
                <c:pt idx="1136">
                  <c:v>78450.25</c:v>
                </c:pt>
                <c:pt idx="1137">
                  <c:v>78502.52</c:v>
                </c:pt>
                <c:pt idx="1138">
                  <c:v>78456.710000000006</c:v>
                </c:pt>
                <c:pt idx="1139">
                  <c:v>78463.44</c:v>
                </c:pt>
                <c:pt idx="1140">
                  <c:v>78484.210000000006</c:v>
                </c:pt>
                <c:pt idx="1141">
                  <c:v>78570.570000000007</c:v>
                </c:pt>
                <c:pt idx="1142">
                  <c:v>78393.86</c:v>
                </c:pt>
                <c:pt idx="1143">
                  <c:v>78393.539999999994</c:v>
                </c:pt>
                <c:pt idx="1144">
                  <c:v>78354.3</c:v>
                </c:pt>
                <c:pt idx="1145">
                  <c:v>78349.289999999994</c:v>
                </c:pt>
                <c:pt idx="1146">
                  <c:v>78408.69</c:v>
                </c:pt>
                <c:pt idx="1147">
                  <c:v>78380.23</c:v>
                </c:pt>
                <c:pt idx="1148">
                  <c:v>78372.160000000003</c:v>
                </c:pt>
                <c:pt idx="1149">
                  <c:v>78486.09</c:v>
                </c:pt>
                <c:pt idx="1150">
                  <c:v>78543.179999999993</c:v>
                </c:pt>
                <c:pt idx="1151">
                  <c:v>78651.429999999993</c:v>
                </c:pt>
                <c:pt idx="1152">
                  <c:v>78679.399999999994</c:v>
                </c:pt>
                <c:pt idx="1153">
                  <c:v>78723.62</c:v>
                </c:pt>
                <c:pt idx="1154">
                  <c:v>78716.240000000005</c:v>
                </c:pt>
                <c:pt idx="1155">
                  <c:v>78776.92</c:v>
                </c:pt>
                <c:pt idx="1156">
                  <c:v>78808.61</c:v>
                </c:pt>
                <c:pt idx="1157">
                  <c:v>78806.820000000007</c:v>
                </c:pt>
                <c:pt idx="1158">
                  <c:v>78749.58</c:v>
                </c:pt>
                <c:pt idx="1159">
                  <c:v>78779.570000000007</c:v>
                </c:pt>
                <c:pt idx="1160">
                  <c:v>78743.19</c:v>
                </c:pt>
                <c:pt idx="1161">
                  <c:v>78624.56</c:v>
                </c:pt>
                <c:pt idx="1162">
                  <c:v>78502.53</c:v>
                </c:pt>
                <c:pt idx="1163">
                  <c:v>78491.34</c:v>
                </c:pt>
                <c:pt idx="1164">
                  <c:v>78494.649999999994</c:v>
                </c:pt>
                <c:pt idx="1165">
                  <c:v>78529.17</c:v>
                </c:pt>
                <c:pt idx="1166">
                  <c:v>78540.63</c:v>
                </c:pt>
                <c:pt idx="1167">
                  <c:v>78503.990000000005</c:v>
                </c:pt>
                <c:pt idx="1168">
                  <c:v>78518.33</c:v>
                </c:pt>
                <c:pt idx="1169">
                  <c:v>78558.25</c:v>
                </c:pt>
                <c:pt idx="1170">
                  <c:v>78586.44</c:v>
                </c:pt>
                <c:pt idx="1171">
                  <c:v>78586.14</c:v>
                </c:pt>
                <c:pt idx="1172">
                  <c:v>78658.91</c:v>
                </c:pt>
                <c:pt idx="1173">
                  <c:v>78667.16</c:v>
                </c:pt>
                <c:pt idx="1174">
                  <c:v>78571.360000000001</c:v>
                </c:pt>
                <c:pt idx="1175">
                  <c:v>78667</c:v>
                </c:pt>
                <c:pt idx="1176">
                  <c:v>78705.83</c:v>
                </c:pt>
                <c:pt idx="1177">
                  <c:v>78663.91</c:v>
                </c:pt>
                <c:pt idx="1178">
                  <c:v>78751.95</c:v>
                </c:pt>
                <c:pt idx="1179">
                  <c:v>78702.320000000007</c:v>
                </c:pt>
                <c:pt idx="1180">
                  <c:v>78729.23</c:v>
                </c:pt>
                <c:pt idx="1181">
                  <c:v>78717.19</c:v>
                </c:pt>
                <c:pt idx="1182">
                  <c:v>78736.08</c:v>
                </c:pt>
                <c:pt idx="1183">
                  <c:v>78744.17</c:v>
                </c:pt>
                <c:pt idx="1184">
                  <c:v>78657.289999999994</c:v>
                </c:pt>
                <c:pt idx="1185">
                  <c:v>78708.929999999993</c:v>
                </c:pt>
                <c:pt idx="1186">
                  <c:v>78720.28</c:v>
                </c:pt>
                <c:pt idx="1187">
                  <c:v>78811.179999999993</c:v>
                </c:pt>
                <c:pt idx="1188">
                  <c:v>78792.88</c:v>
                </c:pt>
                <c:pt idx="1189">
                  <c:v>78814.559999999998</c:v>
                </c:pt>
                <c:pt idx="1190">
                  <c:v>78813.929999999993</c:v>
                </c:pt>
                <c:pt idx="1191">
                  <c:v>78831.12</c:v>
                </c:pt>
                <c:pt idx="1192">
                  <c:v>78789.850000000006</c:v>
                </c:pt>
                <c:pt idx="1193">
                  <c:v>78848.86</c:v>
                </c:pt>
                <c:pt idx="1194">
                  <c:v>78940.59</c:v>
                </c:pt>
                <c:pt idx="1195">
                  <c:v>78986.52</c:v>
                </c:pt>
                <c:pt idx="1196">
                  <c:v>78916.98</c:v>
                </c:pt>
                <c:pt idx="1197">
                  <c:v>78952.86</c:v>
                </c:pt>
                <c:pt idx="1198">
                  <c:v>78942</c:v>
                </c:pt>
                <c:pt idx="1199">
                  <c:v>78857.33</c:v>
                </c:pt>
                <c:pt idx="1200">
                  <c:v>78846.89</c:v>
                </c:pt>
                <c:pt idx="1201">
                  <c:v>78882.149999999994</c:v>
                </c:pt>
                <c:pt idx="1202">
                  <c:v>78931.28</c:v>
                </c:pt>
                <c:pt idx="1203">
                  <c:v>78939.08</c:v>
                </c:pt>
                <c:pt idx="1204">
                  <c:v>78856.78</c:v>
                </c:pt>
                <c:pt idx="1205">
                  <c:v>78743.75</c:v>
                </c:pt>
                <c:pt idx="1206">
                  <c:v>78743.850000000006</c:v>
                </c:pt>
                <c:pt idx="1207">
                  <c:v>78721.279999999999</c:v>
                </c:pt>
                <c:pt idx="1208">
                  <c:v>78703.649999999994</c:v>
                </c:pt>
                <c:pt idx="1209">
                  <c:v>78738.720000000001</c:v>
                </c:pt>
                <c:pt idx="1210">
                  <c:v>78843.320000000007</c:v>
                </c:pt>
                <c:pt idx="1211">
                  <c:v>78831.13</c:v>
                </c:pt>
                <c:pt idx="1212">
                  <c:v>78831.199999999997</c:v>
                </c:pt>
                <c:pt idx="1213">
                  <c:v>78826.87</c:v>
                </c:pt>
                <c:pt idx="1214">
                  <c:v>78770.149999999994</c:v>
                </c:pt>
                <c:pt idx="1215">
                  <c:v>78822.16</c:v>
                </c:pt>
                <c:pt idx="1216">
                  <c:v>78817.11</c:v>
                </c:pt>
                <c:pt idx="1217">
                  <c:v>78748.800000000003</c:v>
                </c:pt>
                <c:pt idx="1218">
                  <c:v>78734.61</c:v>
                </c:pt>
                <c:pt idx="1219">
                  <c:v>78731.81</c:v>
                </c:pt>
                <c:pt idx="1220">
                  <c:v>78650.86</c:v>
                </c:pt>
                <c:pt idx="1221">
                  <c:v>78726.16</c:v>
                </c:pt>
                <c:pt idx="1222">
                  <c:v>78741.66</c:v>
                </c:pt>
                <c:pt idx="1223">
                  <c:v>78679.53</c:v>
                </c:pt>
                <c:pt idx="1224">
                  <c:v>78649.61</c:v>
                </c:pt>
                <c:pt idx="1225">
                  <c:v>78699.12</c:v>
                </c:pt>
                <c:pt idx="1226">
                  <c:v>78661.399999999994</c:v>
                </c:pt>
                <c:pt idx="1227">
                  <c:v>78721.8</c:v>
                </c:pt>
                <c:pt idx="1228">
                  <c:v>78717.52</c:v>
                </c:pt>
                <c:pt idx="1229">
                  <c:v>78717.679999999993</c:v>
                </c:pt>
                <c:pt idx="1230">
                  <c:v>78696.009999999995</c:v>
                </c:pt>
                <c:pt idx="1231">
                  <c:v>78740.58</c:v>
                </c:pt>
                <c:pt idx="1232">
                  <c:v>78670.2</c:v>
                </c:pt>
                <c:pt idx="1233">
                  <c:v>78663</c:v>
                </c:pt>
                <c:pt idx="1234">
                  <c:v>78717.16</c:v>
                </c:pt>
                <c:pt idx="1235">
                  <c:v>78686.8</c:v>
                </c:pt>
                <c:pt idx="1236">
                  <c:v>78664.14</c:v>
                </c:pt>
                <c:pt idx="1237">
                  <c:v>78676.649999999994</c:v>
                </c:pt>
                <c:pt idx="1238">
                  <c:v>78690.33</c:v>
                </c:pt>
                <c:pt idx="1239">
                  <c:v>78694.62</c:v>
                </c:pt>
                <c:pt idx="1240">
                  <c:v>78727.63</c:v>
                </c:pt>
                <c:pt idx="1241">
                  <c:v>78727.94</c:v>
                </c:pt>
                <c:pt idx="1242">
                  <c:v>78721.33</c:v>
                </c:pt>
                <c:pt idx="1243">
                  <c:v>78796.66</c:v>
                </c:pt>
                <c:pt idx="1244">
                  <c:v>78660.84</c:v>
                </c:pt>
                <c:pt idx="1245">
                  <c:v>78680</c:v>
                </c:pt>
                <c:pt idx="1246">
                  <c:v>78722.039999999994</c:v>
                </c:pt>
                <c:pt idx="1247">
                  <c:v>78729.37</c:v>
                </c:pt>
                <c:pt idx="1248">
                  <c:v>78777.83</c:v>
                </c:pt>
                <c:pt idx="1249">
                  <c:v>78793.45</c:v>
                </c:pt>
                <c:pt idx="1250">
                  <c:v>78823.86</c:v>
                </c:pt>
                <c:pt idx="1251">
                  <c:v>78830.320000000007</c:v>
                </c:pt>
                <c:pt idx="1252">
                  <c:v>78854.22</c:v>
                </c:pt>
                <c:pt idx="1253">
                  <c:v>78852.179999999993</c:v>
                </c:pt>
                <c:pt idx="1254">
                  <c:v>78822.92</c:v>
                </c:pt>
                <c:pt idx="1255">
                  <c:v>78816.73</c:v>
                </c:pt>
                <c:pt idx="1256">
                  <c:v>78780.399999999994</c:v>
                </c:pt>
                <c:pt idx="1257">
                  <c:v>78800.27</c:v>
                </c:pt>
                <c:pt idx="1258">
                  <c:v>78825.820000000007</c:v>
                </c:pt>
                <c:pt idx="1259">
                  <c:v>78836.37</c:v>
                </c:pt>
                <c:pt idx="1260">
                  <c:v>78814.36</c:v>
                </c:pt>
                <c:pt idx="1261">
                  <c:v>78799.259999999995</c:v>
                </c:pt>
                <c:pt idx="1262">
                  <c:v>78788.88</c:v>
                </c:pt>
                <c:pt idx="1263">
                  <c:v>78749.919999999998</c:v>
                </c:pt>
                <c:pt idx="1264">
                  <c:v>78759.490000000005</c:v>
                </c:pt>
                <c:pt idx="1265">
                  <c:v>78722.31</c:v>
                </c:pt>
                <c:pt idx="1266">
                  <c:v>78677.34</c:v>
                </c:pt>
                <c:pt idx="1267">
                  <c:v>78739.63</c:v>
                </c:pt>
                <c:pt idx="1268">
                  <c:v>78691.41</c:v>
                </c:pt>
                <c:pt idx="1269">
                  <c:v>78696.92</c:v>
                </c:pt>
                <c:pt idx="1270">
                  <c:v>78765.070000000007</c:v>
                </c:pt>
                <c:pt idx="1271">
                  <c:v>78801.66</c:v>
                </c:pt>
                <c:pt idx="1272">
                  <c:v>78852.58</c:v>
                </c:pt>
                <c:pt idx="1273">
                  <c:v>78952.149999999994</c:v>
                </c:pt>
                <c:pt idx="1274">
                  <c:v>78929.2</c:v>
                </c:pt>
                <c:pt idx="1275">
                  <c:v>78915.69</c:v>
                </c:pt>
                <c:pt idx="1276">
                  <c:v>78926.429999999993</c:v>
                </c:pt>
                <c:pt idx="1277">
                  <c:v>78935.360000000001</c:v>
                </c:pt>
                <c:pt idx="1278">
                  <c:v>78999.31</c:v>
                </c:pt>
                <c:pt idx="1279">
                  <c:v>78966.009999999995</c:v>
                </c:pt>
                <c:pt idx="1280">
                  <c:v>79049.84</c:v>
                </c:pt>
                <c:pt idx="1281">
                  <c:v>79001.22</c:v>
                </c:pt>
                <c:pt idx="1282">
                  <c:v>78946.92</c:v>
                </c:pt>
                <c:pt idx="1283">
                  <c:v>78932.83</c:v>
                </c:pt>
                <c:pt idx="1284">
                  <c:v>78979.95</c:v>
                </c:pt>
                <c:pt idx="1285">
                  <c:v>78947.009999999995</c:v>
                </c:pt>
                <c:pt idx="1286">
                  <c:v>78868.38</c:v>
                </c:pt>
                <c:pt idx="1287">
                  <c:v>78887.81</c:v>
                </c:pt>
                <c:pt idx="1288">
                  <c:v>78875.89</c:v>
                </c:pt>
                <c:pt idx="1289">
                  <c:v>78865.31</c:v>
                </c:pt>
                <c:pt idx="1290">
                  <c:v>78882.720000000001</c:v>
                </c:pt>
                <c:pt idx="1291">
                  <c:v>78903.41</c:v>
                </c:pt>
                <c:pt idx="1292">
                  <c:v>78870.429999999993</c:v>
                </c:pt>
                <c:pt idx="1293">
                  <c:v>78954.240000000005</c:v>
                </c:pt>
                <c:pt idx="1294">
                  <c:v>78871.740000000005</c:v>
                </c:pt>
                <c:pt idx="1295">
                  <c:v>78905.38</c:v>
                </c:pt>
                <c:pt idx="1296">
                  <c:v>78905.31</c:v>
                </c:pt>
                <c:pt idx="1297">
                  <c:v>78889.850000000006</c:v>
                </c:pt>
                <c:pt idx="1298">
                  <c:v>78864.02</c:v>
                </c:pt>
                <c:pt idx="1299">
                  <c:v>78925.03</c:v>
                </c:pt>
                <c:pt idx="1300">
                  <c:v>78935.11</c:v>
                </c:pt>
                <c:pt idx="1301">
                  <c:v>78942.25</c:v>
                </c:pt>
                <c:pt idx="1302">
                  <c:v>78925.63</c:v>
                </c:pt>
                <c:pt idx="1303">
                  <c:v>78944.19</c:v>
                </c:pt>
                <c:pt idx="1304">
                  <c:v>78933.710000000006</c:v>
                </c:pt>
                <c:pt idx="1305">
                  <c:v>78958.320000000007</c:v>
                </c:pt>
                <c:pt idx="1306">
                  <c:v>78952.11</c:v>
                </c:pt>
                <c:pt idx="1307">
                  <c:v>78989.14</c:v>
                </c:pt>
                <c:pt idx="1308">
                  <c:v>78992.45</c:v>
                </c:pt>
                <c:pt idx="1309">
                  <c:v>78939.53</c:v>
                </c:pt>
                <c:pt idx="1310">
                  <c:v>78958.55</c:v>
                </c:pt>
                <c:pt idx="1311">
                  <c:v>78935.31</c:v>
                </c:pt>
                <c:pt idx="1312">
                  <c:v>78949.88</c:v>
                </c:pt>
                <c:pt idx="1313">
                  <c:v>78972.55</c:v>
                </c:pt>
                <c:pt idx="1314">
                  <c:v>78967.55</c:v>
                </c:pt>
                <c:pt idx="1315">
                  <c:v>78984.75</c:v>
                </c:pt>
                <c:pt idx="1316">
                  <c:v>78983.42</c:v>
                </c:pt>
                <c:pt idx="1317">
                  <c:v>78976.63</c:v>
                </c:pt>
                <c:pt idx="1318">
                  <c:v>78982.320000000007</c:v>
                </c:pt>
                <c:pt idx="1319">
                  <c:v>78982.27</c:v>
                </c:pt>
                <c:pt idx="1320">
                  <c:v>78922.350000000006</c:v>
                </c:pt>
                <c:pt idx="1321">
                  <c:v>78942.570000000007</c:v>
                </c:pt>
                <c:pt idx="1322">
                  <c:v>78868.86</c:v>
                </c:pt>
                <c:pt idx="1323">
                  <c:v>78736.100000000006</c:v>
                </c:pt>
                <c:pt idx="1324">
                  <c:v>78781.100000000006</c:v>
                </c:pt>
                <c:pt idx="1325">
                  <c:v>78757.899999999994</c:v>
                </c:pt>
                <c:pt idx="1326">
                  <c:v>78830.33</c:v>
                </c:pt>
                <c:pt idx="1327">
                  <c:v>78734.02</c:v>
                </c:pt>
                <c:pt idx="1328">
                  <c:v>78716.61</c:v>
                </c:pt>
                <c:pt idx="1329">
                  <c:v>78717.850000000006</c:v>
                </c:pt>
                <c:pt idx="1330">
                  <c:v>78709.990000000005</c:v>
                </c:pt>
                <c:pt idx="1331">
                  <c:v>78739.850000000006</c:v>
                </c:pt>
                <c:pt idx="1332">
                  <c:v>78711.12</c:v>
                </c:pt>
                <c:pt idx="1333">
                  <c:v>78735.61</c:v>
                </c:pt>
                <c:pt idx="1334">
                  <c:v>78727.53</c:v>
                </c:pt>
                <c:pt idx="1335">
                  <c:v>78798.3</c:v>
                </c:pt>
                <c:pt idx="1336">
                  <c:v>78807.62</c:v>
                </c:pt>
                <c:pt idx="1337">
                  <c:v>78746.600000000006</c:v>
                </c:pt>
                <c:pt idx="1338">
                  <c:v>78748.55</c:v>
                </c:pt>
                <c:pt idx="1339">
                  <c:v>78748.820000000007</c:v>
                </c:pt>
                <c:pt idx="1340">
                  <c:v>78749.350000000006</c:v>
                </c:pt>
                <c:pt idx="1341">
                  <c:v>78688.97</c:v>
                </c:pt>
                <c:pt idx="1342">
                  <c:v>78688.72</c:v>
                </c:pt>
                <c:pt idx="1343">
                  <c:v>78720.820000000007</c:v>
                </c:pt>
                <c:pt idx="1344">
                  <c:v>78829.39</c:v>
                </c:pt>
                <c:pt idx="1345">
                  <c:v>78852.83</c:v>
                </c:pt>
                <c:pt idx="1346">
                  <c:v>78808.59</c:v>
                </c:pt>
                <c:pt idx="1347">
                  <c:v>78878.3</c:v>
                </c:pt>
                <c:pt idx="1348">
                  <c:v>78901.3</c:v>
                </c:pt>
                <c:pt idx="1349">
                  <c:v>78921.55</c:v>
                </c:pt>
                <c:pt idx="1350">
                  <c:v>78895.600000000006</c:v>
                </c:pt>
                <c:pt idx="1351">
                  <c:v>78862.3</c:v>
                </c:pt>
                <c:pt idx="1352">
                  <c:v>78846.5</c:v>
                </c:pt>
                <c:pt idx="1353">
                  <c:v>78794.2</c:v>
                </c:pt>
                <c:pt idx="1354">
                  <c:v>78801.53</c:v>
                </c:pt>
                <c:pt idx="1355">
                  <c:v>78805.53</c:v>
                </c:pt>
                <c:pt idx="1356">
                  <c:v>78790.5</c:v>
                </c:pt>
                <c:pt idx="1357">
                  <c:v>78722</c:v>
                </c:pt>
                <c:pt idx="1358">
                  <c:v>78711.600000000006</c:v>
                </c:pt>
                <c:pt idx="1359">
                  <c:v>78701.5</c:v>
                </c:pt>
                <c:pt idx="1360">
                  <c:v>78662.039999999994</c:v>
                </c:pt>
                <c:pt idx="1361">
                  <c:v>78673.210000000006</c:v>
                </c:pt>
                <c:pt idx="1362">
                  <c:v>78653.100000000006</c:v>
                </c:pt>
                <c:pt idx="1363">
                  <c:v>78646.5</c:v>
                </c:pt>
                <c:pt idx="1364">
                  <c:v>78620.36</c:v>
                </c:pt>
                <c:pt idx="1365">
                  <c:v>78532.94</c:v>
                </c:pt>
                <c:pt idx="1366">
                  <c:v>78555.73</c:v>
                </c:pt>
                <c:pt idx="1367">
                  <c:v>78591.37</c:v>
                </c:pt>
                <c:pt idx="1368">
                  <c:v>78587.11</c:v>
                </c:pt>
                <c:pt idx="1369">
                  <c:v>78558.240000000005</c:v>
                </c:pt>
                <c:pt idx="1370">
                  <c:v>78511.520000000004</c:v>
                </c:pt>
                <c:pt idx="1371">
                  <c:v>78575.850000000006</c:v>
                </c:pt>
                <c:pt idx="1372">
                  <c:v>78541.09</c:v>
                </c:pt>
                <c:pt idx="1373">
                  <c:v>78594.73</c:v>
                </c:pt>
                <c:pt idx="1374">
                  <c:v>78537.7</c:v>
                </c:pt>
                <c:pt idx="1375">
                  <c:v>78523.350000000006</c:v>
                </c:pt>
                <c:pt idx="1376">
                  <c:v>78563.67</c:v>
                </c:pt>
                <c:pt idx="1377">
                  <c:v>78547.460000000006</c:v>
                </c:pt>
                <c:pt idx="1378">
                  <c:v>78546.7</c:v>
                </c:pt>
                <c:pt idx="1379">
                  <c:v>78545.05</c:v>
                </c:pt>
                <c:pt idx="1380">
                  <c:v>78573.789999999994</c:v>
                </c:pt>
                <c:pt idx="1381">
                  <c:v>78626.02</c:v>
                </c:pt>
                <c:pt idx="1382">
                  <c:v>78592.2</c:v>
                </c:pt>
                <c:pt idx="1383">
                  <c:v>78623.02</c:v>
                </c:pt>
                <c:pt idx="1384">
                  <c:v>78590.039999999994</c:v>
                </c:pt>
                <c:pt idx="1385">
                  <c:v>78572.91</c:v>
                </c:pt>
                <c:pt idx="1386">
                  <c:v>78581.25</c:v>
                </c:pt>
                <c:pt idx="1387">
                  <c:v>78600.62</c:v>
                </c:pt>
                <c:pt idx="1388">
                  <c:v>78587.8</c:v>
                </c:pt>
                <c:pt idx="1389">
                  <c:v>78578.27</c:v>
                </c:pt>
                <c:pt idx="1390">
                  <c:v>78610.33</c:v>
                </c:pt>
                <c:pt idx="1391">
                  <c:v>78600.77</c:v>
                </c:pt>
                <c:pt idx="1392">
                  <c:v>78600.23</c:v>
                </c:pt>
                <c:pt idx="1393">
                  <c:v>78636.990000000005</c:v>
                </c:pt>
                <c:pt idx="1394">
                  <c:v>78640.81</c:v>
                </c:pt>
                <c:pt idx="1395">
                  <c:v>78668.56</c:v>
                </c:pt>
                <c:pt idx="1396">
                  <c:v>78675.83</c:v>
                </c:pt>
                <c:pt idx="1397">
                  <c:v>78668.62</c:v>
                </c:pt>
                <c:pt idx="1398">
                  <c:v>78675.13</c:v>
                </c:pt>
                <c:pt idx="1399">
                  <c:v>78658.429999999993</c:v>
                </c:pt>
                <c:pt idx="1400">
                  <c:v>78676.36</c:v>
                </c:pt>
                <c:pt idx="1401">
                  <c:v>78688.31</c:v>
                </c:pt>
                <c:pt idx="1402">
                  <c:v>78693.820000000007</c:v>
                </c:pt>
                <c:pt idx="1403">
                  <c:v>78694.13</c:v>
                </c:pt>
                <c:pt idx="1404">
                  <c:v>78716.52</c:v>
                </c:pt>
                <c:pt idx="1405">
                  <c:v>78698.83</c:v>
                </c:pt>
                <c:pt idx="1406">
                  <c:v>78756.33</c:v>
                </c:pt>
                <c:pt idx="1407">
                  <c:v>78700.23</c:v>
                </c:pt>
                <c:pt idx="1408">
                  <c:v>78689.399999999994</c:v>
                </c:pt>
                <c:pt idx="1409">
                  <c:v>78642.42</c:v>
                </c:pt>
                <c:pt idx="1410">
                  <c:v>78670.13</c:v>
                </c:pt>
                <c:pt idx="1411">
                  <c:v>78726.36</c:v>
                </c:pt>
                <c:pt idx="1412">
                  <c:v>78729.63</c:v>
                </c:pt>
                <c:pt idx="1413">
                  <c:v>78719.81</c:v>
                </c:pt>
                <c:pt idx="1414">
                  <c:v>78680.83</c:v>
                </c:pt>
                <c:pt idx="1415">
                  <c:v>78654.960000000006</c:v>
                </c:pt>
                <c:pt idx="1416">
                  <c:v>78653.100000000006</c:v>
                </c:pt>
                <c:pt idx="1417">
                  <c:v>78557.649999999994</c:v>
                </c:pt>
                <c:pt idx="1418">
                  <c:v>78458.740000000005</c:v>
                </c:pt>
                <c:pt idx="1419">
                  <c:v>78392.63</c:v>
                </c:pt>
                <c:pt idx="1420">
                  <c:v>78474.61</c:v>
                </c:pt>
                <c:pt idx="1421">
                  <c:v>78493.45</c:v>
                </c:pt>
                <c:pt idx="1422">
                  <c:v>78484.820000000007</c:v>
                </c:pt>
                <c:pt idx="1423">
                  <c:v>78498.62</c:v>
                </c:pt>
                <c:pt idx="1424">
                  <c:v>78531.520000000004</c:v>
                </c:pt>
                <c:pt idx="1425">
                  <c:v>78475.34</c:v>
                </c:pt>
                <c:pt idx="1426">
                  <c:v>78437.539999999994</c:v>
                </c:pt>
                <c:pt idx="1427">
                  <c:v>78420.350000000006</c:v>
                </c:pt>
                <c:pt idx="1428">
                  <c:v>78333.81</c:v>
                </c:pt>
                <c:pt idx="1429">
                  <c:v>78335.7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5-44E6-B510-6571DD8D3F85}"/>
            </c:ext>
          </c:extLst>
        </c:ser>
        <c:ser>
          <c:idx val="4"/>
          <c:order val="4"/>
          <c:tx>
            <c:strRef>
              <c:f>Issue1949!$P$2</c:f>
              <c:strCache>
                <c:ptCount val="1"/>
                <c:pt idx="0">
                  <c:v> zigZag 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Issue1949!$P$3:$P$1432</c:f>
              <c:numCache>
                <c:formatCode>_("$"* #,##0.00_);_("$"* \(#,##0.00\);_("$"* "-"??_);_(@_)</c:formatCode>
                <c:ptCount val="1430"/>
                <c:pt idx="459">
                  <c:v>80754.13</c:v>
                </c:pt>
                <c:pt idx="460">
                  <c:v>80789.261069999993</c:v>
                </c:pt>
                <c:pt idx="461">
                  <c:v>80824.392139999996</c:v>
                </c:pt>
                <c:pt idx="462">
                  <c:v>80859.523209999999</c:v>
                </c:pt>
                <c:pt idx="463">
                  <c:v>80894.654290000006</c:v>
                </c:pt>
                <c:pt idx="464">
                  <c:v>80929.785359999994</c:v>
                </c:pt>
                <c:pt idx="465">
                  <c:v>80964.916429999997</c:v>
                </c:pt>
                <c:pt idx="466">
                  <c:v>81000.047500000001</c:v>
                </c:pt>
                <c:pt idx="467">
                  <c:v>81035.178570000004</c:v>
                </c:pt>
                <c:pt idx="468">
                  <c:v>81070.309640000007</c:v>
                </c:pt>
                <c:pt idx="469">
                  <c:v>81105.440709999995</c:v>
                </c:pt>
                <c:pt idx="470">
                  <c:v>81140.571790000002</c:v>
                </c:pt>
                <c:pt idx="471">
                  <c:v>81175.702860000005</c:v>
                </c:pt>
                <c:pt idx="472">
                  <c:v>81210.833929999993</c:v>
                </c:pt>
                <c:pt idx="473">
                  <c:v>81245.964999999997</c:v>
                </c:pt>
                <c:pt idx="474">
                  <c:v>81281.09607</c:v>
                </c:pt>
                <c:pt idx="475">
                  <c:v>81316.227140000003</c:v>
                </c:pt>
                <c:pt idx="476">
                  <c:v>81351.358210000006</c:v>
                </c:pt>
                <c:pt idx="477">
                  <c:v>81386.489289999998</c:v>
                </c:pt>
                <c:pt idx="478">
                  <c:v>81421.620360000001</c:v>
                </c:pt>
                <c:pt idx="479">
                  <c:v>81456.751430000004</c:v>
                </c:pt>
                <c:pt idx="480">
                  <c:v>81491.882500000007</c:v>
                </c:pt>
                <c:pt idx="481">
                  <c:v>81527.013569999996</c:v>
                </c:pt>
                <c:pt idx="482">
                  <c:v>81562.144639999999</c:v>
                </c:pt>
                <c:pt idx="483">
                  <c:v>81597.275710000002</c:v>
                </c:pt>
                <c:pt idx="484">
                  <c:v>81632.406789999994</c:v>
                </c:pt>
                <c:pt idx="485">
                  <c:v>81667.537859999997</c:v>
                </c:pt>
                <c:pt idx="486">
                  <c:v>81702.66893</c:v>
                </c:pt>
                <c:pt idx="487">
                  <c:v>81737.8</c:v>
                </c:pt>
                <c:pt idx="488">
                  <c:v>81720.082680000007</c:v>
                </c:pt>
                <c:pt idx="489">
                  <c:v>81702.365349999993</c:v>
                </c:pt>
                <c:pt idx="490">
                  <c:v>81684.648029999997</c:v>
                </c:pt>
                <c:pt idx="491">
                  <c:v>81666.930699999997</c:v>
                </c:pt>
                <c:pt idx="492">
                  <c:v>81649.213380000001</c:v>
                </c:pt>
                <c:pt idx="493">
                  <c:v>81631.496060000005</c:v>
                </c:pt>
                <c:pt idx="494">
                  <c:v>81613.778730000005</c:v>
                </c:pt>
                <c:pt idx="495">
                  <c:v>81596.061409999995</c:v>
                </c:pt>
                <c:pt idx="496">
                  <c:v>81578.344079999995</c:v>
                </c:pt>
                <c:pt idx="497">
                  <c:v>81560.626759999999</c:v>
                </c:pt>
                <c:pt idx="498">
                  <c:v>81542.909440000003</c:v>
                </c:pt>
                <c:pt idx="499">
                  <c:v>81525.192110000004</c:v>
                </c:pt>
                <c:pt idx="500">
                  <c:v>81507.474789999993</c:v>
                </c:pt>
                <c:pt idx="501">
                  <c:v>81489.757459999993</c:v>
                </c:pt>
                <c:pt idx="502">
                  <c:v>81472.040139999997</c:v>
                </c:pt>
                <c:pt idx="503">
                  <c:v>81454.322820000001</c:v>
                </c:pt>
                <c:pt idx="504">
                  <c:v>81436.605490000002</c:v>
                </c:pt>
                <c:pt idx="505">
                  <c:v>81418.888170000006</c:v>
                </c:pt>
                <c:pt idx="506">
                  <c:v>81401.170849999995</c:v>
                </c:pt>
                <c:pt idx="507">
                  <c:v>81383.453519999995</c:v>
                </c:pt>
                <c:pt idx="508">
                  <c:v>81365.736199999999</c:v>
                </c:pt>
                <c:pt idx="509">
                  <c:v>81348.01887</c:v>
                </c:pt>
                <c:pt idx="510">
                  <c:v>81330.301550000004</c:v>
                </c:pt>
                <c:pt idx="511">
                  <c:v>81312.584229999993</c:v>
                </c:pt>
                <c:pt idx="512">
                  <c:v>81294.866899999994</c:v>
                </c:pt>
                <c:pt idx="513">
                  <c:v>81277.149579999998</c:v>
                </c:pt>
                <c:pt idx="514">
                  <c:v>81259.432249999998</c:v>
                </c:pt>
                <c:pt idx="515">
                  <c:v>81241.714930000002</c:v>
                </c:pt>
                <c:pt idx="516">
                  <c:v>81223.997610000006</c:v>
                </c:pt>
                <c:pt idx="517">
                  <c:v>81206.280280000006</c:v>
                </c:pt>
                <c:pt idx="518">
                  <c:v>81188.562959999996</c:v>
                </c:pt>
                <c:pt idx="519">
                  <c:v>81170.845629999996</c:v>
                </c:pt>
                <c:pt idx="520">
                  <c:v>81153.12831</c:v>
                </c:pt>
                <c:pt idx="521">
                  <c:v>81135.410990000004</c:v>
                </c:pt>
                <c:pt idx="522">
                  <c:v>81117.693660000004</c:v>
                </c:pt>
                <c:pt idx="523">
                  <c:v>81099.976339999994</c:v>
                </c:pt>
                <c:pt idx="524">
                  <c:v>81082.259009999994</c:v>
                </c:pt>
                <c:pt idx="525">
                  <c:v>81064.541689999998</c:v>
                </c:pt>
                <c:pt idx="526">
                  <c:v>81046.824370000002</c:v>
                </c:pt>
                <c:pt idx="527">
                  <c:v>81029.107040000003</c:v>
                </c:pt>
                <c:pt idx="528">
                  <c:v>81011.389720000006</c:v>
                </c:pt>
                <c:pt idx="529">
                  <c:v>80993.672390000007</c:v>
                </c:pt>
                <c:pt idx="530">
                  <c:v>80975.955069999996</c:v>
                </c:pt>
                <c:pt idx="531">
                  <c:v>80958.23775</c:v>
                </c:pt>
                <c:pt idx="532">
                  <c:v>80940.520420000001</c:v>
                </c:pt>
                <c:pt idx="533">
                  <c:v>80922.803100000005</c:v>
                </c:pt>
                <c:pt idx="534">
                  <c:v>80905.085770000005</c:v>
                </c:pt>
                <c:pt idx="535">
                  <c:v>80887.368449999994</c:v>
                </c:pt>
                <c:pt idx="536">
                  <c:v>80869.651129999998</c:v>
                </c:pt>
                <c:pt idx="537">
                  <c:v>80851.933799999999</c:v>
                </c:pt>
                <c:pt idx="538">
                  <c:v>80834.216480000003</c:v>
                </c:pt>
                <c:pt idx="539">
                  <c:v>80816.499150000003</c:v>
                </c:pt>
                <c:pt idx="540">
                  <c:v>80798.781830000007</c:v>
                </c:pt>
                <c:pt idx="541">
                  <c:v>80781.064509999997</c:v>
                </c:pt>
                <c:pt idx="542">
                  <c:v>80763.347179999997</c:v>
                </c:pt>
                <c:pt idx="543">
                  <c:v>80745.629860000001</c:v>
                </c:pt>
                <c:pt idx="544">
                  <c:v>80727.912540000005</c:v>
                </c:pt>
                <c:pt idx="545">
                  <c:v>80710.195210000005</c:v>
                </c:pt>
                <c:pt idx="546">
                  <c:v>80692.477889999995</c:v>
                </c:pt>
                <c:pt idx="547">
                  <c:v>80674.760559999995</c:v>
                </c:pt>
                <c:pt idx="548">
                  <c:v>80657.043239999999</c:v>
                </c:pt>
                <c:pt idx="549">
                  <c:v>80639.325920000003</c:v>
                </c:pt>
                <c:pt idx="550">
                  <c:v>80621.608590000003</c:v>
                </c:pt>
                <c:pt idx="551">
                  <c:v>80603.891269999993</c:v>
                </c:pt>
                <c:pt idx="552">
                  <c:v>80586.173939999993</c:v>
                </c:pt>
                <c:pt idx="553">
                  <c:v>80568.456619999997</c:v>
                </c:pt>
                <c:pt idx="554">
                  <c:v>80550.739300000001</c:v>
                </c:pt>
                <c:pt idx="555">
                  <c:v>80533.021970000002</c:v>
                </c:pt>
                <c:pt idx="556">
                  <c:v>80515.304650000005</c:v>
                </c:pt>
                <c:pt idx="557">
                  <c:v>80497.587320000006</c:v>
                </c:pt>
                <c:pt idx="558">
                  <c:v>80479.87</c:v>
                </c:pt>
                <c:pt idx="559">
                  <c:v>80901.907500000001</c:v>
                </c:pt>
                <c:pt idx="560">
                  <c:v>81323.945000000007</c:v>
                </c:pt>
                <c:pt idx="561">
                  <c:v>81745.982499999998</c:v>
                </c:pt>
                <c:pt idx="562">
                  <c:v>82168.02</c:v>
                </c:pt>
                <c:pt idx="563">
                  <c:v>82088.133530000006</c:v>
                </c:pt>
                <c:pt idx="564">
                  <c:v>82008.247059999994</c:v>
                </c:pt>
                <c:pt idx="565">
                  <c:v>81928.360589999997</c:v>
                </c:pt>
                <c:pt idx="566">
                  <c:v>81848.474119999999</c:v>
                </c:pt>
                <c:pt idx="567">
                  <c:v>81768.587650000001</c:v>
                </c:pt>
                <c:pt idx="568">
                  <c:v>81688.701180000004</c:v>
                </c:pt>
                <c:pt idx="569">
                  <c:v>81608.814710000006</c:v>
                </c:pt>
                <c:pt idx="570">
                  <c:v>81528.928239999994</c:v>
                </c:pt>
                <c:pt idx="571">
                  <c:v>81449.041759999993</c:v>
                </c:pt>
                <c:pt idx="572">
                  <c:v>81369.155289999995</c:v>
                </c:pt>
                <c:pt idx="573">
                  <c:v>81289.268819999998</c:v>
                </c:pt>
                <c:pt idx="574">
                  <c:v>81209.38235</c:v>
                </c:pt>
                <c:pt idx="575">
                  <c:v>81129.495880000002</c:v>
                </c:pt>
                <c:pt idx="576">
                  <c:v>81049.609410000005</c:v>
                </c:pt>
                <c:pt idx="577">
                  <c:v>80969.722940000007</c:v>
                </c:pt>
                <c:pt idx="578">
                  <c:v>80889.836469999995</c:v>
                </c:pt>
                <c:pt idx="579">
                  <c:v>80809.95</c:v>
                </c:pt>
                <c:pt idx="580">
                  <c:v>80730.063529999999</c:v>
                </c:pt>
                <c:pt idx="581">
                  <c:v>80650.177060000002</c:v>
                </c:pt>
                <c:pt idx="582">
                  <c:v>80570.290590000004</c:v>
                </c:pt>
                <c:pt idx="583">
                  <c:v>80490.404120000007</c:v>
                </c:pt>
                <c:pt idx="584">
                  <c:v>80410.517649999994</c:v>
                </c:pt>
                <c:pt idx="585">
                  <c:v>80330.631179999997</c:v>
                </c:pt>
                <c:pt idx="586">
                  <c:v>80250.744709999999</c:v>
                </c:pt>
                <c:pt idx="587">
                  <c:v>80170.858240000001</c:v>
                </c:pt>
                <c:pt idx="588">
                  <c:v>80090.97176</c:v>
                </c:pt>
                <c:pt idx="589">
                  <c:v>80011.085290000003</c:v>
                </c:pt>
                <c:pt idx="590">
                  <c:v>79931.198820000005</c:v>
                </c:pt>
                <c:pt idx="591">
                  <c:v>79851.312349999993</c:v>
                </c:pt>
                <c:pt idx="592">
                  <c:v>79771.425879999995</c:v>
                </c:pt>
                <c:pt idx="593">
                  <c:v>79691.539409999998</c:v>
                </c:pt>
                <c:pt idx="594">
                  <c:v>79611.65294</c:v>
                </c:pt>
                <c:pt idx="595">
                  <c:v>79531.766470000002</c:v>
                </c:pt>
                <c:pt idx="596">
                  <c:v>79451.88</c:v>
                </c:pt>
                <c:pt idx="597">
                  <c:v>79371.993530000007</c:v>
                </c:pt>
                <c:pt idx="598">
                  <c:v>79292.107059999995</c:v>
                </c:pt>
                <c:pt idx="599">
                  <c:v>79212.220589999997</c:v>
                </c:pt>
                <c:pt idx="600">
                  <c:v>79132.33412</c:v>
                </c:pt>
                <c:pt idx="601">
                  <c:v>79052.447650000002</c:v>
                </c:pt>
                <c:pt idx="602">
                  <c:v>78972.561180000004</c:v>
                </c:pt>
                <c:pt idx="603">
                  <c:v>78892.674710000007</c:v>
                </c:pt>
                <c:pt idx="604">
                  <c:v>78812.788239999994</c:v>
                </c:pt>
                <c:pt idx="605">
                  <c:v>78732.901759999993</c:v>
                </c:pt>
                <c:pt idx="606">
                  <c:v>78653.015289999996</c:v>
                </c:pt>
                <c:pt idx="607">
                  <c:v>78573.128819999998</c:v>
                </c:pt>
                <c:pt idx="608">
                  <c:v>78493.24235</c:v>
                </c:pt>
                <c:pt idx="609">
                  <c:v>78413.355880000003</c:v>
                </c:pt>
                <c:pt idx="610">
                  <c:v>78333.469410000005</c:v>
                </c:pt>
                <c:pt idx="611">
                  <c:v>78253.582939999993</c:v>
                </c:pt>
                <c:pt idx="612">
                  <c:v>78173.696469999995</c:v>
                </c:pt>
                <c:pt idx="613">
                  <c:v>78093.81</c:v>
                </c:pt>
                <c:pt idx="614">
                  <c:v>78755.255000000005</c:v>
                </c:pt>
                <c:pt idx="615">
                  <c:v>79416.7</c:v>
                </c:pt>
                <c:pt idx="616">
                  <c:v>79373.150559999995</c:v>
                </c:pt>
                <c:pt idx="617">
                  <c:v>79329.601120000007</c:v>
                </c:pt>
                <c:pt idx="618">
                  <c:v>79286.051689999993</c:v>
                </c:pt>
                <c:pt idx="619">
                  <c:v>79242.502250000005</c:v>
                </c:pt>
                <c:pt idx="620">
                  <c:v>79198.952810000003</c:v>
                </c:pt>
                <c:pt idx="621">
                  <c:v>79155.40337</c:v>
                </c:pt>
                <c:pt idx="622">
                  <c:v>79111.853929999997</c:v>
                </c:pt>
                <c:pt idx="623">
                  <c:v>79068.304489999995</c:v>
                </c:pt>
                <c:pt idx="624">
                  <c:v>79024.755059999996</c:v>
                </c:pt>
                <c:pt idx="625">
                  <c:v>78981.205619999993</c:v>
                </c:pt>
                <c:pt idx="626">
                  <c:v>78937.656180000005</c:v>
                </c:pt>
                <c:pt idx="627">
                  <c:v>78894.106740000003</c:v>
                </c:pt>
                <c:pt idx="628">
                  <c:v>78850.5573</c:v>
                </c:pt>
                <c:pt idx="629">
                  <c:v>78807.007870000001</c:v>
                </c:pt>
                <c:pt idx="630">
                  <c:v>78763.458429999999</c:v>
                </c:pt>
                <c:pt idx="631">
                  <c:v>78719.908989999996</c:v>
                </c:pt>
                <c:pt idx="632">
                  <c:v>78676.359549999994</c:v>
                </c:pt>
                <c:pt idx="633">
                  <c:v>78632.810110000006</c:v>
                </c:pt>
                <c:pt idx="634">
                  <c:v>78589.260670000003</c:v>
                </c:pt>
                <c:pt idx="635">
                  <c:v>78545.711240000004</c:v>
                </c:pt>
                <c:pt idx="636">
                  <c:v>78502.161800000002</c:v>
                </c:pt>
                <c:pt idx="637">
                  <c:v>78458.612359999999</c:v>
                </c:pt>
                <c:pt idx="638">
                  <c:v>78415.062919999997</c:v>
                </c:pt>
                <c:pt idx="639">
                  <c:v>78371.513479999994</c:v>
                </c:pt>
                <c:pt idx="640">
                  <c:v>78327.964040000006</c:v>
                </c:pt>
                <c:pt idx="641">
                  <c:v>78284.414610000007</c:v>
                </c:pt>
                <c:pt idx="642">
                  <c:v>78240.865170000005</c:v>
                </c:pt>
                <c:pt idx="643">
                  <c:v>78197.315730000002</c:v>
                </c:pt>
                <c:pt idx="644">
                  <c:v>78153.76629</c:v>
                </c:pt>
                <c:pt idx="645">
                  <c:v>78110.216849999997</c:v>
                </c:pt>
                <c:pt idx="646">
                  <c:v>78066.667419999998</c:v>
                </c:pt>
                <c:pt idx="647">
                  <c:v>78023.117979999995</c:v>
                </c:pt>
                <c:pt idx="648">
                  <c:v>77979.568539999993</c:v>
                </c:pt>
                <c:pt idx="649">
                  <c:v>77936.019100000005</c:v>
                </c:pt>
                <c:pt idx="650">
                  <c:v>77892.469660000002</c:v>
                </c:pt>
                <c:pt idx="651">
                  <c:v>77848.92022</c:v>
                </c:pt>
                <c:pt idx="652">
                  <c:v>77805.370790000001</c:v>
                </c:pt>
                <c:pt idx="653">
                  <c:v>77761.821349999998</c:v>
                </c:pt>
                <c:pt idx="654">
                  <c:v>77718.271909999996</c:v>
                </c:pt>
                <c:pt idx="655">
                  <c:v>77674.722469999993</c:v>
                </c:pt>
                <c:pt idx="656">
                  <c:v>77631.173030000005</c:v>
                </c:pt>
                <c:pt idx="657">
                  <c:v>77587.623600000006</c:v>
                </c:pt>
                <c:pt idx="658">
                  <c:v>77544.074160000004</c:v>
                </c:pt>
                <c:pt idx="659">
                  <c:v>77500.524720000001</c:v>
                </c:pt>
                <c:pt idx="660">
                  <c:v>77456.975279999999</c:v>
                </c:pt>
                <c:pt idx="661">
                  <c:v>77413.425839999996</c:v>
                </c:pt>
                <c:pt idx="662">
                  <c:v>77369.876399999994</c:v>
                </c:pt>
                <c:pt idx="663">
                  <c:v>77326.326969999995</c:v>
                </c:pt>
                <c:pt idx="664">
                  <c:v>77282.777530000007</c:v>
                </c:pt>
                <c:pt idx="665">
                  <c:v>77239.228090000004</c:v>
                </c:pt>
                <c:pt idx="666">
                  <c:v>77195.678650000002</c:v>
                </c:pt>
                <c:pt idx="667">
                  <c:v>77152.129209999999</c:v>
                </c:pt>
                <c:pt idx="668">
                  <c:v>77108.57978</c:v>
                </c:pt>
                <c:pt idx="669">
                  <c:v>77065.030339999998</c:v>
                </c:pt>
                <c:pt idx="670">
                  <c:v>77021.480899999995</c:v>
                </c:pt>
                <c:pt idx="671">
                  <c:v>76977.931460000007</c:v>
                </c:pt>
                <c:pt idx="672">
                  <c:v>76934.382020000005</c:v>
                </c:pt>
                <c:pt idx="673">
                  <c:v>76890.832580000002</c:v>
                </c:pt>
                <c:pt idx="674">
                  <c:v>76847.283150000003</c:v>
                </c:pt>
                <c:pt idx="675">
                  <c:v>76803.73371</c:v>
                </c:pt>
                <c:pt idx="676">
                  <c:v>76760.184269999998</c:v>
                </c:pt>
                <c:pt idx="677">
                  <c:v>76716.634829999995</c:v>
                </c:pt>
                <c:pt idx="678">
                  <c:v>76673.085389999993</c:v>
                </c:pt>
                <c:pt idx="679">
                  <c:v>76629.535959999994</c:v>
                </c:pt>
                <c:pt idx="680">
                  <c:v>76585.986520000006</c:v>
                </c:pt>
                <c:pt idx="681">
                  <c:v>76542.437080000003</c:v>
                </c:pt>
                <c:pt idx="682">
                  <c:v>76498.887640000001</c:v>
                </c:pt>
                <c:pt idx="683">
                  <c:v>76455.338199999998</c:v>
                </c:pt>
                <c:pt idx="684">
                  <c:v>76411.788759999996</c:v>
                </c:pt>
                <c:pt idx="685">
                  <c:v>76368.239329999997</c:v>
                </c:pt>
                <c:pt idx="686">
                  <c:v>76324.689889999994</c:v>
                </c:pt>
                <c:pt idx="687">
                  <c:v>76281.140450000006</c:v>
                </c:pt>
                <c:pt idx="688">
                  <c:v>76237.591010000004</c:v>
                </c:pt>
                <c:pt idx="689">
                  <c:v>76194.041570000001</c:v>
                </c:pt>
                <c:pt idx="690">
                  <c:v>76150.492129999999</c:v>
                </c:pt>
                <c:pt idx="691">
                  <c:v>76106.9427</c:v>
                </c:pt>
                <c:pt idx="692">
                  <c:v>76063.393259999997</c:v>
                </c:pt>
                <c:pt idx="693">
                  <c:v>76019.843819999995</c:v>
                </c:pt>
                <c:pt idx="694">
                  <c:v>75976.294380000007</c:v>
                </c:pt>
                <c:pt idx="695">
                  <c:v>75932.744940000004</c:v>
                </c:pt>
                <c:pt idx="696">
                  <c:v>75889.195510000005</c:v>
                </c:pt>
                <c:pt idx="697">
                  <c:v>75845.646070000003</c:v>
                </c:pt>
                <c:pt idx="698">
                  <c:v>75802.09663</c:v>
                </c:pt>
                <c:pt idx="699">
                  <c:v>75758.547189999997</c:v>
                </c:pt>
                <c:pt idx="700">
                  <c:v>75714.997749999995</c:v>
                </c:pt>
                <c:pt idx="701">
                  <c:v>75671.448310000007</c:v>
                </c:pt>
                <c:pt idx="702">
                  <c:v>75627.898879999993</c:v>
                </c:pt>
                <c:pt idx="703">
                  <c:v>75584.349440000005</c:v>
                </c:pt>
                <c:pt idx="704">
                  <c:v>75540.800000000003</c:v>
                </c:pt>
                <c:pt idx="705">
                  <c:v>75650.574070000002</c:v>
                </c:pt>
                <c:pt idx="706">
                  <c:v>75760.348150000005</c:v>
                </c:pt>
                <c:pt idx="707">
                  <c:v>75870.122220000005</c:v>
                </c:pt>
                <c:pt idx="708">
                  <c:v>75979.896299999993</c:v>
                </c:pt>
                <c:pt idx="709">
                  <c:v>76089.670370000007</c:v>
                </c:pt>
                <c:pt idx="710">
                  <c:v>76199.444440000007</c:v>
                </c:pt>
                <c:pt idx="711">
                  <c:v>76309.218519999995</c:v>
                </c:pt>
                <c:pt idx="712">
                  <c:v>76418.992589999994</c:v>
                </c:pt>
                <c:pt idx="713">
                  <c:v>76528.766669999997</c:v>
                </c:pt>
                <c:pt idx="714">
                  <c:v>76638.540739999997</c:v>
                </c:pt>
                <c:pt idx="715">
                  <c:v>76748.314809999996</c:v>
                </c:pt>
                <c:pt idx="716">
                  <c:v>76858.088889999999</c:v>
                </c:pt>
                <c:pt idx="717">
                  <c:v>76967.862959999999</c:v>
                </c:pt>
                <c:pt idx="718">
                  <c:v>77077.637040000001</c:v>
                </c:pt>
                <c:pt idx="719">
                  <c:v>77187.411110000001</c:v>
                </c:pt>
                <c:pt idx="720">
                  <c:v>77297.185190000004</c:v>
                </c:pt>
                <c:pt idx="721">
                  <c:v>77406.959260000003</c:v>
                </c:pt>
                <c:pt idx="722">
                  <c:v>77516.733330000003</c:v>
                </c:pt>
                <c:pt idx="723">
                  <c:v>77626.507410000006</c:v>
                </c:pt>
                <c:pt idx="724">
                  <c:v>77736.281480000005</c:v>
                </c:pt>
                <c:pt idx="725">
                  <c:v>77846.055559999993</c:v>
                </c:pt>
                <c:pt idx="726">
                  <c:v>77955.829629999993</c:v>
                </c:pt>
                <c:pt idx="727">
                  <c:v>78065.603700000007</c:v>
                </c:pt>
                <c:pt idx="728">
                  <c:v>78175.377779999995</c:v>
                </c:pt>
                <c:pt idx="729">
                  <c:v>78285.151849999995</c:v>
                </c:pt>
                <c:pt idx="730">
                  <c:v>78394.925929999998</c:v>
                </c:pt>
                <c:pt idx="731">
                  <c:v>78504.7</c:v>
                </c:pt>
                <c:pt idx="732">
                  <c:v>78457.441030000002</c:v>
                </c:pt>
                <c:pt idx="733">
                  <c:v>78410.182069999995</c:v>
                </c:pt>
                <c:pt idx="734">
                  <c:v>78362.9231</c:v>
                </c:pt>
                <c:pt idx="735">
                  <c:v>78315.664139999993</c:v>
                </c:pt>
                <c:pt idx="736">
                  <c:v>78268.405169999998</c:v>
                </c:pt>
                <c:pt idx="737">
                  <c:v>78221.146210000006</c:v>
                </c:pt>
                <c:pt idx="738">
                  <c:v>78173.887239999996</c:v>
                </c:pt>
                <c:pt idx="739">
                  <c:v>78126.628280000004</c:v>
                </c:pt>
                <c:pt idx="740">
                  <c:v>78079.369309999995</c:v>
                </c:pt>
                <c:pt idx="741">
                  <c:v>78032.110339999999</c:v>
                </c:pt>
                <c:pt idx="742">
                  <c:v>77984.851379999993</c:v>
                </c:pt>
                <c:pt idx="743">
                  <c:v>77937.592409999997</c:v>
                </c:pt>
                <c:pt idx="744">
                  <c:v>77890.333450000006</c:v>
                </c:pt>
                <c:pt idx="745">
                  <c:v>77843.074479999996</c:v>
                </c:pt>
                <c:pt idx="746">
                  <c:v>77795.815520000004</c:v>
                </c:pt>
                <c:pt idx="747">
                  <c:v>77748.556549999994</c:v>
                </c:pt>
                <c:pt idx="748">
                  <c:v>77701.297590000002</c:v>
                </c:pt>
                <c:pt idx="749">
                  <c:v>77654.038620000007</c:v>
                </c:pt>
                <c:pt idx="750">
                  <c:v>77606.77966</c:v>
                </c:pt>
                <c:pt idx="751">
                  <c:v>77559.520690000005</c:v>
                </c:pt>
                <c:pt idx="752">
                  <c:v>77512.261719999995</c:v>
                </c:pt>
                <c:pt idx="753">
                  <c:v>77465.002760000003</c:v>
                </c:pt>
                <c:pt idx="754">
                  <c:v>77417.743789999993</c:v>
                </c:pt>
                <c:pt idx="755">
                  <c:v>77370.484830000001</c:v>
                </c:pt>
                <c:pt idx="756">
                  <c:v>77323.225860000006</c:v>
                </c:pt>
                <c:pt idx="757">
                  <c:v>77275.966899999999</c:v>
                </c:pt>
                <c:pt idx="758">
                  <c:v>77228.707930000004</c:v>
                </c:pt>
                <c:pt idx="759">
                  <c:v>77181.448969999998</c:v>
                </c:pt>
                <c:pt idx="760">
                  <c:v>77134.19</c:v>
                </c:pt>
                <c:pt idx="761">
                  <c:v>77156.179999999993</c:v>
                </c:pt>
                <c:pt idx="762">
                  <c:v>77178.17</c:v>
                </c:pt>
                <c:pt idx="763">
                  <c:v>77200.160000000003</c:v>
                </c:pt>
                <c:pt idx="764">
                  <c:v>77222.149999999994</c:v>
                </c:pt>
                <c:pt idx="765">
                  <c:v>77244.14</c:v>
                </c:pt>
                <c:pt idx="766">
                  <c:v>77266.13</c:v>
                </c:pt>
                <c:pt idx="767">
                  <c:v>77288.12</c:v>
                </c:pt>
                <c:pt idx="768">
                  <c:v>77310.11</c:v>
                </c:pt>
                <c:pt idx="769">
                  <c:v>77332.100000000006</c:v>
                </c:pt>
                <c:pt idx="770">
                  <c:v>77354.09</c:v>
                </c:pt>
                <c:pt idx="771">
                  <c:v>77376.08</c:v>
                </c:pt>
                <c:pt idx="772">
                  <c:v>77398.070000000007</c:v>
                </c:pt>
                <c:pt idx="773">
                  <c:v>77420.06</c:v>
                </c:pt>
                <c:pt idx="774">
                  <c:v>77442.05</c:v>
                </c:pt>
                <c:pt idx="775">
                  <c:v>77464.039999999994</c:v>
                </c:pt>
                <c:pt idx="776">
                  <c:v>77486.03</c:v>
                </c:pt>
                <c:pt idx="777">
                  <c:v>77508.02</c:v>
                </c:pt>
                <c:pt idx="778">
                  <c:v>77530.009999999995</c:v>
                </c:pt>
                <c:pt idx="779">
                  <c:v>77552</c:v>
                </c:pt>
                <c:pt idx="780">
                  <c:v>77573.990000000005</c:v>
                </c:pt>
                <c:pt idx="781">
                  <c:v>77595.98</c:v>
                </c:pt>
                <c:pt idx="782">
                  <c:v>77617.97</c:v>
                </c:pt>
                <c:pt idx="783">
                  <c:v>77639.960000000006</c:v>
                </c:pt>
                <c:pt idx="784">
                  <c:v>77661.95</c:v>
                </c:pt>
                <c:pt idx="785">
                  <c:v>77683.94</c:v>
                </c:pt>
                <c:pt idx="786">
                  <c:v>77705.929999999993</c:v>
                </c:pt>
                <c:pt idx="787">
                  <c:v>77727.92</c:v>
                </c:pt>
                <c:pt idx="788">
                  <c:v>77749.91</c:v>
                </c:pt>
                <c:pt idx="789">
                  <c:v>77771.899999999994</c:v>
                </c:pt>
                <c:pt idx="790">
                  <c:v>77793.89</c:v>
                </c:pt>
                <c:pt idx="791">
                  <c:v>77815.88</c:v>
                </c:pt>
                <c:pt idx="792">
                  <c:v>77837.87</c:v>
                </c:pt>
                <c:pt idx="793">
                  <c:v>77859.86</c:v>
                </c:pt>
                <c:pt idx="794">
                  <c:v>77881.850000000006</c:v>
                </c:pt>
                <c:pt idx="795">
                  <c:v>77903.839999999997</c:v>
                </c:pt>
                <c:pt idx="796">
                  <c:v>77925.83</c:v>
                </c:pt>
                <c:pt idx="797">
                  <c:v>77947.820000000007</c:v>
                </c:pt>
                <c:pt idx="798">
                  <c:v>77969.81</c:v>
                </c:pt>
                <c:pt idx="799">
                  <c:v>77991.8</c:v>
                </c:pt>
                <c:pt idx="800">
                  <c:v>78013.789999999994</c:v>
                </c:pt>
                <c:pt idx="801">
                  <c:v>78035.78</c:v>
                </c:pt>
                <c:pt idx="802">
                  <c:v>78057.77</c:v>
                </c:pt>
                <c:pt idx="803">
                  <c:v>78079.759999999995</c:v>
                </c:pt>
                <c:pt idx="804">
                  <c:v>77984.755449999997</c:v>
                </c:pt>
                <c:pt idx="805">
                  <c:v>77889.750910000002</c:v>
                </c:pt>
                <c:pt idx="806">
                  <c:v>77794.746360000005</c:v>
                </c:pt>
                <c:pt idx="807">
                  <c:v>77699.741819999996</c:v>
                </c:pt>
                <c:pt idx="808">
                  <c:v>77604.737269999998</c:v>
                </c:pt>
                <c:pt idx="809">
                  <c:v>77509.732730000003</c:v>
                </c:pt>
                <c:pt idx="810">
                  <c:v>77414.728180000006</c:v>
                </c:pt>
                <c:pt idx="811">
                  <c:v>77319.723639999997</c:v>
                </c:pt>
                <c:pt idx="812">
                  <c:v>77224.719089999999</c:v>
                </c:pt>
                <c:pt idx="813">
                  <c:v>77129.714550000004</c:v>
                </c:pt>
                <c:pt idx="814">
                  <c:v>77034.710000000006</c:v>
                </c:pt>
                <c:pt idx="815">
                  <c:v>77073.063209999993</c:v>
                </c:pt>
                <c:pt idx="816">
                  <c:v>77111.416429999997</c:v>
                </c:pt>
                <c:pt idx="817">
                  <c:v>77149.769639999999</c:v>
                </c:pt>
                <c:pt idx="818">
                  <c:v>77188.122860000003</c:v>
                </c:pt>
                <c:pt idx="819">
                  <c:v>77226.476070000004</c:v>
                </c:pt>
                <c:pt idx="820">
                  <c:v>77264.829289999994</c:v>
                </c:pt>
                <c:pt idx="821">
                  <c:v>77303.182499999995</c:v>
                </c:pt>
                <c:pt idx="822">
                  <c:v>77341.535709999996</c:v>
                </c:pt>
                <c:pt idx="823">
                  <c:v>77379.888930000001</c:v>
                </c:pt>
                <c:pt idx="824">
                  <c:v>77418.242140000002</c:v>
                </c:pt>
                <c:pt idx="825">
                  <c:v>77456.595360000007</c:v>
                </c:pt>
                <c:pt idx="826">
                  <c:v>77494.948569999993</c:v>
                </c:pt>
                <c:pt idx="827">
                  <c:v>77533.301789999998</c:v>
                </c:pt>
                <c:pt idx="828">
                  <c:v>77571.654999999999</c:v>
                </c:pt>
                <c:pt idx="829">
                  <c:v>77610.00821</c:v>
                </c:pt>
                <c:pt idx="830">
                  <c:v>77648.361430000004</c:v>
                </c:pt>
                <c:pt idx="831">
                  <c:v>77686.714640000006</c:v>
                </c:pt>
                <c:pt idx="832">
                  <c:v>77725.067859999996</c:v>
                </c:pt>
                <c:pt idx="833">
                  <c:v>77763.421069999997</c:v>
                </c:pt>
                <c:pt idx="834">
                  <c:v>77801.774290000001</c:v>
                </c:pt>
                <c:pt idx="835">
                  <c:v>77840.127500000002</c:v>
                </c:pt>
                <c:pt idx="836">
                  <c:v>77878.480710000003</c:v>
                </c:pt>
                <c:pt idx="837">
                  <c:v>77916.833929999993</c:v>
                </c:pt>
                <c:pt idx="838">
                  <c:v>77955.187139999995</c:v>
                </c:pt>
                <c:pt idx="839">
                  <c:v>77993.540359999999</c:v>
                </c:pt>
                <c:pt idx="840">
                  <c:v>78031.89357</c:v>
                </c:pt>
                <c:pt idx="841">
                  <c:v>78070.246790000005</c:v>
                </c:pt>
                <c:pt idx="842">
                  <c:v>78108.600000000006</c:v>
                </c:pt>
                <c:pt idx="843">
                  <c:v>78072.431360000002</c:v>
                </c:pt>
                <c:pt idx="844">
                  <c:v>78036.262730000002</c:v>
                </c:pt>
                <c:pt idx="845">
                  <c:v>78000.094089999999</c:v>
                </c:pt>
                <c:pt idx="846">
                  <c:v>77963.925449999995</c:v>
                </c:pt>
                <c:pt idx="847">
                  <c:v>77927.756819999995</c:v>
                </c:pt>
                <c:pt idx="848">
                  <c:v>77891.588180000006</c:v>
                </c:pt>
                <c:pt idx="849">
                  <c:v>77855.419550000006</c:v>
                </c:pt>
                <c:pt idx="850">
                  <c:v>77819.250910000002</c:v>
                </c:pt>
                <c:pt idx="851">
                  <c:v>77783.082269999999</c:v>
                </c:pt>
                <c:pt idx="852">
                  <c:v>77746.913639999999</c:v>
                </c:pt>
                <c:pt idx="853">
                  <c:v>77710.744999999995</c:v>
                </c:pt>
                <c:pt idx="854">
                  <c:v>77674.576360000006</c:v>
                </c:pt>
                <c:pt idx="855">
                  <c:v>77638.407730000006</c:v>
                </c:pt>
                <c:pt idx="856">
                  <c:v>77602.239090000003</c:v>
                </c:pt>
                <c:pt idx="857">
                  <c:v>77566.070449999999</c:v>
                </c:pt>
                <c:pt idx="858">
                  <c:v>77529.901819999999</c:v>
                </c:pt>
                <c:pt idx="859">
                  <c:v>77493.733179999996</c:v>
                </c:pt>
                <c:pt idx="860">
                  <c:v>77457.564549999996</c:v>
                </c:pt>
                <c:pt idx="861">
                  <c:v>77421.395910000007</c:v>
                </c:pt>
                <c:pt idx="862">
                  <c:v>77385.227270000003</c:v>
                </c:pt>
                <c:pt idx="863">
                  <c:v>77349.058640000003</c:v>
                </c:pt>
                <c:pt idx="864">
                  <c:v>77312.89</c:v>
                </c:pt>
                <c:pt idx="865">
                  <c:v>77324.806819999998</c:v>
                </c:pt>
                <c:pt idx="866">
                  <c:v>77336.723639999997</c:v>
                </c:pt>
                <c:pt idx="867">
                  <c:v>77348.640459999995</c:v>
                </c:pt>
                <c:pt idx="868">
                  <c:v>77360.557279999994</c:v>
                </c:pt>
                <c:pt idx="869">
                  <c:v>77372.474100000007</c:v>
                </c:pt>
                <c:pt idx="870">
                  <c:v>77384.390920000005</c:v>
                </c:pt>
                <c:pt idx="871">
                  <c:v>77396.307750000007</c:v>
                </c:pt>
                <c:pt idx="872">
                  <c:v>77408.224570000006</c:v>
                </c:pt>
                <c:pt idx="873">
                  <c:v>77420.141390000004</c:v>
                </c:pt>
                <c:pt idx="874">
                  <c:v>77432.058210000003</c:v>
                </c:pt>
                <c:pt idx="875">
                  <c:v>77443.975030000001</c:v>
                </c:pt>
                <c:pt idx="876">
                  <c:v>77455.89185</c:v>
                </c:pt>
                <c:pt idx="877">
                  <c:v>77467.808669999999</c:v>
                </c:pt>
                <c:pt idx="878">
                  <c:v>77479.725489999997</c:v>
                </c:pt>
                <c:pt idx="879">
                  <c:v>77491.642309999996</c:v>
                </c:pt>
                <c:pt idx="880">
                  <c:v>77503.559129999994</c:v>
                </c:pt>
                <c:pt idx="881">
                  <c:v>77515.475949999993</c:v>
                </c:pt>
                <c:pt idx="882">
                  <c:v>77527.392770000006</c:v>
                </c:pt>
                <c:pt idx="883">
                  <c:v>77539.309599999993</c:v>
                </c:pt>
                <c:pt idx="884">
                  <c:v>77551.226420000006</c:v>
                </c:pt>
                <c:pt idx="885">
                  <c:v>77563.143240000005</c:v>
                </c:pt>
                <c:pt idx="886">
                  <c:v>77575.060060000003</c:v>
                </c:pt>
                <c:pt idx="887">
                  <c:v>77586.976880000002</c:v>
                </c:pt>
                <c:pt idx="888">
                  <c:v>77598.893700000001</c:v>
                </c:pt>
                <c:pt idx="889">
                  <c:v>77610.810519999999</c:v>
                </c:pt>
                <c:pt idx="890">
                  <c:v>77622.727339999998</c:v>
                </c:pt>
                <c:pt idx="891">
                  <c:v>77634.644159999996</c:v>
                </c:pt>
                <c:pt idx="892">
                  <c:v>77646.560979999995</c:v>
                </c:pt>
                <c:pt idx="893">
                  <c:v>77658.477799999993</c:v>
                </c:pt>
                <c:pt idx="894">
                  <c:v>77670.394620000006</c:v>
                </c:pt>
                <c:pt idx="895">
                  <c:v>77682.311449999994</c:v>
                </c:pt>
                <c:pt idx="896">
                  <c:v>77694.228270000007</c:v>
                </c:pt>
                <c:pt idx="897">
                  <c:v>77706.145090000005</c:v>
                </c:pt>
                <c:pt idx="898">
                  <c:v>77718.061910000004</c:v>
                </c:pt>
                <c:pt idx="899">
                  <c:v>77729.978730000003</c:v>
                </c:pt>
                <c:pt idx="900">
                  <c:v>77741.895550000001</c:v>
                </c:pt>
                <c:pt idx="901">
                  <c:v>77753.81237</c:v>
                </c:pt>
                <c:pt idx="902">
                  <c:v>77765.729189999998</c:v>
                </c:pt>
                <c:pt idx="903">
                  <c:v>77777.646009999997</c:v>
                </c:pt>
                <c:pt idx="904">
                  <c:v>77789.562829999995</c:v>
                </c:pt>
                <c:pt idx="905">
                  <c:v>77801.479649999994</c:v>
                </c:pt>
                <c:pt idx="906">
                  <c:v>77813.396470000007</c:v>
                </c:pt>
                <c:pt idx="907">
                  <c:v>77825.313290000006</c:v>
                </c:pt>
                <c:pt idx="908">
                  <c:v>77837.230119999993</c:v>
                </c:pt>
                <c:pt idx="909">
                  <c:v>77849.146940000006</c:v>
                </c:pt>
                <c:pt idx="910">
                  <c:v>77861.063760000005</c:v>
                </c:pt>
                <c:pt idx="911">
                  <c:v>77872.980580000003</c:v>
                </c:pt>
                <c:pt idx="912">
                  <c:v>77884.897400000002</c:v>
                </c:pt>
                <c:pt idx="913">
                  <c:v>77896.81422</c:v>
                </c:pt>
                <c:pt idx="914">
                  <c:v>77908.731039999999</c:v>
                </c:pt>
                <c:pt idx="915">
                  <c:v>77920.647859999997</c:v>
                </c:pt>
                <c:pt idx="916">
                  <c:v>77932.564679999996</c:v>
                </c:pt>
                <c:pt idx="917">
                  <c:v>77944.481499999994</c:v>
                </c:pt>
                <c:pt idx="918">
                  <c:v>77956.398319999993</c:v>
                </c:pt>
                <c:pt idx="919">
                  <c:v>77968.315140000006</c:v>
                </c:pt>
                <c:pt idx="920">
                  <c:v>77980.231969999993</c:v>
                </c:pt>
                <c:pt idx="921">
                  <c:v>77992.148790000007</c:v>
                </c:pt>
                <c:pt idx="922">
                  <c:v>78004.065610000005</c:v>
                </c:pt>
                <c:pt idx="923">
                  <c:v>78015.982430000004</c:v>
                </c:pt>
                <c:pt idx="924">
                  <c:v>78027.899250000002</c:v>
                </c:pt>
                <c:pt idx="925">
                  <c:v>78039.816070000001</c:v>
                </c:pt>
                <c:pt idx="926">
                  <c:v>78051.732889999999</c:v>
                </c:pt>
                <c:pt idx="927">
                  <c:v>78063.649709999998</c:v>
                </c:pt>
                <c:pt idx="928">
                  <c:v>78075.566529999996</c:v>
                </c:pt>
                <c:pt idx="929">
                  <c:v>78087.483349999995</c:v>
                </c:pt>
                <c:pt idx="930">
                  <c:v>78099.400169999994</c:v>
                </c:pt>
                <c:pt idx="931">
                  <c:v>78111.316990000007</c:v>
                </c:pt>
                <c:pt idx="932">
                  <c:v>78123.233819999994</c:v>
                </c:pt>
                <c:pt idx="933">
                  <c:v>78135.150640000007</c:v>
                </c:pt>
                <c:pt idx="934">
                  <c:v>78147.067460000006</c:v>
                </c:pt>
                <c:pt idx="935">
                  <c:v>78158.984280000004</c:v>
                </c:pt>
                <c:pt idx="936">
                  <c:v>78170.901100000003</c:v>
                </c:pt>
                <c:pt idx="937">
                  <c:v>78182.817920000001</c:v>
                </c:pt>
                <c:pt idx="938">
                  <c:v>78194.73474</c:v>
                </c:pt>
                <c:pt idx="939">
                  <c:v>78206.651559999998</c:v>
                </c:pt>
                <c:pt idx="940">
                  <c:v>78218.568379999997</c:v>
                </c:pt>
                <c:pt idx="941">
                  <c:v>78230.485199999996</c:v>
                </c:pt>
                <c:pt idx="942">
                  <c:v>78242.402019999994</c:v>
                </c:pt>
                <c:pt idx="943">
                  <c:v>78254.318840000007</c:v>
                </c:pt>
                <c:pt idx="944">
                  <c:v>78266.235660000006</c:v>
                </c:pt>
                <c:pt idx="945">
                  <c:v>78278.152489999993</c:v>
                </c:pt>
                <c:pt idx="946">
                  <c:v>78290.069310000006</c:v>
                </c:pt>
                <c:pt idx="947">
                  <c:v>78301.986130000005</c:v>
                </c:pt>
                <c:pt idx="948">
                  <c:v>78313.902950000003</c:v>
                </c:pt>
                <c:pt idx="949">
                  <c:v>78325.819770000002</c:v>
                </c:pt>
                <c:pt idx="950">
                  <c:v>78337.73659</c:v>
                </c:pt>
                <c:pt idx="951">
                  <c:v>78349.653409999999</c:v>
                </c:pt>
                <c:pt idx="952">
                  <c:v>78361.570229999998</c:v>
                </c:pt>
                <c:pt idx="953">
                  <c:v>78373.487049999996</c:v>
                </c:pt>
                <c:pt idx="954">
                  <c:v>78385.403869999995</c:v>
                </c:pt>
                <c:pt idx="955">
                  <c:v>78397.320689999993</c:v>
                </c:pt>
                <c:pt idx="956">
                  <c:v>78409.237510000006</c:v>
                </c:pt>
                <c:pt idx="957">
                  <c:v>78421.154339999994</c:v>
                </c:pt>
                <c:pt idx="958">
                  <c:v>78433.071160000007</c:v>
                </c:pt>
                <c:pt idx="959">
                  <c:v>78444.987980000005</c:v>
                </c:pt>
                <c:pt idx="960">
                  <c:v>78456.904800000004</c:v>
                </c:pt>
                <c:pt idx="961">
                  <c:v>78468.821620000002</c:v>
                </c:pt>
                <c:pt idx="962">
                  <c:v>78480.738440000001</c:v>
                </c:pt>
                <c:pt idx="963">
                  <c:v>78492.65526</c:v>
                </c:pt>
                <c:pt idx="964">
                  <c:v>78504.572079999998</c:v>
                </c:pt>
                <c:pt idx="965">
                  <c:v>78516.488899999997</c:v>
                </c:pt>
                <c:pt idx="966">
                  <c:v>78528.405719999995</c:v>
                </c:pt>
                <c:pt idx="967">
                  <c:v>78540.322539999994</c:v>
                </c:pt>
                <c:pt idx="968">
                  <c:v>78552.239360000007</c:v>
                </c:pt>
                <c:pt idx="969">
                  <c:v>78564.156180000005</c:v>
                </c:pt>
                <c:pt idx="970">
                  <c:v>78576.073009999993</c:v>
                </c:pt>
                <c:pt idx="971">
                  <c:v>78587.989830000006</c:v>
                </c:pt>
                <c:pt idx="972">
                  <c:v>78599.906650000004</c:v>
                </c:pt>
                <c:pt idx="973">
                  <c:v>78611.823470000003</c:v>
                </c:pt>
                <c:pt idx="974">
                  <c:v>78623.740290000002</c:v>
                </c:pt>
                <c:pt idx="975">
                  <c:v>78635.65711</c:v>
                </c:pt>
                <c:pt idx="976">
                  <c:v>78647.573929999999</c:v>
                </c:pt>
                <c:pt idx="977">
                  <c:v>78659.490749999997</c:v>
                </c:pt>
                <c:pt idx="978">
                  <c:v>78671.407569999996</c:v>
                </c:pt>
                <c:pt idx="979">
                  <c:v>78683.324389999994</c:v>
                </c:pt>
                <c:pt idx="980">
                  <c:v>78695.241209999993</c:v>
                </c:pt>
                <c:pt idx="981">
                  <c:v>78707.158030000006</c:v>
                </c:pt>
                <c:pt idx="982">
                  <c:v>78719.074859999993</c:v>
                </c:pt>
                <c:pt idx="983">
                  <c:v>78730.991680000006</c:v>
                </c:pt>
                <c:pt idx="984">
                  <c:v>78742.908500000005</c:v>
                </c:pt>
                <c:pt idx="985">
                  <c:v>78754.825320000004</c:v>
                </c:pt>
                <c:pt idx="986">
                  <c:v>78766.742140000002</c:v>
                </c:pt>
                <c:pt idx="987">
                  <c:v>78778.658960000001</c:v>
                </c:pt>
                <c:pt idx="988">
                  <c:v>78790.575779999999</c:v>
                </c:pt>
                <c:pt idx="989">
                  <c:v>78802.492599999998</c:v>
                </c:pt>
                <c:pt idx="990">
                  <c:v>78814.409419999996</c:v>
                </c:pt>
                <c:pt idx="991">
                  <c:v>78826.326239999995</c:v>
                </c:pt>
                <c:pt idx="992">
                  <c:v>78838.243059999993</c:v>
                </c:pt>
                <c:pt idx="993">
                  <c:v>78850.159880000007</c:v>
                </c:pt>
                <c:pt idx="994">
                  <c:v>78862.076709999994</c:v>
                </c:pt>
                <c:pt idx="995">
                  <c:v>78873.993530000007</c:v>
                </c:pt>
                <c:pt idx="996">
                  <c:v>78885.910350000006</c:v>
                </c:pt>
                <c:pt idx="997">
                  <c:v>78897.827170000004</c:v>
                </c:pt>
                <c:pt idx="998">
                  <c:v>78909.743990000003</c:v>
                </c:pt>
                <c:pt idx="999">
                  <c:v>78921.660810000001</c:v>
                </c:pt>
                <c:pt idx="1000">
                  <c:v>78933.57763</c:v>
                </c:pt>
                <c:pt idx="1001">
                  <c:v>78945.494449999998</c:v>
                </c:pt>
                <c:pt idx="1002">
                  <c:v>78957.411269999997</c:v>
                </c:pt>
                <c:pt idx="1003">
                  <c:v>78969.328089999995</c:v>
                </c:pt>
                <c:pt idx="1004">
                  <c:v>78981.244909999994</c:v>
                </c:pt>
                <c:pt idx="1005">
                  <c:v>78993.161730000007</c:v>
                </c:pt>
                <c:pt idx="1006">
                  <c:v>79005.078550000006</c:v>
                </c:pt>
                <c:pt idx="1007">
                  <c:v>79016.995379999993</c:v>
                </c:pt>
                <c:pt idx="1008">
                  <c:v>79028.912200000006</c:v>
                </c:pt>
                <c:pt idx="1009">
                  <c:v>79040.829020000005</c:v>
                </c:pt>
                <c:pt idx="1010">
                  <c:v>79052.745840000003</c:v>
                </c:pt>
                <c:pt idx="1011">
                  <c:v>79064.662660000002</c:v>
                </c:pt>
                <c:pt idx="1012">
                  <c:v>79076.57948</c:v>
                </c:pt>
                <c:pt idx="1013">
                  <c:v>79088.496299999999</c:v>
                </c:pt>
                <c:pt idx="1014">
                  <c:v>79100.413119999997</c:v>
                </c:pt>
                <c:pt idx="1015">
                  <c:v>79112.329939999996</c:v>
                </c:pt>
                <c:pt idx="1016">
                  <c:v>79124.246759999995</c:v>
                </c:pt>
                <c:pt idx="1017">
                  <c:v>79136.163579999993</c:v>
                </c:pt>
                <c:pt idx="1018">
                  <c:v>79148.080400000006</c:v>
                </c:pt>
                <c:pt idx="1019">
                  <c:v>79159.997229999994</c:v>
                </c:pt>
                <c:pt idx="1020">
                  <c:v>79171.914050000007</c:v>
                </c:pt>
                <c:pt idx="1021">
                  <c:v>79183.830870000005</c:v>
                </c:pt>
                <c:pt idx="1022">
                  <c:v>79195.747690000004</c:v>
                </c:pt>
                <c:pt idx="1023">
                  <c:v>79207.664510000002</c:v>
                </c:pt>
                <c:pt idx="1024">
                  <c:v>79219.581330000001</c:v>
                </c:pt>
                <c:pt idx="1025">
                  <c:v>79231.498149999999</c:v>
                </c:pt>
                <c:pt idx="1026">
                  <c:v>79243.414969999998</c:v>
                </c:pt>
                <c:pt idx="1027">
                  <c:v>79255.331789999997</c:v>
                </c:pt>
                <c:pt idx="1028">
                  <c:v>79267.248609999995</c:v>
                </c:pt>
                <c:pt idx="1029">
                  <c:v>79279.165429999994</c:v>
                </c:pt>
                <c:pt idx="1030">
                  <c:v>79291.082250000007</c:v>
                </c:pt>
                <c:pt idx="1031">
                  <c:v>79302.999079999994</c:v>
                </c:pt>
                <c:pt idx="1032">
                  <c:v>79314.915900000007</c:v>
                </c:pt>
                <c:pt idx="1033">
                  <c:v>79326.832720000006</c:v>
                </c:pt>
                <c:pt idx="1034">
                  <c:v>79338.749540000004</c:v>
                </c:pt>
                <c:pt idx="1035">
                  <c:v>79350.666360000003</c:v>
                </c:pt>
                <c:pt idx="1036">
                  <c:v>79362.583180000001</c:v>
                </c:pt>
                <c:pt idx="1037">
                  <c:v>79374.5</c:v>
                </c:pt>
                <c:pt idx="1038">
                  <c:v>79361.720679999999</c:v>
                </c:pt>
                <c:pt idx="1039">
                  <c:v>79348.941359999997</c:v>
                </c:pt>
                <c:pt idx="1040">
                  <c:v>79336.162049999999</c:v>
                </c:pt>
                <c:pt idx="1041">
                  <c:v>79323.382729999998</c:v>
                </c:pt>
                <c:pt idx="1042">
                  <c:v>79310.603409999996</c:v>
                </c:pt>
                <c:pt idx="1043">
                  <c:v>79297.824089999995</c:v>
                </c:pt>
                <c:pt idx="1044">
                  <c:v>79285.044769999993</c:v>
                </c:pt>
                <c:pt idx="1045">
                  <c:v>79272.265450000006</c:v>
                </c:pt>
                <c:pt idx="1046">
                  <c:v>79259.486139999994</c:v>
                </c:pt>
                <c:pt idx="1047">
                  <c:v>79246.706820000007</c:v>
                </c:pt>
                <c:pt idx="1048">
                  <c:v>79233.927500000005</c:v>
                </c:pt>
                <c:pt idx="1049">
                  <c:v>79221.148180000004</c:v>
                </c:pt>
                <c:pt idx="1050">
                  <c:v>79208.368860000002</c:v>
                </c:pt>
                <c:pt idx="1051">
                  <c:v>79195.589550000004</c:v>
                </c:pt>
                <c:pt idx="1052">
                  <c:v>79182.810230000003</c:v>
                </c:pt>
                <c:pt idx="1053">
                  <c:v>79170.030910000001</c:v>
                </c:pt>
                <c:pt idx="1054">
                  <c:v>79157.25159</c:v>
                </c:pt>
                <c:pt idx="1055">
                  <c:v>79144.472269999998</c:v>
                </c:pt>
                <c:pt idx="1056">
                  <c:v>79131.692949999997</c:v>
                </c:pt>
                <c:pt idx="1057">
                  <c:v>79118.913639999999</c:v>
                </c:pt>
                <c:pt idx="1058">
                  <c:v>79106.134319999997</c:v>
                </c:pt>
                <c:pt idx="1059">
                  <c:v>79093.354999999996</c:v>
                </c:pt>
                <c:pt idx="1060">
                  <c:v>79080.575679999994</c:v>
                </c:pt>
                <c:pt idx="1061">
                  <c:v>79067.796359999993</c:v>
                </c:pt>
                <c:pt idx="1062">
                  <c:v>79055.017049999995</c:v>
                </c:pt>
                <c:pt idx="1063">
                  <c:v>79042.237729999993</c:v>
                </c:pt>
                <c:pt idx="1064">
                  <c:v>79029.458410000007</c:v>
                </c:pt>
                <c:pt idx="1065">
                  <c:v>79016.679090000005</c:v>
                </c:pt>
                <c:pt idx="1066">
                  <c:v>79003.899770000004</c:v>
                </c:pt>
                <c:pt idx="1067">
                  <c:v>78991.120450000002</c:v>
                </c:pt>
                <c:pt idx="1068">
                  <c:v>78978.341140000004</c:v>
                </c:pt>
                <c:pt idx="1069">
                  <c:v>78965.561820000003</c:v>
                </c:pt>
                <c:pt idx="1070">
                  <c:v>78952.782500000001</c:v>
                </c:pt>
                <c:pt idx="1071">
                  <c:v>78940.00318</c:v>
                </c:pt>
                <c:pt idx="1072">
                  <c:v>78927.223859999998</c:v>
                </c:pt>
                <c:pt idx="1073">
                  <c:v>78914.44455</c:v>
                </c:pt>
                <c:pt idx="1074">
                  <c:v>78901.665229999999</c:v>
                </c:pt>
                <c:pt idx="1075">
                  <c:v>78888.885909999997</c:v>
                </c:pt>
                <c:pt idx="1076">
                  <c:v>78876.106589999996</c:v>
                </c:pt>
                <c:pt idx="1077">
                  <c:v>78863.327269999994</c:v>
                </c:pt>
                <c:pt idx="1078">
                  <c:v>78850.547949999993</c:v>
                </c:pt>
                <c:pt idx="1079">
                  <c:v>78837.768639999995</c:v>
                </c:pt>
                <c:pt idx="1080">
                  <c:v>78824.989319999993</c:v>
                </c:pt>
                <c:pt idx="1081">
                  <c:v>78812.210000000006</c:v>
                </c:pt>
                <c:pt idx="1082">
                  <c:v>78799.430680000005</c:v>
                </c:pt>
                <c:pt idx="1083">
                  <c:v>78786.651360000003</c:v>
                </c:pt>
                <c:pt idx="1084">
                  <c:v>78773.872050000005</c:v>
                </c:pt>
                <c:pt idx="1085">
                  <c:v>78761.092730000004</c:v>
                </c:pt>
                <c:pt idx="1086">
                  <c:v>78748.313410000002</c:v>
                </c:pt>
                <c:pt idx="1087">
                  <c:v>78735.534090000001</c:v>
                </c:pt>
                <c:pt idx="1088">
                  <c:v>78722.75477</c:v>
                </c:pt>
                <c:pt idx="1089">
                  <c:v>78709.975449999998</c:v>
                </c:pt>
                <c:pt idx="1090">
                  <c:v>78697.19614</c:v>
                </c:pt>
                <c:pt idx="1091">
                  <c:v>78684.416819999999</c:v>
                </c:pt>
                <c:pt idx="1092">
                  <c:v>78671.637499999997</c:v>
                </c:pt>
                <c:pt idx="1093">
                  <c:v>78658.858179999996</c:v>
                </c:pt>
                <c:pt idx="1094">
                  <c:v>78646.078859999994</c:v>
                </c:pt>
                <c:pt idx="1095">
                  <c:v>78633.299549999996</c:v>
                </c:pt>
                <c:pt idx="1096">
                  <c:v>78620.520229999995</c:v>
                </c:pt>
                <c:pt idx="1097">
                  <c:v>78607.740909999993</c:v>
                </c:pt>
                <c:pt idx="1098">
                  <c:v>78594.961590000006</c:v>
                </c:pt>
                <c:pt idx="1099">
                  <c:v>78582.182270000005</c:v>
                </c:pt>
                <c:pt idx="1100">
                  <c:v>78569.402950000003</c:v>
                </c:pt>
                <c:pt idx="1101">
                  <c:v>78556.623640000005</c:v>
                </c:pt>
                <c:pt idx="1102">
                  <c:v>78543.844320000004</c:v>
                </c:pt>
                <c:pt idx="1103">
                  <c:v>78531.065000000002</c:v>
                </c:pt>
                <c:pt idx="1104">
                  <c:v>78518.285680000001</c:v>
                </c:pt>
                <c:pt idx="1105">
                  <c:v>78505.506359999999</c:v>
                </c:pt>
                <c:pt idx="1106">
                  <c:v>78492.727050000001</c:v>
                </c:pt>
                <c:pt idx="1107">
                  <c:v>78479.94773</c:v>
                </c:pt>
                <c:pt idx="1108">
                  <c:v>78467.168409999998</c:v>
                </c:pt>
                <c:pt idx="1109">
                  <c:v>78454.389089999997</c:v>
                </c:pt>
                <c:pt idx="1110">
                  <c:v>78441.609769999995</c:v>
                </c:pt>
                <c:pt idx="1111">
                  <c:v>78428.830449999994</c:v>
                </c:pt>
                <c:pt idx="1112">
                  <c:v>78416.051139999996</c:v>
                </c:pt>
                <c:pt idx="1113">
                  <c:v>78403.271819999994</c:v>
                </c:pt>
                <c:pt idx="1114">
                  <c:v>78390.492499999993</c:v>
                </c:pt>
                <c:pt idx="1115">
                  <c:v>78377.713180000006</c:v>
                </c:pt>
                <c:pt idx="1116">
                  <c:v>78364.933860000005</c:v>
                </c:pt>
                <c:pt idx="1117">
                  <c:v>78352.154550000007</c:v>
                </c:pt>
                <c:pt idx="1118">
                  <c:v>78339.375230000005</c:v>
                </c:pt>
                <c:pt idx="1119">
                  <c:v>78326.595910000004</c:v>
                </c:pt>
                <c:pt idx="1120">
                  <c:v>78313.816590000002</c:v>
                </c:pt>
                <c:pt idx="1121">
                  <c:v>78301.037270000001</c:v>
                </c:pt>
                <c:pt idx="1122">
                  <c:v>78288.257949999999</c:v>
                </c:pt>
                <c:pt idx="1123">
                  <c:v>78275.478640000001</c:v>
                </c:pt>
                <c:pt idx="1124">
                  <c:v>78262.69932</c:v>
                </c:pt>
                <c:pt idx="1125">
                  <c:v>78249.919999999998</c:v>
                </c:pt>
                <c:pt idx="1126">
                  <c:v>78255.171350000004</c:v>
                </c:pt>
                <c:pt idx="1127">
                  <c:v>78260.422690000007</c:v>
                </c:pt>
                <c:pt idx="1128">
                  <c:v>78265.674039999998</c:v>
                </c:pt>
                <c:pt idx="1129">
                  <c:v>78270.925380000001</c:v>
                </c:pt>
                <c:pt idx="1130">
                  <c:v>78276.176730000007</c:v>
                </c:pt>
                <c:pt idx="1131">
                  <c:v>78281.428079999998</c:v>
                </c:pt>
                <c:pt idx="1132">
                  <c:v>78286.67942</c:v>
                </c:pt>
                <c:pt idx="1133">
                  <c:v>78291.930770000006</c:v>
                </c:pt>
                <c:pt idx="1134">
                  <c:v>78297.182119999998</c:v>
                </c:pt>
                <c:pt idx="1135">
                  <c:v>78302.43346</c:v>
                </c:pt>
                <c:pt idx="1136">
                  <c:v>78307.684810000006</c:v>
                </c:pt>
                <c:pt idx="1137">
                  <c:v>78312.936149999994</c:v>
                </c:pt>
                <c:pt idx="1138">
                  <c:v>78318.1875</c:v>
                </c:pt>
                <c:pt idx="1139">
                  <c:v>78323.438850000006</c:v>
                </c:pt>
                <c:pt idx="1140">
                  <c:v>78328.690189999994</c:v>
                </c:pt>
                <c:pt idx="1141">
                  <c:v>78333.94154</c:v>
                </c:pt>
                <c:pt idx="1142">
                  <c:v>78339.192880000002</c:v>
                </c:pt>
                <c:pt idx="1143">
                  <c:v>78344.444229999994</c:v>
                </c:pt>
                <c:pt idx="1144">
                  <c:v>78349.69558</c:v>
                </c:pt>
                <c:pt idx="1145">
                  <c:v>78354.946920000002</c:v>
                </c:pt>
                <c:pt idx="1146">
                  <c:v>78360.198269999993</c:v>
                </c:pt>
                <c:pt idx="1147">
                  <c:v>78365.449619999999</c:v>
                </c:pt>
                <c:pt idx="1148">
                  <c:v>78370.700960000002</c:v>
                </c:pt>
                <c:pt idx="1149">
                  <c:v>78375.952309999993</c:v>
                </c:pt>
                <c:pt idx="1150">
                  <c:v>78381.203649999996</c:v>
                </c:pt>
                <c:pt idx="1151">
                  <c:v>78386.455000000002</c:v>
                </c:pt>
                <c:pt idx="1152">
                  <c:v>78391.706349999993</c:v>
                </c:pt>
                <c:pt idx="1153">
                  <c:v>78396.957689999996</c:v>
                </c:pt>
                <c:pt idx="1154">
                  <c:v>78402.209040000002</c:v>
                </c:pt>
                <c:pt idx="1155">
                  <c:v>78407.460380000004</c:v>
                </c:pt>
                <c:pt idx="1156">
                  <c:v>78412.711729999995</c:v>
                </c:pt>
                <c:pt idx="1157">
                  <c:v>78417.963080000001</c:v>
                </c:pt>
                <c:pt idx="1158">
                  <c:v>78423.214420000004</c:v>
                </c:pt>
                <c:pt idx="1159">
                  <c:v>78428.465769999995</c:v>
                </c:pt>
                <c:pt idx="1160">
                  <c:v>78433.717120000001</c:v>
                </c:pt>
                <c:pt idx="1161">
                  <c:v>78438.968460000004</c:v>
                </c:pt>
                <c:pt idx="1162">
                  <c:v>78444.219809999995</c:v>
                </c:pt>
                <c:pt idx="1163">
                  <c:v>78449.471149999998</c:v>
                </c:pt>
                <c:pt idx="1164">
                  <c:v>78454.722500000003</c:v>
                </c:pt>
                <c:pt idx="1165">
                  <c:v>78459.973849999995</c:v>
                </c:pt>
                <c:pt idx="1166">
                  <c:v>78465.225189999997</c:v>
                </c:pt>
                <c:pt idx="1167">
                  <c:v>78470.476540000003</c:v>
                </c:pt>
                <c:pt idx="1168">
                  <c:v>78475.727880000006</c:v>
                </c:pt>
                <c:pt idx="1169">
                  <c:v>78480.979229999997</c:v>
                </c:pt>
                <c:pt idx="1170">
                  <c:v>78486.230580000003</c:v>
                </c:pt>
                <c:pt idx="1171">
                  <c:v>78491.481920000006</c:v>
                </c:pt>
                <c:pt idx="1172">
                  <c:v>78496.733269999997</c:v>
                </c:pt>
                <c:pt idx="1173">
                  <c:v>78501.984620000003</c:v>
                </c:pt>
                <c:pt idx="1174">
                  <c:v>78507.235960000005</c:v>
                </c:pt>
                <c:pt idx="1175">
                  <c:v>78512.487309999997</c:v>
                </c:pt>
                <c:pt idx="1176">
                  <c:v>78517.738649999999</c:v>
                </c:pt>
                <c:pt idx="1177">
                  <c:v>78522.990000000005</c:v>
                </c:pt>
                <c:pt idx="1178">
                  <c:v>78528.241349999997</c:v>
                </c:pt>
                <c:pt idx="1179">
                  <c:v>78533.492689999999</c:v>
                </c:pt>
                <c:pt idx="1180">
                  <c:v>78538.744040000005</c:v>
                </c:pt>
                <c:pt idx="1181">
                  <c:v>78543.995379999993</c:v>
                </c:pt>
                <c:pt idx="1182">
                  <c:v>78549.246729999999</c:v>
                </c:pt>
                <c:pt idx="1183">
                  <c:v>78554.498080000005</c:v>
                </c:pt>
                <c:pt idx="1184">
                  <c:v>78559.749419999993</c:v>
                </c:pt>
                <c:pt idx="1185">
                  <c:v>78565.000769999999</c:v>
                </c:pt>
                <c:pt idx="1186">
                  <c:v>78570.252120000005</c:v>
                </c:pt>
                <c:pt idx="1187">
                  <c:v>78575.503460000007</c:v>
                </c:pt>
                <c:pt idx="1188">
                  <c:v>78580.754809999999</c:v>
                </c:pt>
                <c:pt idx="1189">
                  <c:v>78586.006150000001</c:v>
                </c:pt>
                <c:pt idx="1190">
                  <c:v>78591.257500000007</c:v>
                </c:pt>
                <c:pt idx="1191">
                  <c:v>78596.508849999998</c:v>
                </c:pt>
                <c:pt idx="1192">
                  <c:v>78601.760190000001</c:v>
                </c:pt>
                <c:pt idx="1193">
                  <c:v>78607.011540000007</c:v>
                </c:pt>
                <c:pt idx="1194">
                  <c:v>78612.262879999995</c:v>
                </c:pt>
                <c:pt idx="1195">
                  <c:v>78617.514230000001</c:v>
                </c:pt>
                <c:pt idx="1196">
                  <c:v>78622.765580000007</c:v>
                </c:pt>
                <c:pt idx="1197">
                  <c:v>78628.016919999995</c:v>
                </c:pt>
                <c:pt idx="1198">
                  <c:v>78633.26827</c:v>
                </c:pt>
                <c:pt idx="1199">
                  <c:v>78638.519620000006</c:v>
                </c:pt>
                <c:pt idx="1200">
                  <c:v>78643.770959999994</c:v>
                </c:pt>
                <c:pt idx="1201">
                  <c:v>78649.02231</c:v>
                </c:pt>
                <c:pt idx="1202">
                  <c:v>78654.273650000003</c:v>
                </c:pt>
                <c:pt idx="1203">
                  <c:v>78659.524999999994</c:v>
                </c:pt>
                <c:pt idx="1204">
                  <c:v>78664.77635</c:v>
                </c:pt>
                <c:pt idx="1205">
                  <c:v>78670.027690000003</c:v>
                </c:pt>
                <c:pt idx="1206">
                  <c:v>78675.279039999994</c:v>
                </c:pt>
                <c:pt idx="1207">
                  <c:v>78680.530379999997</c:v>
                </c:pt>
                <c:pt idx="1208">
                  <c:v>78685.781730000002</c:v>
                </c:pt>
                <c:pt idx="1209">
                  <c:v>78691.033079999994</c:v>
                </c:pt>
                <c:pt idx="1210">
                  <c:v>78696.284419999996</c:v>
                </c:pt>
                <c:pt idx="1211">
                  <c:v>78701.535770000002</c:v>
                </c:pt>
                <c:pt idx="1212">
                  <c:v>78706.787119999994</c:v>
                </c:pt>
                <c:pt idx="1213">
                  <c:v>78712.038459999996</c:v>
                </c:pt>
                <c:pt idx="1214">
                  <c:v>78717.289810000002</c:v>
                </c:pt>
                <c:pt idx="1215">
                  <c:v>78722.541150000005</c:v>
                </c:pt>
                <c:pt idx="1216">
                  <c:v>78727.792499999996</c:v>
                </c:pt>
                <c:pt idx="1217">
                  <c:v>78733.043850000002</c:v>
                </c:pt>
                <c:pt idx="1218">
                  <c:v>78738.295190000004</c:v>
                </c:pt>
                <c:pt idx="1219">
                  <c:v>78743.546539999996</c:v>
                </c:pt>
                <c:pt idx="1220">
                  <c:v>78748.797879999998</c:v>
                </c:pt>
                <c:pt idx="1221">
                  <c:v>78754.049230000004</c:v>
                </c:pt>
                <c:pt idx="1222">
                  <c:v>78759.300579999996</c:v>
                </c:pt>
                <c:pt idx="1223">
                  <c:v>78764.551919999998</c:v>
                </c:pt>
                <c:pt idx="1224">
                  <c:v>78769.803270000004</c:v>
                </c:pt>
                <c:pt idx="1225">
                  <c:v>78775.054619999995</c:v>
                </c:pt>
                <c:pt idx="1226">
                  <c:v>78780.305959999998</c:v>
                </c:pt>
                <c:pt idx="1227">
                  <c:v>78785.557310000004</c:v>
                </c:pt>
                <c:pt idx="1228">
                  <c:v>78790.808650000006</c:v>
                </c:pt>
                <c:pt idx="1229">
                  <c:v>78796.06</c:v>
                </c:pt>
                <c:pt idx="1230">
                  <c:v>78801.311350000004</c:v>
                </c:pt>
                <c:pt idx="1231">
                  <c:v>78806.562690000006</c:v>
                </c:pt>
                <c:pt idx="1232">
                  <c:v>78811.814039999997</c:v>
                </c:pt>
                <c:pt idx="1233">
                  <c:v>78817.06538</c:v>
                </c:pt>
                <c:pt idx="1234">
                  <c:v>78822.316730000006</c:v>
                </c:pt>
                <c:pt idx="1235">
                  <c:v>78827.568079999997</c:v>
                </c:pt>
                <c:pt idx="1236">
                  <c:v>78832.81942</c:v>
                </c:pt>
                <c:pt idx="1237">
                  <c:v>78838.070770000006</c:v>
                </c:pt>
                <c:pt idx="1238">
                  <c:v>78843.322119999997</c:v>
                </c:pt>
                <c:pt idx="1239">
                  <c:v>78848.57346</c:v>
                </c:pt>
                <c:pt idx="1240">
                  <c:v>78853.824810000006</c:v>
                </c:pt>
                <c:pt idx="1241">
                  <c:v>78859.076149999994</c:v>
                </c:pt>
                <c:pt idx="1242">
                  <c:v>78864.327499999999</c:v>
                </c:pt>
                <c:pt idx="1243">
                  <c:v>78869.578850000005</c:v>
                </c:pt>
                <c:pt idx="1244">
                  <c:v>78874.830189999993</c:v>
                </c:pt>
                <c:pt idx="1245">
                  <c:v>78880.081539999999</c:v>
                </c:pt>
                <c:pt idx="1246">
                  <c:v>78885.332880000002</c:v>
                </c:pt>
                <c:pt idx="1247">
                  <c:v>78890.584229999993</c:v>
                </c:pt>
                <c:pt idx="1248">
                  <c:v>78895.835579999999</c:v>
                </c:pt>
                <c:pt idx="1249">
                  <c:v>78901.086920000002</c:v>
                </c:pt>
                <c:pt idx="1250">
                  <c:v>78906.338269999993</c:v>
                </c:pt>
                <c:pt idx="1251">
                  <c:v>78911.589619999999</c:v>
                </c:pt>
                <c:pt idx="1252">
                  <c:v>78916.840960000001</c:v>
                </c:pt>
                <c:pt idx="1253">
                  <c:v>78922.092310000007</c:v>
                </c:pt>
                <c:pt idx="1254">
                  <c:v>78927.343649999995</c:v>
                </c:pt>
                <c:pt idx="1255">
                  <c:v>78932.595000000001</c:v>
                </c:pt>
                <c:pt idx="1256">
                  <c:v>78937.846350000007</c:v>
                </c:pt>
                <c:pt idx="1257">
                  <c:v>78943.097689999995</c:v>
                </c:pt>
                <c:pt idx="1258">
                  <c:v>78948.349040000001</c:v>
                </c:pt>
                <c:pt idx="1259">
                  <c:v>78953.600380000003</c:v>
                </c:pt>
                <c:pt idx="1260">
                  <c:v>78958.851729999995</c:v>
                </c:pt>
                <c:pt idx="1261">
                  <c:v>78964.103080000001</c:v>
                </c:pt>
                <c:pt idx="1262">
                  <c:v>78969.354420000003</c:v>
                </c:pt>
                <c:pt idx="1263">
                  <c:v>78974.605769999995</c:v>
                </c:pt>
                <c:pt idx="1264">
                  <c:v>78979.857120000001</c:v>
                </c:pt>
                <c:pt idx="1265">
                  <c:v>78985.108460000003</c:v>
                </c:pt>
                <c:pt idx="1266">
                  <c:v>78990.359809999994</c:v>
                </c:pt>
                <c:pt idx="1267">
                  <c:v>78995.611149999997</c:v>
                </c:pt>
                <c:pt idx="1268">
                  <c:v>79000.862500000003</c:v>
                </c:pt>
                <c:pt idx="1269">
                  <c:v>79006.113849999994</c:v>
                </c:pt>
                <c:pt idx="1270">
                  <c:v>79011.365189999997</c:v>
                </c:pt>
                <c:pt idx="1271">
                  <c:v>79016.616540000003</c:v>
                </c:pt>
                <c:pt idx="1272">
                  <c:v>79021.867880000005</c:v>
                </c:pt>
                <c:pt idx="1273">
                  <c:v>79027.119229999997</c:v>
                </c:pt>
                <c:pt idx="1274">
                  <c:v>79032.370580000003</c:v>
                </c:pt>
                <c:pt idx="1275">
                  <c:v>79037.621920000005</c:v>
                </c:pt>
                <c:pt idx="1276">
                  <c:v>79042.873269999996</c:v>
                </c:pt>
                <c:pt idx="1277">
                  <c:v>79048.124620000002</c:v>
                </c:pt>
                <c:pt idx="1278">
                  <c:v>79053.375960000005</c:v>
                </c:pt>
                <c:pt idx="1279">
                  <c:v>79058.627309999996</c:v>
                </c:pt>
                <c:pt idx="1280">
                  <c:v>79063.878649999999</c:v>
                </c:pt>
                <c:pt idx="1281">
                  <c:v>79069.13</c:v>
                </c:pt>
                <c:pt idx="1282">
                  <c:v>79063.733380000005</c:v>
                </c:pt>
                <c:pt idx="1283">
                  <c:v>79058.336760000006</c:v>
                </c:pt>
                <c:pt idx="1284">
                  <c:v>79052.940140000006</c:v>
                </c:pt>
                <c:pt idx="1285">
                  <c:v>79047.543510000003</c:v>
                </c:pt>
                <c:pt idx="1286">
                  <c:v>79042.146890000004</c:v>
                </c:pt>
                <c:pt idx="1287">
                  <c:v>79036.750270000004</c:v>
                </c:pt>
                <c:pt idx="1288">
                  <c:v>79031.353650000005</c:v>
                </c:pt>
                <c:pt idx="1289">
                  <c:v>79025.957030000005</c:v>
                </c:pt>
                <c:pt idx="1290">
                  <c:v>79020.560410000006</c:v>
                </c:pt>
                <c:pt idx="1291">
                  <c:v>79015.163780000003</c:v>
                </c:pt>
                <c:pt idx="1292">
                  <c:v>79009.767160000003</c:v>
                </c:pt>
                <c:pt idx="1293">
                  <c:v>79004.370540000004</c:v>
                </c:pt>
                <c:pt idx="1294">
                  <c:v>78998.973920000004</c:v>
                </c:pt>
                <c:pt idx="1295">
                  <c:v>78993.577300000004</c:v>
                </c:pt>
                <c:pt idx="1296">
                  <c:v>78988.180680000005</c:v>
                </c:pt>
                <c:pt idx="1297">
                  <c:v>78982.784050000002</c:v>
                </c:pt>
                <c:pt idx="1298">
                  <c:v>78977.387430000002</c:v>
                </c:pt>
                <c:pt idx="1299">
                  <c:v>78971.990810000003</c:v>
                </c:pt>
                <c:pt idx="1300">
                  <c:v>78966.594190000003</c:v>
                </c:pt>
                <c:pt idx="1301">
                  <c:v>78961.197570000004</c:v>
                </c:pt>
                <c:pt idx="1302">
                  <c:v>78955.800950000004</c:v>
                </c:pt>
                <c:pt idx="1303">
                  <c:v>78950.404320000001</c:v>
                </c:pt>
                <c:pt idx="1304">
                  <c:v>78945.007700000002</c:v>
                </c:pt>
                <c:pt idx="1305">
                  <c:v>78939.611080000002</c:v>
                </c:pt>
                <c:pt idx="1306">
                  <c:v>78934.214460000003</c:v>
                </c:pt>
                <c:pt idx="1307">
                  <c:v>78928.817840000003</c:v>
                </c:pt>
                <c:pt idx="1308">
                  <c:v>78923.421220000004</c:v>
                </c:pt>
                <c:pt idx="1309">
                  <c:v>78918.024590000001</c:v>
                </c:pt>
                <c:pt idx="1310">
                  <c:v>78912.627970000001</c:v>
                </c:pt>
                <c:pt idx="1311">
                  <c:v>78907.231350000002</c:v>
                </c:pt>
                <c:pt idx="1312">
                  <c:v>78901.834730000002</c:v>
                </c:pt>
                <c:pt idx="1313">
                  <c:v>78896.438110000003</c:v>
                </c:pt>
                <c:pt idx="1314">
                  <c:v>78891.041490000003</c:v>
                </c:pt>
                <c:pt idx="1315">
                  <c:v>78885.64486</c:v>
                </c:pt>
                <c:pt idx="1316">
                  <c:v>78880.248240000001</c:v>
                </c:pt>
                <c:pt idx="1317">
                  <c:v>78874.851620000001</c:v>
                </c:pt>
                <c:pt idx="1318">
                  <c:v>78869.455000000002</c:v>
                </c:pt>
                <c:pt idx="1319">
                  <c:v>78864.058380000002</c:v>
                </c:pt>
                <c:pt idx="1320">
                  <c:v>78858.661760000003</c:v>
                </c:pt>
                <c:pt idx="1321">
                  <c:v>78853.265140000003</c:v>
                </c:pt>
                <c:pt idx="1322">
                  <c:v>78847.86851</c:v>
                </c:pt>
                <c:pt idx="1323">
                  <c:v>78842.471890000001</c:v>
                </c:pt>
                <c:pt idx="1324">
                  <c:v>78837.075270000001</c:v>
                </c:pt>
                <c:pt idx="1325">
                  <c:v>78831.678650000002</c:v>
                </c:pt>
                <c:pt idx="1326">
                  <c:v>78826.282030000002</c:v>
                </c:pt>
                <c:pt idx="1327">
                  <c:v>78820.885410000003</c:v>
                </c:pt>
                <c:pt idx="1328">
                  <c:v>78815.48878</c:v>
                </c:pt>
                <c:pt idx="1329">
                  <c:v>78810.09216</c:v>
                </c:pt>
                <c:pt idx="1330">
                  <c:v>78804.695540000001</c:v>
                </c:pt>
                <c:pt idx="1331">
                  <c:v>78799.298920000001</c:v>
                </c:pt>
                <c:pt idx="1332">
                  <c:v>78793.902300000002</c:v>
                </c:pt>
                <c:pt idx="1333">
                  <c:v>78788.505680000002</c:v>
                </c:pt>
                <c:pt idx="1334">
                  <c:v>78783.109049999999</c:v>
                </c:pt>
                <c:pt idx="1335">
                  <c:v>78777.71243</c:v>
                </c:pt>
                <c:pt idx="1336">
                  <c:v>78772.31581</c:v>
                </c:pt>
                <c:pt idx="1337">
                  <c:v>78766.919190000001</c:v>
                </c:pt>
                <c:pt idx="1338">
                  <c:v>78761.522570000001</c:v>
                </c:pt>
                <c:pt idx="1339">
                  <c:v>78756.125950000001</c:v>
                </c:pt>
                <c:pt idx="1340">
                  <c:v>78750.729319999999</c:v>
                </c:pt>
                <c:pt idx="1341">
                  <c:v>78745.332699999999</c:v>
                </c:pt>
                <c:pt idx="1342">
                  <c:v>78739.936079999999</c:v>
                </c:pt>
                <c:pt idx="1343">
                  <c:v>78734.53946</c:v>
                </c:pt>
                <c:pt idx="1344">
                  <c:v>78729.14284</c:v>
                </c:pt>
                <c:pt idx="1345">
                  <c:v>78723.746220000001</c:v>
                </c:pt>
                <c:pt idx="1346">
                  <c:v>78718.349589999998</c:v>
                </c:pt>
                <c:pt idx="1347">
                  <c:v>78712.952969999998</c:v>
                </c:pt>
                <c:pt idx="1348">
                  <c:v>78707.556349999999</c:v>
                </c:pt>
                <c:pt idx="1349">
                  <c:v>78702.159729999999</c:v>
                </c:pt>
                <c:pt idx="1350">
                  <c:v>78696.76311</c:v>
                </c:pt>
                <c:pt idx="1351">
                  <c:v>78691.36649</c:v>
                </c:pt>
                <c:pt idx="1352">
                  <c:v>78685.969859999997</c:v>
                </c:pt>
                <c:pt idx="1353">
                  <c:v>78680.573239999998</c:v>
                </c:pt>
                <c:pt idx="1354">
                  <c:v>78675.176619999998</c:v>
                </c:pt>
                <c:pt idx="1355">
                  <c:v>78669.78</c:v>
                </c:pt>
                <c:pt idx="1356">
                  <c:v>78664.383379999999</c:v>
                </c:pt>
                <c:pt idx="1357">
                  <c:v>78658.98676</c:v>
                </c:pt>
                <c:pt idx="1358">
                  <c:v>78653.59014</c:v>
                </c:pt>
                <c:pt idx="1359">
                  <c:v>78648.193509999997</c:v>
                </c:pt>
                <c:pt idx="1360">
                  <c:v>78642.796889999998</c:v>
                </c:pt>
                <c:pt idx="1361">
                  <c:v>78637.400269999998</c:v>
                </c:pt>
                <c:pt idx="1362">
                  <c:v>78632.003649999999</c:v>
                </c:pt>
                <c:pt idx="1363">
                  <c:v>78626.607029999999</c:v>
                </c:pt>
                <c:pt idx="1364">
                  <c:v>78621.21041</c:v>
                </c:pt>
                <c:pt idx="1365">
                  <c:v>78615.813779999997</c:v>
                </c:pt>
                <c:pt idx="1366">
                  <c:v>78610.417159999997</c:v>
                </c:pt>
                <c:pt idx="1367">
                  <c:v>78605.020539999998</c:v>
                </c:pt>
                <c:pt idx="1368">
                  <c:v>78599.623919999998</c:v>
                </c:pt>
                <c:pt idx="1369">
                  <c:v>78594.227299999999</c:v>
                </c:pt>
                <c:pt idx="1370">
                  <c:v>78588.830679999999</c:v>
                </c:pt>
                <c:pt idx="1371">
                  <c:v>78583.434049999996</c:v>
                </c:pt>
                <c:pt idx="1372">
                  <c:v>78578.037429999997</c:v>
                </c:pt>
                <c:pt idx="1373">
                  <c:v>78572.640809999997</c:v>
                </c:pt>
                <c:pt idx="1374">
                  <c:v>78567.244189999998</c:v>
                </c:pt>
                <c:pt idx="1375">
                  <c:v>78561.847569999998</c:v>
                </c:pt>
                <c:pt idx="1376">
                  <c:v>78556.450949999999</c:v>
                </c:pt>
                <c:pt idx="1377">
                  <c:v>78551.054319999996</c:v>
                </c:pt>
                <c:pt idx="1378">
                  <c:v>78545.657699999996</c:v>
                </c:pt>
                <c:pt idx="1379">
                  <c:v>78540.261079999997</c:v>
                </c:pt>
                <c:pt idx="1380">
                  <c:v>78534.864459999997</c:v>
                </c:pt>
                <c:pt idx="1381">
                  <c:v>78529.467839999998</c:v>
                </c:pt>
                <c:pt idx="1382">
                  <c:v>78524.071219999998</c:v>
                </c:pt>
                <c:pt idx="1383">
                  <c:v>78518.674589999995</c:v>
                </c:pt>
                <c:pt idx="1384">
                  <c:v>78513.277969999996</c:v>
                </c:pt>
                <c:pt idx="1385">
                  <c:v>78507.881349999996</c:v>
                </c:pt>
                <c:pt idx="1386">
                  <c:v>78502.484729999996</c:v>
                </c:pt>
                <c:pt idx="1387">
                  <c:v>78497.088109999997</c:v>
                </c:pt>
                <c:pt idx="1388">
                  <c:v>78491.691489999997</c:v>
                </c:pt>
                <c:pt idx="1389">
                  <c:v>78486.294859999995</c:v>
                </c:pt>
                <c:pt idx="1390">
                  <c:v>78480.898239999995</c:v>
                </c:pt>
                <c:pt idx="1391">
                  <c:v>78475.501619999995</c:v>
                </c:pt>
                <c:pt idx="1392">
                  <c:v>78470.104999999996</c:v>
                </c:pt>
                <c:pt idx="1393">
                  <c:v>78464.708379999996</c:v>
                </c:pt>
                <c:pt idx="1394">
                  <c:v>78459.311759999997</c:v>
                </c:pt>
                <c:pt idx="1395">
                  <c:v>78453.915139999997</c:v>
                </c:pt>
                <c:pt idx="1396">
                  <c:v>78448.518509999994</c:v>
                </c:pt>
                <c:pt idx="1397">
                  <c:v>78443.121889999995</c:v>
                </c:pt>
                <c:pt idx="1398">
                  <c:v>78437.725269999995</c:v>
                </c:pt>
                <c:pt idx="1399">
                  <c:v>78432.328649999996</c:v>
                </c:pt>
                <c:pt idx="1400">
                  <c:v>78426.932029999996</c:v>
                </c:pt>
                <c:pt idx="1401">
                  <c:v>78421.535409999997</c:v>
                </c:pt>
                <c:pt idx="1402">
                  <c:v>78416.138779999994</c:v>
                </c:pt>
                <c:pt idx="1403">
                  <c:v>78410.742159999994</c:v>
                </c:pt>
                <c:pt idx="1404">
                  <c:v>78405.345539999995</c:v>
                </c:pt>
                <c:pt idx="1405">
                  <c:v>78399.948919999995</c:v>
                </c:pt>
                <c:pt idx="1406">
                  <c:v>78394.552299999996</c:v>
                </c:pt>
                <c:pt idx="1407">
                  <c:v>78389.155679999996</c:v>
                </c:pt>
                <c:pt idx="1408">
                  <c:v>78383.759049999993</c:v>
                </c:pt>
                <c:pt idx="1409">
                  <c:v>78378.362429999994</c:v>
                </c:pt>
                <c:pt idx="1410">
                  <c:v>78372.965809999994</c:v>
                </c:pt>
                <c:pt idx="1411">
                  <c:v>78367.569189999995</c:v>
                </c:pt>
                <c:pt idx="1412">
                  <c:v>78362.172569999995</c:v>
                </c:pt>
                <c:pt idx="1413">
                  <c:v>78356.775949999996</c:v>
                </c:pt>
                <c:pt idx="1414">
                  <c:v>78351.379319999993</c:v>
                </c:pt>
                <c:pt idx="1415">
                  <c:v>78345.982699999993</c:v>
                </c:pt>
                <c:pt idx="1416">
                  <c:v>78340.586079999994</c:v>
                </c:pt>
                <c:pt idx="1417">
                  <c:v>78335.189459999994</c:v>
                </c:pt>
                <c:pt idx="1418">
                  <c:v>78329.792839999995</c:v>
                </c:pt>
                <c:pt idx="1419">
                  <c:v>78324.396219999995</c:v>
                </c:pt>
                <c:pt idx="1420">
                  <c:v>78318.999590000007</c:v>
                </c:pt>
                <c:pt idx="1421">
                  <c:v>78313.602970000007</c:v>
                </c:pt>
                <c:pt idx="1422">
                  <c:v>78308.206349999993</c:v>
                </c:pt>
                <c:pt idx="1423">
                  <c:v>78302.809729999994</c:v>
                </c:pt>
                <c:pt idx="1424">
                  <c:v>78297.413109999994</c:v>
                </c:pt>
                <c:pt idx="1425">
                  <c:v>78292.016489999995</c:v>
                </c:pt>
                <c:pt idx="1426">
                  <c:v>78286.619860000006</c:v>
                </c:pt>
                <c:pt idx="1427">
                  <c:v>78281.223240000007</c:v>
                </c:pt>
                <c:pt idx="1428">
                  <c:v>78275.826620000007</c:v>
                </c:pt>
                <c:pt idx="1429">
                  <c:v>78270.429999999993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5-44E6-B510-6571DD8D3F85}"/>
            </c:ext>
          </c:extLst>
        </c:ser>
        <c:ser>
          <c:idx val="5"/>
          <c:order val="5"/>
          <c:tx>
            <c:strRef>
              <c:f>Issue1949!$R$2</c:f>
              <c:strCache>
                <c:ptCount val="1"/>
                <c:pt idx="0">
                  <c:v> retHigh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Issue1949!$R$3:$R$1432</c:f>
              <c:numCache>
                <c:formatCode>_("$"* #,##0.00_);_("$"* \(#,##0.00\);_("$"* "-"??_);_(@_)</c:formatCode>
                <c:ptCount val="1430"/>
                <c:pt idx="487">
                  <c:v>81737.8</c:v>
                </c:pt>
                <c:pt idx="488">
                  <c:v>81743.536269999997</c:v>
                </c:pt>
                <c:pt idx="489">
                  <c:v>81749.272530000002</c:v>
                </c:pt>
                <c:pt idx="490">
                  <c:v>81755.008799999996</c:v>
                </c:pt>
                <c:pt idx="491">
                  <c:v>81760.745070000004</c:v>
                </c:pt>
                <c:pt idx="492">
                  <c:v>81766.481329999995</c:v>
                </c:pt>
                <c:pt idx="493">
                  <c:v>81772.217600000004</c:v>
                </c:pt>
                <c:pt idx="494">
                  <c:v>81777.953869999998</c:v>
                </c:pt>
                <c:pt idx="495">
                  <c:v>81783.690130000003</c:v>
                </c:pt>
                <c:pt idx="496">
                  <c:v>81789.426399999997</c:v>
                </c:pt>
                <c:pt idx="497">
                  <c:v>81795.162670000005</c:v>
                </c:pt>
                <c:pt idx="498">
                  <c:v>81800.898929999996</c:v>
                </c:pt>
                <c:pt idx="499">
                  <c:v>81806.635200000004</c:v>
                </c:pt>
                <c:pt idx="500">
                  <c:v>81812.371469999998</c:v>
                </c:pt>
                <c:pt idx="501">
                  <c:v>81818.107730000003</c:v>
                </c:pt>
                <c:pt idx="502">
                  <c:v>81823.843999999997</c:v>
                </c:pt>
                <c:pt idx="503">
                  <c:v>81829.580270000006</c:v>
                </c:pt>
                <c:pt idx="504">
                  <c:v>81835.316529999996</c:v>
                </c:pt>
                <c:pt idx="505">
                  <c:v>81841.052800000005</c:v>
                </c:pt>
                <c:pt idx="506">
                  <c:v>81846.789069999999</c:v>
                </c:pt>
                <c:pt idx="507">
                  <c:v>81852.525330000004</c:v>
                </c:pt>
                <c:pt idx="508">
                  <c:v>81858.261599999998</c:v>
                </c:pt>
                <c:pt idx="509">
                  <c:v>81863.997870000007</c:v>
                </c:pt>
                <c:pt idx="510">
                  <c:v>81869.734129999997</c:v>
                </c:pt>
                <c:pt idx="511">
                  <c:v>81875.470400000006</c:v>
                </c:pt>
                <c:pt idx="512">
                  <c:v>81881.20667</c:v>
                </c:pt>
                <c:pt idx="513">
                  <c:v>81886.942930000005</c:v>
                </c:pt>
                <c:pt idx="514">
                  <c:v>81892.679199999999</c:v>
                </c:pt>
                <c:pt idx="515">
                  <c:v>81898.415470000007</c:v>
                </c:pt>
                <c:pt idx="516">
                  <c:v>81904.151729999998</c:v>
                </c:pt>
                <c:pt idx="517">
                  <c:v>81909.888000000006</c:v>
                </c:pt>
                <c:pt idx="518">
                  <c:v>81915.62427</c:v>
                </c:pt>
                <c:pt idx="519">
                  <c:v>81921.360530000005</c:v>
                </c:pt>
                <c:pt idx="520">
                  <c:v>81927.096799999999</c:v>
                </c:pt>
                <c:pt idx="521">
                  <c:v>81932.833069999993</c:v>
                </c:pt>
                <c:pt idx="522">
                  <c:v>81938.569329999998</c:v>
                </c:pt>
                <c:pt idx="523">
                  <c:v>81944.305600000007</c:v>
                </c:pt>
                <c:pt idx="524">
                  <c:v>81950.041870000001</c:v>
                </c:pt>
                <c:pt idx="525">
                  <c:v>81955.778130000006</c:v>
                </c:pt>
                <c:pt idx="526">
                  <c:v>81961.5144</c:v>
                </c:pt>
                <c:pt idx="527">
                  <c:v>81967.250669999994</c:v>
                </c:pt>
                <c:pt idx="528">
                  <c:v>81972.986929999999</c:v>
                </c:pt>
                <c:pt idx="529">
                  <c:v>81978.723199999993</c:v>
                </c:pt>
                <c:pt idx="530">
                  <c:v>81984.459470000002</c:v>
                </c:pt>
                <c:pt idx="531">
                  <c:v>81990.195730000007</c:v>
                </c:pt>
                <c:pt idx="532">
                  <c:v>81995.932000000001</c:v>
                </c:pt>
                <c:pt idx="533">
                  <c:v>82001.668269999995</c:v>
                </c:pt>
                <c:pt idx="534">
                  <c:v>82007.40453</c:v>
                </c:pt>
                <c:pt idx="535">
                  <c:v>82013.140799999994</c:v>
                </c:pt>
                <c:pt idx="536">
                  <c:v>82018.877070000002</c:v>
                </c:pt>
                <c:pt idx="537">
                  <c:v>82024.613329999993</c:v>
                </c:pt>
                <c:pt idx="538">
                  <c:v>82030.349600000001</c:v>
                </c:pt>
                <c:pt idx="539">
                  <c:v>82036.085869999995</c:v>
                </c:pt>
                <c:pt idx="540">
                  <c:v>82041.82213</c:v>
                </c:pt>
                <c:pt idx="541">
                  <c:v>82047.558399999994</c:v>
                </c:pt>
                <c:pt idx="542">
                  <c:v>82053.294670000003</c:v>
                </c:pt>
                <c:pt idx="543">
                  <c:v>82059.030929999994</c:v>
                </c:pt>
                <c:pt idx="544">
                  <c:v>82064.767200000002</c:v>
                </c:pt>
                <c:pt idx="545">
                  <c:v>82070.503469999996</c:v>
                </c:pt>
                <c:pt idx="546">
                  <c:v>82076.239730000001</c:v>
                </c:pt>
                <c:pt idx="547">
                  <c:v>82081.975999999995</c:v>
                </c:pt>
                <c:pt idx="548">
                  <c:v>82087.712270000004</c:v>
                </c:pt>
                <c:pt idx="549">
                  <c:v>82093.448529999994</c:v>
                </c:pt>
                <c:pt idx="550">
                  <c:v>82099.184800000003</c:v>
                </c:pt>
                <c:pt idx="551">
                  <c:v>82104.921069999997</c:v>
                </c:pt>
                <c:pt idx="552">
                  <c:v>82110.657330000002</c:v>
                </c:pt>
                <c:pt idx="553">
                  <c:v>82116.393599999996</c:v>
                </c:pt>
                <c:pt idx="554">
                  <c:v>82122.129870000004</c:v>
                </c:pt>
                <c:pt idx="555">
                  <c:v>82127.866129999995</c:v>
                </c:pt>
                <c:pt idx="556">
                  <c:v>82133.602400000003</c:v>
                </c:pt>
                <c:pt idx="557">
                  <c:v>82139.338669999997</c:v>
                </c:pt>
                <c:pt idx="558">
                  <c:v>82145.074930000002</c:v>
                </c:pt>
                <c:pt idx="559">
                  <c:v>82150.811199999996</c:v>
                </c:pt>
                <c:pt idx="560">
                  <c:v>82156.547470000005</c:v>
                </c:pt>
                <c:pt idx="561">
                  <c:v>82162.283729999996</c:v>
                </c:pt>
                <c:pt idx="562">
                  <c:v>82168.02</c:v>
                </c:pt>
                <c:pt idx="563">
                  <c:v>82116.108300000007</c:v>
                </c:pt>
                <c:pt idx="564">
                  <c:v>82064.196599999996</c:v>
                </c:pt>
                <c:pt idx="565">
                  <c:v>82012.284910000002</c:v>
                </c:pt>
                <c:pt idx="566">
                  <c:v>81960.373210000005</c:v>
                </c:pt>
                <c:pt idx="567">
                  <c:v>81908.461509999994</c:v>
                </c:pt>
                <c:pt idx="568">
                  <c:v>81856.549809999997</c:v>
                </c:pt>
                <c:pt idx="569">
                  <c:v>81804.63811</c:v>
                </c:pt>
                <c:pt idx="570">
                  <c:v>81752.726420000006</c:v>
                </c:pt>
                <c:pt idx="571">
                  <c:v>81700.814719999995</c:v>
                </c:pt>
                <c:pt idx="572">
                  <c:v>81648.903019999998</c:v>
                </c:pt>
                <c:pt idx="573">
                  <c:v>81596.991320000001</c:v>
                </c:pt>
                <c:pt idx="574">
                  <c:v>81545.079620000004</c:v>
                </c:pt>
                <c:pt idx="575">
                  <c:v>81493.167920000007</c:v>
                </c:pt>
                <c:pt idx="576">
                  <c:v>81441.256229999999</c:v>
                </c:pt>
                <c:pt idx="577">
                  <c:v>81389.344530000002</c:v>
                </c:pt>
                <c:pt idx="578">
                  <c:v>81337.432830000005</c:v>
                </c:pt>
                <c:pt idx="579">
                  <c:v>81285.521129999994</c:v>
                </c:pt>
                <c:pt idx="580">
                  <c:v>81233.609429999997</c:v>
                </c:pt>
                <c:pt idx="581">
                  <c:v>81181.697740000003</c:v>
                </c:pt>
                <c:pt idx="582">
                  <c:v>81129.786040000006</c:v>
                </c:pt>
                <c:pt idx="583">
                  <c:v>81077.874339999995</c:v>
                </c:pt>
                <c:pt idx="584">
                  <c:v>81025.962639999998</c:v>
                </c:pt>
                <c:pt idx="585">
                  <c:v>80974.050940000001</c:v>
                </c:pt>
                <c:pt idx="586">
                  <c:v>80922.139249999993</c:v>
                </c:pt>
                <c:pt idx="587">
                  <c:v>80870.227549999996</c:v>
                </c:pt>
                <c:pt idx="588">
                  <c:v>80818.315849999999</c:v>
                </c:pt>
                <c:pt idx="589">
                  <c:v>80766.404150000002</c:v>
                </c:pt>
                <c:pt idx="590">
                  <c:v>80714.492450000005</c:v>
                </c:pt>
                <c:pt idx="591">
                  <c:v>80662.580749999994</c:v>
                </c:pt>
                <c:pt idx="592">
                  <c:v>80610.66906</c:v>
                </c:pt>
                <c:pt idx="593">
                  <c:v>80558.757360000003</c:v>
                </c:pt>
                <c:pt idx="594">
                  <c:v>80506.845660000006</c:v>
                </c:pt>
                <c:pt idx="595">
                  <c:v>80454.933959999995</c:v>
                </c:pt>
                <c:pt idx="596">
                  <c:v>80403.022259999998</c:v>
                </c:pt>
                <c:pt idx="597">
                  <c:v>80351.110570000004</c:v>
                </c:pt>
                <c:pt idx="598">
                  <c:v>80299.198869999993</c:v>
                </c:pt>
                <c:pt idx="599">
                  <c:v>80247.287169999996</c:v>
                </c:pt>
                <c:pt idx="600">
                  <c:v>80195.375469999999</c:v>
                </c:pt>
                <c:pt idx="601">
                  <c:v>80143.463770000002</c:v>
                </c:pt>
                <c:pt idx="602">
                  <c:v>80091.552079999994</c:v>
                </c:pt>
                <c:pt idx="603">
                  <c:v>80039.640379999997</c:v>
                </c:pt>
                <c:pt idx="604">
                  <c:v>79987.72868</c:v>
                </c:pt>
                <c:pt idx="605">
                  <c:v>79935.816980000003</c:v>
                </c:pt>
                <c:pt idx="606">
                  <c:v>79883.905280000006</c:v>
                </c:pt>
                <c:pt idx="607">
                  <c:v>79831.993579999995</c:v>
                </c:pt>
                <c:pt idx="608">
                  <c:v>79780.081890000001</c:v>
                </c:pt>
                <c:pt idx="609">
                  <c:v>79728.170190000004</c:v>
                </c:pt>
                <c:pt idx="610">
                  <c:v>79676.258489999993</c:v>
                </c:pt>
                <c:pt idx="611">
                  <c:v>79624.346789999996</c:v>
                </c:pt>
                <c:pt idx="612">
                  <c:v>79572.435089999999</c:v>
                </c:pt>
                <c:pt idx="613">
                  <c:v>79520.523400000005</c:v>
                </c:pt>
                <c:pt idx="614">
                  <c:v>79468.611699999994</c:v>
                </c:pt>
                <c:pt idx="615">
                  <c:v>79416.7</c:v>
                </c:pt>
                <c:pt idx="616">
                  <c:v>79408.837929999994</c:v>
                </c:pt>
                <c:pt idx="617">
                  <c:v>79400.975860000006</c:v>
                </c:pt>
                <c:pt idx="618">
                  <c:v>79393.113790000003</c:v>
                </c:pt>
                <c:pt idx="619">
                  <c:v>79385.25172</c:v>
                </c:pt>
                <c:pt idx="620">
                  <c:v>79377.389660000001</c:v>
                </c:pt>
                <c:pt idx="621">
                  <c:v>79369.527589999998</c:v>
                </c:pt>
                <c:pt idx="622">
                  <c:v>79361.665519999995</c:v>
                </c:pt>
                <c:pt idx="623">
                  <c:v>79353.803450000007</c:v>
                </c:pt>
                <c:pt idx="624">
                  <c:v>79345.941380000004</c:v>
                </c:pt>
                <c:pt idx="625">
                  <c:v>79338.079310000001</c:v>
                </c:pt>
                <c:pt idx="626">
                  <c:v>79330.217239999998</c:v>
                </c:pt>
                <c:pt idx="627">
                  <c:v>79322.355169999995</c:v>
                </c:pt>
                <c:pt idx="628">
                  <c:v>79314.493100000007</c:v>
                </c:pt>
                <c:pt idx="629">
                  <c:v>79306.631030000004</c:v>
                </c:pt>
                <c:pt idx="630">
                  <c:v>79298.768970000005</c:v>
                </c:pt>
                <c:pt idx="631">
                  <c:v>79290.906900000002</c:v>
                </c:pt>
                <c:pt idx="632">
                  <c:v>79283.044829999999</c:v>
                </c:pt>
                <c:pt idx="633">
                  <c:v>79275.182759999996</c:v>
                </c:pt>
                <c:pt idx="634">
                  <c:v>79267.320689999993</c:v>
                </c:pt>
                <c:pt idx="635">
                  <c:v>79259.458620000005</c:v>
                </c:pt>
                <c:pt idx="636">
                  <c:v>79251.596550000002</c:v>
                </c:pt>
                <c:pt idx="637">
                  <c:v>79243.734479999999</c:v>
                </c:pt>
                <c:pt idx="638">
                  <c:v>79235.872409999996</c:v>
                </c:pt>
                <c:pt idx="639">
                  <c:v>79228.010339999993</c:v>
                </c:pt>
                <c:pt idx="640">
                  <c:v>79220.148279999994</c:v>
                </c:pt>
                <c:pt idx="641">
                  <c:v>79212.286210000006</c:v>
                </c:pt>
                <c:pt idx="642">
                  <c:v>79204.424140000003</c:v>
                </c:pt>
                <c:pt idx="643">
                  <c:v>79196.56207</c:v>
                </c:pt>
                <c:pt idx="644">
                  <c:v>79188.7</c:v>
                </c:pt>
                <c:pt idx="645">
                  <c:v>79180.837929999994</c:v>
                </c:pt>
                <c:pt idx="646">
                  <c:v>79172.975860000006</c:v>
                </c:pt>
                <c:pt idx="647">
                  <c:v>79165.113790000003</c:v>
                </c:pt>
                <c:pt idx="648">
                  <c:v>79157.25172</c:v>
                </c:pt>
                <c:pt idx="649">
                  <c:v>79149.389660000001</c:v>
                </c:pt>
                <c:pt idx="650">
                  <c:v>79141.527589999998</c:v>
                </c:pt>
                <c:pt idx="651">
                  <c:v>79133.665519999995</c:v>
                </c:pt>
                <c:pt idx="652">
                  <c:v>79125.803450000007</c:v>
                </c:pt>
                <c:pt idx="653">
                  <c:v>79117.941380000004</c:v>
                </c:pt>
                <c:pt idx="654">
                  <c:v>79110.079310000001</c:v>
                </c:pt>
                <c:pt idx="655">
                  <c:v>79102.217239999998</c:v>
                </c:pt>
                <c:pt idx="656">
                  <c:v>79094.355169999995</c:v>
                </c:pt>
                <c:pt idx="657">
                  <c:v>79086.493100000007</c:v>
                </c:pt>
                <c:pt idx="658">
                  <c:v>79078.631030000004</c:v>
                </c:pt>
                <c:pt idx="659">
                  <c:v>79070.768970000005</c:v>
                </c:pt>
                <c:pt idx="660">
                  <c:v>79062.906900000002</c:v>
                </c:pt>
                <c:pt idx="661">
                  <c:v>79055.044829999999</c:v>
                </c:pt>
                <c:pt idx="662">
                  <c:v>79047.182759999996</c:v>
                </c:pt>
                <c:pt idx="663">
                  <c:v>79039.320689999993</c:v>
                </c:pt>
                <c:pt idx="664">
                  <c:v>79031.458620000005</c:v>
                </c:pt>
                <c:pt idx="665">
                  <c:v>79023.596550000002</c:v>
                </c:pt>
                <c:pt idx="666">
                  <c:v>79015.734479999999</c:v>
                </c:pt>
                <c:pt idx="667">
                  <c:v>79007.872409999996</c:v>
                </c:pt>
                <c:pt idx="668">
                  <c:v>79000.010339999993</c:v>
                </c:pt>
                <c:pt idx="669">
                  <c:v>78992.148279999994</c:v>
                </c:pt>
                <c:pt idx="670">
                  <c:v>78984.286210000006</c:v>
                </c:pt>
                <c:pt idx="671">
                  <c:v>78976.424140000003</c:v>
                </c:pt>
                <c:pt idx="672">
                  <c:v>78968.56207</c:v>
                </c:pt>
                <c:pt idx="673">
                  <c:v>78960.7</c:v>
                </c:pt>
                <c:pt idx="674">
                  <c:v>78952.837929999994</c:v>
                </c:pt>
                <c:pt idx="675">
                  <c:v>78944.975860000006</c:v>
                </c:pt>
                <c:pt idx="676">
                  <c:v>78937.113790000003</c:v>
                </c:pt>
                <c:pt idx="677">
                  <c:v>78929.25172</c:v>
                </c:pt>
                <c:pt idx="678">
                  <c:v>78921.389660000001</c:v>
                </c:pt>
                <c:pt idx="679">
                  <c:v>78913.527589999998</c:v>
                </c:pt>
                <c:pt idx="680">
                  <c:v>78905.665519999995</c:v>
                </c:pt>
                <c:pt idx="681">
                  <c:v>78897.803450000007</c:v>
                </c:pt>
                <c:pt idx="682">
                  <c:v>78889.941380000004</c:v>
                </c:pt>
                <c:pt idx="683">
                  <c:v>78882.079310000001</c:v>
                </c:pt>
                <c:pt idx="684">
                  <c:v>78874.217239999998</c:v>
                </c:pt>
                <c:pt idx="685">
                  <c:v>78866.355169999995</c:v>
                </c:pt>
                <c:pt idx="686">
                  <c:v>78858.493100000007</c:v>
                </c:pt>
                <c:pt idx="687">
                  <c:v>78850.631030000004</c:v>
                </c:pt>
                <c:pt idx="688">
                  <c:v>78842.768970000005</c:v>
                </c:pt>
                <c:pt idx="689">
                  <c:v>78834.906900000002</c:v>
                </c:pt>
                <c:pt idx="690">
                  <c:v>78827.044829999999</c:v>
                </c:pt>
                <c:pt idx="691">
                  <c:v>78819.182759999996</c:v>
                </c:pt>
                <c:pt idx="692">
                  <c:v>78811.320689999993</c:v>
                </c:pt>
                <c:pt idx="693">
                  <c:v>78803.458620000005</c:v>
                </c:pt>
                <c:pt idx="694">
                  <c:v>78795.596550000002</c:v>
                </c:pt>
                <c:pt idx="695">
                  <c:v>78787.734479999999</c:v>
                </c:pt>
                <c:pt idx="696">
                  <c:v>78779.872409999996</c:v>
                </c:pt>
                <c:pt idx="697">
                  <c:v>78772.010339999993</c:v>
                </c:pt>
                <c:pt idx="698">
                  <c:v>78764.148279999994</c:v>
                </c:pt>
                <c:pt idx="699">
                  <c:v>78756.286210000006</c:v>
                </c:pt>
                <c:pt idx="700">
                  <c:v>78748.424140000003</c:v>
                </c:pt>
                <c:pt idx="701">
                  <c:v>78740.56207</c:v>
                </c:pt>
                <c:pt idx="702">
                  <c:v>78732.7</c:v>
                </c:pt>
                <c:pt idx="703">
                  <c:v>78724.837929999994</c:v>
                </c:pt>
                <c:pt idx="704">
                  <c:v>78716.975860000006</c:v>
                </c:pt>
                <c:pt idx="705">
                  <c:v>78709.113790000003</c:v>
                </c:pt>
                <c:pt idx="706">
                  <c:v>78701.25172</c:v>
                </c:pt>
                <c:pt idx="707">
                  <c:v>78693.389660000001</c:v>
                </c:pt>
                <c:pt idx="708">
                  <c:v>78685.527589999998</c:v>
                </c:pt>
                <c:pt idx="709">
                  <c:v>78677.665519999995</c:v>
                </c:pt>
                <c:pt idx="710">
                  <c:v>78669.803450000007</c:v>
                </c:pt>
                <c:pt idx="711">
                  <c:v>78661.941380000004</c:v>
                </c:pt>
                <c:pt idx="712">
                  <c:v>78654.079310000001</c:v>
                </c:pt>
                <c:pt idx="713">
                  <c:v>78646.217239999998</c:v>
                </c:pt>
                <c:pt idx="714">
                  <c:v>78638.355169999995</c:v>
                </c:pt>
                <c:pt idx="715">
                  <c:v>78630.493100000007</c:v>
                </c:pt>
                <c:pt idx="716">
                  <c:v>78622.631030000004</c:v>
                </c:pt>
                <c:pt idx="717">
                  <c:v>78614.768970000005</c:v>
                </c:pt>
                <c:pt idx="718">
                  <c:v>78606.906900000002</c:v>
                </c:pt>
                <c:pt idx="719">
                  <c:v>78599.044829999999</c:v>
                </c:pt>
                <c:pt idx="720">
                  <c:v>78591.182759999996</c:v>
                </c:pt>
                <c:pt idx="721">
                  <c:v>78583.320689999993</c:v>
                </c:pt>
                <c:pt idx="722">
                  <c:v>78575.458620000005</c:v>
                </c:pt>
                <c:pt idx="723">
                  <c:v>78567.596550000002</c:v>
                </c:pt>
                <c:pt idx="724">
                  <c:v>78559.734479999999</c:v>
                </c:pt>
                <c:pt idx="725">
                  <c:v>78551.872409999996</c:v>
                </c:pt>
                <c:pt idx="726">
                  <c:v>78544.010339999993</c:v>
                </c:pt>
                <c:pt idx="727">
                  <c:v>78536.148279999994</c:v>
                </c:pt>
                <c:pt idx="728">
                  <c:v>78528.286210000006</c:v>
                </c:pt>
                <c:pt idx="729">
                  <c:v>78520.424140000003</c:v>
                </c:pt>
                <c:pt idx="730">
                  <c:v>78512.56207</c:v>
                </c:pt>
                <c:pt idx="731">
                  <c:v>78504.7</c:v>
                </c:pt>
                <c:pt idx="732">
                  <c:v>78498.798060000001</c:v>
                </c:pt>
                <c:pt idx="733">
                  <c:v>78492.896110000001</c:v>
                </c:pt>
                <c:pt idx="734">
                  <c:v>78486.994170000005</c:v>
                </c:pt>
                <c:pt idx="735">
                  <c:v>78481.092220000006</c:v>
                </c:pt>
                <c:pt idx="736">
                  <c:v>78475.190279999995</c:v>
                </c:pt>
                <c:pt idx="737">
                  <c:v>78469.288329999996</c:v>
                </c:pt>
                <c:pt idx="738">
                  <c:v>78463.38639</c:v>
                </c:pt>
                <c:pt idx="739">
                  <c:v>78457.48444</c:v>
                </c:pt>
                <c:pt idx="740">
                  <c:v>78451.582500000004</c:v>
                </c:pt>
                <c:pt idx="741">
                  <c:v>78445.680559999993</c:v>
                </c:pt>
                <c:pt idx="742">
                  <c:v>78439.778609999994</c:v>
                </c:pt>
                <c:pt idx="743">
                  <c:v>78433.876669999998</c:v>
                </c:pt>
                <c:pt idx="744">
                  <c:v>78427.974719999998</c:v>
                </c:pt>
                <c:pt idx="745">
                  <c:v>78422.072780000002</c:v>
                </c:pt>
                <c:pt idx="746">
                  <c:v>78416.170830000003</c:v>
                </c:pt>
                <c:pt idx="747">
                  <c:v>78410.268890000007</c:v>
                </c:pt>
                <c:pt idx="748">
                  <c:v>78404.366940000007</c:v>
                </c:pt>
                <c:pt idx="749">
                  <c:v>78398.464999999997</c:v>
                </c:pt>
                <c:pt idx="750">
                  <c:v>78392.56306</c:v>
                </c:pt>
                <c:pt idx="751">
                  <c:v>78386.661110000001</c:v>
                </c:pt>
                <c:pt idx="752">
                  <c:v>78380.759170000005</c:v>
                </c:pt>
                <c:pt idx="753">
                  <c:v>78374.857220000005</c:v>
                </c:pt>
                <c:pt idx="754">
                  <c:v>78368.955279999995</c:v>
                </c:pt>
                <c:pt idx="755">
                  <c:v>78363.053329999995</c:v>
                </c:pt>
                <c:pt idx="756">
                  <c:v>78357.151389999999</c:v>
                </c:pt>
                <c:pt idx="757">
                  <c:v>78351.24944</c:v>
                </c:pt>
                <c:pt idx="758">
                  <c:v>78345.347500000003</c:v>
                </c:pt>
                <c:pt idx="759">
                  <c:v>78339.445559999993</c:v>
                </c:pt>
                <c:pt idx="760">
                  <c:v>78333.543609999993</c:v>
                </c:pt>
                <c:pt idx="761">
                  <c:v>78327.641669999997</c:v>
                </c:pt>
                <c:pt idx="762">
                  <c:v>78321.739719999998</c:v>
                </c:pt>
                <c:pt idx="763">
                  <c:v>78315.837780000002</c:v>
                </c:pt>
                <c:pt idx="764">
                  <c:v>78309.935830000002</c:v>
                </c:pt>
                <c:pt idx="765">
                  <c:v>78304.033890000006</c:v>
                </c:pt>
                <c:pt idx="766">
                  <c:v>78298.131940000007</c:v>
                </c:pt>
                <c:pt idx="767">
                  <c:v>78292.23</c:v>
                </c:pt>
                <c:pt idx="768">
                  <c:v>78286.32806</c:v>
                </c:pt>
                <c:pt idx="769">
                  <c:v>78280.42611</c:v>
                </c:pt>
                <c:pt idx="770">
                  <c:v>78274.524170000004</c:v>
                </c:pt>
                <c:pt idx="771">
                  <c:v>78268.622220000005</c:v>
                </c:pt>
                <c:pt idx="772">
                  <c:v>78262.720279999994</c:v>
                </c:pt>
                <c:pt idx="773">
                  <c:v>78256.818329999995</c:v>
                </c:pt>
                <c:pt idx="774">
                  <c:v>78250.916389999999</c:v>
                </c:pt>
                <c:pt idx="775">
                  <c:v>78245.014439999999</c:v>
                </c:pt>
                <c:pt idx="776">
                  <c:v>78239.112500000003</c:v>
                </c:pt>
                <c:pt idx="777">
                  <c:v>78233.210560000007</c:v>
                </c:pt>
                <c:pt idx="778">
                  <c:v>78227.308609999993</c:v>
                </c:pt>
                <c:pt idx="779">
                  <c:v>78221.406669999997</c:v>
                </c:pt>
                <c:pt idx="780">
                  <c:v>78215.504719999997</c:v>
                </c:pt>
                <c:pt idx="781">
                  <c:v>78209.602780000001</c:v>
                </c:pt>
                <c:pt idx="782">
                  <c:v>78203.700830000002</c:v>
                </c:pt>
                <c:pt idx="783">
                  <c:v>78197.798890000005</c:v>
                </c:pt>
                <c:pt idx="784">
                  <c:v>78191.896940000006</c:v>
                </c:pt>
                <c:pt idx="785">
                  <c:v>78185.994999999995</c:v>
                </c:pt>
                <c:pt idx="786">
                  <c:v>78180.093059999999</c:v>
                </c:pt>
                <c:pt idx="787">
                  <c:v>78174.19111</c:v>
                </c:pt>
                <c:pt idx="788">
                  <c:v>78168.289170000004</c:v>
                </c:pt>
                <c:pt idx="789">
                  <c:v>78162.387220000004</c:v>
                </c:pt>
                <c:pt idx="790">
                  <c:v>78156.485279999994</c:v>
                </c:pt>
                <c:pt idx="791">
                  <c:v>78150.583329999994</c:v>
                </c:pt>
                <c:pt idx="792">
                  <c:v>78144.681389999998</c:v>
                </c:pt>
                <c:pt idx="793">
                  <c:v>78138.779439999998</c:v>
                </c:pt>
                <c:pt idx="794">
                  <c:v>78132.877500000002</c:v>
                </c:pt>
                <c:pt idx="795">
                  <c:v>78126.975560000006</c:v>
                </c:pt>
                <c:pt idx="796">
                  <c:v>78121.073610000007</c:v>
                </c:pt>
                <c:pt idx="797">
                  <c:v>78115.171669999996</c:v>
                </c:pt>
                <c:pt idx="798">
                  <c:v>78109.269719999997</c:v>
                </c:pt>
                <c:pt idx="799">
                  <c:v>78103.36778</c:v>
                </c:pt>
                <c:pt idx="800">
                  <c:v>78097.465830000001</c:v>
                </c:pt>
                <c:pt idx="801">
                  <c:v>78091.563890000005</c:v>
                </c:pt>
                <c:pt idx="802">
                  <c:v>78085.661940000005</c:v>
                </c:pt>
                <c:pt idx="803">
                  <c:v>78079.759999999995</c:v>
                </c:pt>
                <c:pt idx="804">
                  <c:v>78080.499490000002</c:v>
                </c:pt>
                <c:pt idx="805">
                  <c:v>78081.238970000006</c:v>
                </c:pt>
                <c:pt idx="806">
                  <c:v>78081.978459999998</c:v>
                </c:pt>
                <c:pt idx="807">
                  <c:v>78082.717950000006</c:v>
                </c:pt>
                <c:pt idx="808">
                  <c:v>78083.457439999998</c:v>
                </c:pt>
                <c:pt idx="809">
                  <c:v>78084.196920000002</c:v>
                </c:pt>
                <c:pt idx="810">
                  <c:v>78084.936409999995</c:v>
                </c:pt>
                <c:pt idx="811">
                  <c:v>78085.675900000002</c:v>
                </c:pt>
                <c:pt idx="812">
                  <c:v>78086.415380000006</c:v>
                </c:pt>
                <c:pt idx="813">
                  <c:v>78087.154869999998</c:v>
                </c:pt>
                <c:pt idx="814">
                  <c:v>78087.894360000006</c:v>
                </c:pt>
                <c:pt idx="815">
                  <c:v>78088.633849999998</c:v>
                </c:pt>
                <c:pt idx="816">
                  <c:v>78089.373330000002</c:v>
                </c:pt>
                <c:pt idx="817">
                  <c:v>78090.112819999995</c:v>
                </c:pt>
                <c:pt idx="818">
                  <c:v>78090.852310000002</c:v>
                </c:pt>
                <c:pt idx="819">
                  <c:v>78091.591790000006</c:v>
                </c:pt>
                <c:pt idx="820">
                  <c:v>78092.331279999999</c:v>
                </c:pt>
                <c:pt idx="821">
                  <c:v>78093.070770000006</c:v>
                </c:pt>
                <c:pt idx="822">
                  <c:v>78093.810259999998</c:v>
                </c:pt>
                <c:pt idx="823">
                  <c:v>78094.549740000002</c:v>
                </c:pt>
                <c:pt idx="824">
                  <c:v>78095.289229999995</c:v>
                </c:pt>
                <c:pt idx="825">
                  <c:v>78096.028720000002</c:v>
                </c:pt>
                <c:pt idx="826">
                  <c:v>78096.768209999995</c:v>
                </c:pt>
                <c:pt idx="827">
                  <c:v>78097.507689999999</c:v>
                </c:pt>
                <c:pt idx="828">
                  <c:v>78098.247180000006</c:v>
                </c:pt>
                <c:pt idx="829">
                  <c:v>78098.986669999998</c:v>
                </c:pt>
                <c:pt idx="830">
                  <c:v>78099.726150000002</c:v>
                </c:pt>
                <c:pt idx="831">
                  <c:v>78100.465639999995</c:v>
                </c:pt>
                <c:pt idx="832">
                  <c:v>78101.205130000002</c:v>
                </c:pt>
                <c:pt idx="833">
                  <c:v>78101.944619999995</c:v>
                </c:pt>
                <c:pt idx="834">
                  <c:v>78102.684099999999</c:v>
                </c:pt>
                <c:pt idx="835">
                  <c:v>78103.423590000006</c:v>
                </c:pt>
                <c:pt idx="836">
                  <c:v>78104.163079999998</c:v>
                </c:pt>
                <c:pt idx="837">
                  <c:v>78104.902560000002</c:v>
                </c:pt>
                <c:pt idx="838">
                  <c:v>78105.642049999995</c:v>
                </c:pt>
                <c:pt idx="839">
                  <c:v>78106.381540000002</c:v>
                </c:pt>
                <c:pt idx="840">
                  <c:v>78107.121029999995</c:v>
                </c:pt>
                <c:pt idx="841">
                  <c:v>78107.860509999999</c:v>
                </c:pt>
                <c:pt idx="842">
                  <c:v>78108.600000000006</c:v>
                </c:pt>
                <c:pt idx="843">
                  <c:v>78115.091790000006</c:v>
                </c:pt>
                <c:pt idx="844">
                  <c:v>78121.583589999995</c:v>
                </c:pt>
                <c:pt idx="845">
                  <c:v>78128.075379999995</c:v>
                </c:pt>
                <c:pt idx="846">
                  <c:v>78134.567179999998</c:v>
                </c:pt>
                <c:pt idx="847">
                  <c:v>78141.058969999998</c:v>
                </c:pt>
                <c:pt idx="848">
                  <c:v>78147.550770000002</c:v>
                </c:pt>
                <c:pt idx="849">
                  <c:v>78154.042560000002</c:v>
                </c:pt>
                <c:pt idx="850">
                  <c:v>78160.534360000005</c:v>
                </c:pt>
                <c:pt idx="851">
                  <c:v>78167.026150000005</c:v>
                </c:pt>
                <c:pt idx="852">
                  <c:v>78173.517949999994</c:v>
                </c:pt>
                <c:pt idx="853">
                  <c:v>78180.009739999994</c:v>
                </c:pt>
                <c:pt idx="854">
                  <c:v>78186.501539999997</c:v>
                </c:pt>
                <c:pt idx="855">
                  <c:v>78192.993329999998</c:v>
                </c:pt>
                <c:pt idx="856">
                  <c:v>78199.485130000001</c:v>
                </c:pt>
                <c:pt idx="857">
                  <c:v>78205.976920000001</c:v>
                </c:pt>
                <c:pt idx="858">
                  <c:v>78212.468720000004</c:v>
                </c:pt>
                <c:pt idx="859">
                  <c:v>78218.960510000004</c:v>
                </c:pt>
                <c:pt idx="860">
                  <c:v>78225.452309999993</c:v>
                </c:pt>
                <c:pt idx="861">
                  <c:v>78231.944099999993</c:v>
                </c:pt>
                <c:pt idx="862">
                  <c:v>78238.435899999997</c:v>
                </c:pt>
                <c:pt idx="863">
                  <c:v>78244.927689999997</c:v>
                </c:pt>
                <c:pt idx="864">
                  <c:v>78251.41949</c:v>
                </c:pt>
                <c:pt idx="865">
                  <c:v>78257.91128</c:v>
                </c:pt>
                <c:pt idx="866">
                  <c:v>78264.403080000004</c:v>
                </c:pt>
                <c:pt idx="867">
                  <c:v>78270.894870000004</c:v>
                </c:pt>
                <c:pt idx="868">
                  <c:v>78277.386670000007</c:v>
                </c:pt>
                <c:pt idx="869">
                  <c:v>78283.878460000007</c:v>
                </c:pt>
                <c:pt idx="870">
                  <c:v>78290.370259999996</c:v>
                </c:pt>
                <c:pt idx="871">
                  <c:v>78296.862049999996</c:v>
                </c:pt>
                <c:pt idx="872">
                  <c:v>78303.35385</c:v>
                </c:pt>
                <c:pt idx="873">
                  <c:v>78309.84564</c:v>
                </c:pt>
                <c:pt idx="874">
                  <c:v>78316.337440000003</c:v>
                </c:pt>
                <c:pt idx="875">
                  <c:v>78322.829230000003</c:v>
                </c:pt>
                <c:pt idx="876">
                  <c:v>78329.321030000006</c:v>
                </c:pt>
                <c:pt idx="877">
                  <c:v>78335.812820000006</c:v>
                </c:pt>
                <c:pt idx="878">
                  <c:v>78342.304619999995</c:v>
                </c:pt>
                <c:pt idx="879">
                  <c:v>78348.796409999995</c:v>
                </c:pt>
                <c:pt idx="880">
                  <c:v>78355.288209999999</c:v>
                </c:pt>
                <c:pt idx="881">
                  <c:v>78361.78</c:v>
                </c:pt>
                <c:pt idx="882">
                  <c:v>78368.271789999999</c:v>
                </c:pt>
                <c:pt idx="883">
                  <c:v>78374.763590000002</c:v>
                </c:pt>
                <c:pt idx="884">
                  <c:v>78381.255380000002</c:v>
                </c:pt>
                <c:pt idx="885">
                  <c:v>78387.747180000006</c:v>
                </c:pt>
                <c:pt idx="886">
                  <c:v>78394.238970000006</c:v>
                </c:pt>
                <c:pt idx="887">
                  <c:v>78400.730769999995</c:v>
                </c:pt>
                <c:pt idx="888">
                  <c:v>78407.222559999995</c:v>
                </c:pt>
                <c:pt idx="889">
                  <c:v>78413.714359999998</c:v>
                </c:pt>
                <c:pt idx="890">
                  <c:v>78420.206149999998</c:v>
                </c:pt>
                <c:pt idx="891">
                  <c:v>78426.697950000002</c:v>
                </c:pt>
                <c:pt idx="892">
                  <c:v>78433.189740000002</c:v>
                </c:pt>
                <c:pt idx="893">
                  <c:v>78439.681540000005</c:v>
                </c:pt>
                <c:pt idx="894">
                  <c:v>78446.173330000005</c:v>
                </c:pt>
                <c:pt idx="895">
                  <c:v>78452.665129999994</c:v>
                </c:pt>
                <c:pt idx="896">
                  <c:v>78459.156919999994</c:v>
                </c:pt>
                <c:pt idx="897">
                  <c:v>78465.648719999997</c:v>
                </c:pt>
                <c:pt idx="898">
                  <c:v>78472.140509999997</c:v>
                </c:pt>
                <c:pt idx="899">
                  <c:v>78478.632310000001</c:v>
                </c:pt>
                <c:pt idx="900">
                  <c:v>78485.124100000001</c:v>
                </c:pt>
                <c:pt idx="901">
                  <c:v>78491.615900000004</c:v>
                </c:pt>
                <c:pt idx="902">
                  <c:v>78498.107690000004</c:v>
                </c:pt>
                <c:pt idx="903">
                  <c:v>78504.599489999993</c:v>
                </c:pt>
                <c:pt idx="904">
                  <c:v>78511.091279999993</c:v>
                </c:pt>
                <c:pt idx="905">
                  <c:v>78517.583079999997</c:v>
                </c:pt>
                <c:pt idx="906">
                  <c:v>78524.074869999997</c:v>
                </c:pt>
                <c:pt idx="907">
                  <c:v>78530.56667</c:v>
                </c:pt>
                <c:pt idx="908">
                  <c:v>78537.05846</c:v>
                </c:pt>
                <c:pt idx="909">
                  <c:v>78543.550260000004</c:v>
                </c:pt>
                <c:pt idx="910">
                  <c:v>78550.042050000004</c:v>
                </c:pt>
                <c:pt idx="911">
                  <c:v>78556.533850000007</c:v>
                </c:pt>
                <c:pt idx="912">
                  <c:v>78563.025640000007</c:v>
                </c:pt>
                <c:pt idx="913">
                  <c:v>78569.517439999996</c:v>
                </c:pt>
                <c:pt idx="914">
                  <c:v>78576.009229999996</c:v>
                </c:pt>
                <c:pt idx="915">
                  <c:v>78582.501029999999</c:v>
                </c:pt>
                <c:pt idx="916">
                  <c:v>78588.992819999999</c:v>
                </c:pt>
                <c:pt idx="917">
                  <c:v>78595.484620000003</c:v>
                </c:pt>
                <c:pt idx="918">
                  <c:v>78601.976410000003</c:v>
                </c:pt>
                <c:pt idx="919">
                  <c:v>78608.468210000006</c:v>
                </c:pt>
                <c:pt idx="920">
                  <c:v>78614.960000000006</c:v>
                </c:pt>
                <c:pt idx="921">
                  <c:v>78621.451790000006</c:v>
                </c:pt>
                <c:pt idx="922">
                  <c:v>78627.943589999995</c:v>
                </c:pt>
                <c:pt idx="923">
                  <c:v>78634.435379999995</c:v>
                </c:pt>
                <c:pt idx="924">
                  <c:v>78640.927179999999</c:v>
                </c:pt>
                <c:pt idx="925">
                  <c:v>78647.418969999999</c:v>
                </c:pt>
                <c:pt idx="926">
                  <c:v>78653.910770000002</c:v>
                </c:pt>
                <c:pt idx="927">
                  <c:v>78660.402560000002</c:v>
                </c:pt>
                <c:pt idx="928">
                  <c:v>78666.894360000006</c:v>
                </c:pt>
                <c:pt idx="929">
                  <c:v>78673.386150000006</c:v>
                </c:pt>
                <c:pt idx="930">
                  <c:v>78679.877949999995</c:v>
                </c:pt>
                <c:pt idx="931">
                  <c:v>78686.369739999995</c:v>
                </c:pt>
                <c:pt idx="932">
                  <c:v>78692.861539999998</c:v>
                </c:pt>
                <c:pt idx="933">
                  <c:v>78699.353329999998</c:v>
                </c:pt>
                <c:pt idx="934">
                  <c:v>78705.845130000002</c:v>
                </c:pt>
                <c:pt idx="935">
                  <c:v>78712.336920000002</c:v>
                </c:pt>
                <c:pt idx="936">
                  <c:v>78718.828720000005</c:v>
                </c:pt>
                <c:pt idx="937">
                  <c:v>78725.320510000005</c:v>
                </c:pt>
                <c:pt idx="938">
                  <c:v>78731.812309999994</c:v>
                </c:pt>
                <c:pt idx="939">
                  <c:v>78738.304099999994</c:v>
                </c:pt>
                <c:pt idx="940">
                  <c:v>78744.795899999997</c:v>
                </c:pt>
                <c:pt idx="941">
                  <c:v>78751.287689999997</c:v>
                </c:pt>
                <c:pt idx="942">
                  <c:v>78757.779490000001</c:v>
                </c:pt>
                <c:pt idx="943">
                  <c:v>78764.271280000001</c:v>
                </c:pt>
                <c:pt idx="944">
                  <c:v>78770.763080000004</c:v>
                </c:pt>
                <c:pt idx="945">
                  <c:v>78777.254870000004</c:v>
                </c:pt>
                <c:pt idx="946">
                  <c:v>78783.746669999993</c:v>
                </c:pt>
                <c:pt idx="947">
                  <c:v>78790.238459999993</c:v>
                </c:pt>
                <c:pt idx="948">
                  <c:v>78796.730259999997</c:v>
                </c:pt>
                <c:pt idx="949">
                  <c:v>78803.222049999997</c:v>
                </c:pt>
                <c:pt idx="950">
                  <c:v>78809.71385</c:v>
                </c:pt>
                <c:pt idx="951">
                  <c:v>78816.20564</c:v>
                </c:pt>
                <c:pt idx="952">
                  <c:v>78822.697440000004</c:v>
                </c:pt>
                <c:pt idx="953">
                  <c:v>78829.189230000004</c:v>
                </c:pt>
                <c:pt idx="954">
                  <c:v>78835.681030000007</c:v>
                </c:pt>
                <c:pt idx="955">
                  <c:v>78842.172820000007</c:v>
                </c:pt>
                <c:pt idx="956">
                  <c:v>78848.664619999996</c:v>
                </c:pt>
                <c:pt idx="957">
                  <c:v>78855.156409999996</c:v>
                </c:pt>
                <c:pt idx="958">
                  <c:v>78861.648209999999</c:v>
                </c:pt>
                <c:pt idx="959">
                  <c:v>78868.14</c:v>
                </c:pt>
                <c:pt idx="960">
                  <c:v>78874.631789999999</c:v>
                </c:pt>
                <c:pt idx="961">
                  <c:v>78881.123590000003</c:v>
                </c:pt>
                <c:pt idx="962">
                  <c:v>78887.615380000003</c:v>
                </c:pt>
                <c:pt idx="963">
                  <c:v>78894.107180000006</c:v>
                </c:pt>
                <c:pt idx="964">
                  <c:v>78900.598970000006</c:v>
                </c:pt>
                <c:pt idx="965">
                  <c:v>78907.090769999995</c:v>
                </c:pt>
                <c:pt idx="966">
                  <c:v>78913.582559999995</c:v>
                </c:pt>
                <c:pt idx="967">
                  <c:v>78920.074359999999</c:v>
                </c:pt>
                <c:pt idx="968">
                  <c:v>78926.566149999999</c:v>
                </c:pt>
                <c:pt idx="969">
                  <c:v>78933.057950000002</c:v>
                </c:pt>
                <c:pt idx="970">
                  <c:v>78939.549740000002</c:v>
                </c:pt>
                <c:pt idx="971">
                  <c:v>78946.041540000006</c:v>
                </c:pt>
                <c:pt idx="972">
                  <c:v>78952.533330000006</c:v>
                </c:pt>
                <c:pt idx="973">
                  <c:v>78959.025129999995</c:v>
                </c:pt>
                <c:pt idx="974">
                  <c:v>78965.516919999995</c:v>
                </c:pt>
                <c:pt idx="975">
                  <c:v>78972.008719999998</c:v>
                </c:pt>
                <c:pt idx="976">
                  <c:v>78978.500509999998</c:v>
                </c:pt>
                <c:pt idx="977">
                  <c:v>78984.992310000001</c:v>
                </c:pt>
                <c:pt idx="978">
                  <c:v>78991.484100000001</c:v>
                </c:pt>
                <c:pt idx="979">
                  <c:v>78997.975900000005</c:v>
                </c:pt>
                <c:pt idx="980">
                  <c:v>79004.467690000005</c:v>
                </c:pt>
                <c:pt idx="981">
                  <c:v>79010.959489999994</c:v>
                </c:pt>
                <c:pt idx="982">
                  <c:v>79017.451279999994</c:v>
                </c:pt>
                <c:pt idx="983">
                  <c:v>79023.943079999997</c:v>
                </c:pt>
                <c:pt idx="984">
                  <c:v>79030.434869999997</c:v>
                </c:pt>
                <c:pt idx="985">
                  <c:v>79036.926670000001</c:v>
                </c:pt>
                <c:pt idx="986">
                  <c:v>79043.418460000001</c:v>
                </c:pt>
                <c:pt idx="987">
                  <c:v>79049.910260000004</c:v>
                </c:pt>
                <c:pt idx="988">
                  <c:v>79056.402050000004</c:v>
                </c:pt>
                <c:pt idx="989">
                  <c:v>79062.893849999993</c:v>
                </c:pt>
                <c:pt idx="990">
                  <c:v>79069.385639999993</c:v>
                </c:pt>
                <c:pt idx="991">
                  <c:v>79075.877439999997</c:v>
                </c:pt>
                <c:pt idx="992">
                  <c:v>79082.369229999997</c:v>
                </c:pt>
                <c:pt idx="993">
                  <c:v>79088.86103</c:v>
                </c:pt>
                <c:pt idx="994">
                  <c:v>79095.35282</c:v>
                </c:pt>
                <c:pt idx="995">
                  <c:v>79101.844620000003</c:v>
                </c:pt>
                <c:pt idx="996">
                  <c:v>79108.336410000004</c:v>
                </c:pt>
                <c:pt idx="997">
                  <c:v>79114.828210000007</c:v>
                </c:pt>
                <c:pt idx="998">
                  <c:v>79121.320000000007</c:v>
                </c:pt>
                <c:pt idx="999">
                  <c:v>79127.811790000007</c:v>
                </c:pt>
                <c:pt idx="1000">
                  <c:v>79134.303589999996</c:v>
                </c:pt>
                <c:pt idx="1001">
                  <c:v>79140.795379999996</c:v>
                </c:pt>
                <c:pt idx="1002">
                  <c:v>79147.287179999999</c:v>
                </c:pt>
                <c:pt idx="1003">
                  <c:v>79153.778969999999</c:v>
                </c:pt>
                <c:pt idx="1004">
                  <c:v>79160.270770000003</c:v>
                </c:pt>
                <c:pt idx="1005">
                  <c:v>79166.762560000003</c:v>
                </c:pt>
                <c:pt idx="1006">
                  <c:v>79173.254360000006</c:v>
                </c:pt>
                <c:pt idx="1007">
                  <c:v>79179.746150000006</c:v>
                </c:pt>
                <c:pt idx="1008">
                  <c:v>79186.237949999995</c:v>
                </c:pt>
                <c:pt idx="1009">
                  <c:v>79192.729739999995</c:v>
                </c:pt>
                <c:pt idx="1010">
                  <c:v>79199.221539999999</c:v>
                </c:pt>
                <c:pt idx="1011">
                  <c:v>79205.713329999999</c:v>
                </c:pt>
                <c:pt idx="1012">
                  <c:v>79212.205130000002</c:v>
                </c:pt>
                <c:pt idx="1013">
                  <c:v>79218.696920000002</c:v>
                </c:pt>
                <c:pt idx="1014">
                  <c:v>79225.188720000006</c:v>
                </c:pt>
                <c:pt idx="1015">
                  <c:v>79231.680510000006</c:v>
                </c:pt>
                <c:pt idx="1016">
                  <c:v>79238.172309999994</c:v>
                </c:pt>
                <c:pt idx="1017">
                  <c:v>79244.664099999995</c:v>
                </c:pt>
                <c:pt idx="1018">
                  <c:v>79251.155899999998</c:v>
                </c:pt>
                <c:pt idx="1019">
                  <c:v>79257.647689999998</c:v>
                </c:pt>
                <c:pt idx="1020">
                  <c:v>79264.139490000001</c:v>
                </c:pt>
                <c:pt idx="1021">
                  <c:v>79270.631280000001</c:v>
                </c:pt>
                <c:pt idx="1022">
                  <c:v>79277.123080000005</c:v>
                </c:pt>
                <c:pt idx="1023">
                  <c:v>79283.614870000005</c:v>
                </c:pt>
                <c:pt idx="1024">
                  <c:v>79290.106669999994</c:v>
                </c:pt>
                <c:pt idx="1025">
                  <c:v>79296.598459999994</c:v>
                </c:pt>
                <c:pt idx="1026">
                  <c:v>79303.090259999997</c:v>
                </c:pt>
                <c:pt idx="1027">
                  <c:v>79309.582049999997</c:v>
                </c:pt>
                <c:pt idx="1028">
                  <c:v>79316.073850000001</c:v>
                </c:pt>
                <c:pt idx="1029">
                  <c:v>79322.565640000001</c:v>
                </c:pt>
                <c:pt idx="1030">
                  <c:v>79329.057440000004</c:v>
                </c:pt>
                <c:pt idx="1031">
                  <c:v>79335.549230000004</c:v>
                </c:pt>
                <c:pt idx="1032">
                  <c:v>79342.041029999993</c:v>
                </c:pt>
                <c:pt idx="1033">
                  <c:v>79348.532819999993</c:v>
                </c:pt>
                <c:pt idx="1034">
                  <c:v>79355.024619999997</c:v>
                </c:pt>
                <c:pt idx="1035">
                  <c:v>79361.516409999997</c:v>
                </c:pt>
                <c:pt idx="1036">
                  <c:v>79368.00821</c:v>
                </c:pt>
                <c:pt idx="1037">
                  <c:v>79374.5</c:v>
                </c:pt>
                <c:pt idx="1038">
                  <c:v>79373.248479999995</c:v>
                </c:pt>
                <c:pt idx="1039">
                  <c:v>79371.996969999993</c:v>
                </c:pt>
                <c:pt idx="1040">
                  <c:v>79370.745450000002</c:v>
                </c:pt>
                <c:pt idx="1041">
                  <c:v>79369.493929999997</c:v>
                </c:pt>
                <c:pt idx="1042">
                  <c:v>79368.242419999995</c:v>
                </c:pt>
                <c:pt idx="1043">
                  <c:v>79366.990900000004</c:v>
                </c:pt>
                <c:pt idx="1044">
                  <c:v>79365.739390000002</c:v>
                </c:pt>
                <c:pt idx="1045">
                  <c:v>79364.487869999997</c:v>
                </c:pt>
                <c:pt idx="1046">
                  <c:v>79363.236350000006</c:v>
                </c:pt>
                <c:pt idx="1047">
                  <c:v>79361.984840000005</c:v>
                </c:pt>
                <c:pt idx="1048">
                  <c:v>79360.733319999999</c:v>
                </c:pt>
                <c:pt idx="1049">
                  <c:v>79359.481799999994</c:v>
                </c:pt>
                <c:pt idx="1050">
                  <c:v>79358.230290000007</c:v>
                </c:pt>
                <c:pt idx="1051">
                  <c:v>79356.978770000002</c:v>
                </c:pt>
                <c:pt idx="1052">
                  <c:v>79355.727249999996</c:v>
                </c:pt>
                <c:pt idx="1053">
                  <c:v>79354.475739999994</c:v>
                </c:pt>
                <c:pt idx="1054">
                  <c:v>79353.224220000004</c:v>
                </c:pt>
                <c:pt idx="1055">
                  <c:v>79351.972699999998</c:v>
                </c:pt>
                <c:pt idx="1056">
                  <c:v>79350.721189999997</c:v>
                </c:pt>
                <c:pt idx="1057">
                  <c:v>79349.469670000006</c:v>
                </c:pt>
                <c:pt idx="1058">
                  <c:v>79348.218160000004</c:v>
                </c:pt>
                <c:pt idx="1059">
                  <c:v>79346.966639999999</c:v>
                </c:pt>
                <c:pt idx="1060">
                  <c:v>79345.715119999993</c:v>
                </c:pt>
                <c:pt idx="1061">
                  <c:v>79344.463610000006</c:v>
                </c:pt>
                <c:pt idx="1062">
                  <c:v>79343.212090000001</c:v>
                </c:pt>
                <c:pt idx="1063">
                  <c:v>79341.960569999996</c:v>
                </c:pt>
                <c:pt idx="1064">
                  <c:v>79340.709059999994</c:v>
                </c:pt>
                <c:pt idx="1065">
                  <c:v>79339.457540000003</c:v>
                </c:pt>
                <c:pt idx="1066">
                  <c:v>79338.206019999998</c:v>
                </c:pt>
                <c:pt idx="1067">
                  <c:v>79336.954509999996</c:v>
                </c:pt>
                <c:pt idx="1068">
                  <c:v>79335.702990000005</c:v>
                </c:pt>
                <c:pt idx="1069">
                  <c:v>79334.451480000003</c:v>
                </c:pt>
                <c:pt idx="1070">
                  <c:v>79333.199959999998</c:v>
                </c:pt>
                <c:pt idx="1071">
                  <c:v>79331.948439999993</c:v>
                </c:pt>
                <c:pt idx="1072">
                  <c:v>79330.696930000006</c:v>
                </c:pt>
                <c:pt idx="1073">
                  <c:v>79329.44541</c:v>
                </c:pt>
                <c:pt idx="1074">
                  <c:v>79328.193889999995</c:v>
                </c:pt>
                <c:pt idx="1075">
                  <c:v>79326.942379999993</c:v>
                </c:pt>
                <c:pt idx="1076">
                  <c:v>79325.690860000002</c:v>
                </c:pt>
                <c:pt idx="1077">
                  <c:v>79324.439339999997</c:v>
                </c:pt>
                <c:pt idx="1078">
                  <c:v>79323.187829999995</c:v>
                </c:pt>
                <c:pt idx="1079">
                  <c:v>79321.936310000005</c:v>
                </c:pt>
                <c:pt idx="1080">
                  <c:v>79320.684800000003</c:v>
                </c:pt>
                <c:pt idx="1081">
                  <c:v>79319.433279999997</c:v>
                </c:pt>
                <c:pt idx="1082">
                  <c:v>79318.181760000007</c:v>
                </c:pt>
                <c:pt idx="1083">
                  <c:v>79316.930250000005</c:v>
                </c:pt>
                <c:pt idx="1084">
                  <c:v>79315.67873</c:v>
                </c:pt>
                <c:pt idx="1085">
                  <c:v>79314.427209999994</c:v>
                </c:pt>
                <c:pt idx="1086">
                  <c:v>79313.175700000007</c:v>
                </c:pt>
                <c:pt idx="1087">
                  <c:v>79311.924180000002</c:v>
                </c:pt>
                <c:pt idx="1088">
                  <c:v>79310.672659999997</c:v>
                </c:pt>
                <c:pt idx="1089">
                  <c:v>79309.421149999995</c:v>
                </c:pt>
                <c:pt idx="1090">
                  <c:v>79308.169630000004</c:v>
                </c:pt>
                <c:pt idx="1091">
                  <c:v>79306.918109999999</c:v>
                </c:pt>
                <c:pt idx="1092">
                  <c:v>79305.666599999997</c:v>
                </c:pt>
                <c:pt idx="1093">
                  <c:v>79304.415080000006</c:v>
                </c:pt>
                <c:pt idx="1094">
                  <c:v>79303.163570000004</c:v>
                </c:pt>
                <c:pt idx="1095">
                  <c:v>79301.912049999999</c:v>
                </c:pt>
                <c:pt idx="1096">
                  <c:v>79300.660529999994</c:v>
                </c:pt>
                <c:pt idx="1097">
                  <c:v>79299.409020000006</c:v>
                </c:pt>
                <c:pt idx="1098">
                  <c:v>79298.157500000001</c:v>
                </c:pt>
                <c:pt idx="1099">
                  <c:v>79296.905979999996</c:v>
                </c:pt>
                <c:pt idx="1100">
                  <c:v>79295.654469999994</c:v>
                </c:pt>
                <c:pt idx="1101">
                  <c:v>79294.402950000003</c:v>
                </c:pt>
                <c:pt idx="1102">
                  <c:v>79293.151429999998</c:v>
                </c:pt>
                <c:pt idx="1103">
                  <c:v>79291.899919999996</c:v>
                </c:pt>
                <c:pt idx="1104">
                  <c:v>79290.648400000005</c:v>
                </c:pt>
                <c:pt idx="1105">
                  <c:v>79289.396890000004</c:v>
                </c:pt>
                <c:pt idx="1106">
                  <c:v>79288.145369999998</c:v>
                </c:pt>
                <c:pt idx="1107">
                  <c:v>79286.893849999993</c:v>
                </c:pt>
                <c:pt idx="1108">
                  <c:v>79285.642340000006</c:v>
                </c:pt>
                <c:pt idx="1109">
                  <c:v>79284.390820000001</c:v>
                </c:pt>
                <c:pt idx="1110">
                  <c:v>79283.139299999995</c:v>
                </c:pt>
                <c:pt idx="1111">
                  <c:v>79281.887789999993</c:v>
                </c:pt>
                <c:pt idx="1112">
                  <c:v>79280.636270000003</c:v>
                </c:pt>
                <c:pt idx="1113">
                  <c:v>79279.384749999997</c:v>
                </c:pt>
                <c:pt idx="1114">
                  <c:v>79278.133239999996</c:v>
                </c:pt>
                <c:pt idx="1115">
                  <c:v>79276.881720000005</c:v>
                </c:pt>
                <c:pt idx="1116">
                  <c:v>79275.6302</c:v>
                </c:pt>
                <c:pt idx="1117">
                  <c:v>79274.378689999998</c:v>
                </c:pt>
                <c:pt idx="1118">
                  <c:v>79273.127170000007</c:v>
                </c:pt>
                <c:pt idx="1119">
                  <c:v>79271.875660000005</c:v>
                </c:pt>
                <c:pt idx="1120">
                  <c:v>79270.62414</c:v>
                </c:pt>
                <c:pt idx="1121">
                  <c:v>79269.372619999995</c:v>
                </c:pt>
                <c:pt idx="1122">
                  <c:v>79268.121109999993</c:v>
                </c:pt>
                <c:pt idx="1123">
                  <c:v>79266.869590000002</c:v>
                </c:pt>
                <c:pt idx="1124">
                  <c:v>79265.618069999997</c:v>
                </c:pt>
                <c:pt idx="1125">
                  <c:v>79264.366559999995</c:v>
                </c:pt>
                <c:pt idx="1126">
                  <c:v>79263.115040000004</c:v>
                </c:pt>
                <c:pt idx="1127">
                  <c:v>79261.863519999999</c:v>
                </c:pt>
                <c:pt idx="1128">
                  <c:v>79260.612009999997</c:v>
                </c:pt>
                <c:pt idx="1129">
                  <c:v>79259.360490000006</c:v>
                </c:pt>
                <c:pt idx="1130">
                  <c:v>79258.108980000005</c:v>
                </c:pt>
                <c:pt idx="1131">
                  <c:v>79256.857459999999</c:v>
                </c:pt>
                <c:pt idx="1132">
                  <c:v>79255.605939999994</c:v>
                </c:pt>
                <c:pt idx="1133">
                  <c:v>79254.354430000007</c:v>
                </c:pt>
                <c:pt idx="1134">
                  <c:v>79253.102910000001</c:v>
                </c:pt>
                <c:pt idx="1135">
                  <c:v>79251.851389999996</c:v>
                </c:pt>
                <c:pt idx="1136">
                  <c:v>79250.599879999994</c:v>
                </c:pt>
                <c:pt idx="1137">
                  <c:v>79249.348360000004</c:v>
                </c:pt>
                <c:pt idx="1138">
                  <c:v>79248.096839999998</c:v>
                </c:pt>
                <c:pt idx="1139">
                  <c:v>79246.845329999996</c:v>
                </c:pt>
                <c:pt idx="1140">
                  <c:v>79245.593810000006</c:v>
                </c:pt>
                <c:pt idx="1141">
                  <c:v>79244.342300000004</c:v>
                </c:pt>
                <c:pt idx="1142">
                  <c:v>79243.090779999999</c:v>
                </c:pt>
                <c:pt idx="1143">
                  <c:v>79241.839259999993</c:v>
                </c:pt>
                <c:pt idx="1144">
                  <c:v>79240.587750000006</c:v>
                </c:pt>
                <c:pt idx="1145">
                  <c:v>79239.336230000001</c:v>
                </c:pt>
                <c:pt idx="1146">
                  <c:v>79238.084709999996</c:v>
                </c:pt>
                <c:pt idx="1147">
                  <c:v>79236.833199999994</c:v>
                </c:pt>
                <c:pt idx="1148">
                  <c:v>79235.581680000003</c:v>
                </c:pt>
                <c:pt idx="1149">
                  <c:v>79234.330159999998</c:v>
                </c:pt>
                <c:pt idx="1150">
                  <c:v>79233.078649999996</c:v>
                </c:pt>
                <c:pt idx="1151">
                  <c:v>79231.827130000005</c:v>
                </c:pt>
                <c:pt idx="1152">
                  <c:v>79230.57561</c:v>
                </c:pt>
                <c:pt idx="1153">
                  <c:v>79229.324099999998</c:v>
                </c:pt>
                <c:pt idx="1154">
                  <c:v>79228.072579999993</c:v>
                </c:pt>
                <c:pt idx="1155">
                  <c:v>79226.821070000005</c:v>
                </c:pt>
                <c:pt idx="1156">
                  <c:v>79225.56955</c:v>
                </c:pt>
                <c:pt idx="1157">
                  <c:v>79224.318029999995</c:v>
                </c:pt>
                <c:pt idx="1158">
                  <c:v>79223.066519999993</c:v>
                </c:pt>
                <c:pt idx="1159">
                  <c:v>79221.815000000002</c:v>
                </c:pt>
                <c:pt idx="1160">
                  <c:v>79220.563479999997</c:v>
                </c:pt>
                <c:pt idx="1161">
                  <c:v>79219.311969999995</c:v>
                </c:pt>
                <c:pt idx="1162">
                  <c:v>79218.060450000004</c:v>
                </c:pt>
                <c:pt idx="1163">
                  <c:v>79216.808929999999</c:v>
                </c:pt>
                <c:pt idx="1164">
                  <c:v>79215.557419999997</c:v>
                </c:pt>
                <c:pt idx="1165">
                  <c:v>79214.305900000007</c:v>
                </c:pt>
                <c:pt idx="1166">
                  <c:v>79213.054390000005</c:v>
                </c:pt>
                <c:pt idx="1167">
                  <c:v>79211.80287</c:v>
                </c:pt>
                <c:pt idx="1168">
                  <c:v>79210.551349999994</c:v>
                </c:pt>
                <c:pt idx="1169">
                  <c:v>79209.299840000007</c:v>
                </c:pt>
                <c:pt idx="1170">
                  <c:v>79208.048320000002</c:v>
                </c:pt>
                <c:pt idx="1171">
                  <c:v>79206.796799999996</c:v>
                </c:pt>
                <c:pt idx="1172">
                  <c:v>79205.545289999995</c:v>
                </c:pt>
                <c:pt idx="1173">
                  <c:v>79204.293770000004</c:v>
                </c:pt>
                <c:pt idx="1174">
                  <c:v>79203.042249999999</c:v>
                </c:pt>
                <c:pt idx="1175">
                  <c:v>79201.790739999997</c:v>
                </c:pt>
                <c:pt idx="1176">
                  <c:v>79200.539220000006</c:v>
                </c:pt>
                <c:pt idx="1177">
                  <c:v>79199.287700000001</c:v>
                </c:pt>
                <c:pt idx="1178">
                  <c:v>79198.036189999999</c:v>
                </c:pt>
                <c:pt idx="1179">
                  <c:v>79196.784669999994</c:v>
                </c:pt>
                <c:pt idx="1180">
                  <c:v>79195.533160000006</c:v>
                </c:pt>
                <c:pt idx="1181">
                  <c:v>79194.281640000001</c:v>
                </c:pt>
                <c:pt idx="1182">
                  <c:v>79193.030119999996</c:v>
                </c:pt>
                <c:pt idx="1183">
                  <c:v>79191.778609999994</c:v>
                </c:pt>
                <c:pt idx="1184">
                  <c:v>79190.527090000003</c:v>
                </c:pt>
                <c:pt idx="1185">
                  <c:v>79189.275569999998</c:v>
                </c:pt>
                <c:pt idx="1186">
                  <c:v>79188.024059999996</c:v>
                </c:pt>
                <c:pt idx="1187">
                  <c:v>79186.772540000005</c:v>
                </c:pt>
                <c:pt idx="1188">
                  <c:v>79185.52102</c:v>
                </c:pt>
                <c:pt idx="1189">
                  <c:v>79184.269509999998</c:v>
                </c:pt>
                <c:pt idx="1190">
                  <c:v>79183.017989999993</c:v>
                </c:pt>
                <c:pt idx="1191">
                  <c:v>79181.766480000006</c:v>
                </c:pt>
                <c:pt idx="1192">
                  <c:v>79180.51496</c:v>
                </c:pt>
                <c:pt idx="1193">
                  <c:v>79179.263439999995</c:v>
                </c:pt>
                <c:pt idx="1194">
                  <c:v>79178.011929999993</c:v>
                </c:pt>
                <c:pt idx="1195">
                  <c:v>79176.760410000003</c:v>
                </c:pt>
                <c:pt idx="1196">
                  <c:v>79175.508889999997</c:v>
                </c:pt>
                <c:pt idx="1197">
                  <c:v>79174.257379999995</c:v>
                </c:pt>
                <c:pt idx="1198">
                  <c:v>79173.005860000005</c:v>
                </c:pt>
                <c:pt idx="1199">
                  <c:v>79171.75434</c:v>
                </c:pt>
                <c:pt idx="1200">
                  <c:v>79170.502829999998</c:v>
                </c:pt>
                <c:pt idx="1201">
                  <c:v>79169.251310000007</c:v>
                </c:pt>
                <c:pt idx="1202">
                  <c:v>79167.999800000005</c:v>
                </c:pt>
                <c:pt idx="1203">
                  <c:v>79166.74828</c:v>
                </c:pt>
                <c:pt idx="1204">
                  <c:v>79165.496759999995</c:v>
                </c:pt>
                <c:pt idx="1205">
                  <c:v>79164.245250000007</c:v>
                </c:pt>
                <c:pt idx="1206">
                  <c:v>79162.993730000002</c:v>
                </c:pt>
                <c:pt idx="1207">
                  <c:v>79161.742209999997</c:v>
                </c:pt>
                <c:pt idx="1208">
                  <c:v>79160.490699999995</c:v>
                </c:pt>
                <c:pt idx="1209">
                  <c:v>79159.239180000004</c:v>
                </c:pt>
                <c:pt idx="1210">
                  <c:v>79157.987659999999</c:v>
                </c:pt>
                <c:pt idx="1211">
                  <c:v>79156.736149999997</c:v>
                </c:pt>
                <c:pt idx="1212">
                  <c:v>79155.484630000006</c:v>
                </c:pt>
                <c:pt idx="1213">
                  <c:v>79154.233110000001</c:v>
                </c:pt>
                <c:pt idx="1214">
                  <c:v>79152.981599999999</c:v>
                </c:pt>
                <c:pt idx="1215">
                  <c:v>79151.730079999994</c:v>
                </c:pt>
                <c:pt idx="1216">
                  <c:v>79150.478570000007</c:v>
                </c:pt>
                <c:pt idx="1217">
                  <c:v>79149.227050000001</c:v>
                </c:pt>
                <c:pt idx="1218">
                  <c:v>79147.975529999996</c:v>
                </c:pt>
                <c:pt idx="1219">
                  <c:v>79146.724019999994</c:v>
                </c:pt>
                <c:pt idx="1220">
                  <c:v>79145.472500000003</c:v>
                </c:pt>
                <c:pt idx="1221">
                  <c:v>79144.220979999998</c:v>
                </c:pt>
                <c:pt idx="1222">
                  <c:v>79142.969469999996</c:v>
                </c:pt>
                <c:pt idx="1223">
                  <c:v>79141.717950000006</c:v>
                </c:pt>
                <c:pt idx="1224">
                  <c:v>79140.46643</c:v>
                </c:pt>
                <c:pt idx="1225">
                  <c:v>79139.214919999999</c:v>
                </c:pt>
                <c:pt idx="1226">
                  <c:v>79137.963399999993</c:v>
                </c:pt>
                <c:pt idx="1227">
                  <c:v>79136.711890000006</c:v>
                </c:pt>
                <c:pt idx="1228">
                  <c:v>79135.460370000001</c:v>
                </c:pt>
                <c:pt idx="1229">
                  <c:v>79134.208849999995</c:v>
                </c:pt>
                <c:pt idx="1230">
                  <c:v>79132.957339999994</c:v>
                </c:pt>
                <c:pt idx="1231">
                  <c:v>79131.705820000003</c:v>
                </c:pt>
                <c:pt idx="1232">
                  <c:v>79130.454299999998</c:v>
                </c:pt>
                <c:pt idx="1233">
                  <c:v>79129.202789999996</c:v>
                </c:pt>
                <c:pt idx="1234">
                  <c:v>79127.951270000005</c:v>
                </c:pt>
                <c:pt idx="1235">
                  <c:v>79126.69975</c:v>
                </c:pt>
                <c:pt idx="1236">
                  <c:v>79125.448239999998</c:v>
                </c:pt>
                <c:pt idx="1237">
                  <c:v>79124.196720000007</c:v>
                </c:pt>
                <c:pt idx="1238">
                  <c:v>79122.945200000002</c:v>
                </c:pt>
                <c:pt idx="1239">
                  <c:v>79121.69369</c:v>
                </c:pt>
                <c:pt idx="1240">
                  <c:v>79120.442169999995</c:v>
                </c:pt>
                <c:pt idx="1241">
                  <c:v>79119.190659999993</c:v>
                </c:pt>
                <c:pt idx="1242">
                  <c:v>79117.939140000002</c:v>
                </c:pt>
                <c:pt idx="1243">
                  <c:v>79116.687619999997</c:v>
                </c:pt>
                <c:pt idx="1244">
                  <c:v>79115.436109999995</c:v>
                </c:pt>
                <c:pt idx="1245">
                  <c:v>79114.184590000004</c:v>
                </c:pt>
                <c:pt idx="1246">
                  <c:v>79112.933069999999</c:v>
                </c:pt>
                <c:pt idx="1247">
                  <c:v>79111.681559999997</c:v>
                </c:pt>
                <c:pt idx="1248">
                  <c:v>79110.430040000007</c:v>
                </c:pt>
                <c:pt idx="1249">
                  <c:v>79109.178520000001</c:v>
                </c:pt>
                <c:pt idx="1250">
                  <c:v>79107.927009999999</c:v>
                </c:pt>
                <c:pt idx="1251">
                  <c:v>79106.675489999994</c:v>
                </c:pt>
                <c:pt idx="1252">
                  <c:v>79105.423980000007</c:v>
                </c:pt>
                <c:pt idx="1253">
                  <c:v>79104.172460000002</c:v>
                </c:pt>
                <c:pt idx="1254">
                  <c:v>79102.920939999996</c:v>
                </c:pt>
                <c:pt idx="1255">
                  <c:v>79101.669429999994</c:v>
                </c:pt>
                <c:pt idx="1256">
                  <c:v>79100.417910000004</c:v>
                </c:pt>
                <c:pt idx="1257">
                  <c:v>79099.166389999999</c:v>
                </c:pt>
                <c:pt idx="1258">
                  <c:v>79097.914879999997</c:v>
                </c:pt>
                <c:pt idx="1259">
                  <c:v>79096.663360000006</c:v>
                </c:pt>
                <c:pt idx="1260">
                  <c:v>79095.411840000001</c:v>
                </c:pt>
                <c:pt idx="1261">
                  <c:v>79094.160329999999</c:v>
                </c:pt>
                <c:pt idx="1262">
                  <c:v>79092.908809999994</c:v>
                </c:pt>
                <c:pt idx="1263">
                  <c:v>79091.657300000006</c:v>
                </c:pt>
                <c:pt idx="1264">
                  <c:v>79090.405780000001</c:v>
                </c:pt>
                <c:pt idx="1265">
                  <c:v>79089.154259999996</c:v>
                </c:pt>
                <c:pt idx="1266">
                  <c:v>79087.902749999994</c:v>
                </c:pt>
                <c:pt idx="1267">
                  <c:v>79086.651230000003</c:v>
                </c:pt>
                <c:pt idx="1268">
                  <c:v>79085.399709999998</c:v>
                </c:pt>
                <c:pt idx="1269">
                  <c:v>79084.148199999996</c:v>
                </c:pt>
                <c:pt idx="1270">
                  <c:v>79082.896680000005</c:v>
                </c:pt>
                <c:pt idx="1271">
                  <c:v>79081.64516</c:v>
                </c:pt>
                <c:pt idx="1272">
                  <c:v>79080.393649999998</c:v>
                </c:pt>
                <c:pt idx="1273">
                  <c:v>79079.142129999993</c:v>
                </c:pt>
                <c:pt idx="1274">
                  <c:v>79077.890610000002</c:v>
                </c:pt>
                <c:pt idx="1275">
                  <c:v>79076.6391</c:v>
                </c:pt>
                <c:pt idx="1276">
                  <c:v>79075.387579999995</c:v>
                </c:pt>
                <c:pt idx="1277">
                  <c:v>79074.136069999993</c:v>
                </c:pt>
                <c:pt idx="1278">
                  <c:v>79072.884550000002</c:v>
                </c:pt>
                <c:pt idx="1279">
                  <c:v>79071.633029999997</c:v>
                </c:pt>
                <c:pt idx="1280">
                  <c:v>79070.381519999995</c:v>
                </c:pt>
                <c:pt idx="1281">
                  <c:v>79069.13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5-44E6-B510-6571DD8D3F85}"/>
            </c:ext>
          </c:extLst>
        </c:ser>
        <c:ser>
          <c:idx val="6"/>
          <c:order val="6"/>
          <c:tx>
            <c:strRef>
              <c:f>Issue1949!$S$2</c:f>
              <c:strCache>
                <c:ptCount val="1"/>
                <c:pt idx="0">
                  <c:v> retLow </c:v>
                </c:pt>
              </c:strCache>
            </c:strRef>
          </c:tx>
          <c:spPr>
            <a:ln w="317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Issue1949!$A$3:$A$1432</c:f>
              <c:numCache>
                <c:formatCode>General</c:formatCode>
                <c:ptCount val="14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</c:numCache>
            </c:numRef>
          </c:cat>
          <c:val>
            <c:numRef>
              <c:f>Issue1949!$S$3:$S$1432</c:f>
              <c:numCache>
                <c:formatCode>_("$"* #,##0.00_);_("$"* \(#,##0.00\);_("$"* "-"??_);_(@_)</c:formatCode>
                <c:ptCount val="1430"/>
                <c:pt idx="459">
                  <c:v>80754.13</c:v>
                </c:pt>
                <c:pt idx="460">
                  <c:v>80751.359700000001</c:v>
                </c:pt>
                <c:pt idx="461">
                  <c:v>80748.589389999994</c:v>
                </c:pt>
                <c:pt idx="462">
                  <c:v>80745.819090000005</c:v>
                </c:pt>
                <c:pt idx="463">
                  <c:v>80743.048790000001</c:v>
                </c:pt>
                <c:pt idx="464">
                  <c:v>80740.278479999994</c:v>
                </c:pt>
                <c:pt idx="465">
                  <c:v>80737.508180000004</c:v>
                </c:pt>
                <c:pt idx="466">
                  <c:v>80734.737880000001</c:v>
                </c:pt>
                <c:pt idx="467">
                  <c:v>80731.967579999997</c:v>
                </c:pt>
                <c:pt idx="468">
                  <c:v>80729.197270000004</c:v>
                </c:pt>
                <c:pt idx="469">
                  <c:v>80726.42697</c:v>
                </c:pt>
                <c:pt idx="470">
                  <c:v>80723.656669999997</c:v>
                </c:pt>
                <c:pt idx="471">
                  <c:v>80720.886360000004</c:v>
                </c:pt>
                <c:pt idx="472">
                  <c:v>80718.11606</c:v>
                </c:pt>
                <c:pt idx="473">
                  <c:v>80715.345759999997</c:v>
                </c:pt>
                <c:pt idx="474">
                  <c:v>80712.575450000004</c:v>
                </c:pt>
                <c:pt idx="475">
                  <c:v>80709.80515</c:v>
                </c:pt>
                <c:pt idx="476">
                  <c:v>80707.034849999996</c:v>
                </c:pt>
                <c:pt idx="477">
                  <c:v>80704.264550000007</c:v>
                </c:pt>
                <c:pt idx="478">
                  <c:v>80701.49424</c:v>
                </c:pt>
                <c:pt idx="479">
                  <c:v>80698.723939999996</c:v>
                </c:pt>
                <c:pt idx="480">
                  <c:v>80695.953640000007</c:v>
                </c:pt>
                <c:pt idx="481">
                  <c:v>80693.18333</c:v>
                </c:pt>
                <c:pt idx="482">
                  <c:v>80690.413029999996</c:v>
                </c:pt>
                <c:pt idx="483">
                  <c:v>80687.642730000007</c:v>
                </c:pt>
                <c:pt idx="484">
                  <c:v>80684.87242</c:v>
                </c:pt>
                <c:pt idx="485">
                  <c:v>80682.102119999996</c:v>
                </c:pt>
                <c:pt idx="486">
                  <c:v>80679.331820000007</c:v>
                </c:pt>
                <c:pt idx="487">
                  <c:v>80676.561520000003</c:v>
                </c:pt>
                <c:pt idx="488">
                  <c:v>80673.791209999996</c:v>
                </c:pt>
                <c:pt idx="489">
                  <c:v>80671.020910000007</c:v>
                </c:pt>
                <c:pt idx="490">
                  <c:v>80668.250610000003</c:v>
                </c:pt>
                <c:pt idx="491">
                  <c:v>80665.480299999996</c:v>
                </c:pt>
                <c:pt idx="492">
                  <c:v>80662.710000000006</c:v>
                </c:pt>
                <c:pt idx="493">
                  <c:v>80659.939700000003</c:v>
                </c:pt>
                <c:pt idx="494">
                  <c:v>80657.169389999995</c:v>
                </c:pt>
                <c:pt idx="495">
                  <c:v>80654.399090000006</c:v>
                </c:pt>
                <c:pt idx="496">
                  <c:v>80651.628790000002</c:v>
                </c:pt>
                <c:pt idx="497">
                  <c:v>80648.858479999995</c:v>
                </c:pt>
                <c:pt idx="498">
                  <c:v>80646.088180000006</c:v>
                </c:pt>
                <c:pt idx="499">
                  <c:v>80643.317880000002</c:v>
                </c:pt>
                <c:pt idx="500">
                  <c:v>80640.547579999999</c:v>
                </c:pt>
                <c:pt idx="501">
                  <c:v>80637.777270000006</c:v>
                </c:pt>
                <c:pt idx="502">
                  <c:v>80635.006970000002</c:v>
                </c:pt>
                <c:pt idx="503">
                  <c:v>80632.236669999998</c:v>
                </c:pt>
                <c:pt idx="504">
                  <c:v>80629.466360000006</c:v>
                </c:pt>
                <c:pt idx="505">
                  <c:v>80626.696060000002</c:v>
                </c:pt>
                <c:pt idx="506">
                  <c:v>80623.925759999998</c:v>
                </c:pt>
                <c:pt idx="507">
                  <c:v>80621.155450000006</c:v>
                </c:pt>
                <c:pt idx="508">
                  <c:v>80618.385150000002</c:v>
                </c:pt>
                <c:pt idx="509">
                  <c:v>80615.614849999998</c:v>
                </c:pt>
                <c:pt idx="510">
                  <c:v>80612.844549999994</c:v>
                </c:pt>
                <c:pt idx="511">
                  <c:v>80610.074240000002</c:v>
                </c:pt>
                <c:pt idx="512">
                  <c:v>80607.303939999998</c:v>
                </c:pt>
                <c:pt idx="513">
                  <c:v>80604.533639999994</c:v>
                </c:pt>
                <c:pt idx="514">
                  <c:v>80601.763330000002</c:v>
                </c:pt>
                <c:pt idx="515">
                  <c:v>80598.993029999998</c:v>
                </c:pt>
                <c:pt idx="516">
                  <c:v>80596.222729999994</c:v>
                </c:pt>
                <c:pt idx="517">
                  <c:v>80593.452420000001</c:v>
                </c:pt>
                <c:pt idx="518">
                  <c:v>80590.682119999998</c:v>
                </c:pt>
                <c:pt idx="519">
                  <c:v>80587.911819999994</c:v>
                </c:pt>
                <c:pt idx="520">
                  <c:v>80585.141520000005</c:v>
                </c:pt>
                <c:pt idx="521">
                  <c:v>80582.371209999998</c:v>
                </c:pt>
                <c:pt idx="522">
                  <c:v>80579.600909999994</c:v>
                </c:pt>
                <c:pt idx="523">
                  <c:v>80576.830610000005</c:v>
                </c:pt>
                <c:pt idx="524">
                  <c:v>80574.060299999997</c:v>
                </c:pt>
                <c:pt idx="525">
                  <c:v>80571.289999999994</c:v>
                </c:pt>
                <c:pt idx="526">
                  <c:v>80568.519700000004</c:v>
                </c:pt>
                <c:pt idx="527">
                  <c:v>80565.749389999997</c:v>
                </c:pt>
                <c:pt idx="528">
                  <c:v>80562.979089999993</c:v>
                </c:pt>
                <c:pt idx="529">
                  <c:v>80560.208790000004</c:v>
                </c:pt>
                <c:pt idx="530">
                  <c:v>80557.438479999997</c:v>
                </c:pt>
                <c:pt idx="531">
                  <c:v>80554.668179999993</c:v>
                </c:pt>
                <c:pt idx="532">
                  <c:v>80551.897880000004</c:v>
                </c:pt>
                <c:pt idx="533">
                  <c:v>80549.12758</c:v>
                </c:pt>
                <c:pt idx="534">
                  <c:v>80546.357269999993</c:v>
                </c:pt>
                <c:pt idx="535">
                  <c:v>80543.586970000004</c:v>
                </c:pt>
                <c:pt idx="536">
                  <c:v>80540.81667</c:v>
                </c:pt>
                <c:pt idx="537">
                  <c:v>80538.046359999993</c:v>
                </c:pt>
                <c:pt idx="538">
                  <c:v>80535.276060000004</c:v>
                </c:pt>
                <c:pt idx="539">
                  <c:v>80532.50576</c:v>
                </c:pt>
                <c:pt idx="540">
                  <c:v>80529.735449999993</c:v>
                </c:pt>
                <c:pt idx="541">
                  <c:v>80526.965150000004</c:v>
                </c:pt>
                <c:pt idx="542">
                  <c:v>80524.19485</c:v>
                </c:pt>
                <c:pt idx="543">
                  <c:v>80521.424549999996</c:v>
                </c:pt>
                <c:pt idx="544">
                  <c:v>80518.654240000003</c:v>
                </c:pt>
                <c:pt idx="545">
                  <c:v>80515.88394</c:v>
                </c:pt>
                <c:pt idx="546">
                  <c:v>80513.113639999996</c:v>
                </c:pt>
                <c:pt idx="547">
                  <c:v>80510.343330000003</c:v>
                </c:pt>
                <c:pt idx="548">
                  <c:v>80507.57303</c:v>
                </c:pt>
                <c:pt idx="549">
                  <c:v>80504.802729999996</c:v>
                </c:pt>
                <c:pt idx="550">
                  <c:v>80502.032420000003</c:v>
                </c:pt>
                <c:pt idx="551">
                  <c:v>80499.262119999999</c:v>
                </c:pt>
                <c:pt idx="552">
                  <c:v>80496.491819999996</c:v>
                </c:pt>
                <c:pt idx="553">
                  <c:v>80493.721520000006</c:v>
                </c:pt>
                <c:pt idx="554">
                  <c:v>80490.951209999999</c:v>
                </c:pt>
                <c:pt idx="555">
                  <c:v>80488.180909999995</c:v>
                </c:pt>
                <c:pt idx="556">
                  <c:v>80485.410610000006</c:v>
                </c:pt>
                <c:pt idx="557">
                  <c:v>80482.640299999999</c:v>
                </c:pt>
                <c:pt idx="558">
                  <c:v>80479.87</c:v>
                </c:pt>
                <c:pt idx="559">
                  <c:v>80436.487089999995</c:v>
                </c:pt>
                <c:pt idx="560">
                  <c:v>80393.104179999995</c:v>
                </c:pt>
                <c:pt idx="561">
                  <c:v>80349.721269999995</c:v>
                </c:pt>
                <c:pt idx="562">
                  <c:v>80306.338359999994</c:v>
                </c:pt>
                <c:pt idx="563">
                  <c:v>80262.955449999994</c:v>
                </c:pt>
                <c:pt idx="564">
                  <c:v>80219.572549999997</c:v>
                </c:pt>
                <c:pt idx="565">
                  <c:v>80176.189639999997</c:v>
                </c:pt>
                <c:pt idx="566">
                  <c:v>80132.806729999997</c:v>
                </c:pt>
                <c:pt idx="567">
                  <c:v>80089.423819999996</c:v>
                </c:pt>
                <c:pt idx="568">
                  <c:v>80046.040909999996</c:v>
                </c:pt>
                <c:pt idx="569">
                  <c:v>80002.657999999996</c:v>
                </c:pt>
                <c:pt idx="570">
                  <c:v>79959.275089999996</c:v>
                </c:pt>
                <c:pt idx="571">
                  <c:v>79915.892179999995</c:v>
                </c:pt>
                <c:pt idx="572">
                  <c:v>79872.509269999995</c:v>
                </c:pt>
                <c:pt idx="573">
                  <c:v>79829.126359999995</c:v>
                </c:pt>
                <c:pt idx="574">
                  <c:v>79785.743449999994</c:v>
                </c:pt>
                <c:pt idx="575">
                  <c:v>79742.360549999998</c:v>
                </c:pt>
                <c:pt idx="576">
                  <c:v>79698.977639999997</c:v>
                </c:pt>
                <c:pt idx="577">
                  <c:v>79655.594729999997</c:v>
                </c:pt>
                <c:pt idx="578">
                  <c:v>79612.211819999997</c:v>
                </c:pt>
                <c:pt idx="579">
                  <c:v>79568.828909999997</c:v>
                </c:pt>
                <c:pt idx="580">
                  <c:v>79525.445999999996</c:v>
                </c:pt>
                <c:pt idx="581">
                  <c:v>79482.063089999996</c:v>
                </c:pt>
                <c:pt idx="582">
                  <c:v>79438.680179999996</c:v>
                </c:pt>
                <c:pt idx="583">
                  <c:v>79395.297269999995</c:v>
                </c:pt>
                <c:pt idx="584">
                  <c:v>79351.914359999995</c:v>
                </c:pt>
                <c:pt idx="585">
                  <c:v>79308.531449999995</c:v>
                </c:pt>
                <c:pt idx="586">
                  <c:v>79265.148549999998</c:v>
                </c:pt>
                <c:pt idx="587">
                  <c:v>79221.765639999998</c:v>
                </c:pt>
                <c:pt idx="588">
                  <c:v>79178.382729999998</c:v>
                </c:pt>
                <c:pt idx="589">
                  <c:v>79134.999819999997</c:v>
                </c:pt>
                <c:pt idx="590">
                  <c:v>79091.616909999997</c:v>
                </c:pt>
                <c:pt idx="591">
                  <c:v>79048.233999999997</c:v>
                </c:pt>
                <c:pt idx="592">
                  <c:v>79004.851089999996</c:v>
                </c:pt>
                <c:pt idx="593">
                  <c:v>78961.468179999996</c:v>
                </c:pt>
                <c:pt idx="594">
                  <c:v>78918.085269999996</c:v>
                </c:pt>
                <c:pt idx="595">
                  <c:v>78874.702359999996</c:v>
                </c:pt>
                <c:pt idx="596">
                  <c:v>78831.319449999995</c:v>
                </c:pt>
                <c:pt idx="597">
                  <c:v>78787.936549999999</c:v>
                </c:pt>
                <c:pt idx="598">
                  <c:v>78744.553639999998</c:v>
                </c:pt>
                <c:pt idx="599">
                  <c:v>78701.170729999998</c:v>
                </c:pt>
                <c:pt idx="600">
                  <c:v>78657.787819999998</c:v>
                </c:pt>
                <c:pt idx="601">
                  <c:v>78614.404909999997</c:v>
                </c:pt>
                <c:pt idx="602">
                  <c:v>78571.021999999997</c:v>
                </c:pt>
                <c:pt idx="603">
                  <c:v>78527.639089999997</c:v>
                </c:pt>
                <c:pt idx="604">
                  <c:v>78484.256179999997</c:v>
                </c:pt>
                <c:pt idx="605">
                  <c:v>78440.873269999996</c:v>
                </c:pt>
                <c:pt idx="606">
                  <c:v>78397.490359999996</c:v>
                </c:pt>
                <c:pt idx="607">
                  <c:v>78354.107449999996</c:v>
                </c:pt>
                <c:pt idx="608">
                  <c:v>78310.724549999999</c:v>
                </c:pt>
                <c:pt idx="609">
                  <c:v>78267.341639999999</c:v>
                </c:pt>
                <c:pt idx="610">
                  <c:v>78223.958729999998</c:v>
                </c:pt>
                <c:pt idx="611">
                  <c:v>78180.575819999998</c:v>
                </c:pt>
                <c:pt idx="612">
                  <c:v>78137.192909999998</c:v>
                </c:pt>
                <c:pt idx="613">
                  <c:v>78093.81</c:v>
                </c:pt>
                <c:pt idx="614">
                  <c:v>78065.754950000002</c:v>
                </c:pt>
                <c:pt idx="615">
                  <c:v>78037.699890000004</c:v>
                </c:pt>
                <c:pt idx="616">
                  <c:v>78009.644839999994</c:v>
                </c:pt>
                <c:pt idx="617">
                  <c:v>77981.589779999995</c:v>
                </c:pt>
                <c:pt idx="618">
                  <c:v>77953.534729999999</c:v>
                </c:pt>
                <c:pt idx="619">
                  <c:v>77925.479670000001</c:v>
                </c:pt>
                <c:pt idx="620">
                  <c:v>77897.424620000005</c:v>
                </c:pt>
                <c:pt idx="621">
                  <c:v>77869.369560000006</c:v>
                </c:pt>
                <c:pt idx="622">
                  <c:v>77841.314509999997</c:v>
                </c:pt>
                <c:pt idx="623">
                  <c:v>77813.259449999998</c:v>
                </c:pt>
                <c:pt idx="624">
                  <c:v>77785.204400000002</c:v>
                </c:pt>
                <c:pt idx="625">
                  <c:v>77757.149340000004</c:v>
                </c:pt>
                <c:pt idx="626">
                  <c:v>77729.094289999994</c:v>
                </c:pt>
                <c:pt idx="627">
                  <c:v>77701.039229999995</c:v>
                </c:pt>
                <c:pt idx="628">
                  <c:v>77672.984179999999</c:v>
                </c:pt>
                <c:pt idx="629">
                  <c:v>77644.929120000001</c:v>
                </c:pt>
                <c:pt idx="630">
                  <c:v>77616.874070000005</c:v>
                </c:pt>
                <c:pt idx="631">
                  <c:v>77588.819010000007</c:v>
                </c:pt>
                <c:pt idx="632">
                  <c:v>77560.763959999997</c:v>
                </c:pt>
                <c:pt idx="633">
                  <c:v>77532.708899999998</c:v>
                </c:pt>
                <c:pt idx="634">
                  <c:v>77504.653850000002</c:v>
                </c:pt>
                <c:pt idx="635">
                  <c:v>77476.598790000004</c:v>
                </c:pt>
                <c:pt idx="636">
                  <c:v>77448.543739999994</c:v>
                </c:pt>
                <c:pt idx="637">
                  <c:v>77420.488679999995</c:v>
                </c:pt>
                <c:pt idx="638">
                  <c:v>77392.43363</c:v>
                </c:pt>
                <c:pt idx="639">
                  <c:v>77364.378570000001</c:v>
                </c:pt>
                <c:pt idx="640">
                  <c:v>77336.323520000005</c:v>
                </c:pt>
                <c:pt idx="641">
                  <c:v>77308.268460000007</c:v>
                </c:pt>
                <c:pt idx="642">
                  <c:v>77280.213409999997</c:v>
                </c:pt>
                <c:pt idx="643">
                  <c:v>77252.158349999998</c:v>
                </c:pt>
                <c:pt idx="644">
                  <c:v>77224.103300000002</c:v>
                </c:pt>
                <c:pt idx="645">
                  <c:v>77196.048240000004</c:v>
                </c:pt>
                <c:pt idx="646">
                  <c:v>77167.993189999994</c:v>
                </c:pt>
                <c:pt idx="647">
                  <c:v>77139.938129999995</c:v>
                </c:pt>
                <c:pt idx="648">
                  <c:v>77111.88308</c:v>
                </c:pt>
                <c:pt idx="649">
                  <c:v>77083.828020000001</c:v>
                </c:pt>
                <c:pt idx="650">
                  <c:v>77055.772970000005</c:v>
                </c:pt>
                <c:pt idx="651">
                  <c:v>77027.717910000007</c:v>
                </c:pt>
                <c:pt idx="652">
                  <c:v>76999.662859999997</c:v>
                </c:pt>
                <c:pt idx="653">
                  <c:v>76971.607799999998</c:v>
                </c:pt>
                <c:pt idx="654">
                  <c:v>76943.552750000003</c:v>
                </c:pt>
                <c:pt idx="655">
                  <c:v>76915.497690000004</c:v>
                </c:pt>
                <c:pt idx="656">
                  <c:v>76887.442639999994</c:v>
                </c:pt>
                <c:pt idx="657">
                  <c:v>76859.387579999995</c:v>
                </c:pt>
                <c:pt idx="658">
                  <c:v>76831.33253</c:v>
                </c:pt>
                <c:pt idx="659">
                  <c:v>76803.277470000001</c:v>
                </c:pt>
                <c:pt idx="660">
                  <c:v>76775.222420000006</c:v>
                </c:pt>
                <c:pt idx="661">
                  <c:v>76747.167360000007</c:v>
                </c:pt>
                <c:pt idx="662">
                  <c:v>76719.112309999997</c:v>
                </c:pt>
                <c:pt idx="663">
                  <c:v>76691.057249999998</c:v>
                </c:pt>
                <c:pt idx="664">
                  <c:v>76663.002200000003</c:v>
                </c:pt>
                <c:pt idx="665">
                  <c:v>76634.947140000004</c:v>
                </c:pt>
                <c:pt idx="666">
                  <c:v>76606.892089999994</c:v>
                </c:pt>
                <c:pt idx="667">
                  <c:v>76578.837029999995</c:v>
                </c:pt>
                <c:pt idx="668">
                  <c:v>76550.78198</c:v>
                </c:pt>
                <c:pt idx="669">
                  <c:v>76522.726920000001</c:v>
                </c:pt>
                <c:pt idx="670">
                  <c:v>76494.671870000006</c:v>
                </c:pt>
                <c:pt idx="671">
                  <c:v>76466.616810000007</c:v>
                </c:pt>
                <c:pt idx="672">
                  <c:v>76438.561759999997</c:v>
                </c:pt>
                <c:pt idx="673">
                  <c:v>76410.506699999998</c:v>
                </c:pt>
                <c:pt idx="674">
                  <c:v>76382.451650000003</c:v>
                </c:pt>
                <c:pt idx="675">
                  <c:v>76354.396590000004</c:v>
                </c:pt>
                <c:pt idx="676">
                  <c:v>76326.341539999994</c:v>
                </c:pt>
                <c:pt idx="677">
                  <c:v>76298.286479999995</c:v>
                </c:pt>
                <c:pt idx="678">
                  <c:v>76270.23143</c:v>
                </c:pt>
                <c:pt idx="679">
                  <c:v>76242.176370000001</c:v>
                </c:pt>
                <c:pt idx="680">
                  <c:v>76214.121320000006</c:v>
                </c:pt>
                <c:pt idx="681">
                  <c:v>76186.066260000007</c:v>
                </c:pt>
                <c:pt idx="682">
                  <c:v>76158.011209999997</c:v>
                </c:pt>
                <c:pt idx="683">
                  <c:v>76129.956149999998</c:v>
                </c:pt>
                <c:pt idx="684">
                  <c:v>76101.901100000003</c:v>
                </c:pt>
                <c:pt idx="685">
                  <c:v>76073.846040000004</c:v>
                </c:pt>
                <c:pt idx="686">
                  <c:v>76045.790989999994</c:v>
                </c:pt>
                <c:pt idx="687">
                  <c:v>76017.735929999995</c:v>
                </c:pt>
                <c:pt idx="688">
                  <c:v>75989.68088</c:v>
                </c:pt>
                <c:pt idx="689">
                  <c:v>75961.625820000001</c:v>
                </c:pt>
                <c:pt idx="690">
                  <c:v>75933.570770000006</c:v>
                </c:pt>
                <c:pt idx="691">
                  <c:v>75905.515710000007</c:v>
                </c:pt>
                <c:pt idx="692">
                  <c:v>75877.460659999997</c:v>
                </c:pt>
                <c:pt idx="693">
                  <c:v>75849.405599999998</c:v>
                </c:pt>
                <c:pt idx="694">
                  <c:v>75821.350550000003</c:v>
                </c:pt>
                <c:pt idx="695">
                  <c:v>75793.295490000004</c:v>
                </c:pt>
                <c:pt idx="696">
                  <c:v>75765.240439999994</c:v>
                </c:pt>
                <c:pt idx="697">
                  <c:v>75737.185379999995</c:v>
                </c:pt>
                <c:pt idx="698">
                  <c:v>75709.13033</c:v>
                </c:pt>
                <c:pt idx="699">
                  <c:v>75681.075270000001</c:v>
                </c:pt>
                <c:pt idx="700">
                  <c:v>75653.020220000006</c:v>
                </c:pt>
                <c:pt idx="701">
                  <c:v>75624.965160000007</c:v>
                </c:pt>
                <c:pt idx="702">
                  <c:v>75596.910109999997</c:v>
                </c:pt>
                <c:pt idx="703">
                  <c:v>75568.855049999998</c:v>
                </c:pt>
                <c:pt idx="704">
                  <c:v>75540.800000000003</c:v>
                </c:pt>
                <c:pt idx="705">
                  <c:v>75569.253389999998</c:v>
                </c:pt>
                <c:pt idx="706">
                  <c:v>75597.706789999997</c:v>
                </c:pt>
                <c:pt idx="707">
                  <c:v>75626.160180000006</c:v>
                </c:pt>
                <c:pt idx="708">
                  <c:v>75654.613570000001</c:v>
                </c:pt>
                <c:pt idx="709">
                  <c:v>75683.066959999996</c:v>
                </c:pt>
                <c:pt idx="710">
                  <c:v>75711.520359999995</c:v>
                </c:pt>
                <c:pt idx="711">
                  <c:v>75739.973750000005</c:v>
                </c:pt>
                <c:pt idx="712">
                  <c:v>75768.42714</c:v>
                </c:pt>
                <c:pt idx="713">
                  <c:v>75796.880539999998</c:v>
                </c:pt>
                <c:pt idx="714">
                  <c:v>75825.333929999993</c:v>
                </c:pt>
                <c:pt idx="715">
                  <c:v>75853.787320000003</c:v>
                </c:pt>
                <c:pt idx="716">
                  <c:v>75882.240709999998</c:v>
                </c:pt>
                <c:pt idx="717">
                  <c:v>75910.694109999997</c:v>
                </c:pt>
                <c:pt idx="718">
                  <c:v>75939.147500000006</c:v>
                </c:pt>
                <c:pt idx="719">
                  <c:v>75967.600890000002</c:v>
                </c:pt>
                <c:pt idx="720">
                  <c:v>75996.05429</c:v>
                </c:pt>
                <c:pt idx="721">
                  <c:v>76024.507679999995</c:v>
                </c:pt>
                <c:pt idx="722">
                  <c:v>76052.961070000005</c:v>
                </c:pt>
                <c:pt idx="723">
                  <c:v>76081.41446</c:v>
                </c:pt>
                <c:pt idx="724">
                  <c:v>76109.867859999998</c:v>
                </c:pt>
                <c:pt idx="725">
                  <c:v>76138.321249999994</c:v>
                </c:pt>
                <c:pt idx="726">
                  <c:v>76166.774640000003</c:v>
                </c:pt>
                <c:pt idx="727">
                  <c:v>76195.228040000002</c:v>
                </c:pt>
                <c:pt idx="728">
                  <c:v>76223.681429999997</c:v>
                </c:pt>
                <c:pt idx="729">
                  <c:v>76252.134820000007</c:v>
                </c:pt>
                <c:pt idx="730">
                  <c:v>76280.588210000002</c:v>
                </c:pt>
                <c:pt idx="731">
                  <c:v>76309.04161</c:v>
                </c:pt>
                <c:pt idx="732">
                  <c:v>76337.494999999995</c:v>
                </c:pt>
                <c:pt idx="733">
                  <c:v>76365.948390000005</c:v>
                </c:pt>
                <c:pt idx="734">
                  <c:v>76394.401790000004</c:v>
                </c:pt>
                <c:pt idx="735">
                  <c:v>76422.855179999999</c:v>
                </c:pt>
                <c:pt idx="736">
                  <c:v>76451.308569999994</c:v>
                </c:pt>
                <c:pt idx="737">
                  <c:v>76479.761960000003</c:v>
                </c:pt>
                <c:pt idx="738">
                  <c:v>76508.215360000002</c:v>
                </c:pt>
                <c:pt idx="739">
                  <c:v>76536.668749999997</c:v>
                </c:pt>
                <c:pt idx="740">
                  <c:v>76565.122140000007</c:v>
                </c:pt>
                <c:pt idx="741">
                  <c:v>76593.575540000005</c:v>
                </c:pt>
                <c:pt idx="742">
                  <c:v>76622.02893</c:v>
                </c:pt>
                <c:pt idx="743">
                  <c:v>76650.482319999996</c:v>
                </c:pt>
                <c:pt idx="744">
                  <c:v>76678.935710000005</c:v>
                </c:pt>
                <c:pt idx="745">
                  <c:v>76707.389110000004</c:v>
                </c:pt>
                <c:pt idx="746">
                  <c:v>76735.842499999999</c:v>
                </c:pt>
                <c:pt idx="747">
                  <c:v>76764.295889999994</c:v>
                </c:pt>
                <c:pt idx="748">
                  <c:v>76792.749290000007</c:v>
                </c:pt>
                <c:pt idx="749">
                  <c:v>76821.202680000002</c:v>
                </c:pt>
                <c:pt idx="750">
                  <c:v>76849.656069999997</c:v>
                </c:pt>
                <c:pt idx="751">
                  <c:v>76878.109460000007</c:v>
                </c:pt>
                <c:pt idx="752">
                  <c:v>76906.562860000005</c:v>
                </c:pt>
                <c:pt idx="753">
                  <c:v>76935.016250000001</c:v>
                </c:pt>
                <c:pt idx="754">
                  <c:v>76963.469639999996</c:v>
                </c:pt>
                <c:pt idx="755">
                  <c:v>76991.923039999994</c:v>
                </c:pt>
                <c:pt idx="756">
                  <c:v>77020.376430000004</c:v>
                </c:pt>
                <c:pt idx="757">
                  <c:v>77048.829819999999</c:v>
                </c:pt>
                <c:pt idx="758">
                  <c:v>77077.283209999994</c:v>
                </c:pt>
                <c:pt idx="759">
                  <c:v>77105.736610000007</c:v>
                </c:pt>
                <c:pt idx="760">
                  <c:v>77134.19</c:v>
                </c:pt>
                <c:pt idx="761">
                  <c:v>77132.347779999996</c:v>
                </c:pt>
                <c:pt idx="762">
                  <c:v>77130.505560000005</c:v>
                </c:pt>
                <c:pt idx="763">
                  <c:v>77128.663329999996</c:v>
                </c:pt>
                <c:pt idx="764">
                  <c:v>77126.821110000004</c:v>
                </c:pt>
                <c:pt idx="765">
                  <c:v>77124.978889999999</c:v>
                </c:pt>
                <c:pt idx="766">
                  <c:v>77123.136670000007</c:v>
                </c:pt>
                <c:pt idx="767">
                  <c:v>77121.294439999998</c:v>
                </c:pt>
                <c:pt idx="768">
                  <c:v>77119.452220000006</c:v>
                </c:pt>
                <c:pt idx="769">
                  <c:v>77117.61</c:v>
                </c:pt>
                <c:pt idx="770">
                  <c:v>77115.767779999995</c:v>
                </c:pt>
                <c:pt idx="771">
                  <c:v>77113.925560000003</c:v>
                </c:pt>
                <c:pt idx="772">
                  <c:v>77112.083329999994</c:v>
                </c:pt>
                <c:pt idx="773">
                  <c:v>77110.241110000003</c:v>
                </c:pt>
                <c:pt idx="774">
                  <c:v>77108.398889999997</c:v>
                </c:pt>
                <c:pt idx="775">
                  <c:v>77106.556670000005</c:v>
                </c:pt>
                <c:pt idx="776">
                  <c:v>77104.714439999996</c:v>
                </c:pt>
                <c:pt idx="777">
                  <c:v>77102.872220000005</c:v>
                </c:pt>
                <c:pt idx="778">
                  <c:v>77101.03</c:v>
                </c:pt>
                <c:pt idx="779">
                  <c:v>77099.187779999993</c:v>
                </c:pt>
                <c:pt idx="780">
                  <c:v>77097.345560000002</c:v>
                </c:pt>
                <c:pt idx="781">
                  <c:v>77095.503330000007</c:v>
                </c:pt>
                <c:pt idx="782">
                  <c:v>77093.661110000001</c:v>
                </c:pt>
                <c:pt idx="783">
                  <c:v>77091.818889999995</c:v>
                </c:pt>
                <c:pt idx="784">
                  <c:v>77089.976670000004</c:v>
                </c:pt>
                <c:pt idx="785">
                  <c:v>77088.134439999994</c:v>
                </c:pt>
                <c:pt idx="786">
                  <c:v>77086.292220000003</c:v>
                </c:pt>
                <c:pt idx="787">
                  <c:v>77084.45</c:v>
                </c:pt>
                <c:pt idx="788">
                  <c:v>77082.607780000006</c:v>
                </c:pt>
                <c:pt idx="789">
                  <c:v>77080.76556</c:v>
                </c:pt>
                <c:pt idx="790">
                  <c:v>77078.923330000005</c:v>
                </c:pt>
                <c:pt idx="791">
                  <c:v>77077.081109999999</c:v>
                </c:pt>
                <c:pt idx="792">
                  <c:v>77075.238889999993</c:v>
                </c:pt>
                <c:pt idx="793">
                  <c:v>77073.396670000002</c:v>
                </c:pt>
                <c:pt idx="794">
                  <c:v>77071.554440000007</c:v>
                </c:pt>
                <c:pt idx="795">
                  <c:v>77069.712220000001</c:v>
                </c:pt>
                <c:pt idx="796">
                  <c:v>77067.87</c:v>
                </c:pt>
                <c:pt idx="797">
                  <c:v>77066.027780000004</c:v>
                </c:pt>
                <c:pt idx="798">
                  <c:v>77064.185559999998</c:v>
                </c:pt>
                <c:pt idx="799">
                  <c:v>77062.343330000003</c:v>
                </c:pt>
                <c:pt idx="800">
                  <c:v>77060.501109999997</c:v>
                </c:pt>
                <c:pt idx="801">
                  <c:v>77058.658890000006</c:v>
                </c:pt>
                <c:pt idx="802">
                  <c:v>77056.81667</c:v>
                </c:pt>
                <c:pt idx="803">
                  <c:v>77054.974440000005</c:v>
                </c:pt>
                <c:pt idx="804">
                  <c:v>77053.13222</c:v>
                </c:pt>
                <c:pt idx="805">
                  <c:v>77051.289999999994</c:v>
                </c:pt>
                <c:pt idx="806">
                  <c:v>77049.447780000002</c:v>
                </c:pt>
                <c:pt idx="807">
                  <c:v>77047.605559999996</c:v>
                </c:pt>
                <c:pt idx="808">
                  <c:v>77045.763330000002</c:v>
                </c:pt>
                <c:pt idx="809">
                  <c:v>77043.921109999996</c:v>
                </c:pt>
                <c:pt idx="810">
                  <c:v>77042.078890000004</c:v>
                </c:pt>
                <c:pt idx="811">
                  <c:v>77040.236669999998</c:v>
                </c:pt>
                <c:pt idx="812">
                  <c:v>77038.394440000004</c:v>
                </c:pt>
                <c:pt idx="813">
                  <c:v>77036.552219999998</c:v>
                </c:pt>
                <c:pt idx="814">
                  <c:v>77034.710000000006</c:v>
                </c:pt>
                <c:pt idx="815">
                  <c:v>77040.2736</c:v>
                </c:pt>
                <c:pt idx="816">
                  <c:v>77045.837199999994</c:v>
                </c:pt>
                <c:pt idx="817">
                  <c:v>77051.400800000003</c:v>
                </c:pt>
                <c:pt idx="818">
                  <c:v>77056.964399999997</c:v>
                </c:pt>
                <c:pt idx="819">
                  <c:v>77062.528000000006</c:v>
                </c:pt>
                <c:pt idx="820">
                  <c:v>77068.0916</c:v>
                </c:pt>
                <c:pt idx="821">
                  <c:v>77073.655199999994</c:v>
                </c:pt>
                <c:pt idx="822">
                  <c:v>77079.218800000002</c:v>
                </c:pt>
                <c:pt idx="823">
                  <c:v>77084.782399999996</c:v>
                </c:pt>
                <c:pt idx="824">
                  <c:v>77090.346000000005</c:v>
                </c:pt>
                <c:pt idx="825">
                  <c:v>77095.909599999999</c:v>
                </c:pt>
                <c:pt idx="826">
                  <c:v>77101.473199999993</c:v>
                </c:pt>
                <c:pt idx="827">
                  <c:v>77107.036800000002</c:v>
                </c:pt>
                <c:pt idx="828">
                  <c:v>77112.600399999996</c:v>
                </c:pt>
                <c:pt idx="829">
                  <c:v>77118.164000000004</c:v>
                </c:pt>
                <c:pt idx="830">
                  <c:v>77123.727599999998</c:v>
                </c:pt>
                <c:pt idx="831">
                  <c:v>77129.291200000007</c:v>
                </c:pt>
                <c:pt idx="832">
                  <c:v>77134.854800000001</c:v>
                </c:pt>
                <c:pt idx="833">
                  <c:v>77140.418399999995</c:v>
                </c:pt>
                <c:pt idx="834">
                  <c:v>77145.982000000004</c:v>
                </c:pt>
                <c:pt idx="835">
                  <c:v>77151.545599999998</c:v>
                </c:pt>
                <c:pt idx="836">
                  <c:v>77157.109200000006</c:v>
                </c:pt>
                <c:pt idx="837">
                  <c:v>77162.6728</c:v>
                </c:pt>
                <c:pt idx="838">
                  <c:v>77168.236399999994</c:v>
                </c:pt>
                <c:pt idx="839">
                  <c:v>77173.8</c:v>
                </c:pt>
                <c:pt idx="840">
                  <c:v>77179.363599999997</c:v>
                </c:pt>
                <c:pt idx="841">
                  <c:v>77184.927200000006</c:v>
                </c:pt>
                <c:pt idx="842">
                  <c:v>77190.4908</c:v>
                </c:pt>
                <c:pt idx="843">
                  <c:v>77196.054399999994</c:v>
                </c:pt>
                <c:pt idx="844">
                  <c:v>77201.618000000002</c:v>
                </c:pt>
                <c:pt idx="845">
                  <c:v>77207.181599999996</c:v>
                </c:pt>
                <c:pt idx="846">
                  <c:v>77212.745200000005</c:v>
                </c:pt>
                <c:pt idx="847">
                  <c:v>77218.308799999999</c:v>
                </c:pt>
                <c:pt idx="848">
                  <c:v>77223.872399999993</c:v>
                </c:pt>
                <c:pt idx="849">
                  <c:v>77229.436000000002</c:v>
                </c:pt>
                <c:pt idx="850">
                  <c:v>77234.999599999996</c:v>
                </c:pt>
                <c:pt idx="851">
                  <c:v>77240.563200000004</c:v>
                </c:pt>
                <c:pt idx="852">
                  <c:v>77246.126799999998</c:v>
                </c:pt>
                <c:pt idx="853">
                  <c:v>77251.690400000007</c:v>
                </c:pt>
                <c:pt idx="854">
                  <c:v>77257.254000000001</c:v>
                </c:pt>
                <c:pt idx="855">
                  <c:v>77262.817599999995</c:v>
                </c:pt>
                <c:pt idx="856">
                  <c:v>77268.381200000003</c:v>
                </c:pt>
                <c:pt idx="857">
                  <c:v>77273.944799999997</c:v>
                </c:pt>
                <c:pt idx="858">
                  <c:v>77279.508400000006</c:v>
                </c:pt>
                <c:pt idx="859">
                  <c:v>77285.072</c:v>
                </c:pt>
                <c:pt idx="860">
                  <c:v>77290.635599999994</c:v>
                </c:pt>
                <c:pt idx="861">
                  <c:v>77296.199200000003</c:v>
                </c:pt>
                <c:pt idx="862">
                  <c:v>77301.762799999997</c:v>
                </c:pt>
                <c:pt idx="863">
                  <c:v>77307.326400000005</c:v>
                </c:pt>
                <c:pt idx="864">
                  <c:v>77312.89</c:v>
                </c:pt>
                <c:pt idx="865">
                  <c:v>77316.480150000003</c:v>
                </c:pt>
                <c:pt idx="866">
                  <c:v>77320.070309999996</c:v>
                </c:pt>
                <c:pt idx="867">
                  <c:v>77323.660459999999</c:v>
                </c:pt>
                <c:pt idx="868">
                  <c:v>77327.250610000003</c:v>
                </c:pt>
                <c:pt idx="869">
                  <c:v>77330.840769999995</c:v>
                </c:pt>
                <c:pt idx="870">
                  <c:v>77334.430919999999</c:v>
                </c:pt>
                <c:pt idx="871">
                  <c:v>77338.021070000003</c:v>
                </c:pt>
                <c:pt idx="872">
                  <c:v>77341.611229999995</c:v>
                </c:pt>
                <c:pt idx="873">
                  <c:v>77345.201379999999</c:v>
                </c:pt>
                <c:pt idx="874">
                  <c:v>77348.791530000002</c:v>
                </c:pt>
                <c:pt idx="875">
                  <c:v>77352.381689999995</c:v>
                </c:pt>
                <c:pt idx="876">
                  <c:v>77355.971839999998</c:v>
                </c:pt>
                <c:pt idx="877">
                  <c:v>77359.561990000002</c:v>
                </c:pt>
                <c:pt idx="878">
                  <c:v>77363.152149999994</c:v>
                </c:pt>
                <c:pt idx="879">
                  <c:v>77366.742299999998</c:v>
                </c:pt>
                <c:pt idx="880">
                  <c:v>77370.332450000002</c:v>
                </c:pt>
                <c:pt idx="881">
                  <c:v>77373.922609999994</c:v>
                </c:pt>
                <c:pt idx="882">
                  <c:v>77377.512759999998</c:v>
                </c:pt>
                <c:pt idx="883">
                  <c:v>77381.102910000001</c:v>
                </c:pt>
                <c:pt idx="884">
                  <c:v>77384.693069999994</c:v>
                </c:pt>
                <c:pt idx="885">
                  <c:v>77388.283219999998</c:v>
                </c:pt>
                <c:pt idx="886">
                  <c:v>77391.873370000001</c:v>
                </c:pt>
                <c:pt idx="887">
                  <c:v>77395.463520000005</c:v>
                </c:pt>
                <c:pt idx="888">
                  <c:v>77399.053679999997</c:v>
                </c:pt>
                <c:pt idx="889">
                  <c:v>77402.643830000001</c:v>
                </c:pt>
                <c:pt idx="890">
                  <c:v>77406.233980000005</c:v>
                </c:pt>
                <c:pt idx="891">
                  <c:v>77409.824139999997</c:v>
                </c:pt>
                <c:pt idx="892">
                  <c:v>77413.414290000001</c:v>
                </c:pt>
                <c:pt idx="893">
                  <c:v>77417.004440000004</c:v>
                </c:pt>
                <c:pt idx="894">
                  <c:v>77420.594599999997</c:v>
                </c:pt>
                <c:pt idx="895">
                  <c:v>77424.18475</c:v>
                </c:pt>
                <c:pt idx="896">
                  <c:v>77427.774900000004</c:v>
                </c:pt>
                <c:pt idx="897">
                  <c:v>77431.365059999996</c:v>
                </c:pt>
                <c:pt idx="898">
                  <c:v>77434.95521</c:v>
                </c:pt>
                <c:pt idx="899">
                  <c:v>77438.545360000004</c:v>
                </c:pt>
                <c:pt idx="900">
                  <c:v>77442.135519999996</c:v>
                </c:pt>
                <c:pt idx="901">
                  <c:v>77445.72567</c:v>
                </c:pt>
                <c:pt idx="902">
                  <c:v>77449.315820000003</c:v>
                </c:pt>
                <c:pt idx="903">
                  <c:v>77452.905979999996</c:v>
                </c:pt>
                <c:pt idx="904">
                  <c:v>77456.49613</c:v>
                </c:pt>
                <c:pt idx="905">
                  <c:v>77460.086280000003</c:v>
                </c:pt>
                <c:pt idx="906">
                  <c:v>77463.676439999996</c:v>
                </c:pt>
                <c:pt idx="907">
                  <c:v>77467.266589999999</c:v>
                </c:pt>
                <c:pt idx="908">
                  <c:v>77470.856740000003</c:v>
                </c:pt>
                <c:pt idx="909">
                  <c:v>77474.446899999995</c:v>
                </c:pt>
                <c:pt idx="910">
                  <c:v>77478.037049999999</c:v>
                </c:pt>
                <c:pt idx="911">
                  <c:v>77481.627200000003</c:v>
                </c:pt>
                <c:pt idx="912">
                  <c:v>77485.217359999995</c:v>
                </c:pt>
                <c:pt idx="913">
                  <c:v>77488.807509999999</c:v>
                </c:pt>
                <c:pt idx="914">
                  <c:v>77492.397660000002</c:v>
                </c:pt>
                <c:pt idx="915">
                  <c:v>77495.987819999995</c:v>
                </c:pt>
                <c:pt idx="916">
                  <c:v>77499.577969999998</c:v>
                </c:pt>
                <c:pt idx="917">
                  <c:v>77503.168120000002</c:v>
                </c:pt>
                <c:pt idx="918">
                  <c:v>77506.758279999995</c:v>
                </c:pt>
                <c:pt idx="919">
                  <c:v>77510.348429999998</c:v>
                </c:pt>
                <c:pt idx="920">
                  <c:v>77513.938580000002</c:v>
                </c:pt>
                <c:pt idx="921">
                  <c:v>77517.528739999994</c:v>
                </c:pt>
                <c:pt idx="922">
                  <c:v>77521.118889999998</c:v>
                </c:pt>
                <c:pt idx="923">
                  <c:v>77524.709040000002</c:v>
                </c:pt>
                <c:pt idx="924">
                  <c:v>77528.299199999994</c:v>
                </c:pt>
                <c:pt idx="925">
                  <c:v>77531.889349999998</c:v>
                </c:pt>
                <c:pt idx="926">
                  <c:v>77535.479500000001</c:v>
                </c:pt>
                <c:pt idx="927">
                  <c:v>77539.069659999994</c:v>
                </c:pt>
                <c:pt idx="928">
                  <c:v>77542.659809999997</c:v>
                </c:pt>
                <c:pt idx="929">
                  <c:v>77546.249960000001</c:v>
                </c:pt>
                <c:pt idx="930">
                  <c:v>77549.840110000005</c:v>
                </c:pt>
                <c:pt idx="931">
                  <c:v>77553.430269999997</c:v>
                </c:pt>
                <c:pt idx="932">
                  <c:v>77557.020420000001</c:v>
                </c:pt>
                <c:pt idx="933">
                  <c:v>77560.610570000004</c:v>
                </c:pt>
                <c:pt idx="934">
                  <c:v>77564.200729999997</c:v>
                </c:pt>
                <c:pt idx="935">
                  <c:v>77567.79088</c:v>
                </c:pt>
                <c:pt idx="936">
                  <c:v>77571.381030000004</c:v>
                </c:pt>
                <c:pt idx="937">
                  <c:v>77574.971189999997</c:v>
                </c:pt>
                <c:pt idx="938">
                  <c:v>77578.56134</c:v>
                </c:pt>
                <c:pt idx="939">
                  <c:v>77582.151490000004</c:v>
                </c:pt>
                <c:pt idx="940">
                  <c:v>77585.741649999996</c:v>
                </c:pt>
                <c:pt idx="941">
                  <c:v>77589.3318</c:v>
                </c:pt>
                <c:pt idx="942">
                  <c:v>77592.921950000004</c:v>
                </c:pt>
                <c:pt idx="943">
                  <c:v>77596.512109999996</c:v>
                </c:pt>
                <c:pt idx="944">
                  <c:v>77600.10226</c:v>
                </c:pt>
                <c:pt idx="945">
                  <c:v>77603.692410000003</c:v>
                </c:pt>
                <c:pt idx="946">
                  <c:v>77607.282569999996</c:v>
                </c:pt>
                <c:pt idx="947">
                  <c:v>77610.872719999999</c:v>
                </c:pt>
                <c:pt idx="948">
                  <c:v>77614.462870000003</c:v>
                </c:pt>
                <c:pt idx="949">
                  <c:v>77618.053029999995</c:v>
                </c:pt>
                <c:pt idx="950">
                  <c:v>77621.643179999999</c:v>
                </c:pt>
                <c:pt idx="951">
                  <c:v>77625.233330000003</c:v>
                </c:pt>
                <c:pt idx="952">
                  <c:v>77628.823489999995</c:v>
                </c:pt>
                <c:pt idx="953">
                  <c:v>77632.413639999999</c:v>
                </c:pt>
                <c:pt idx="954">
                  <c:v>77636.003790000002</c:v>
                </c:pt>
                <c:pt idx="955">
                  <c:v>77639.593949999995</c:v>
                </c:pt>
                <c:pt idx="956">
                  <c:v>77643.184099999999</c:v>
                </c:pt>
                <c:pt idx="957">
                  <c:v>77646.774250000002</c:v>
                </c:pt>
                <c:pt idx="958">
                  <c:v>77650.364409999995</c:v>
                </c:pt>
                <c:pt idx="959">
                  <c:v>77653.954559999998</c:v>
                </c:pt>
                <c:pt idx="960">
                  <c:v>77657.544710000002</c:v>
                </c:pt>
                <c:pt idx="961">
                  <c:v>77661.134869999994</c:v>
                </c:pt>
                <c:pt idx="962">
                  <c:v>77664.725019999998</c:v>
                </c:pt>
                <c:pt idx="963">
                  <c:v>77668.315170000002</c:v>
                </c:pt>
                <c:pt idx="964">
                  <c:v>77671.905329999994</c:v>
                </c:pt>
                <c:pt idx="965">
                  <c:v>77675.495479999998</c:v>
                </c:pt>
                <c:pt idx="966">
                  <c:v>77679.085630000001</c:v>
                </c:pt>
                <c:pt idx="967">
                  <c:v>77682.675789999994</c:v>
                </c:pt>
                <c:pt idx="968">
                  <c:v>77686.265939999997</c:v>
                </c:pt>
                <c:pt idx="969">
                  <c:v>77689.856090000001</c:v>
                </c:pt>
                <c:pt idx="970">
                  <c:v>77693.446249999994</c:v>
                </c:pt>
                <c:pt idx="971">
                  <c:v>77697.036399999997</c:v>
                </c:pt>
                <c:pt idx="972">
                  <c:v>77700.626550000001</c:v>
                </c:pt>
                <c:pt idx="973">
                  <c:v>77704.216700000004</c:v>
                </c:pt>
                <c:pt idx="974">
                  <c:v>77707.806859999997</c:v>
                </c:pt>
                <c:pt idx="975">
                  <c:v>77711.397010000001</c:v>
                </c:pt>
                <c:pt idx="976">
                  <c:v>77714.987160000004</c:v>
                </c:pt>
                <c:pt idx="977">
                  <c:v>77718.577319999997</c:v>
                </c:pt>
                <c:pt idx="978">
                  <c:v>77722.16747</c:v>
                </c:pt>
                <c:pt idx="979">
                  <c:v>77725.757620000004</c:v>
                </c:pt>
                <c:pt idx="980">
                  <c:v>77729.347779999996</c:v>
                </c:pt>
                <c:pt idx="981">
                  <c:v>77732.93793</c:v>
                </c:pt>
                <c:pt idx="982">
                  <c:v>77736.528080000004</c:v>
                </c:pt>
                <c:pt idx="983">
                  <c:v>77740.118239999996</c:v>
                </c:pt>
                <c:pt idx="984">
                  <c:v>77743.70839</c:v>
                </c:pt>
                <c:pt idx="985">
                  <c:v>77747.298540000003</c:v>
                </c:pt>
                <c:pt idx="986">
                  <c:v>77750.888699999996</c:v>
                </c:pt>
                <c:pt idx="987">
                  <c:v>77754.47885</c:v>
                </c:pt>
                <c:pt idx="988">
                  <c:v>77758.069000000003</c:v>
                </c:pt>
                <c:pt idx="989">
                  <c:v>77761.659159999996</c:v>
                </c:pt>
                <c:pt idx="990">
                  <c:v>77765.249309999999</c:v>
                </c:pt>
                <c:pt idx="991">
                  <c:v>77768.839460000003</c:v>
                </c:pt>
                <c:pt idx="992">
                  <c:v>77772.429619999995</c:v>
                </c:pt>
                <c:pt idx="993">
                  <c:v>77776.019769999999</c:v>
                </c:pt>
                <c:pt idx="994">
                  <c:v>77779.609920000003</c:v>
                </c:pt>
                <c:pt idx="995">
                  <c:v>77783.200079999995</c:v>
                </c:pt>
                <c:pt idx="996">
                  <c:v>77786.790229999999</c:v>
                </c:pt>
                <c:pt idx="997">
                  <c:v>77790.380380000002</c:v>
                </c:pt>
                <c:pt idx="998">
                  <c:v>77793.970539999995</c:v>
                </c:pt>
                <c:pt idx="999">
                  <c:v>77797.560689999998</c:v>
                </c:pt>
                <c:pt idx="1000">
                  <c:v>77801.150840000002</c:v>
                </c:pt>
                <c:pt idx="1001">
                  <c:v>77804.740999999995</c:v>
                </c:pt>
                <c:pt idx="1002">
                  <c:v>77808.331149999998</c:v>
                </c:pt>
                <c:pt idx="1003">
                  <c:v>77811.921300000002</c:v>
                </c:pt>
                <c:pt idx="1004">
                  <c:v>77815.511459999994</c:v>
                </c:pt>
                <c:pt idx="1005">
                  <c:v>77819.101609999998</c:v>
                </c:pt>
                <c:pt idx="1006">
                  <c:v>77822.691760000002</c:v>
                </c:pt>
                <c:pt idx="1007">
                  <c:v>77826.281919999994</c:v>
                </c:pt>
                <c:pt idx="1008">
                  <c:v>77829.872069999998</c:v>
                </c:pt>
                <c:pt idx="1009">
                  <c:v>77833.462220000001</c:v>
                </c:pt>
                <c:pt idx="1010">
                  <c:v>77837.052379999994</c:v>
                </c:pt>
                <c:pt idx="1011">
                  <c:v>77840.642529999997</c:v>
                </c:pt>
                <c:pt idx="1012">
                  <c:v>77844.232680000001</c:v>
                </c:pt>
                <c:pt idx="1013">
                  <c:v>77847.822839999993</c:v>
                </c:pt>
                <c:pt idx="1014">
                  <c:v>77851.412989999997</c:v>
                </c:pt>
                <c:pt idx="1015">
                  <c:v>77855.003140000001</c:v>
                </c:pt>
                <c:pt idx="1016">
                  <c:v>77858.593299999993</c:v>
                </c:pt>
                <c:pt idx="1017">
                  <c:v>77862.183449999997</c:v>
                </c:pt>
                <c:pt idx="1018">
                  <c:v>77865.7736</c:v>
                </c:pt>
                <c:pt idx="1019">
                  <c:v>77869.363750000004</c:v>
                </c:pt>
                <c:pt idx="1020">
                  <c:v>77872.953909999997</c:v>
                </c:pt>
                <c:pt idx="1021">
                  <c:v>77876.54406</c:v>
                </c:pt>
                <c:pt idx="1022">
                  <c:v>77880.134210000004</c:v>
                </c:pt>
                <c:pt idx="1023">
                  <c:v>77883.724369999996</c:v>
                </c:pt>
                <c:pt idx="1024">
                  <c:v>77887.31452</c:v>
                </c:pt>
                <c:pt idx="1025">
                  <c:v>77890.904670000004</c:v>
                </c:pt>
                <c:pt idx="1026">
                  <c:v>77894.494829999996</c:v>
                </c:pt>
                <c:pt idx="1027">
                  <c:v>77898.08498</c:v>
                </c:pt>
                <c:pt idx="1028">
                  <c:v>77901.675130000003</c:v>
                </c:pt>
                <c:pt idx="1029">
                  <c:v>77905.265289999996</c:v>
                </c:pt>
                <c:pt idx="1030">
                  <c:v>77908.855439999999</c:v>
                </c:pt>
                <c:pt idx="1031">
                  <c:v>77912.445590000003</c:v>
                </c:pt>
                <c:pt idx="1032">
                  <c:v>77916.035749999995</c:v>
                </c:pt>
                <c:pt idx="1033">
                  <c:v>77919.625899999999</c:v>
                </c:pt>
                <c:pt idx="1034">
                  <c:v>77923.216050000003</c:v>
                </c:pt>
                <c:pt idx="1035">
                  <c:v>77926.806209999995</c:v>
                </c:pt>
                <c:pt idx="1036">
                  <c:v>77930.396359999999</c:v>
                </c:pt>
                <c:pt idx="1037">
                  <c:v>77933.986510000002</c:v>
                </c:pt>
                <c:pt idx="1038">
                  <c:v>77937.576669999995</c:v>
                </c:pt>
                <c:pt idx="1039">
                  <c:v>77941.166819999999</c:v>
                </c:pt>
                <c:pt idx="1040">
                  <c:v>77944.756970000002</c:v>
                </c:pt>
                <c:pt idx="1041">
                  <c:v>77948.347129999995</c:v>
                </c:pt>
                <c:pt idx="1042">
                  <c:v>77951.937279999998</c:v>
                </c:pt>
                <c:pt idx="1043">
                  <c:v>77955.527430000002</c:v>
                </c:pt>
                <c:pt idx="1044">
                  <c:v>77959.117589999994</c:v>
                </c:pt>
                <c:pt idx="1045">
                  <c:v>77962.707739999998</c:v>
                </c:pt>
                <c:pt idx="1046">
                  <c:v>77966.297890000002</c:v>
                </c:pt>
                <c:pt idx="1047">
                  <c:v>77969.888049999994</c:v>
                </c:pt>
                <c:pt idx="1048">
                  <c:v>77973.478199999998</c:v>
                </c:pt>
                <c:pt idx="1049">
                  <c:v>77977.068350000001</c:v>
                </c:pt>
                <c:pt idx="1050">
                  <c:v>77980.658509999994</c:v>
                </c:pt>
                <c:pt idx="1051">
                  <c:v>77984.248659999997</c:v>
                </c:pt>
                <c:pt idx="1052">
                  <c:v>77987.838810000001</c:v>
                </c:pt>
                <c:pt idx="1053">
                  <c:v>77991.428969999994</c:v>
                </c:pt>
                <c:pt idx="1054">
                  <c:v>77995.019119999997</c:v>
                </c:pt>
                <c:pt idx="1055">
                  <c:v>77998.609270000001</c:v>
                </c:pt>
                <c:pt idx="1056">
                  <c:v>78002.199429999993</c:v>
                </c:pt>
                <c:pt idx="1057">
                  <c:v>78005.789579999997</c:v>
                </c:pt>
                <c:pt idx="1058">
                  <c:v>78009.379730000001</c:v>
                </c:pt>
                <c:pt idx="1059">
                  <c:v>78012.969889999993</c:v>
                </c:pt>
                <c:pt idx="1060">
                  <c:v>78016.560039999997</c:v>
                </c:pt>
                <c:pt idx="1061">
                  <c:v>78020.15019</c:v>
                </c:pt>
                <c:pt idx="1062">
                  <c:v>78023.740340000004</c:v>
                </c:pt>
                <c:pt idx="1063">
                  <c:v>78027.330499999996</c:v>
                </c:pt>
                <c:pt idx="1064">
                  <c:v>78030.92065</c:v>
                </c:pt>
                <c:pt idx="1065">
                  <c:v>78034.510800000004</c:v>
                </c:pt>
                <c:pt idx="1066">
                  <c:v>78038.100959999996</c:v>
                </c:pt>
                <c:pt idx="1067">
                  <c:v>78041.69111</c:v>
                </c:pt>
                <c:pt idx="1068">
                  <c:v>78045.281260000003</c:v>
                </c:pt>
                <c:pt idx="1069">
                  <c:v>78048.871419999996</c:v>
                </c:pt>
                <c:pt idx="1070">
                  <c:v>78052.461569999999</c:v>
                </c:pt>
                <c:pt idx="1071">
                  <c:v>78056.051720000003</c:v>
                </c:pt>
                <c:pt idx="1072">
                  <c:v>78059.641879999996</c:v>
                </c:pt>
                <c:pt idx="1073">
                  <c:v>78063.232029999999</c:v>
                </c:pt>
                <c:pt idx="1074">
                  <c:v>78066.822180000003</c:v>
                </c:pt>
                <c:pt idx="1075">
                  <c:v>78070.412339999995</c:v>
                </c:pt>
                <c:pt idx="1076">
                  <c:v>78074.002489999999</c:v>
                </c:pt>
                <c:pt idx="1077">
                  <c:v>78077.592640000003</c:v>
                </c:pt>
                <c:pt idx="1078">
                  <c:v>78081.182799999995</c:v>
                </c:pt>
                <c:pt idx="1079">
                  <c:v>78084.772949999999</c:v>
                </c:pt>
                <c:pt idx="1080">
                  <c:v>78088.363100000002</c:v>
                </c:pt>
                <c:pt idx="1081">
                  <c:v>78091.953259999995</c:v>
                </c:pt>
                <c:pt idx="1082">
                  <c:v>78095.543409999998</c:v>
                </c:pt>
                <c:pt idx="1083">
                  <c:v>78099.133560000002</c:v>
                </c:pt>
                <c:pt idx="1084">
                  <c:v>78102.723719999995</c:v>
                </c:pt>
                <c:pt idx="1085">
                  <c:v>78106.313869999998</c:v>
                </c:pt>
                <c:pt idx="1086">
                  <c:v>78109.904020000002</c:v>
                </c:pt>
                <c:pt idx="1087">
                  <c:v>78113.494179999994</c:v>
                </c:pt>
                <c:pt idx="1088">
                  <c:v>78117.084329999998</c:v>
                </c:pt>
                <c:pt idx="1089">
                  <c:v>78120.674480000001</c:v>
                </c:pt>
                <c:pt idx="1090">
                  <c:v>78124.264639999994</c:v>
                </c:pt>
                <c:pt idx="1091">
                  <c:v>78127.854789999998</c:v>
                </c:pt>
                <c:pt idx="1092">
                  <c:v>78131.444940000001</c:v>
                </c:pt>
                <c:pt idx="1093">
                  <c:v>78135.035099999994</c:v>
                </c:pt>
                <c:pt idx="1094">
                  <c:v>78138.625249999997</c:v>
                </c:pt>
                <c:pt idx="1095">
                  <c:v>78142.215400000001</c:v>
                </c:pt>
                <c:pt idx="1096">
                  <c:v>78145.805559999993</c:v>
                </c:pt>
                <c:pt idx="1097">
                  <c:v>78149.395709999997</c:v>
                </c:pt>
                <c:pt idx="1098">
                  <c:v>78152.985860000001</c:v>
                </c:pt>
                <c:pt idx="1099">
                  <c:v>78156.576019999993</c:v>
                </c:pt>
                <c:pt idx="1100">
                  <c:v>78160.166169999997</c:v>
                </c:pt>
                <c:pt idx="1101">
                  <c:v>78163.75632</c:v>
                </c:pt>
                <c:pt idx="1102">
                  <c:v>78167.346479999993</c:v>
                </c:pt>
                <c:pt idx="1103">
                  <c:v>78170.936629999997</c:v>
                </c:pt>
                <c:pt idx="1104">
                  <c:v>78174.52678</c:v>
                </c:pt>
                <c:pt idx="1105">
                  <c:v>78178.116930000004</c:v>
                </c:pt>
                <c:pt idx="1106">
                  <c:v>78181.707089999996</c:v>
                </c:pt>
                <c:pt idx="1107">
                  <c:v>78185.29724</c:v>
                </c:pt>
                <c:pt idx="1108">
                  <c:v>78188.887390000004</c:v>
                </c:pt>
                <c:pt idx="1109">
                  <c:v>78192.477549999996</c:v>
                </c:pt>
                <c:pt idx="1110">
                  <c:v>78196.0677</c:v>
                </c:pt>
                <c:pt idx="1111">
                  <c:v>78199.657850000003</c:v>
                </c:pt>
                <c:pt idx="1112">
                  <c:v>78203.248009999996</c:v>
                </c:pt>
                <c:pt idx="1113">
                  <c:v>78206.838159999999</c:v>
                </c:pt>
                <c:pt idx="1114">
                  <c:v>78210.428310000003</c:v>
                </c:pt>
                <c:pt idx="1115">
                  <c:v>78214.018469999995</c:v>
                </c:pt>
                <c:pt idx="1116">
                  <c:v>78217.608619999999</c:v>
                </c:pt>
                <c:pt idx="1117">
                  <c:v>78221.198770000003</c:v>
                </c:pt>
                <c:pt idx="1118">
                  <c:v>78224.788929999995</c:v>
                </c:pt>
                <c:pt idx="1119">
                  <c:v>78228.379079999999</c:v>
                </c:pt>
                <c:pt idx="1120">
                  <c:v>78231.969230000002</c:v>
                </c:pt>
                <c:pt idx="1121">
                  <c:v>78235.559389999995</c:v>
                </c:pt>
                <c:pt idx="1122">
                  <c:v>78239.149539999999</c:v>
                </c:pt>
                <c:pt idx="1123">
                  <c:v>78242.739690000002</c:v>
                </c:pt>
                <c:pt idx="1124">
                  <c:v>78246.329849999995</c:v>
                </c:pt>
                <c:pt idx="1125">
                  <c:v>78249.919999999998</c:v>
                </c:pt>
                <c:pt idx="1126">
                  <c:v>78249.987469999993</c:v>
                </c:pt>
                <c:pt idx="1127">
                  <c:v>78250.054929999998</c:v>
                </c:pt>
                <c:pt idx="1128">
                  <c:v>78250.122399999993</c:v>
                </c:pt>
                <c:pt idx="1129">
                  <c:v>78250.189870000002</c:v>
                </c:pt>
                <c:pt idx="1130">
                  <c:v>78250.257339999996</c:v>
                </c:pt>
                <c:pt idx="1131">
                  <c:v>78250.324800000002</c:v>
                </c:pt>
                <c:pt idx="1132">
                  <c:v>78250.392269999997</c:v>
                </c:pt>
                <c:pt idx="1133">
                  <c:v>78250.459740000006</c:v>
                </c:pt>
                <c:pt idx="1134">
                  <c:v>78250.527199999997</c:v>
                </c:pt>
                <c:pt idx="1135">
                  <c:v>78250.594670000006</c:v>
                </c:pt>
                <c:pt idx="1136">
                  <c:v>78250.66214</c:v>
                </c:pt>
                <c:pt idx="1137">
                  <c:v>78250.729609999995</c:v>
                </c:pt>
                <c:pt idx="1138">
                  <c:v>78250.797070000001</c:v>
                </c:pt>
                <c:pt idx="1139">
                  <c:v>78250.864539999995</c:v>
                </c:pt>
                <c:pt idx="1140">
                  <c:v>78250.932010000004</c:v>
                </c:pt>
                <c:pt idx="1141">
                  <c:v>78250.999469999995</c:v>
                </c:pt>
                <c:pt idx="1142">
                  <c:v>78251.066940000004</c:v>
                </c:pt>
                <c:pt idx="1143">
                  <c:v>78251.134409999999</c:v>
                </c:pt>
                <c:pt idx="1144">
                  <c:v>78251.201879999993</c:v>
                </c:pt>
                <c:pt idx="1145">
                  <c:v>78251.269339999999</c:v>
                </c:pt>
                <c:pt idx="1146">
                  <c:v>78251.336809999993</c:v>
                </c:pt>
                <c:pt idx="1147">
                  <c:v>78251.404280000002</c:v>
                </c:pt>
                <c:pt idx="1148">
                  <c:v>78251.471739999994</c:v>
                </c:pt>
                <c:pt idx="1149">
                  <c:v>78251.539210000003</c:v>
                </c:pt>
                <c:pt idx="1150">
                  <c:v>78251.606679999997</c:v>
                </c:pt>
                <c:pt idx="1151">
                  <c:v>78251.674140000003</c:v>
                </c:pt>
                <c:pt idx="1152">
                  <c:v>78251.741609999997</c:v>
                </c:pt>
                <c:pt idx="1153">
                  <c:v>78251.809080000006</c:v>
                </c:pt>
                <c:pt idx="1154">
                  <c:v>78251.876550000001</c:v>
                </c:pt>
                <c:pt idx="1155">
                  <c:v>78251.944010000007</c:v>
                </c:pt>
                <c:pt idx="1156">
                  <c:v>78252.011480000001</c:v>
                </c:pt>
                <c:pt idx="1157">
                  <c:v>78252.078949999996</c:v>
                </c:pt>
                <c:pt idx="1158">
                  <c:v>78252.146410000001</c:v>
                </c:pt>
                <c:pt idx="1159">
                  <c:v>78252.213879999996</c:v>
                </c:pt>
                <c:pt idx="1160">
                  <c:v>78252.281350000005</c:v>
                </c:pt>
                <c:pt idx="1161">
                  <c:v>78252.348819999999</c:v>
                </c:pt>
                <c:pt idx="1162">
                  <c:v>78252.416280000005</c:v>
                </c:pt>
                <c:pt idx="1163">
                  <c:v>78252.483749999999</c:v>
                </c:pt>
                <c:pt idx="1164">
                  <c:v>78252.551219999994</c:v>
                </c:pt>
                <c:pt idx="1165">
                  <c:v>78252.61868</c:v>
                </c:pt>
                <c:pt idx="1166">
                  <c:v>78252.686149999994</c:v>
                </c:pt>
                <c:pt idx="1167">
                  <c:v>78252.753620000003</c:v>
                </c:pt>
                <c:pt idx="1168">
                  <c:v>78252.821089999998</c:v>
                </c:pt>
                <c:pt idx="1169">
                  <c:v>78252.888550000003</c:v>
                </c:pt>
                <c:pt idx="1170">
                  <c:v>78252.956019999998</c:v>
                </c:pt>
                <c:pt idx="1171">
                  <c:v>78253.023490000007</c:v>
                </c:pt>
                <c:pt idx="1172">
                  <c:v>78253.090949999998</c:v>
                </c:pt>
                <c:pt idx="1173">
                  <c:v>78253.158420000007</c:v>
                </c:pt>
                <c:pt idx="1174">
                  <c:v>78253.225890000002</c:v>
                </c:pt>
                <c:pt idx="1175">
                  <c:v>78253.293359999996</c:v>
                </c:pt>
                <c:pt idx="1176">
                  <c:v>78253.360820000002</c:v>
                </c:pt>
                <c:pt idx="1177">
                  <c:v>78253.428289999996</c:v>
                </c:pt>
                <c:pt idx="1178">
                  <c:v>78253.495760000005</c:v>
                </c:pt>
                <c:pt idx="1179">
                  <c:v>78253.563219999996</c:v>
                </c:pt>
                <c:pt idx="1180">
                  <c:v>78253.630690000005</c:v>
                </c:pt>
                <c:pt idx="1181">
                  <c:v>78253.69816</c:v>
                </c:pt>
                <c:pt idx="1182">
                  <c:v>78253.765629999994</c:v>
                </c:pt>
                <c:pt idx="1183">
                  <c:v>78253.83309</c:v>
                </c:pt>
                <c:pt idx="1184">
                  <c:v>78253.900559999995</c:v>
                </c:pt>
                <c:pt idx="1185">
                  <c:v>78253.968030000004</c:v>
                </c:pt>
                <c:pt idx="1186">
                  <c:v>78254.035489999995</c:v>
                </c:pt>
                <c:pt idx="1187">
                  <c:v>78254.102960000004</c:v>
                </c:pt>
                <c:pt idx="1188">
                  <c:v>78254.170429999998</c:v>
                </c:pt>
                <c:pt idx="1189">
                  <c:v>78254.237890000004</c:v>
                </c:pt>
                <c:pt idx="1190">
                  <c:v>78254.305359999998</c:v>
                </c:pt>
                <c:pt idx="1191">
                  <c:v>78254.372829999993</c:v>
                </c:pt>
                <c:pt idx="1192">
                  <c:v>78254.440300000002</c:v>
                </c:pt>
                <c:pt idx="1193">
                  <c:v>78254.507759999993</c:v>
                </c:pt>
                <c:pt idx="1194">
                  <c:v>78254.575230000002</c:v>
                </c:pt>
                <c:pt idx="1195">
                  <c:v>78254.642699999997</c:v>
                </c:pt>
                <c:pt idx="1196">
                  <c:v>78254.710160000002</c:v>
                </c:pt>
                <c:pt idx="1197">
                  <c:v>78254.777629999997</c:v>
                </c:pt>
                <c:pt idx="1198">
                  <c:v>78254.845100000006</c:v>
                </c:pt>
                <c:pt idx="1199">
                  <c:v>78254.91257</c:v>
                </c:pt>
                <c:pt idx="1200">
                  <c:v>78254.980030000006</c:v>
                </c:pt>
                <c:pt idx="1201">
                  <c:v>78255.047500000001</c:v>
                </c:pt>
                <c:pt idx="1202">
                  <c:v>78255.114969999995</c:v>
                </c:pt>
                <c:pt idx="1203">
                  <c:v>78255.182430000001</c:v>
                </c:pt>
                <c:pt idx="1204">
                  <c:v>78255.249899999995</c:v>
                </c:pt>
                <c:pt idx="1205">
                  <c:v>78255.317370000004</c:v>
                </c:pt>
                <c:pt idx="1206">
                  <c:v>78255.384839999999</c:v>
                </c:pt>
                <c:pt idx="1207">
                  <c:v>78255.452300000004</c:v>
                </c:pt>
                <c:pt idx="1208">
                  <c:v>78255.519769999999</c:v>
                </c:pt>
                <c:pt idx="1209">
                  <c:v>78255.587239999993</c:v>
                </c:pt>
                <c:pt idx="1210">
                  <c:v>78255.654699999999</c:v>
                </c:pt>
                <c:pt idx="1211">
                  <c:v>78255.722169999994</c:v>
                </c:pt>
                <c:pt idx="1212">
                  <c:v>78255.789640000003</c:v>
                </c:pt>
                <c:pt idx="1213">
                  <c:v>78255.857109999997</c:v>
                </c:pt>
                <c:pt idx="1214">
                  <c:v>78255.924570000003</c:v>
                </c:pt>
                <c:pt idx="1215">
                  <c:v>78255.992039999997</c:v>
                </c:pt>
                <c:pt idx="1216">
                  <c:v>78256.059510000006</c:v>
                </c:pt>
                <c:pt idx="1217">
                  <c:v>78256.126969999998</c:v>
                </c:pt>
                <c:pt idx="1218">
                  <c:v>78256.194440000007</c:v>
                </c:pt>
                <c:pt idx="1219">
                  <c:v>78256.261910000001</c:v>
                </c:pt>
                <c:pt idx="1220">
                  <c:v>78256.329379999996</c:v>
                </c:pt>
                <c:pt idx="1221">
                  <c:v>78256.396840000001</c:v>
                </c:pt>
                <c:pt idx="1222">
                  <c:v>78256.464309999996</c:v>
                </c:pt>
                <c:pt idx="1223">
                  <c:v>78256.531780000005</c:v>
                </c:pt>
                <c:pt idx="1224">
                  <c:v>78256.599239999996</c:v>
                </c:pt>
                <c:pt idx="1225">
                  <c:v>78256.666710000005</c:v>
                </c:pt>
                <c:pt idx="1226">
                  <c:v>78256.734179999999</c:v>
                </c:pt>
                <c:pt idx="1227">
                  <c:v>78256.801640000005</c:v>
                </c:pt>
                <c:pt idx="1228">
                  <c:v>78256.86911</c:v>
                </c:pt>
                <c:pt idx="1229">
                  <c:v>78256.936579999994</c:v>
                </c:pt>
                <c:pt idx="1230">
                  <c:v>78257.004050000003</c:v>
                </c:pt>
                <c:pt idx="1231">
                  <c:v>78257.071509999994</c:v>
                </c:pt>
                <c:pt idx="1232">
                  <c:v>78257.138980000003</c:v>
                </c:pt>
                <c:pt idx="1233">
                  <c:v>78257.206449999998</c:v>
                </c:pt>
                <c:pt idx="1234">
                  <c:v>78257.273910000004</c:v>
                </c:pt>
                <c:pt idx="1235">
                  <c:v>78257.341379999998</c:v>
                </c:pt>
                <c:pt idx="1236">
                  <c:v>78257.408850000007</c:v>
                </c:pt>
                <c:pt idx="1237">
                  <c:v>78257.476320000002</c:v>
                </c:pt>
                <c:pt idx="1238">
                  <c:v>78257.543780000007</c:v>
                </c:pt>
                <c:pt idx="1239">
                  <c:v>78257.611250000002</c:v>
                </c:pt>
                <c:pt idx="1240">
                  <c:v>78257.678719999996</c:v>
                </c:pt>
                <c:pt idx="1241">
                  <c:v>78257.746180000002</c:v>
                </c:pt>
                <c:pt idx="1242">
                  <c:v>78257.813649999996</c:v>
                </c:pt>
                <c:pt idx="1243">
                  <c:v>78257.881120000005</c:v>
                </c:pt>
                <c:pt idx="1244">
                  <c:v>78257.94859</c:v>
                </c:pt>
                <c:pt idx="1245">
                  <c:v>78258.016050000006</c:v>
                </c:pt>
                <c:pt idx="1246">
                  <c:v>78258.08352</c:v>
                </c:pt>
                <c:pt idx="1247">
                  <c:v>78258.150989999995</c:v>
                </c:pt>
                <c:pt idx="1248">
                  <c:v>78258.21845</c:v>
                </c:pt>
                <c:pt idx="1249">
                  <c:v>78258.285919999995</c:v>
                </c:pt>
                <c:pt idx="1250">
                  <c:v>78258.353390000004</c:v>
                </c:pt>
                <c:pt idx="1251">
                  <c:v>78258.420859999998</c:v>
                </c:pt>
                <c:pt idx="1252">
                  <c:v>78258.488320000004</c:v>
                </c:pt>
                <c:pt idx="1253">
                  <c:v>78258.555789999999</c:v>
                </c:pt>
                <c:pt idx="1254">
                  <c:v>78258.623259999993</c:v>
                </c:pt>
                <c:pt idx="1255">
                  <c:v>78258.690719999999</c:v>
                </c:pt>
                <c:pt idx="1256">
                  <c:v>78258.758189999993</c:v>
                </c:pt>
                <c:pt idx="1257">
                  <c:v>78258.825660000002</c:v>
                </c:pt>
                <c:pt idx="1258">
                  <c:v>78258.893129999997</c:v>
                </c:pt>
                <c:pt idx="1259">
                  <c:v>78258.960590000002</c:v>
                </c:pt>
                <c:pt idx="1260">
                  <c:v>78259.028059999997</c:v>
                </c:pt>
                <c:pt idx="1261">
                  <c:v>78259.095530000006</c:v>
                </c:pt>
                <c:pt idx="1262">
                  <c:v>78259.162989999997</c:v>
                </c:pt>
                <c:pt idx="1263">
                  <c:v>78259.230460000006</c:v>
                </c:pt>
                <c:pt idx="1264">
                  <c:v>78259.297930000001</c:v>
                </c:pt>
                <c:pt idx="1265">
                  <c:v>78259.365390000006</c:v>
                </c:pt>
                <c:pt idx="1266">
                  <c:v>78259.432860000001</c:v>
                </c:pt>
                <c:pt idx="1267">
                  <c:v>78259.500329999995</c:v>
                </c:pt>
                <c:pt idx="1268">
                  <c:v>78259.567800000004</c:v>
                </c:pt>
                <c:pt idx="1269">
                  <c:v>78259.635259999995</c:v>
                </c:pt>
                <c:pt idx="1270">
                  <c:v>78259.702730000005</c:v>
                </c:pt>
                <c:pt idx="1271">
                  <c:v>78259.770199999999</c:v>
                </c:pt>
                <c:pt idx="1272">
                  <c:v>78259.837660000005</c:v>
                </c:pt>
                <c:pt idx="1273">
                  <c:v>78259.905129999999</c:v>
                </c:pt>
                <c:pt idx="1274">
                  <c:v>78259.972599999994</c:v>
                </c:pt>
                <c:pt idx="1275">
                  <c:v>78260.040070000003</c:v>
                </c:pt>
                <c:pt idx="1276">
                  <c:v>78260.107529999994</c:v>
                </c:pt>
                <c:pt idx="1277">
                  <c:v>78260.175000000003</c:v>
                </c:pt>
                <c:pt idx="1278">
                  <c:v>78260.242469999997</c:v>
                </c:pt>
                <c:pt idx="1279">
                  <c:v>78260.309930000003</c:v>
                </c:pt>
                <c:pt idx="1280">
                  <c:v>78260.377399999998</c:v>
                </c:pt>
                <c:pt idx="1281">
                  <c:v>78260.444870000007</c:v>
                </c:pt>
                <c:pt idx="1282">
                  <c:v>78260.512340000001</c:v>
                </c:pt>
                <c:pt idx="1283">
                  <c:v>78260.579800000007</c:v>
                </c:pt>
                <c:pt idx="1284">
                  <c:v>78260.647270000001</c:v>
                </c:pt>
                <c:pt idx="1285">
                  <c:v>78260.714739999996</c:v>
                </c:pt>
                <c:pt idx="1286">
                  <c:v>78260.782200000001</c:v>
                </c:pt>
                <c:pt idx="1287">
                  <c:v>78260.849669999996</c:v>
                </c:pt>
                <c:pt idx="1288">
                  <c:v>78260.917140000005</c:v>
                </c:pt>
                <c:pt idx="1289">
                  <c:v>78260.98461</c:v>
                </c:pt>
                <c:pt idx="1290">
                  <c:v>78261.052070000005</c:v>
                </c:pt>
                <c:pt idx="1291">
                  <c:v>78261.11954</c:v>
                </c:pt>
                <c:pt idx="1292">
                  <c:v>78261.187009999994</c:v>
                </c:pt>
                <c:pt idx="1293">
                  <c:v>78261.25447</c:v>
                </c:pt>
                <c:pt idx="1294">
                  <c:v>78261.321939999994</c:v>
                </c:pt>
                <c:pt idx="1295">
                  <c:v>78261.389410000003</c:v>
                </c:pt>
                <c:pt idx="1296">
                  <c:v>78261.456879999998</c:v>
                </c:pt>
                <c:pt idx="1297">
                  <c:v>78261.524340000004</c:v>
                </c:pt>
                <c:pt idx="1298">
                  <c:v>78261.591809999998</c:v>
                </c:pt>
                <c:pt idx="1299">
                  <c:v>78261.659280000007</c:v>
                </c:pt>
                <c:pt idx="1300">
                  <c:v>78261.726739999998</c:v>
                </c:pt>
                <c:pt idx="1301">
                  <c:v>78261.794209999993</c:v>
                </c:pt>
                <c:pt idx="1302">
                  <c:v>78261.861680000002</c:v>
                </c:pt>
                <c:pt idx="1303">
                  <c:v>78261.929139999993</c:v>
                </c:pt>
                <c:pt idx="1304">
                  <c:v>78261.996610000002</c:v>
                </c:pt>
                <c:pt idx="1305">
                  <c:v>78262.064079999996</c:v>
                </c:pt>
                <c:pt idx="1306">
                  <c:v>78262.131550000006</c:v>
                </c:pt>
                <c:pt idx="1307">
                  <c:v>78262.199009999997</c:v>
                </c:pt>
                <c:pt idx="1308">
                  <c:v>78262.266480000006</c:v>
                </c:pt>
                <c:pt idx="1309">
                  <c:v>78262.33395</c:v>
                </c:pt>
                <c:pt idx="1310">
                  <c:v>78262.401410000006</c:v>
                </c:pt>
                <c:pt idx="1311">
                  <c:v>78262.46888</c:v>
                </c:pt>
                <c:pt idx="1312">
                  <c:v>78262.536349999995</c:v>
                </c:pt>
                <c:pt idx="1313">
                  <c:v>78262.603820000004</c:v>
                </c:pt>
                <c:pt idx="1314">
                  <c:v>78262.671279999995</c:v>
                </c:pt>
                <c:pt idx="1315">
                  <c:v>78262.738750000004</c:v>
                </c:pt>
                <c:pt idx="1316">
                  <c:v>78262.806219999999</c:v>
                </c:pt>
                <c:pt idx="1317">
                  <c:v>78262.873680000004</c:v>
                </c:pt>
                <c:pt idx="1318">
                  <c:v>78262.941149999999</c:v>
                </c:pt>
                <c:pt idx="1319">
                  <c:v>78263.008619999993</c:v>
                </c:pt>
                <c:pt idx="1320">
                  <c:v>78263.076090000002</c:v>
                </c:pt>
                <c:pt idx="1321">
                  <c:v>78263.143549999993</c:v>
                </c:pt>
                <c:pt idx="1322">
                  <c:v>78263.211020000002</c:v>
                </c:pt>
                <c:pt idx="1323">
                  <c:v>78263.278489999997</c:v>
                </c:pt>
                <c:pt idx="1324">
                  <c:v>78263.345950000003</c:v>
                </c:pt>
                <c:pt idx="1325">
                  <c:v>78263.413419999997</c:v>
                </c:pt>
                <c:pt idx="1326">
                  <c:v>78263.480890000006</c:v>
                </c:pt>
                <c:pt idx="1327">
                  <c:v>78263.548360000001</c:v>
                </c:pt>
                <c:pt idx="1328">
                  <c:v>78263.615820000006</c:v>
                </c:pt>
                <c:pt idx="1329">
                  <c:v>78263.683290000001</c:v>
                </c:pt>
                <c:pt idx="1330">
                  <c:v>78263.750759999995</c:v>
                </c:pt>
                <c:pt idx="1331">
                  <c:v>78263.818220000001</c:v>
                </c:pt>
                <c:pt idx="1332">
                  <c:v>78263.885689999996</c:v>
                </c:pt>
                <c:pt idx="1333">
                  <c:v>78263.953160000005</c:v>
                </c:pt>
                <c:pt idx="1334">
                  <c:v>78264.020629999999</c:v>
                </c:pt>
                <c:pt idx="1335">
                  <c:v>78264.088090000005</c:v>
                </c:pt>
                <c:pt idx="1336">
                  <c:v>78264.155559999999</c:v>
                </c:pt>
                <c:pt idx="1337">
                  <c:v>78264.223029999994</c:v>
                </c:pt>
                <c:pt idx="1338">
                  <c:v>78264.290489999999</c:v>
                </c:pt>
                <c:pt idx="1339">
                  <c:v>78264.357959999994</c:v>
                </c:pt>
                <c:pt idx="1340">
                  <c:v>78264.425430000003</c:v>
                </c:pt>
                <c:pt idx="1341">
                  <c:v>78264.492889999994</c:v>
                </c:pt>
                <c:pt idx="1342">
                  <c:v>78264.560360000003</c:v>
                </c:pt>
                <c:pt idx="1343">
                  <c:v>78264.627829999998</c:v>
                </c:pt>
                <c:pt idx="1344">
                  <c:v>78264.695300000007</c:v>
                </c:pt>
                <c:pt idx="1345">
                  <c:v>78264.762759999998</c:v>
                </c:pt>
                <c:pt idx="1346">
                  <c:v>78264.830230000007</c:v>
                </c:pt>
                <c:pt idx="1347">
                  <c:v>78264.897700000001</c:v>
                </c:pt>
                <c:pt idx="1348">
                  <c:v>78264.965160000007</c:v>
                </c:pt>
                <c:pt idx="1349">
                  <c:v>78265.032630000002</c:v>
                </c:pt>
                <c:pt idx="1350">
                  <c:v>78265.100099999996</c:v>
                </c:pt>
                <c:pt idx="1351">
                  <c:v>78265.167570000005</c:v>
                </c:pt>
                <c:pt idx="1352">
                  <c:v>78265.235029999996</c:v>
                </c:pt>
                <c:pt idx="1353">
                  <c:v>78265.302500000005</c:v>
                </c:pt>
                <c:pt idx="1354">
                  <c:v>78265.36997</c:v>
                </c:pt>
                <c:pt idx="1355">
                  <c:v>78265.437430000005</c:v>
                </c:pt>
                <c:pt idx="1356">
                  <c:v>78265.5049</c:v>
                </c:pt>
                <c:pt idx="1357">
                  <c:v>78265.572369999994</c:v>
                </c:pt>
                <c:pt idx="1358">
                  <c:v>78265.639840000003</c:v>
                </c:pt>
                <c:pt idx="1359">
                  <c:v>78265.707299999995</c:v>
                </c:pt>
                <c:pt idx="1360">
                  <c:v>78265.774770000004</c:v>
                </c:pt>
                <c:pt idx="1361">
                  <c:v>78265.842239999998</c:v>
                </c:pt>
                <c:pt idx="1362">
                  <c:v>78265.909700000004</c:v>
                </c:pt>
                <c:pt idx="1363">
                  <c:v>78265.977169999998</c:v>
                </c:pt>
                <c:pt idx="1364">
                  <c:v>78266.044639999993</c:v>
                </c:pt>
                <c:pt idx="1365">
                  <c:v>78266.112110000002</c:v>
                </c:pt>
                <c:pt idx="1366">
                  <c:v>78266.179569999993</c:v>
                </c:pt>
                <c:pt idx="1367">
                  <c:v>78266.247040000002</c:v>
                </c:pt>
                <c:pt idx="1368">
                  <c:v>78266.314509999997</c:v>
                </c:pt>
                <c:pt idx="1369">
                  <c:v>78266.381970000002</c:v>
                </c:pt>
                <c:pt idx="1370">
                  <c:v>78266.449439999997</c:v>
                </c:pt>
                <c:pt idx="1371">
                  <c:v>78266.516910000006</c:v>
                </c:pt>
                <c:pt idx="1372">
                  <c:v>78266.58438</c:v>
                </c:pt>
                <c:pt idx="1373">
                  <c:v>78266.651840000006</c:v>
                </c:pt>
                <c:pt idx="1374">
                  <c:v>78266.71931</c:v>
                </c:pt>
                <c:pt idx="1375">
                  <c:v>78266.786779999995</c:v>
                </c:pt>
                <c:pt idx="1376">
                  <c:v>78266.854240000001</c:v>
                </c:pt>
                <c:pt idx="1377">
                  <c:v>78266.921709999995</c:v>
                </c:pt>
                <c:pt idx="1378">
                  <c:v>78266.989180000004</c:v>
                </c:pt>
                <c:pt idx="1379">
                  <c:v>78267.056639999995</c:v>
                </c:pt>
                <c:pt idx="1380">
                  <c:v>78267.124110000004</c:v>
                </c:pt>
                <c:pt idx="1381">
                  <c:v>78267.191579999999</c:v>
                </c:pt>
                <c:pt idx="1382">
                  <c:v>78267.259049999993</c:v>
                </c:pt>
                <c:pt idx="1383">
                  <c:v>78267.326509999999</c:v>
                </c:pt>
                <c:pt idx="1384">
                  <c:v>78267.393979999993</c:v>
                </c:pt>
                <c:pt idx="1385">
                  <c:v>78267.461450000003</c:v>
                </c:pt>
                <c:pt idx="1386">
                  <c:v>78267.528909999994</c:v>
                </c:pt>
                <c:pt idx="1387">
                  <c:v>78267.596380000003</c:v>
                </c:pt>
                <c:pt idx="1388">
                  <c:v>78267.663849999997</c:v>
                </c:pt>
                <c:pt idx="1389">
                  <c:v>78267.731320000006</c:v>
                </c:pt>
                <c:pt idx="1390">
                  <c:v>78267.798779999997</c:v>
                </c:pt>
                <c:pt idx="1391">
                  <c:v>78267.866250000006</c:v>
                </c:pt>
                <c:pt idx="1392">
                  <c:v>78267.933720000001</c:v>
                </c:pt>
                <c:pt idx="1393">
                  <c:v>78268.001180000007</c:v>
                </c:pt>
                <c:pt idx="1394">
                  <c:v>78268.068650000001</c:v>
                </c:pt>
                <c:pt idx="1395">
                  <c:v>78268.136119999996</c:v>
                </c:pt>
                <c:pt idx="1396">
                  <c:v>78268.203590000005</c:v>
                </c:pt>
                <c:pt idx="1397">
                  <c:v>78268.271049999996</c:v>
                </c:pt>
                <c:pt idx="1398">
                  <c:v>78268.338520000005</c:v>
                </c:pt>
                <c:pt idx="1399">
                  <c:v>78268.405989999999</c:v>
                </c:pt>
                <c:pt idx="1400">
                  <c:v>78268.473450000005</c:v>
                </c:pt>
                <c:pt idx="1401">
                  <c:v>78268.540919999999</c:v>
                </c:pt>
                <c:pt idx="1402">
                  <c:v>78268.608389999994</c:v>
                </c:pt>
                <c:pt idx="1403">
                  <c:v>78268.675860000003</c:v>
                </c:pt>
                <c:pt idx="1404">
                  <c:v>78268.743319999994</c:v>
                </c:pt>
                <c:pt idx="1405">
                  <c:v>78268.810790000003</c:v>
                </c:pt>
                <c:pt idx="1406">
                  <c:v>78268.878259999998</c:v>
                </c:pt>
                <c:pt idx="1407">
                  <c:v>78268.945720000003</c:v>
                </c:pt>
                <c:pt idx="1408">
                  <c:v>78269.013189999998</c:v>
                </c:pt>
                <c:pt idx="1409">
                  <c:v>78269.080660000007</c:v>
                </c:pt>
                <c:pt idx="1410">
                  <c:v>78269.148130000001</c:v>
                </c:pt>
                <c:pt idx="1411">
                  <c:v>78269.215590000007</c:v>
                </c:pt>
                <c:pt idx="1412">
                  <c:v>78269.283060000002</c:v>
                </c:pt>
                <c:pt idx="1413">
                  <c:v>78269.350529999996</c:v>
                </c:pt>
                <c:pt idx="1414">
                  <c:v>78269.417990000002</c:v>
                </c:pt>
                <c:pt idx="1415">
                  <c:v>78269.485459999996</c:v>
                </c:pt>
                <c:pt idx="1416">
                  <c:v>78269.552930000005</c:v>
                </c:pt>
                <c:pt idx="1417">
                  <c:v>78269.620389999996</c:v>
                </c:pt>
                <c:pt idx="1418">
                  <c:v>78269.687860000005</c:v>
                </c:pt>
                <c:pt idx="1419">
                  <c:v>78269.75533</c:v>
                </c:pt>
                <c:pt idx="1420">
                  <c:v>78269.822799999994</c:v>
                </c:pt>
                <c:pt idx="1421">
                  <c:v>78269.89026</c:v>
                </c:pt>
                <c:pt idx="1422">
                  <c:v>78269.957729999995</c:v>
                </c:pt>
                <c:pt idx="1423">
                  <c:v>78270.025200000004</c:v>
                </c:pt>
                <c:pt idx="1424">
                  <c:v>78270.092659999995</c:v>
                </c:pt>
                <c:pt idx="1425">
                  <c:v>78270.160130000004</c:v>
                </c:pt>
                <c:pt idx="1426">
                  <c:v>78270.227599999998</c:v>
                </c:pt>
                <c:pt idx="1427">
                  <c:v>78270.295069999993</c:v>
                </c:pt>
                <c:pt idx="1428">
                  <c:v>78270.362529999999</c:v>
                </c:pt>
                <c:pt idx="1429">
                  <c:v>78270.429999999993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5-44E6-B510-6571DD8D3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4424607"/>
        <c:axId val="340264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Issue1949!$C$2</c15:sqref>
                        </c15:formulaRef>
                      </c:ext>
                    </c:extLst>
                    <c:strCache>
                      <c:ptCount val="1"/>
                      <c:pt idx="0">
                        <c:v> open 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Issue1949!$C$3:$C$505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83710.66</c:v>
                      </c:pt>
                      <c:pt idx="1">
                        <c:v>83642.100000000006</c:v>
                      </c:pt>
                      <c:pt idx="2">
                        <c:v>83695.88</c:v>
                      </c:pt>
                      <c:pt idx="3">
                        <c:v>83727.77</c:v>
                      </c:pt>
                      <c:pt idx="4">
                        <c:v>83725.09</c:v>
                      </c:pt>
                      <c:pt idx="5">
                        <c:v>83730.41</c:v>
                      </c:pt>
                      <c:pt idx="6">
                        <c:v>83737.41</c:v>
                      </c:pt>
                      <c:pt idx="7">
                        <c:v>83736.91</c:v>
                      </c:pt>
                      <c:pt idx="8">
                        <c:v>83709</c:v>
                      </c:pt>
                      <c:pt idx="9">
                        <c:v>83708.69</c:v>
                      </c:pt>
                      <c:pt idx="10">
                        <c:v>83729.600000000006</c:v>
                      </c:pt>
                      <c:pt idx="11">
                        <c:v>83728.460000000006</c:v>
                      </c:pt>
                      <c:pt idx="12">
                        <c:v>83740.97</c:v>
                      </c:pt>
                      <c:pt idx="13">
                        <c:v>83734.8</c:v>
                      </c:pt>
                      <c:pt idx="14">
                        <c:v>83715.199999999997</c:v>
                      </c:pt>
                      <c:pt idx="15">
                        <c:v>83699.11</c:v>
                      </c:pt>
                      <c:pt idx="16">
                        <c:v>83718.710000000006</c:v>
                      </c:pt>
                      <c:pt idx="17">
                        <c:v>83740.350000000006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83655.320000000007</c:v>
                      </c:pt>
                      <c:pt idx="21">
                        <c:v>83655.399999999994</c:v>
                      </c:pt>
                      <c:pt idx="22">
                        <c:v>83685.009999999995</c:v>
                      </c:pt>
                      <c:pt idx="23">
                        <c:v>83685.3</c:v>
                      </c:pt>
                      <c:pt idx="24">
                        <c:v>83685.210000000006</c:v>
                      </c:pt>
                      <c:pt idx="25">
                        <c:v>83712.789999999994</c:v>
                      </c:pt>
                      <c:pt idx="26">
                        <c:v>83697.820000000007</c:v>
                      </c:pt>
                      <c:pt idx="27">
                        <c:v>83683.960000000006</c:v>
                      </c:pt>
                      <c:pt idx="28">
                        <c:v>83669.320000000007</c:v>
                      </c:pt>
                      <c:pt idx="29">
                        <c:v>83663.81</c:v>
                      </c:pt>
                      <c:pt idx="30">
                        <c:v>83652.399999999994</c:v>
                      </c:pt>
                      <c:pt idx="31">
                        <c:v>83640.5</c:v>
                      </c:pt>
                      <c:pt idx="32">
                        <c:v>83647.91</c:v>
                      </c:pt>
                      <c:pt idx="33">
                        <c:v>83648.19</c:v>
                      </c:pt>
                      <c:pt idx="34">
                        <c:v>83668.960000000006</c:v>
                      </c:pt>
                      <c:pt idx="35">
                        <c:v>83685.100000000006</c:v>
                      </c:pt>
                      <c:pt idx="36">
                        <c:v>83700.350000000006</c:v>
                      </c:pt>
                      <c:pt idx="37">
                        <c:v>83708.600000000006</c:v>
                      </c:pt>
                      <c:pt idx="38">
                        <c:v>83730.3</c:v>
                      </c:pt>
                      <c:pt idx="39">
                        <c:v>83690.61</c:v>
                      </c:pt>
                      <c:pt idx="40">
                        <c:v>83663.61</c:v>
                      </c:pt>
                      <c:pt idx="41">
                        <c:v>83651.899999999994</c:v>
                      </c:pt>
                      <c:pt idx="42">
                        <c:v>83532.17</c:v>
                      </c:pt>
                      <c:pt idx="43">
                        <c:v>83571.710000000006</c:v>
                      </c:pt>
                      <c:pt idx="44">
                        <c:v>83522.509999999995</c:v>
                      </c:pt>
                      <c:pt idx="45">
                        <c:v>83538.210000000006</c:v>
                      </c:pt>
                      <c:pt idx="46">
                        <c:v>83491.509999999995</c:v>
                      </c:pt>
                      <c:pt idx="47">
                        <c:v>83504.2</c:v>
                      </c:pt>
                      <c:pt idx="48">
                        <c:v>83499.600000000006</c:v>
                      </c:pt>
                      <c:pt idx="49">
                        <c:v>83446.77</c:v>
                      </c:pt>
                      <c:pt idx="50">
                        <c:v>83417.34</c:v>
                      </c:pt>
                      <c:pt idx="51">
                        <c:v>83415.97</c:v>
                      </c:pt>
                      <c:pt idx="52">
                        <c:v>83373.399999999994</c:v>
                      </c:pt>
                      <c:pt idx="53">
                        <c:v>83358.47</c:v>
                      </c:pt>
                      <c:pt idx="54">
                        <c:v>83413.91</c:v>
                      </c:pt>
                      <c:pt idx="55">
                        <c:v>83416.429999999993</c:v>
                      </c:pt>
                      <c:pt idx="56">
                        <c:v>83432.91</c:v>
                      </c:pt>
                      <c:pt idx="57">
                        <c:v>83480.009999999995</c:v>
                      </c:pt>
                      <c:pt idx="58">
                        <c:v>83456.5</c:v>
                      </c:pt>
                      <c:pt idx="59">
                        <c:v>83506.350000000006</c:v>
                      </c:pt>
                      <c:pt idx="60">
                        <c:v>83514.59</c:v>
                      </c:pt>
                      <c:pt idx="61">
                        <c:v>83478.34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83503.33</c:v>
                      </c:pt>
                      <c:pt idx="65">
                        <c:v>83501.440000000002</c:v>
                      </c:pt>
                      <c:pt idx="66">
                        <c:v>83500.100000000006</c:v>
                      </c:pt>
                      <c:pt idx="67">
                        <c:v>83515</c:v>
                      </c:pt>
                      <c:pt idx="68">
                        <c:v>83484.240000000005</c:v>
                      </c:pt>
                      <c:pt idx="69">
                        <c:v>83510.8</c:v>
                      </c:pt>
                      <c:pt idx="70">
                        <c:v>83506.52</c:v>
                      </c:pt>
                      <c:pt idx="71">
                        <c:v>83504.100000000006</c:v>
                      </c:pt>
                      <c:pt idx="72">
                        <c:v>83514.320000000007</c:v>
                      </c:pt>
                      <c:pt idx="73">
                        <c:v>83555.8</c:v>
                      </c:pt>
                      <c:pt idx="74">
                        <c:v>83533.42</c:v>
                      </c:pt>
                      <c:pt idx="75">
                        <c:v>83511.83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83515.100000000006</c:v>
                      </c:pt>
                      <c:pt idx="79">
                        <c:v>83443.53</c:v>
                      </c:pt>
                      <c:pt idx="80">
                        <c:v>83426.039999999994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83292.600000000006</c:v>
                      </c:pt>
                      <c:pt idx="84">
                        <c:v>83161.100000000006</c:v>
                      </c:pt>
                      <c:pt idx="85">
                        <c:v>83150.61</c:v>
                      </c:pt>
                      <c:pt idx="86">
                        <c:v>83303.8</c:v>
                      </c:pt>
                      <c:pt idx="87">
                        <c:v>83165.08</c:v>
                      </c:pt>
                      <c:pt idx="88">
                        <c:v>83130.399999999994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83206.16</c:v>
                      </c:pt>
                      <c:pt idx="92">
                        <c:v>83209.09</c:v>
                      </c:pt>
                      <c:pt idx="93">
                        <c:v>83228.350000000006</c:v>
                      </c:pt>
                      <c:pt idx="94">
                        <c:v>83181.98</c:v>
                      </c:pt>
                      <c:pt idx="95">
                        <c:v>83182.740000000005</c:v>
                      </c:pt>
                      <c:pt idx="96">
                        <c:v>83167.53</c:v>
                      </c:pt>
                      <c:pt idx="97">
                        <c:v>83143.3</c:v>
                      </c:pt>
                      <c:pt idx="98">
                        <c:v>83124.649999999994</c:v>
                      </c:pt>
                      <c:pt idx="99">
                        <c:v>83070.05</c:v>
                      </c:pt>
                      <c:pt idx="100">
                        <c:v>83024.2</c:v>
                      </c:pt>
                      <c:pt idx="101">
                        <c:v>83048.399999999994</c:v>
                      </c:pt>
                      <c:pt idx="102">
                        <c:v>83013.25</c:v>
                      </c:pt>
                      <c:pt idx="103">
                        <c:v>82954.539999999994</c:v>
                      </c:pt>
                      <c:pt idx="104">
                        <c:v>82975.28</c:v>
                      </c:pt>
                      <c:pt idx="105">
                        <c:v>82910.990000000005</c:v>
                      </c:pt>
                      <c:pt idx="106">
                        <c:v>82917.240000000005</c:v>
                      </c:pt>
                      <c:pt idx="107">
                        <c:v>82816.61</c:v>
                      </c:pt>
                      <c:pt idx="108">
                        <c:v>82776.92</c:v>
                      </c:pt>
                      <c:pt idx="109">
                        <c:v>82939.600000000006</c:v>
                      </c:pt>
                      <c:pt idx="110">
                        <c:v>82966.990000000005</c:v>
                      </c:pt>
                      <c:pt idx="111">
                        <c:v>82858.55</c:v>
                      </c:pt>
                      <c:pt idx="112">
                        <c:v>82657.350000000006</c:v>
                      </c:pt>
                      <c:pt idx="113">
                        <c:v>82745.45</c:v>
                      </c:pt>
                      <c:pt idx="114">
                        <c:v>82624.899999999994</c:v>
                      </c:pt>
                      <c:pt idx="115">
                        <c:v>82679.38</c:v>
                      </c:pt>
                      <c:pt idx="116">
                        <c:v>82744.75</c:v>
                      </c:pt>
                      <c:pt idx="117">
                        <c:v>82747.34</c:v>
                      </c:pt>
                      <c:pt idx="118">
                        <c:v>82790.5</c:v>
                      </c:pt>
                      <c:pt idx="119">
                        <c:v>82721.240000000005</c:v>
                      </c:pt>
                      <c:pt idx="120">
                        <c:v>82760.240000000005</c:v>
                      </c:pt>
                      <c:pt idx="121">
                        <c:v>82782.66</c:v>
                      </c:pt>
                      <c:pt idx="122">
                        <c:v>82812.509999999995</c:v>
                      </c:pt>
                      <c:pt idx="123">
                        <c:v>82936.740000000005</c:v>
                      </c:pt>
                      <c:pt idx="124">
                        <c:v>82922.789999999994</c:v>
                      </c:pt>
                      <c:pt idx="125">
                        <c:v>83005.710000000006</c:v>
                      </c:pt>
                      <c:pt idx="126">
                        <c:v>82991.13</c:v>
                      </c:pt>
                      <c:pt idx="127">
                        <c:v>83077.3</c:v>
                      </c:pt>
                      <c:pt idx="128">
                        <c:v>83124.34</c:v>
                      </c:pt>
                      <c:pt idx="129">
                        <c:v>83121.7</c:v>
                      </c:pt>
                      <c:pt idx="130">
                        <c:v>83052.800000000003</c:v>
                      </c:pt>
                      <c:pt idx="131">
                        <c:v>83024.100000000006</c:v>
                      </c:pt>
                      <c:pt idx="132">
                        <c:v>83096.350000000006</c:v>
                      </c:pt>
                      <c:pt idx="133">
                        <c:v>83056.91</c:v>
                      </c:pt>
                      <c:pt idx="134">
                        <c:v>83110.350000000006</c:v>
                      </c:pt>
                      <c:pt idx="135">
                        <c:v>83161.05</c:v>
                      </c:pt>
                      <c:pt idx="136">
                        <c:v>83124.600000000006</c:v>
                      </c:pt>
                      <c:pt idx="137">
                        <c:v>83206.5</c:v>
                      </c:pt>
                      <c:pt idx="138">
                        <c:v>83047.490000000005</c:v>
                      </c:pt>
                      <c:pt idx="139">
                        <c:v>83082.039999999994</c:v>
                      </c:pt>
                      <c:pt idx="140">
                        <c:v>83107.86</c:v>
                      </c:pt>
                      <c:pt idx="141">
                        <c:v>83098.399999999994</c:v>
                      </c:pt>
                      <c:pt idx="142">
                        <c:v>83149.42</c:v>
                      </c:pt>
                      <c:pt idx="143">
                        <c:v>83117.850000000006</c:v>
                      </c:pt>
                      <c:pt idx="144">
                        <c:v>83137.990000000005</c:v>
                      </c:pt>
                      <c:pt idx="145">
                        <c:v>83149.070000000007</c:v>
                      </c:pt>
                      <c:pt idx="146">
                        <c:v>83093.2</c:v>
                      </c:pt>
                      <c:pt idx="147">
                        <c:v>83096.509999999995</c:v>
                      </c:pt>
                      <c:pt idx="148">
                        <c:v>83087.899999999994</c:v>
                      </c:pt>
                      <c:pt idx="149">
                        <c:v>83124.91</c:v>
                      </c:pt>
                      <c:pt idx="150">
                        <c:v>83112.27</c:v>
                      </c:pt>
                      <c:pt idx="151">
                        <c:v>83033.81</c:v>
                      </c:pt>
                      <c:pt idx="152">
                        <c:v>83020.87</c:v>
                      </c:pt>
                      <c:pt idx="153">
                        <c:v>82999.490000000005</c:v>
                      </c:pt>
                      <c:pt idx="154">
                        <c:v>82963.649999999994</c:v>
                      </c:pt>
                      <c:pt idx="155">
                        <c:v>82928.02</c:v>
                      </c:pt>
                      <c:pt idx="156">
                        <c:v>82859.56</c:v>
                      </c:pt>
                      <c:pt idx="157">
                        <c:v>82885.84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83097.38</c:v>
                      </c:pt>
                      <c:pt idx="164">
                        <c:v>83164.41</c:v>
                      </c:pt>
                      <c:pt idx="165">
                        <c:v>83167.210000000006</c:v>
                      </c:pt>
                      <c:pt idx="166">
                        <c:v>83194.64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83140.5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83189.23</c:v>
                      </c:pt>
                      <c:pt idx="173">
                        <c:v>83193.7</c:v>
                      </c:pt>
                      <c:pt idx="174">
                        <c:v>83198.240000000005</c:v>
                      </c:pt>
                      <c:pt idx="175">
                        <c:v>83178.429999999993</c:v>
                      </c:pt>
                      <c:pt idx="176">
                        <c:v>83173.7</c:v>
                      </c:pt>
                      <c:pt idx="177">
                        <c:v>83142.990000000005</c:v>
                      </c:pt>
                      <c:pt idx="178">
                        <c:v>83159.789999999994</c:v>
                      </c:pt>
                      <c:pt idx="179">
                        <c:v>83099.34</c:v>
                      </c:pt>
                      <c:pt idx="180">
                        <c:v>83088.5</c:v>
                      </c:pt>
                      <c:pt idx="181">
                        <c:v>83070.81</c:v>
                      </c:pt>
                      <c:pt idx="182">
                        <c:v>83092.5</c:v>
                      </c:pt>
                      <c:pt idx="183">
                        <c:v>83079.62</c:v>
                      </c:pt>
                      <c:pt idx="184">
                        <c:v>83066.67</c:v>
                      </c:pt>
                      <c:pt idx="185">
                        <c:v>83060.56</c:v>
                      </c:pt>
                      <c:pt idx="186">
                        <c:v>83102.720000000001</c:v>
                      </c:pt>
                      <c:pt idx="187">
                        <c:v>83135.399999999994</c:v>
                      </c:pt>
                      <c:pt idx="188">
                        <c:v>83121.02</c:v>
                      </c:pt>
                      <c:pt idx="189">
                        <c:v>83115.98</c:v>
                      </c:pt>
                      <c:pt idx="190">
                        <c:v>83074.91</c:v>
                      </c:pt>
                      <c:pt idx="191">
                        <c:v>83065.710000000006</c:v>
                      </c:pt>
                      <c:pt idx="192">
                        <c:v>83095.62</c:v>
                      </c:pt>
                      <c:pt idx="193">
                        <c:v>83079.81</c:v>
                      </c:pt>
                      <c:pt idx="194">
                        <c:v>83079.95</c:v>
                      </c:pt>
                      <c:pt idx="195">
                        <c:v>83058.509999999995</c:v>
                      </c:pt>
                      <c:pt idx="196">
                        <c:v>83036.75</c:v>
                      </c:pt>
                      <c:pt idx="197">
                        <c:v>83049.740000000005</c:v>
                      </c:pt>
                      <c:pt idx="198">
                        <c:v>83053.440000000002</c:v>
                      </c:pt>
                      <c:pt idx="199">
                        <c:v>82997.87</c:v>
                      </c:pt>
                      <c:pt idx="200">
                        <c:v>82942.55</c:v>
                      </c:pt>
                      <c:pt idx="201">
                        <c:v>82942.25</c:v>
                      </c:pt>
                      <c:pt idx="202">
                        <c:v>82974.92</c:v>
                      </c:pt>
                      <c:pt idx="203">
                        <c:v>83014.41</c:v>
                      </c:pt>
                      <c:pt idx="204">
                        <c:v>82982.820000000007</c:v>
                      </c:pt>
                      <c:pt idx="205">
                        <c:v>82957.66</c:v>
                      </c:pt>
                      <c:pt idx="206">
                        <c:v>82950.490000000005</c:v>
                      </c:pt>
                      <c:pt idx="207">
                        <c:v>82971.62</c:v>
                      </c:pt>
                      <c:pt idx="208">
                        <c:v>82950.37</c:v>
                      </c:pt>
                      <c:pt idx="209">
                        <c:v>82959.399999999994</c:v>
                      </c:pt>
                      <c:pt idx="210">
                        <c:v>82877.16</c:v>
                      </c:pt>
                      <c:pt idx="211">
                        <c:v>82908.759999999995</c:v>
                      </c:pt>
                      <c:pt idx="212">
                        <c:v>82940.990000000005</c:v>
                      </c:pt>
                      <c:pt idx="213">
                        <c:v>82976.41</c:v>
                      </c:pt>
                      <c:pt idx="214">
                        <c:v>82966</c:v>
                      </c:pt>
                      <c:pt idx="215">
                        <c:v>82982.509999999995</c:v>
                      </c:pt>
                      <c:pt idx="216">
                        <c:v>82941.05</c:v>
                      </c:pt>
                      <c:pt idx="217">
                        <c:v>83027.94</c:v>
                      </c:pt>
                      <c:pt idx="218">
                        <c:v>82997.48</c:v>
                      </c:pt>
                      <c:pt idx="219">
                        <c:v>83005.429999999993</c:v>
                      </c:pt>
                      <c:pt idx="220">
                        <c:v>83007.759999999995</c:v>
                      </c:pt>
                      <c:pt idx="221">
                        <c:v>83009.83</c:v>
                      </c:pt>
                      <c:pt idx="222">
                        <c:v>83034.62</c:v>
                      </c:pt>
                      <c:pt idx="223">
                        <c:v>83105.03</c:v>
                      </c:pt>
                      <c:pt idx="224">
                        <c:v>83143.48</c:v>
                      </c:pt>
                      <c:pt idx="225">
                        <c:v>83111.710000000006</c:v>
                      </c:pt>
                      <c:pt idx="226">
                        <c:v>83053.210000000006</c:v>
                      </c:pt>
                      <c:pt idx="227">
                        <c:v>83020.100000000006</c:v>
                      </c:pt>
                      <c:pt idx="228">
                        <c:v>83074.02</c:v>
                      </c:pt>
                      <c:pt idx="229">
                        <c:v>83080.88</c:v>
                      </c:pt>
                      <c:pt idx="230">
                        <c:v>83027.53</c:v>
                      </c:pt>
                      <c:pt idx="231">
                        <c:v>83055.960000000006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83099.34</c:v>
                      </c:pt>
                      <c:pt idx="235">
                        <c:v>83115.12</c:v>
                      </c:pt>
                      <c:pt idx="236">
                        <c:v>83128.23</c:v>
                      </c:pt>
                      <c:pt idx="237">
                        <c:v>83083.429999999993</c:v>
                      </c:pt>
                      <c:pt idx="238">
                        <c:v>83090.399999999994</c:v>
                      </c:pt>
                      <c:pt idx="239">
                        <c:v>83079.45</c:v>
                      </c:pt>
                      <c:pt idx="240">
                        <c:v>83057.39</c:v>
                      </c:pt>
                      <c:pt idx="241">
                        <c:v>83069.53</c:v>
                      </c:pt>
                      <c:pt idx="242">
                        <c:v>83093.759999999995</c:v>
                      </c:pt>
                      <c:pt idx="243">
                        <c:v>83016.149999999994</c:v>
                      </c:pt>
                      <c:pt idx="244">
                        <c:v>83059.05</c:v>
                      </c:pt>
                      <c:pt idx="245">
                        <c:v>83074.47</c:v>
                      </c:pt>
                      <c:pt idx="246">
                        <c:v>83121.460000000006</c:v>
                      </c:pt>
                      <c:pt idx="247">
                        <c:v>83134.740000000005</c:v>
                      </c:pt>
                      <c:pt idx="248">
                        <c:v>83109.929999999993</c:v>
                      </c:pt>
                      <c:pt idx="249">
                        <c:v>83123.199999999997</c:v>
                      </c:pt>
                      <c:pt idx="250">
                        <c:v>83083.509999999995</c:v>
                      </c:pt>
                      <c:pt idx="251">
                        <c:v>83110.84</c:v>
                      </c:pt>
                      <c:pt idx="252">
                        <c:v>83037.09</c:v>
                      </c:pt>
                      <c:pt idx="253">
                        <c:v>83063.5</c:v>
                      </c:pt>
                      <c:pt idx="254">
                        <c:v>83004.23</c:v>
                      </c:pt>
                      <c:pt idx="255">
                        <c:v>83017.86</c:v>
                      </c:pt>
                      <c:pt idx="256">
                        <c:v>82997.009999999995</c:v>
                      </c:pt>
                      <c:pt idx="257">
                        <c:v>82990.61</c:v>
                      </c:pt>
                      <c:pt idx="258">
                        <c:v>83016.66</c:v>
                      </c:pt>
                      <c:pt idx="259">
                        <c:v>83013.09</c:v>
                      </c:pt>
                      <c:pt idx="260">
                        <c:v>83006.19</c:v>
                      </c:pt>
                      <c:pt idx="261">
                        <c:v>83033.22</c:v>
                      </c:pt>
                      <c:pt idx="262">
                        <c:v>82995.41</c:v>
                      </c:pt>
                      <c:pt idx="263">
                        <c:v>83005.600000000006</c:v>
                      </c:pt>
                      <c:pt idx="264">
                        <c:v>82989.14</c:v>
                      </c:pt>
                      <c:pt idx="265">
                        <c:v>82956.490000000005</c:v>
                      </c:pt>
                      <c:pt idx="266">
                        <c:v>82963.210000000006</c:v>
                      </c:pt>
                      <c:pt idx="267">
                        <c:v>82986.03</c:v>
                      </c:pt>
                      <c:pt idx="268">
                        <c:v>83000.100000000006</c:v>
                      </c:pt>
                      <c:pt idx="269">
                        <c:v>82949.42</c:v>
                      </c:pt>
                      <c:pt idx="270">
                        <c:v>82970.649999999994</c:v>
                      </c:pt>
                      <c:pt idx="271">
                        <c:v>82996.83</c:v>
                      </c:pt>
                      <c:pt idx="272">
                        <c:v>82997.240000000005</c:v>
                      </c:pt>
                      <c:pt idx="273">
                        <c:v>82988.72</c:v>
                      </c:pt>
                      <c:pt idx="274">
                        <c:v>82993.61</c:v>
                      </c:pt>
                      <c:pt idx="275">
                        <c:v>83010</c:v>
                      </c:pt>
                      <c:pt idx="276">
                        <c:v>83017.039999999994</c:v>
                      </c:pt>
                      <c:pt idx="277">
                        <c:v>83008.39</c:v>
                      </c:pt>
                      <c:pt idx="278">
                        <c:v>83020.84</c:v>
                      </c:pt>
                      <c:pt idx="279">
                        <c:v>83011.09</c:v>
                      </c:pt>
                      <c:pt idx="280">
                        <c:v>82957.429999999993</c:v>
                      </c:pt>
                      <c:pt idx="281">
                        <c:v>82954.740000000005</c:v>
                      </c:pt>
                      <c:pt idx="282">
                        <c:v>82975.8</c:v>
                      </c:pt>
                      <c:pt idx="283">
                        <c:v>83010.399999999994</c:v>
                      </c:pt>
                      <c:pt idx="284">
                        <c:v>82986.83</c:v>
                      </c:pt>
                      <c:pt idx="285">
                        <c:v>82986.91</c:v>
                      </c:pt>
                      <c:pt idx="286">
                        <c:v>82987.8</c:v>
                      </c:pt>
                      <c:pt idx="287">
                        <c:v>83001.31</c:v>
                      </c:pt>
                      <c:pt idx="288">
                        <c:v>82991.55</c:v>
                      </c:pt>
                      <c:pt idx="289">
                        <c:v>82977.509999999995</c:v>
                      </c:pt>
                      <c:pt idx="290">
                        <c:v>82990.350000000006</c:v>
                      </c:pt>
                      <c:pt idx="291">
                        <c:v>82973.679999999993</c:v>
                      </c:pt>
                      <c:pt idx="292">
                        <c:v>82970.490000000005</c:v>
                      </c:pt>
                      <c:pt idx="293">
                        <c:v>82973.149999999994</c:v>
                      </c:pt>
                      <c:pt idx="294">
                        <c:v>82979.3</c:v>
                      </c:pt>
                      <c:pt idx="295">
                        <c:v>82970.61</c:v>
                      </c:pt>
                      <c:pt idx="296">
                        <c:v>82933.3</c:v>
                      </c:pt>
                      <c:pt idx="297">
                        <c:v>82947.210000000006</c:v>
                      </c:pt>
                      <c:pt idx="298">
                        <c:v>82915.19</c:v>
                      </c:pt>
                      <c:pt idx="299">
                        <c:v>82936.210000000006</c:v>
                      </c:pt>
                      <c:pt idx="300">
                        <c:v>82922.97</c:v>
                      </c:pt>
                      <c:pt idx="301">
                        <c:v>82957.63</c:v>
                      </c:pt>
                      <c:pt idx="302">
                        <c:v>82972.12</c:v>
                      </c:pt>
                      <c:pt idx="303">
                        <c:v>82908.61</c:v>
                      </c:pt>
                      <c:pt idx="304">
                        <c:v>82835.55</c:v>
                      </c:pt>
                      <c:pt idx="305">
                        <c:v>82886.399999999994</c:v>
                      </c:pt>
                      <c:pt idx="306">
                        <c:v>82920.600000000006</c:v>
                      </c:pt>
                      <c:pt idx="307">
                        <c:v>82939.62</c:v>
                      </c:pt>
                      <c:pt idx="308">
                        <c:v>82945.56</c:v>
                      </c:pt>
                      <c:pt idx="309">
                        <c:v>82953.36</c:v>
                      </c:pt>
                      <c:pt idx="310">
                        <c:v>82905.69</c:v>
                      </c:pt>
                      <c:pt idx="311">
                        <c:v>82965.52</c:v>
                      </c:pt>
                      <c:pt idx="312">
                        <c:v>82970.210000000006</c:v>
                      </c:pt>
                      <c:pt idx="313">
                        <c:v>82953.63</c:v>
                      </c:pt>
                      <c:pt idx="314">
                        <c:v>82956.23</c:v>
                      </c:pt>
                      <c:pt idx="315">
                        <c:v>82960.56</c:v>
                      </c:pt>
                      <c:pt idx="316">
                        <c:v>82956.84</c:v>
                      </c:pt>
                      <c:pt idx="317">
                        <c:v>82978.55</c:v>
                      </c:pt>
                      <c:pt idx="318">
                        <c:v>82801.38</c:v>
                      </c:pt>
                      <c:pt idx="319">
                        <c:v>82797.62</c:v>
                      </c:pt>
                      <c:pt idx="320">
                        <c:v>82815.5</c:v>
                      </c:pt>
                      <c:pt idx="321">
                        <c:v>82910.850000000006</c:v>
                      </c:pt>
                      <c:pt idx="322">
                        <c:v>82921.45</c:v>
                      </c:pt>
                      <c:pt idx="323">
                        <c:v>82910.61</c:v>
                      </c:pt>
                      <c:pt idx="324">
                        <c:v>82965.81</c:v>
                      </c:pt>
                      <c:pt idx="325">
                        <c:v>82961.19</c:v>
                      </c:pt>
                      <c:pt idx="326">
                        <c:v>82906.47</c:v>
                      </c:pt>
                      <c:pt idx="327">
                        <c:v>82936.72</c:v>
                      </c:pt>
                      <c:pt idx="328">
                        <c:v>82946.42</c:v>
                      </c:pt>
                      <c:pt idx="329">
                        <c:v>82968.800000000003</c:v>
                      </c:pt>
                      <c:pt idx="330">
                        <c:v>82957.2</c:v>
                      </c:pt>
                      <c:pt idx="331">
                        <c:v>82957.399999999994</c:v>
                      </c:pt>
                      <c:pt idx="332">
                        <c:v>82952.7</c:v>
                      </c:pt>
                      <c:pt idx="333">
                        <c:v>82932.600000000006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82875.820000000007</c:v>
                      </c:pt>
                      <c:pt idx="337">
                        <c:v>82919.990000000005</c:v>
                      </c:pt>
                      <c:pt idx="338">
                        <c:v>82888.13</c:v>
                      </c:pt>
                      <c:pt idx="339">
                        <c:v>82880.399999999994</c:v>
                      </c:pt>
                      <c:pt idx="340">
                        <c:v>82887.22</c:v>
                      </c:pt>
                      <c:pt idx="341">
                        <c:v>82860.350000000006</c:v>
                      </c:pt>
                      <c:pt idx="342">
                        <c:v>82796.62</c:v>
                      </c:pt>
                      <c:pt idx="343">
                        <c:v>82861</c:v>
                      </c:pt>
                      <c:pt idx="344">
                        <c:v>82856.649999999994</c:v>
                      </c:pt>
                      <c:pt idx="345">
                        <c:v>82905.5</c:v>
                      </c:pt>
                      <c:pt idx="346">
                        <c:v>82924.89</c:v>
                      </c:pt>
                      <c:pt idx="347">
                        <c:v>82890.22</c:v>
                      </c:pt>
                      <c:pt idx="348">
                        <c:v>82889.3</c:v>
                      </c:pt>
                      <c:pt idx="349">
                        <c:v>82881.3</c:v>
                      </c:pt>
                      <c:pt idx="350">
                        <c:v>82895.41</c:v>
                      </c:pt>
                      <c:pt idx="351">
                        <c:v>82892.02</c:v>
                      </c:pt>
                      <c:pt idx="352">
                        <c:v>82853.36</c:v>
                      </c:pt>
                      <c:pt idx="353">
                        <c:v>82759.520000000004</c:v>
                      </c:pt>
                      <c:pt idx="354">
                        <c:v>82773.75</c:v>
                      </c:pt>
                      <c:pt idx="355">
                        <c:v>82719.350000000006</c:v>
                      </c:pt>
                      <c:pt idx="356">
                        <c:v>82726.69</c:v>
                      </c:pt>
                      <c:pt idx="357">
                        <c:v>82693.73</c:v>
                      </c:pt>
                      <c:pt idx="358">
                        <c:v>82748.25</c:v>
                      </c:pt>
                      <c:pt idx="359">
                        <c:v>82765.33</c:v>
                      </c:pt>
                      <c:pt idx="360">
                        <c:v>82754.570000000007</c:v>
                      </c:pt>
                      <c:pt idx="361">
                        <c:v>82809.31</c:v>
                      </c:pt>
                      <c:pt idx="362">
                        <c:v>82739.399999999994</c:v>
                      </c:pt>
                      <c:pt idx="363">
                        <c:v>82729.070000000007</c:v>
                      </c:pt>
                      <c:pt idx="364">
                        <c:v>82725.95</c:v>
                      </c:pt>
                      <c:pt idx="365">
                        <c:v>82681.3</c:v>
                      </c:pt>
                      <c:pt idx="366">
                        <c:v>82678.5</c:v>
                      </c:pt>
                      <c:pt idx="367">
                        <c:v>82796.600000000006</c:v>
                      </c:pt>
                      <c:pt idx="368">
                        <c:v>82755.11</c:v>
                      </c:pt>
                      <c:pt idx="369">
                        <c:v>82767.360000000001</c:v>
                      </c:pt>
                      <c:pt idx="370">
                        <c:v>82757.52</c:v>
                      </c:pt>
                      <c:pt idx="371">
                        <c:v>82765.72</c:v>
                      </c:pt>
                      <c:pt idx="372">
                        <c:v>82777.83</c:v>
                      </c:pt>
                      <c:pt idx="373">
                        <c:v>82827.009999999995</c:v>
                      </c:pt>
                      <c:pt idx="374">
                        <c:v>82855.179999999993</c:v>
                      </c:pt>
                      <c:pt idx="375">
                        <c:v>82797.119999999995</c:v>
                      </c:pt>
                      <c:pt idx="376">
                        <c:v>82816.44</c:v>
                      </c:pt>
                      <c:pt idx="377">
                        <c:v>82781.38</c:v>
                      </c:pt>
                      <c:pt idx="378">
                        <c:v>82762.94</c:v>
                      </c:pt>
                      <c:pt idx="379">
                        <c:v>82751.399999999994</c:v>
                      </c:pt>
                      <c:pt idx="380">
                        <c:v>82790.33</c:v>
                      </c:pt>
                      <c:pt idx="381">
                        <c:v>82838.55</c:v>
                      </c:pt>
                      <c:pt idx="382">
                        <c:v>82868.649999999994</c:v>
                      </c:pt>
                      <c:pt idx="383">
                        <c:v>82854.17</c:v>
                      </c:pt>
                      <c:pt idx="384">
                        <c:v>82773.919999999998</c:v>
                      </c:pt>
                      <c:pt idx="385">
                        <c:v>82780.42</c:v>
                      </c:pt>
                      <c:pt idx="386">
                        <c:v>82789.5</c:v>
                      </c:pt>
                      <c:pt idx="387">
                        <c:v>82762.81</c:v>
                      </c:pt>
                      <c:pt idx="388">
                        <c:v>82758.38</c:v>
                      </c:pt>
                      <c:pt idx="389">
                        <c:v>82747.72</c:v>
                      </c:pt>
                      <c:pt idx="390">
                        <c:v>82771.100000000006</c:v>
                      </c:pt>
                      <c:pt idx="391">
                        <c:v>82790.399999999994</c:v>
                      </c:pt>
                      <c:pt idx="392">
                        <c:v>82780.5</c:v>
                      </c:pt>
                      <c:pt idx="393">
                        <c:v>82743.94</c:v>
                      </c:pt>
                      <c:pt idx="394">
                        <c:v>82610.52</c:v>
                      </c:pt>
                      <c:pt idx="395">
                        <c:v>82588.84</c:v>
                      </c:pt>
                      <c:pt idx="396">
                        <c:v>82489.5</c:v>
                      </c:pt>
                      <c:pt idx="397">
                        <c:v>82598.3</c:v>
                      </c:pt>
                      <c:pt idx="398">
                        <c:v>82473.91</c:v>
                      </c:pt>
                      <c:pt idx="399">
                        <c:v>82509.429999999993</c:v>
                      </c:pt>
                      <c:pt idx="400">
                        <c:v>82457.78</c:v>
                      </c:pt>
                      <c:pt idx="401">
                        <c:v>82495.63</c:v>
                      </c:pt>
                      <c:pt idx="402">
                        <c:v>82560.62</c:v>
                      </c:pt>
                      <c:pt idx="403">
                        <c:v>82574.399999999994</c:v>
                      </c:pt>
                      <c:pt idx="404">
                        <c:v>82559.72</c:v>
                      </c:pt>
                      <c:pt idx="405">
                        <c:v>82554.42</c:v>
                      </c:pt>
                      <c:pt idx="406">
                        <c:v>82609.5</c:v>
                      </c:pt>
                      <c:pt idx="407">
                        <c:v>82587.72</c:v>
                      </c:pt>
                      <c:pt idx="408">
                        <c:v>82587.89</c:v>
                      </c:pt>
                      <c:pt idx="409">
                        <c:v>82590.63</c:v>
                      </c:pt>
                      <c:pt idx="410">
                        <c:v>82613.649999999994</c:v>
                      </c:pt>
                      <c:pt idx="411">
                        <c:v>82630.7</c:v>
                      </c:pt>
                      <c:pt idx="412">
                        <c:v>82634.399999999994</c:v>
                      </c:pt>
                      <c:pt idx="413">
                        <c:v>82583.399999999994</c:v>
                      </c:pt>
                      <c:pt idx="414">
                        <c:v>82582.100000000006</c:v>
                      </c:pt>
                      <c:pt idx="415">
                        <c:v>82613.39</c:v>
                      </c:pt>
                      <c:pt idx="416">
                        <c:v>82638.44</c:v>
                      </c:pt>
                      <c:pt idx="417">
                        <c:v>82634.210000000006</c:v>
                      </c:pt>
                      <c:pt idx="418">
                        <c:v>82639.350000000006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82723.3</c:v>
                      </c:pt>
                      <c:pt idx="422">
                        <c:v>82763.66</c:v>
                      </c:pt>
                      <c:pt idx="423">
                        <c:v>82774.3</c:v>
                      </c:pt>
                      <c:pt idx="424">
                        <c:v>82710.31</c:v>
                      </c:pt>
                      <c:pt idx="425">
                        <c:v>82739.91</c:v>
                      </c:pt>
                      <c:pt idx="426">
                        <c:v>82837.41</c:v>
                      </c:pt>
                      <c:pt idx="427">
                        <c:v>82810.25</c:v>
                      </c:pt>
                      <c:pt idx="428">
                        <c:v>82878.23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82557.53</c:v>
                      </c:pt>
                      <c:pt idx="432">
                        <c:v>82406.28</c:v>
                      </c:pt>
                      <c:pt idx="433">
                        <c:v>82483.19</c:v>
                      </c:pt>
                      <c:pt idx="434">
                        <c:v>82421.53</c:v>
                      </c:pt>
                      <c:pt idx="435">
                        <c:v>82453.240000000005</c:v>
                      </c:pt>
                      <c:pt idx="436">
                        <c:v>82407.899999999994</c:v>
                      </c:pt>
                      <c:pt idx="437">
                        <c:v>82352.3</c:v>
                      </c:pt>
                      <c:pt idx="438">
                        <c:v>82470.850000000006</c:v>
                      </c:pt>
                      <c:pt idx="439">
                        <c:v>82361.5</c:v>
                      </c:pt>
                      <c:pt idx="440">
                        <c:v>82256.3</c:v>
                      </c:pt>
                      <c:pt idx="441">
                        <c:v>82231.070000000007</c:v>
                      </c:pt>
                      <c:pt idx="442">
                        <c:v>82223.460000000006</c:v>
                      </c:pt>
                      <c:pt idx="443">
                        <c:v>82254.61</c:v>
                      </c:pt>
                      <c:pt idx="444">
                        <c:v>82110.509999999995</c:v>
                      </c:pt>
                      <c:pt idx="445">
                        <c:v>82001.350000000006</c:v>
                      </c:pt>
                      <c:pt idx="446">
                        <c:v>81926.58</c:v>
                      </c:pt>
                      <c:pt idx="447">
                        <c:v>81941.55</c:v>
                      </c:pt>
                      <c:pt idx="448">
                        <c:v>81530.12</c:v>
                      </c:pt>
                      <c:pt idx="449">
                        <c:v>81503.94</c:v>
                      </c:pt>
                      <c:pt idx="450">
                        <c:v>81543.87</c:v>
                      </c:pt>
                      <c:pt idx="451">
                        <c:v>81549.2</c:v>
                      </c:pt>
                      <c:pt idx="452">
                        <c:v>81396.75</c:v>
                      </c:pt>
                      <c:pt idx="453">
                        <c:v>81108.97</c:v>
                      </c:pt>
                      <c:pt idx="454">
                        <c:v>81368.600000000006</c:v>
                      </c:pt>
                      <c:pt idx="455">
                        <c:v>81321.509999999995</c:v>
                      </c:pt>
                      <c:pt idx="456">
                        <c:v>81416.740000000005</c:v>
                      </c:pt>
                      <c:pt idx="457">
                        <c:v>81487.259999999995</c:v>
                      </c:pt>
                      <c:pt idx="458">
                        <c:v>81180.740000000005</c:v>
                      </c:pt>
                      <c:pt idx="459">
                        <c:v>81130.84</c:v>
                      </c:pt>
                      <c:pt idx="460">
                        <c:v>81136.960000000006</c:v>
                      </c:pt>
                      <c:pt idx="461">
                        <c:v>81001.3</c:v>
                      </c:pt>
                      <c:pt idx="462">
                        <c:v>80957.2</c:v>
                      </c:pt>
                      <c:pt idx="463">
                        <c:v>80959.520000000004</c:v>
                      </c:pt>
                      <c:pt idx="464">
                        <c:v>80949.350000000006</c:v>
                      </c:pt>
                      <c:pt idx="465">
                        <c:v>80971.03</c:v>
                      </c:pt>
                      <c:pt idx="466">
                        <c:v>80954.34</c:v>
                      </c:pt>
                      <c:pt idx="467">
                        <c:v>80992.61</c:v>
                      </c:pt>
                      <c:pt idx="468">
                        <c:v>81154.460000000006</c:v>
                      </c:pt>
                      <c:pt idx="469">
                        <c:v>81045.95</c:v>
                      </c:pt>
                      <c:pt idx="470">
                        <c:v>81192.06</c:v>
                      </c:pt>
                      <c:pt idx="471">
                        <c:v>81072.100000000006</c:v>
                      </c:pt>
                      <c:pt idx="472">
                        <c:v>81061.210000000006</c:v>
                      </c:pt>
                      <c:pt idx="473">
                        <c:v>81198.63</c:v>
                      </c:pt>
                      <c:pt idx="474">
                        <c:v>81200.92</c:v>
                      </c:pt>
                      <c:pt idx="475">
                        <c:v>81215.11</c:v>
                      </c:pt>
                      <c:pt idx="476">
                        <c:v>81388.12</c:v>
                      </c:pt>
                      <c:pt idx="477">
                        <c:v>81494.149999999994</c:v>
                      </c:pt>
                      <c:pt idx="478">
                        <c:v>81400.94</c:v>
                      </c:pt>
                      <c:pt idx="479">
                        <c:v>81488.37</c:v>
                      </c:pt>
                      <c:pt idx="480">
                        <c:v>81426.720000000001</c:v>
                      </c:pt>
                      <c:pt idx="481">
                        <c:v>81440.899999999994</c:v>
                      </c:pt>
                      <c:pt idx="482">
                        <c:v>81369.850000000006</c:v>
                      </c:pt>
                      <c:pt idx="483">
                        <c:v>81238.45</c:v>
                      </c:pt>
                      <c:pt idx="484">
                        <c:v>81236.78</c:v>
                      </c:pt>
                      <c:pt idx="485">
                        <c:v>81219.210000000006</c:v>
                      </c:pt>
                      <c:pt idx="486">
                        <c:v>81269.2</c:v>
                      </c:pt>
                      <c:pt idx="487">
                        <c:v>81628.7</c:v>
                      </c:pt>
                      <c:pt idx="488">
                        <c:v>81601.14</c:v>
                      </c:pt>
                      <c:pt idx="489">
                        <c:v>81554.850000000006</c:v>
                      </c:pt>
                      <c:pt idx="490">
                        <c:v>81428.929999999993</c:v>
                      </c:pt>
                      <c:pt idx="491">
                        <c:v>81377.289999999994</c:v>
                      </c:pt>
                      <c:pt idx="492">
                        <c:v>81406.350000000006</c:v>
                      </c:pt>
                      <c:pt idx="493">
                        <c:v>81297.210000000006</c:v>
                      </c:pt>
                      <c:pt idx="494">
                        <c:v>81231.81</c:v>
                      </c:pt>
                      <c:pt idx="495">
                        <c:v>81236.81</c:v>
                      </c:pt>
                      <c:pt idx="496">
                        <c:v>81220.539999999994</c:v>
                      </c:pt>
                      <c:pt idx="497">
                        <c:v>81113.66</c:v>
                      </c:pt>
                      <c:pt idx="498">
                        <c:v>81080.63</c:v>
                      </c:pt>
                      <c:pt idx="499">
                        <c:v>81188.14</c:v>
                      </c:pt>
                      <c:pt idx="500">
                        <c:v>81169.7</c:v>
                      </c:pt>
                      <c:pt idx="501">
                        <c:v>81092.429999999993</c:v>
                      </c:pt>
                      <c:pt idx="502">
                        <c:v>81095.69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4B5-44E6-B510-6571DD8D3F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Issue1949!$D$2</c15:sqref>
                        </c15:formulaRef>
                      </c:ext>
                    </c:extLst>
                    <c:strCache>
                      <c:ptCount val="1"/>
                      <c:pt idx="0">
                        <c:v> high 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Issue1949!$D$3:$D$505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83710.8</c:v>
                      </c:pt>
                      <c:pt idx="1">
                        <c:v>83686.03</c:v>
                      </c:pt>
                      <c:pt idx="2">
                        <c:v>83738.3</c:v>
                      </c:pt>
                      <c:pt idx="3">
                        <c:v>83728.03</c:v>
                      </c:pt>
                      <c:pt idx="4">
                        <c:v>83730.58</c:v>
                      </c:pt>
                      <c:pt idx="5">
                        <c:v>83737.600000000006</c:v>
                      </c:pt>
                      <c:pt idx="6">
                        <c:v>83756.070000000007</c:v>
                      </c:pt>
                      <c:pt idx="7">
                        <c:v>83736.91</c:v>
                      </c:pt>
                      <c:pt idx="8">
                        <c:v>83716.84</c:v>
                      </c:pt>
                      <c:pt idx="9">
                        <c:v>83729.600000000006</c:v>
                      </c:pt>
                      <c:pt idx="10">
                        <c:v>83739.7</c:v>
                      </c:pt>
                      <c:pt idx="11">
                        <c:v>83741</c:v>
                      </c:pt>
                      <c:pt idx="12">
                        <c:v>83750.3</c:v>
                      </c:pt>
                      <c:pt idx="13">
                        <c:v>83735.240000000005</c:v>
                      </c:pt>
                      <c:pt idx="14">
                        <c:v>83726.83</c:v>
                      </c:pt>
                      <c:pt idx="15">
                        <c:v>83717.100000000006</c:v>
                      </c:pt>
                      <c:pt idx="16">
                        <c:v>83740.399999999994</c:v>
                      </c:pt>
                      <c:pt idx="17">
                        <c:v>83740.350000000006</c:v>
                      </c:pt>
                      <c:pt idx="18">
                        <c:v>83670.289999999994</c:v>
                      </c:pt>
                      <c:pt idx="19">
                        <c:v>83674.16</c:v>
                      </c:pt>
                      <c:pt idx="20">
                        <c:v>83655.399999999994</c:v>
                      </c:pt>
                      <c:pt idx="21">
                        <c:v>83685.399999999994</c:v>
                      </c:pt>
                      <c:pt idx="22">
                        <c:v>83696.02</c:v>
                      </c:pt>
                      <c:pt idx="23">
                        <c:v>83685.3</c:v>
                      </c:pt>
                      <c:pt idx="24">
                        <c:v>83712.800000000003</c:v>
                      </c:pt>
                      <c:pt idx="25">
                        <c:v>83712.789999999994</c:v>
                      </c:pt>
                      <c:pt idx="26">
                        <c:v>83697.850000000006</c:v>
                      </c:pt>
                      <c:pt idx="27">
                        <c:v>83683.960000000006</c:v>
                      </c:pt>
                      <c:pt idx="28">
                        <c:v>83670.41</c:v>
                      </c:pt>
                      <c:pt idx="29">
                        <c:v>83668.100000000006</c:v>
                      </c:pt>
                      <c:pt idx="30">
                        <c:v>83652.41</c:v>
                      </c:pt>
                      <c:pt idx="31">
                        <c:v>83664.850000000006</c:v>
                      </c:pt>
                      <c:pt idx="32">
                        <c:v>83668.2</c:v>
                      </c:pt>
                      <c:pt idx="33">
                        <c:v>83668.960000000006</c:v>
                      </c:pt>
                      <c:pt idx="34">
                        <c:v>83690.45</c:v>
                      </c:pt>
                      <c:pt idx="35">
                        <c:v>83700.350000000006</c:v>
                      </c:pt>
                      <c:pt idx="36">
                        <c:v>83718.33</c:v>
                      </c:pt>
                      <c:pt idx="37">
                        <c:v>83724.3</c:v>
                      </c:pt>
                      <c:pt idx="38">
                        <c:v>83730.3</c:v>
                      </c:pt>
                      <c:pt idx="39">
                        <c:v>83692.66</c:v>
                      </c:pt>
                      <c:pt idx="40">
                        <c:v>83663.61</c:v>
                      </c:pt>
                      <c:pt idx="41">
                        <c:v>83672.210000000006</c:v>
                      </c:pt>
                      <c:pt idx="42">
                        <c:v>83578.210000000006</c:v>
                      </c:pt>
                      <c:pt idx="43">
                        <c:v>83579.039999999994</c:v>
                      </c:pt>
                      <c:pt idx="44">
                        <c:v>83531.7</c:v>
                      </c:pt>
                      <c:pt idx="45">
                        <c:v>83558.600000000006</c:v>
                      </c:pt>
                      <c:pt idx="46">
                        <c:v>83525.22</c:v>
                      </c:pt>
                      <c:pt idx="47">
                        <c:v>83504.2</c:v>
                      </c:pt>
                      <c:pt idx="48">
                        <c:v>83502.600000000006</c:v>
                      </c:pt>
                      <c:pt idx="49">
                        <c:v>83450.5</c:v>
                      </c:pt>
                      <c:pt idx="50">
                        <c:v>83432.7</c:v>
                      </c:pt>
                      <c:pt idx="51">
                        <c:v>83423.850000000006</c:v>
                      </c:pt>
                      <c:pt idx="52">
                        <c:v>83385.34</c:v>
                      </c:pt>
                      <c:pt idx="53">
                        <c:v>83423.850000000006</c:v>
                      </c:pt>
                      <c:pt idx="54">
                        <c:v>83440.350000000006</c:v>
                      </c:pt>
                      <c:pt idx="55">
                        <c:v>83475.399999999994</c:v>
                      </c:pt>
                      <c:pt idx="56">
                        <c:v>83490.399999999994</c:v>
                      </c:pt>
                      <c:pt idx="57">
                        <c:v>83490.399999999994</c:v>
                      </c:pt>
                      <c:pt idx="58">
                        <c:v>83521.66</c:v>
                      </c:pt>
                      <c:pt idx="59">
                        <c:v>83523.12</c:v>
                      </c:pt>
                      <c:pt idx="60">
                        <c:v>83520.75</c:v>
                      </c:pt>
                      <c:pt idx="61">
                        <c:v>83515.55</c:v>
                      </c:pt>
                      <c:pt idx="62">
                        <c:v>83494.5</c:v>
                      </c:pt>
                      <c:pt idx="63">
                        <c:v>83523.69</c:v>
                      </c:pt>
                      <c:pt idx="64">
                        <c:v>83510.399999999994</c:v>
                      </c:pt>
                      <c:pt idx="65">
                        <c:v>83501.440000000002</c:v>
                      </c:pt>
                      <c:pt idx="66">
                        <c:v>83515</c:v>
                      </c:pt>
                      <c:pt idx="67">
                        <c:v>83515</c:v>
                      </c:pt>
                      <c:pt idx="68">
                        <c:v>83510.8</c:v>
                      </c:pt>
                      <c:pt idx="69">
                        <c:v>83514.84</c:v>
                      </c:pt>
                      <c:pt idx="70">
                        <c:v>83506.8</c:v>
                      </c:pt>
                      <c:pt idx="71">
                        <c:v>83515</c:v>
                      </c:pt>
                      <c:pt idx="72">
                        <c:v>83550.399999999994</c:v>
                      </c:pt>
                      <c:pt idx="73">
                        <c:v>83588.350000000006</c:v>
                      </c:pt>
                      <c:pt idx="74">
                        <c:v>83533.429999999993</c:v>
                      </c:pt>
                      <c:pt idx="75">
                        <c:v>83511.850000000006</c:v>
                      </c:pt>
                      <c:pt idx="76">
                        <c:v>83490.399999999994</c:v>
                      </c:pt>
                      <c:pt idx="77">
                        <c:v>83522.8</c:v>
                      </c:pt>
                      <c:pt idx="78">
                        <c:v>83515.100000000006</c:v>
                      </c:pt>
                      <c:pt idx="79">
                        <c:v>83454.100000000006</c:v>
                      </c:pt>
                      <c:pt idx="80">
                        <c:v>83440.399999999994</c:v>
                      </c:pt>
                      <c:pt idx="81">
                        <c:v>83423.53</c:v>
                      </c:pt>
                      <c:pt idx="82">
                        <c:v>83394.720000000001</c:v>
                      </c:pt>
                      <c:pt idx="83">
                        <c:v>83350.39</c:v>
                      </c:pt>
                      <c:pt idx="84">
                        <c:v>83275.009999999995</c:v>
                      </c:pt>
                      <c:pt idx="85">
                        <c:v>83303.8</c:v>
                      </c:pt>
                      <c:pt idx="86">
                        <c:v>83310.3</c:v>
                      </c:pt>
                      <c:pt idx="87">
                        <c:v>83209.84</c:v>
                      </c:pt>
                      <c:pt idx="88">
                        <c:v>83147.53</c:v>
                      </c:pt>
                      <c:pt idx="89">
                        <c:v>83207.72</c:v>
                      </c:pt>
                      <c:pt idx="90">
                        <c:v>83228.66</c:v>
                      </c:pt>
                      <c:pt idx="91">
                        <c:v>83229.33</c:v>
                      </c:pt>
                      <c:pt idx="92">
                        <c:v>83247.839999999997</c:v>
                      </c:pt>
                      <c:pt idx="93">
                        <c:v>83230.009999999995</c:v>
                      </c:pt>
                      <c:pt idx="94">
                        <c:v>83181.98</c:v>
                      </c:pt>
                      <c:pt idx="95">
                        <c:v>83186.539999999994</c:v>
                      </c:pt>
                      <c:pt idx="96">
                        <c:v>83190.44</c:v>
                      </c:pt>
                      <c:pt idx="97">
                        <c:v>83163.69</c:v>
                      </c:pt>
                      <c:pt idx="98">
                        <c:v>83125.81</c:v>
                      </c:pt>
                      <c:pt idx="99">
                        <c:v>83070.05</c:v>
                      </c:pt>
                      <c:pt idx="100">
                        <c:v>83074.31</c:v>
                      </c:pt>
                      <c:pt idx="101">
                        <c:v>83058.22</c:v>
                      </c:pt>
                      <c:pt idx="102">
                        <c:v>83022.84</c:v>
                      </c:pt>
                      <c:pt idx="103">
                        <c:v>83012.710000000006</c:v>
                      </c:pt>
                      <c:pt idx="104">
                        <c:v>82975.28</c:v>
                      </c:pt>
                      <c:pt idx="105">
                        <c:v>82929.53</c:v>
                      </c:pt>
                      <c:pt idx="106">
                        <c:v>82917.240000000005</c:v>
                      </c:pt>
                      <c:pt idx="107">
                        <c:v>82821.990000000005</c:v>
                      </c:pt>
                      <c:pt idx="108">
                        <c:v>82965.460000000006</c:v>
                      </c:pt>
                      <c:pt idx="109">
                        <c:v>82990.5</c:v>
                      </c:pt>
                      <c:pt idx="110">
                        <c:v>82966.990000000005</c:v>
                      </c:pt>
                      <c:pt idx="111">
                        <c:v>82890.31</c:v>
                      </c:pt>
                      <c:pt idx="112">
                        <c:v>82815.210000000006</c:v>
                      </c:pt>
                      <c:pt idx="113">
                        <c:v>82771.3</c:v>
                      </c:pt>
                      <c:pt idx="114">
                        <c:v>82687.62</c:v>
                      </c:pt>
                      <c:pt idx="115">
                        <c:v>82749.72</c:v>
                      </c:pt>
                      <c:pt idx="116">
                        <c:v>82806.61</c:v>
                      </c:pt>
                      <c:pt idx="117">
                        <c:v>82827.12</c:v>
                      </c:pt>
                      <c:pt idx="118">
                        <c:v>82816.899999999994</c:v>
                      </c:pt>
                      <c:pt idx="119">
                        <c:v>82766.75</c:v>
                      </c:pt>
                      <c:pt idx="120">
                        <c:v>82838.210000000006</c:v>
                      </c:pt>
                      <c:pt idx="121">
                        <c:v>82830.350000000006</c:v>
                      </c:pt>
                      <c:pt idx="122">
                        <c:v>82948.570000000007</c:v>
                      </c:pt>
                      <c:pt idx="123">
                        <c:v>82938.399999999994</c:v>
                      </c:pt>
                      <c:pt idx="124">
                        <c:v>83016.09</c:v>
                      </c:pt>
                      <c:pt idx="125">
                        <c:v>83067.179999999993</c:v>
                      </c:pt>
                      <c:pt idx="126">
                        <c:v>83072.429999999993</c:v>
                      </c:pt>
                      <c:pt idx="127">
                        <c:v>83124.34</c:v>
                      </c:pt>
                      <c:pt idx="128">
                        <c:v>83172.570000000007</c:v>
                      </c:pt>
                      <c:pt idx="129">
                        <c:v>83140.320000000007</c:v>
                      </c:pt>
                      <c:pt idx="130">
                        <c:v>83089.33</c:v>
                      </c:pt>
                      <c:pt idx="131">
                        <c:v>83096.929999999993</c:v>
                      </c:pt>
                      <c:pt idx="132">
                        <c:v>83096.350000000006</c:v>
                      </c:pt>
                      <c:pt idx="133">
                        <c:v>83110.350000000006</c:v>
                      </c:pt>
                      <c:pt idx="134">
                        <c:v>83190.399999999994</c:v>
                      </c:pt>
                      <c:pt idx="135">
                        <c:v>83241.179999999993</c:v>
                      </c:pt>
                      <c:pt idx="136">
                        <c:v>83235.399999999994</c:v>
                      </c:pt>
                      <c:pt idx="137">
                        <c:v>83217.84</c:v>
                      </c:pt>
                      <c:pt idx="138">
                        <c:v>83095.33</c:v>
                      </c:pt>
                      <c:pt idx="139">
                        <c:v>83135.350000000006</c:v>
                      </c:pt>
                      <c:pt idx="140">
                        <c:v>83140.34</c:v>
                      </c:pt>
                      <c:pt idx="141">
                        <c:v>83159.55</c:v>
                      </c:pt>
                      <c:pt idx="142">
                        <c:v>83182.649999999994</c:v>
                      </c:pt>
                      <c:pt idx="143">
                        <c:v>83142.62</c:v>
                      </c:pt>
                      <c:pt idx="144">
                        <c:v>83154.289999999994</c:v>
                      </c:pt>
                      <c:pt idx="145">
                        <c:v>83152.850000000006</c:v>
                      </c:pt>
                      <c:pt idx="146">
                        <c:v>83120.3</c:v>
                      </c:pt>
                      <c:pt idx="147">
                        <c:v>83115.199999999997</c:v>
                      </c:pt>
                      <c:pt idx="148">
                        <c:v>83139.63</c:v>
                      </c:pt>
                      <c:pt idx="149">
                        <c:v>83135.8</c:v>
                      </c:pt>
                      <c:pt idx="150">
                        <c:v>83114.91</c:v>
                      </c:pt>
                      <c:pt idx="151">
                        <c:v>83076.97</c:v>
                      </c:pt>
                      <c:pt idx="152">
                        <c:v>83021.22</c:v>
                      </c:pt>
                      <c:pt idx="153">
                        <c:v>82999.490000000005</c:v>
                      </c:pt>
                      <c:pt idx="154">
                        <c:v>82975.350000000006</c:v>
                      </c:pt>
                      <c:pt idx="155">
                        <c:v>82929.81</c:v>
                      </c:pt>
                      <c:pt idx="156">
                        <c:v>82886.759999999995</c:v>
                      </c:pt>
                      <c:pt idx="157">
                        <c:v>82887</c:v>
                      </c:pt>
                      <c:pt idx="158">
                        <c:v>82909.509999999995</c:v>
                      </c:pt>
                      <c:pt idx="159">
                        <c:v>82929.84</c:v>
                      </c:pt>
                      <c:pt idx="160">
                        <c:v>82998.42</c:v>
                      </c:pt>
                      <c:pt idx="161">
                        <c:v>83034.66</c:v>
                      </c:pt>
                      <c:pt idx="162">
                        <c:v>83144.5</c:v>
                      </c:pt>
                      <c:pt idx="163">
                        <c:v>83166.33</c:v>
                      </c:pt>
                      <c:pt idx="164">
                        <c:v>83177.03</c:v>
                      </c:pt>
                      <c:pt idx="165">
                        <c:v>83250.73</c:v>
                      </c:pt>
                      <c:pt idx="166">
                        <c:v>83250.37</c:v>
                      </c:pt>
                      <c:pt idx="167">
                        <c:v>83250.36</c:v>
                      </c:pt>
                      <c:pt idx="168">
                        <c:v>83201.119999999995</c:v>
                      </c:pt>
                      <c:pt idx="169">
                        <c:v>83188.81</c:v>
                      </c:pt>
                      <c:pt idx="170">
                        <c:v>83189.490000000005</c:v>
                      </c:pt>
                      <c:pt idx="171">
                        <c:v>83190.399999999994</c:v>
                      </c:pt>
                      <c:pt idx="172">
                        <c:v>83193.7</c:v>
                      </c:pt>
                      <c:pt idx="173">
                        <c:v>83209.100000000006</c:v>
                      </c:pt>
                      <c:pt idx="174">
                        <c:v>83223.61</c:v>
                      </c:pt>
                      <c:pt idx="175">
                        <c:v>83185.899999999994</c:v>
                      </c:pt>
                      <c:pt idx="176">
                        <c:v>83185.279999999999</c:v>
                      </c:pt>
                      <c:pt idx="177">
                        <c:v>83170.149999999994</c:v>
                      </c:pt>
                      <c:pt idx="178">
                        <c:v>83159.8</c:v>
                      </c:pt>
                      <c:pt idx="179">
                        <c:v>83119.990000000005</c:v>
                      </c:pt>
                      <c:pt idx="180">
                        <c:v>83088.5</c:v>
                      </c:pt>
                      <c:pt idx="181">
                        <c:v>83170.73</c:v>
                      </c:pt>
                      <c:pt idx="182">
                        <c:v>83097.399999999994</c:v>
                      </c:pt>
                      <c:pt idx="183">
                        <c:v>83079.62</c:v>
                      </c:pt>
                      <c:pt idx="184">
                        <c:v>83101.5</c:v>
                      </c:pt>
                      <c:pt idx="185">
                        <c:v>83102.899999999994</c:v>
                      </c:pt>
                      <c:pt idx="186">
                        <c:v>83131.5</c:v>
                      </c:pt>
                      <c:pt idx="187">
                        <c:v>83140.259999999995</c:v>
                      </c:pt>
                      <c:pt idx="188">
                        <c:v>83133.95</c:v>
                      </c:pt>
                      <c:pt idx="189">
                        <c:v>83125.009999999995</c:v>
                      </c:pt>
                      <c:pt idx="190">
                        <c:v>83076.89</c:v>
                      </c:pt>
                      <c:pt idx="191">
                        <c:v>83095.73</c:v>
                      </c:pt>
                      <c:pt idx="192">
                        <c:v>83122.350000000006</c:v>
                      </c:pt>
                      <c:pt idx="193">
                        <c:v>83093.52</c:v>
                      </c:pt>
                      <c:pt idx="194">
                        <c:v>83089.36</c:v>
                      </c:pt>
                      <c:pt idx="195">
                        <c:v>83058.75</c:v>
                      </c:pt>
                      <c:pt idx="196">
                        <c:v>83071.399999999994</c:v>
                      </c:pt>
                      <c:pt idx="197">
                        <c:v>83063.520000000004</c:v>
                      </c:pt>
                      <c:pt idx="198">
                        <c:v>83055.34</c:v>
                      </c:pt>
                      <c:pt idx="199">
                        <c:v>82998.070000000007</c:v>
                      </c:pt>
                      <c:pt idx="200">
                        <c:v>82950.210000000006</c:v>
                      </c:pt>
                      <c:pt idx="201">
                        <c:v>82981.960000000006</c:v>
                      </c:pt>
                      <c:pt idx="202">
                        <c:v>83014.5</c:v>
                      </c:pt>
                      <c:pt idx="203">
                        <c:v>83014.41</c:v>
                      </c:pt>
                      <c:pt idx="204">
                        <c:v>82992.22</c:v>
                      </c:pt>
                      <c:pt idx="205">
                        <c:v>82967.100000000006</c:v>
                      </c:pt>
                      <c:pt idx="206">
                        <c:v>82971.94</c:v>
                      </c:pt>
                      <c:pt idx="207">
                        <c:v>82971.62</c:v>
                      </c:pt>
                      <c:pt idx="208">
                        <c:v>82959.399999999994</c:v>
                      </c:pt>
                      <c:pt idx="209">
                        <c:v>82975.600000000006</c:v>
                      </c:pt>
                      <c:pt idx="210">
                        <c:v>82939.14</c:v>
                      </c:pt>
                      <c:pt idx="211">
                        <c:v>82956</c:v>
                      </c:pt>
                      <c:pt idx="212">
                        <c:v>82988.3</c:v>
                      </c:pt>
                      <c:pt idx="213">
                        <c:v>82976.41</c:v>
                      </c:pt>
                      <c:pt idx="214">
                        <c:v>83035.33</c:v>
                      </c:pt>
                      <c:pt idx="215">
                        <c:v>82982.61</c:v>
                      </c:pt>
                      <c:pt idx="216">
                        <c:v>83027.94</c:v>
                      </c:pt>
                      <c:pt idx="217">
                        <c:v>83029.399999999994</c:v>
                      </c:pt>
                      <c:pt idx="218">
                        <c:v>83022.240000000005</c:v>
                      </c:pt>
                      <c:pt idx="219">
                        <c:v>83016.98</c:v>
                      </c:pt>
                      <c:pt idx="220">
                        <c:v>83023.600000000006</c:v>
                      </c:pt>
                      <c:pt idx="221">
                        <c:v>83056.850000000006</c:v>
                      </c:pt>
                      <c:pt idx="222">
                        <c:v>83102.17</c:v>
                      </c:pt>
                      <c:pt idx="223">
                        <c:v>83150.399999999994</c:v>
                      </c:pt>
                      <c:pt idx="224">
                        <c:v>83144.62</c:v>
                      </c:pt>
                      <c:pt idx="225">
                        <c:v>83111.710000000006</c:v>
                      </c:pt>
                      <c:pt idx="226">
                        <c:v>83076.2</c:v>
                      </c:pt>
                      <c:pt idx="227">
                        <c:v>83074.100000000006</c:v>
                      </c:pt>
                      <c:pt idx="228">
                        <c:v>83081.539999999994</c:v>
                      </c:pt>
                      <c:pt idx="229">
                        <c:v>83081.17</c:v>
                      </c:pt>
                      <c:pt idx="230">
                        <c:v>83066.14</c:v>
                      </c:pt>
                      <c:pt idx="231">
                        <c:v>83070.27</c:v>
                      </c:pt>
                      <c:pt idx="232">
                        <c:v>83090.399999999994</c:v>
                      </c:pt>
                      <c:pt idx="233">
                        <c:v>83125.34</c:v>
                      </c:pt>
                      <c:pt idx="234">
                        <c:v>83115.399999999994</c:v>
                      </c:pt>
                      <c:pt idx="235">
                        <c:v>83128.3</c:v>
                      </c:pt>
                      <c:pt idx="236">
                        <c:v>83128.23</c:v>
                      </c:pt>
                      <c:pt idx="237">
                        <c:v>83090.399999999994</c:v>
                      </c:pt>
                      <c:pt idx="238">
                        <c:v>83115.75</c:v>
                      </c:pt>
                      <c:pt idx="239">
                        <c:v>83079.73</c:v>
                      </c:pt>
                      <c:pt idx="240">
                        <c:v>83079.48</c:v>
                      </c:pt>
                      <c:pt idx="241">
                        <c:v>83093.72</c:v>
                      </c:pt>
                      <c:pt idx="242">
                        <c:v>83093.759999999995</c:v>
                      </c:pt>
                      <c:pt idx="243">
                        <c:v>83059.199999999997</c:v>
                      </c:pt>
                      <c:pt idx="244">
                        <c:v>83074.47</c:v>
                      </c:pt>
                      <c:pt idx="245">
                        <c:v>83121.5</c:v>
                      </c:pt>
                      <c:pt idx="246">
                        <c:v>83143.75</c:v>
                      </c:pt>
                      <c:pt idx="247">
                        <c:v>83140.95</c:v>
                      </c:pt>
                      <c:pt idx="248">
                        <c:v>83125.100000000006</c:v>
                      </c:pt>
                      <c:pt idx="249">
                        <c:v>83123.199999999997</c:v>
                      </c:pt>
                      <c:pt idx="250">
                        <c:v>83111.38</c:v>
                      </c:pt>
                      <c:pt idx="251">
                        <c:v>83111.240000000005</c:v>
                      </c:pt>
                      <c:pt idx="252">
                        <c:v>83070.31</c:v>
                      </c:pt>
                      <c:pt idx="253">
                        <c:v>83066.25</c:v>
                      </c:pt>
                      <c:pt idx="254">
                        <c:v>83028.600000000006</c:v>
                      </c:pt>
                      <c:pt idx="255">
                        <c:v>83027.600000000006</c:v>
                      </c:pt>
                      <c:pt idx="256">
                        <c:v>83015.199999999997</c:v>
                      </c:pt>
                      <c:pt idx="257">
                        <c:v>83025.600000000006</c:v>
                      </c:pt>
                      <c:pt idx="258">
                        <c:v>83024.899999999994</c:v>
                      </c:pt>
                      <c:pt idx="259">
                        <c:v>83022.34</c:v>
                      </c:pt>
                      <c:pt idx="260">
                        <c:v>83036.960000000006</c:v>
                      </c:pt>
                      <c:pt idx="261">
                        <c:v>83033.23</c:v>
                      </c:pt>
                      <c:pt idx="262">
                        <c:v>83005.600000000006</c:v>
                      </c:pt>
                      <c:pt idx="263">
                        <c:v>83023.45</c:v>
                      </c:pt>
                      <c:pt idx="264">
                        <c:v>82989.649999999994</c:v>
                      </c:pt>
                      <c:pt idx="265">
                        <c:v>82969.820000000007</c:v>
                      </c:pt>
                      <c:pt idx="266">
                        <c:v>82990.23</c:v>
                      </c:pt>
                      <c:pt idx="267">
                        <c:v>83035.240000000005</c:v>
                      </c:pt>
                      <c:pt idx="268">
                        <c:v>83000.210000000006</c:v>
                      </c:pt>
                      <c:pt idx="269">
                        <c:v>82985.759999999995</c:v>
                      </c:pt>
                      <c:pt idx="270">
                        <c:v>83020.95</c:v>
                      </c:pt>
                      <c:pt idx="271">
                        <c:v>83027.399999999994</c:v>
                      </c:pt>
                      <c:pt idx="272">
                        <c:v>83007.149999999994</c:v>
                      </c:pt>
                      <c:pt idx="273">
                        <c:v>82994.7</c:v>
                      </c:pt>
                      <c:pt idx="274">
                        <c:v>83011.240000000005</c:v>
                      </c:pt>
                      <c:pt idx="275">
                        <c:v>83017.2</c:v>
                      </c:pt>
                      <c:pt idx="276">
                        <c:v>83017.100000000006</c:v>
                      </c:pt>
                      <c:pt idx="277">
                        <c:v>83040.039999999994</c:v>
                      </c:pt>
                      <c:pt idx="278">
                        <c:v>83021.460000000006</c:v>
                      </c:pt>
                      <c:pt idx="279">
                        <c:v>83011.09</c:v>
                      </c:pt>
                      <c:pt idx="280">
                        <c:v>82975.45</c:v>
                      </c:pt>
                      <c:pt idx="281">
                        <c:v>82975.600000000006</c:v>
                      </c:pt>
                      <c:pt idx="282">
                        <c:v>83010.399999999994</c:v>
                      </c:pt>
                      <c:pt idx="283">
                        <c:v>83022.25</c:v>
                      </c:pt>
                      <c:pt idx="284">
                        <c:v>82996.850000000006</c:v>
                      </c:pt>
                      <c:pt idx="285">
                        <c:v>82989.84</c:v>
                      </c:pt>
                      <c:pt idx="286">
                        <c:v>83001.399999999994</c:v>
                      </c:pt>
                      <c:pt idx="287">
                        <c:v>83001.399999999994</c:v>
                      </c:pt>
                      <c:pt idx="288">
                        <c:v>82991.55</c:v>
                      </c:pt>
                      <c:pt idx="289">
                        <c:v>83022.2</c:v>
                      </c:pt>
                      <c:pt idx="290">
                        <c:v>82998.89</c:v>
                      </c:pt>
                      <c:pt idx="291">
                        <c:v>82989.84</c:v>
                      </c:pt>
                      <c:pt idx="292">
                        <c:v>82985.600000000006</c:v>
                      </c:pt>
                      <c:pt idx="293">
                        <c:v>82998.720000000001</c:v>
                      </c:pt>
                      <c:pt idx="294">
                        <c:v>82979.3</c:v>
                      </c:pt>
                      <c:pt idx="295">
                        <c:v>82970.820000000007</c:v>
                      </c:pt>
                      <c:pt idx="296">
                        <c:v>82961.03</c:v>
                      </c:pt>
                      <c:pt idx="297">
                        <c:v>82954.100000000006</c:v>
                      </c:pt>
                      <c:pt idx="298">
                        <c:v>82945.899999999994</c:v>
                      </c:pt>
                      <c:pt idx="299">
                        <c:v>82962.899999999994</c:v>
                      </c:pt>
                      <c:pt idx="300">
                        <c:v>82963.5</c:v>
                      </c:pt>
                      <c:pt idx="301">
                        <c:v>82972.160000000003</c:v>
                      </c:pt>
                      <c:pt idx="302">
                        <c:v>82973.72</c:v>
                      </c:pt>
                      <c:pt idx="303">
                        <c:v>82909.3</c:v>
                      </c:pt>
                      <c:pt idx="304">
                        <c:v>82899.3</c:v>
                      </c:pt>
                      <c:pt idx="305">
                        <c:v>82946.100000000006</c:v>
                      </c:pt>
                      <c:pt idx="306">
                        <c:v>82940.399999999994</c:v>
                      </c:pt>
                      <c:pt idx="307">
                        <c:v>82962.11</c:v>
                      </c:pt>
                      <c:pt idx="308">
                        <c:v>82975.3</c:v>
                      </c:pt>
                      <c:pt idx="309">
                        <c:v>82953.37</c:v>
                      </c:pt>
                      <c:pt idx="310">
                        <c:v>82973.649999999994</c:v>
                      </c:pt>
                      <c:pt idx="311">
                        <c:v>82971.539999999994</c:v>
                      </c:pt>
                      <c:pt idx="312">
                        <c:v>82989.42</c:v>
                      </c:pt>
                      <c:pt idx="313">
                        <c:v>82982.320000000007</c:v>
                      </c:pt>
                      <c:pt idx="314">
                        <c:v>82970.320000000007</c:v>
                      </c:pt>
                      <c:pt idx="315">
                        <c:v>82966.2</c:v>
                      </c:pt>
                      <c:pt idx="316">
                        <c:v>82978.47</c:v>
                      </c:pt>
                      <c:pt idx="317">
                        <c:v>83006.720000000001</c:v>
                      </c:pt>
                      <c:pt idx="318">
                        <c:v>82805.509999999995</c:v>
                      </c:pt>
                      <c:pt idx="319">
                        <c:v>82825.53</c:v>
                      </c:pt>
                      <c:pt idx="320">
                        <c:v>82911.77</c:v>
                      </c:pt>
                      <c:pt idx="321">
                        <c:v>82921.5</c:v>
                      </c:pt>
                      <c:pt idx="322">
                        <c:v>82921.87</c:v>
                      </c:pt>
                      <c:pt idx="323">
                        <c:v>82973.259999999995</c:v>
                      </c:pt>
                      <c:pt idx="324">
                        <c:v>83040.399999999994</c:v>
                      </c:pt>
                      <c:pt idx="325">
                        <c:v>82962.2</c:v>
                      </c:pt>
                      <c:pt idx="326">
                        <c:v>82921.350000000006</c:v>
                      </c:pt>
                      <c:pt idx="327">
                        <c:v>82954.81</c:v>
                      </c:pt>
                      <c:pt idx="328">
                        <c:v>82990.399999999994</c:v>
                      </c:pt>
                      <c:pt idx="329">
                        <c:v>82971.48</c:v>
                      </c:pt>
                      <c:pt idx="330">
                        <c:v>82977.41</c:v>
                      </c:pt>
                      <c:pt idx="331">
                        <c:v>82957.61</c:v>
                      </c:pt>
                      <c:pt idx="332">
                        <c:v>82960.77</c:v>
                      </c:pt>
                      <c:pt idx="333">
                        <c:v>82951.649999999994</c:v>
                      </c:pt>
                      <c:pt idx="334">
                        <c:v>82947.62</c:v>
                      </c:pt>
                      <c:pt idx="335">
                        <c:v>82927.429999999993</c:v>
                      </c:pt>
                      <c:pt idx="336">
                        <c:v>82951.7</c:v>
                      </c:pt>
                      <c:pt idx="337">
                        <c:v>82945.100000000006</c:v>
                      </c:pt>
                      <c:pt idx="338">
                        <c:v>82894.429999999993</c:v>
                      </c:pt>
                      <c:pt idx="339">
                        <c:v>82888</c:v>
                      </c:pt>
                      <c:pt idx="340">
                        <c:v>82908.97</c:v>
                      </c:pt>
                      <c:pt idx="341">
                        <c:v>82861.149999999994</c:v>
                      </c:pt>
                      <c:pt idx="342">
                        <c:v>82881.5</c:v>
                      </c:pt>
                      <c:pt idx="343">
                        <c:v>82881.2</c:v>
                      </c:pt>
                      <c:pt idx="344">
                        <c:v>82906.2</c:v>
                      </c:pt>
                      <c:pt idx="345">
                        <c:v>82925.55</c:v>
                      </c:pt>
                      <c:pt idx="346">
                        <c:v>82928.75</c:v>
                      </c:pt>
                      <c:pt idx="347">
                        <c:v>82902.350000000006</c:v>
                      </c:pt>
                      <c:pt idx="348">
                        <c:v>82889.3</c:v>
                      </c:pt>
                      <c:pt idx="349">
                        <c:v>82909.55</c:v>
                      </c:pt>
                      <c:pt idx="350">
                        <c:v>82905.460000000006</c:v>
                      </c:pt>
                      <c:pt idx="351">
                        <c:v>82892.070000000007</c:v>
                      </c:pt>
                      <c:pt idx="352">
                        <c:v>82853.36</c:v>
                      </c:pt>
                      <c:pt idx="353">
                        <c:v>82775.240000000005</c:v>
                      </c:pt>
                      <c:pt idx="354">
                        <c:v>82773.75</c:v>
                      </c:pt>
                      <c:pt idx="355">
                        <c:v>82750.399999999994</c:v>
                      </c:pt>
                      <c:pt idx="356">
                        <c:v>82760.039999999994</c:v>
                      </c:pt>
                      <c:pt idx="357">
                        <c:v>82748.740000000005</c:v>
                      </c:pt>
                      <c:pt idx="358">
                        <c:v>82769.23</c:v>
                      </c:pt>
                      <c:pt idx="359">
                        <c:v>82805.440000000002</c:v>
                      </c:pt>
                      <c:pt idx="360">
                        <c:v>82825.8</c:v>
                      </c:pt>
                      <c:pt idx="361">
                        <c:v>82817.36</c:v>
                      </c:pt>
                      <c:pt idx="362">
                        <c:v>82749.539999999994</c:v>
                      </c:pt>
                      <c:pt idx="363">
                        <c:v>82744</c:v>
                      </c:pt>
                      <c:pt idx="364">
                        <c:v>82746.5</c:v>
                      </c:pt>
                      <c:pt idx="365">
                        <c:v>82715.59</c:v>
                      </c:pt>
                      <c:pt idx="366">
                        <c:v>82821.3</c:v>
                      </c:pt>
                      <c:pt idx="367">
                        <c:v>82804.22</c:v>
                      </c:pt>
                      <c:pt idx="368">
                        <c:v>82767.399999999994</c:v>
                      </c:pt>
                      <c:pt idx="369">
                        <c:v>82784.05</c:v>
                      </c:pt>
                      <c:pt idx="370">
                        <c:v>82773.350000000006</c:v>
                      </c:pt>
                      <c:pt idx="371">
                        <c:v>82777.84</c:v>
                      </c:pt>
                      <c:pt idx="372">
                        <c:v>82840.33</c:v>
                      </c:pt>
                      <c:pt idx="373">
                        <c:v>82864.100000000006</c:v>
                      </c:pt>
                      <c:pt idx="374">
                        <c:v>82855.179999999993</c:v>
                      </c:pt>
                      <c:pt idx="375">
                        <c:v>82825.31</c:v>
                      </c:pt>
                      <c:pt idx="376">
                        <c:v>82821.23</c:v>
                      </c:pt>
                      <c:pt idx="377">
                        <c:v>82806.77</c:v>
                      </c:pt>
                      <c:pt idx="378">
                        <c:v>82816.899999999994</c:v>
                      </c:pt>
                      <c:pt idx="379">
                        <c:v>82792.2</c:v>
                      </c:pt>
                      <c:pt idx="380">
                        <c:v>82838.59</c:v>
                      </c:pt>
                      <c:pt idx="381">
                        <c:v>82859.22</c:v>
                      </c:pt>
                      <c:pt idx="382">
                        <c:v>82878.36</c:v>
                      </c:pt>
                      <c:pt idx="383">
                        <c:v>82854.22</c:v>
                      </c:pt>
                      <c:pt idx="384">
                        <c:v>82812.19</c:v>
                      </c:pt>
                      <c:pt idx="385">
                        <c:v>82798.55</c:v>
                      </c:pt>
                      <c:pt idx="386">
                        <c:v>82796.210000000006</c:v>
                      </c:pt>
                      <c:pt idx="387">
                        <c:v>82773.63</c:v>
                      </c:pt>
                      <c:pt idx="388">
                        <c:v>82758.38</c:v>
                      </c:pt>
                      <c:pt idx="389">
                        <c:v>82776.97</c:v>
                      </c:pt>
                      <c:pt idx="390">
                        <c:v>82791.009999999995</c:v>
                      </c:pt>
                      <c:pt idx="391">
                        <c:v>82811.13</c:v>
                      </c:pt>
                      <c:pt idx="392">
                        <c:v>82790.3</c:v>
                      </c:pt>
                      <c:pt idx="393">
                        <c:v>82761.289999999994</c:v>
                      </c:pt>
                      <c:pt idx="394">
                        <c:v>82632</c:v>
                      </c:pt>
                      <c:pt idx="395">
                        <c:v>82588.84</c:v>
                      </c:pt>
                      <c:pt idx="396">
                        <c:v>82598.27</c:v>
                      </c:pt>
                      <c:pt idx="397">
                        <c:v>82673.23</c:v>
                      </c:pt>
                      <c:pt idx="398">
                        <c:v>82539.820000000007</c:v>
                      </c:pt>
                      <c:pt idx="399">
                        <c:v>82536.800000000003</c:v>
                      </c:pt>
                      <c:pt idx="400">
                        <c:v>82502.42</c:v>
                      </c:pt>
                      <c:pt idx="401">
                        <c:v>82578.63</c:v>
                      </c:pt>
                      <c:pt idx="402">
                        <c:v>82582.460000000006</c:v>
                      </c:pt>
                      <c:pt idx="403">
                        <c:v>82594.929999999993</c:v>
                      </c:pt>
                      <c:pt idx="404">
                        <c:v>82581.539999999994</c:v>
                      </c:pt>
                      <c:pt idx="405">
                        <c:v>82615.42</c:v>
                      </c:pt>
                      <c:pt idx="406">
                        <c:v>82620.320000000007</c:v>
                      </c:pt>
                      <c:pt idx="407">
                        <c:v>82686.100000000006</c:v>
                      </c:pt>
                      <c:pt idx="408">
                        <c:v>82656.899999999994</c:v>
                      </c:pt>
                      <c:pt idx="409">
                        <c:v>82613.66</c:v>
                      </c:pt>
                      <c:pt idx="410">
                        <c:v>82636.039999999994</c:v>
                      </c:pt>
                      <c:pt idx="411">
                        <c:v>82638.41</c:v>
                      </c:pt>
                      <c:pt idx="412">
                        <c:v>82643.31</c:v>
                      </c:pt>
                      <c:pt idx="413">
                        <c:v>82608.539999999994</c:v>
                      </c:pt>
                      <c:pt idx="414">
                        <c:v>82623.78</c:v>
                      </c:pt>
                      <c:pt idx="415">
                        <c:v>82636.77</c:v>
                      </c:pt>
                      <c:pt idx="416">
                        <c:v>82688.820000000007</c:v>
                      </c:pt>
                      <c:pt idx="417">
                        <c:v>82654.3</c:v>
                      </c:pt>
                      <c:pt idx="418">
                        <c:v>82677.100000000006</c:v>
                      </c:pt>
                      <c:pt idx="419">
                        <c:v>82702.600000000006</c:v>
                      </c:pt>
                      <c:pt idx="420">
                        <c:v>82732.97</c:v>
                      </c:pt>
                      <c:pt idx="421">
                        <c:v>82778.320000000007</c:v>
                      </c:pt>
                      <c:pt idx="422">
                        <c:v>82790.399999999994</c:v>
                      </c:pt>
                      <c:pt idx="423">
                        <c:v>82774.3</c:v>
                      </c:pt>
                      <c:pt idx="424">
                        <c:v>82774.3</c:v>
                      </c:pt>
                      <c:pt idx="425">
                        <c:v>82833.490000000005</c:v>
                      </c:pt>
                      <c:pt idx="426">
                        <c:v>82872.210000000006</c:v>
                      </c:pt>
                      <c:pt idx="427">
                        <c:v>82889.100000000006</c:v>
                      </c:pt>
                      <c:pt idx="428">
                        <c:v>82878.320000000007</c:v>
                      </c:pt>
                      <c:pt idx="429">
                        <c:v>82780.69</c:v>
                      </c:pt>
                      <c:pt idx="430">
                        <c:v>82590.41</c:v>
                      </c:pt>
                      <c:pt idx="431">
                        <c:v>82626.740000000005</c:v>
                      </c:pt>
                      <c:pt idx="432">
                        <c:v>82541.210000000006</c:v>
                      </c:pt>
                      <c:pt idx="433">
                        <c:v>82487.22</c:v>
                      </c:pt>
                      <c:pt idx="434">
                        <c:v>82444.94</c:v>
                      </c:pt>
                      <c:pt idx="435">
                        <c:v>82492.5</c:v>
                      </c:pt>
                      <c:pt idx="436">
                        <c:v>82457.710000000006</c:v>
                      </c:pt>
                      <c:pt idx="437">
                        <c:v>82476</c:v>
                      </c:pt>
                      <c:pt idx="438">
                        <c:v>82470.850000000006</c:v>
                      </c:pt>
                      <c:pt idx="439">
                        <c:v>82379</c:v>
                      </c:pt>
                      <c:pt idx="440">
                        <c:v>82310.03</c:v>
                      </c:pt>
                      <c:pt idx="441">
                        <c:v>82289.95</c:v>
                      </c:pt>
                      <c:pt idx="442">
                        <c:v>82317.740000000005</c:v>
                      </c:pt>
                      <c:pt idx="443">
                        <c:v>82282.36</c:v>
                      </c:pt>
                      <c:pt idx="444">
                        <c:v>82178</c:v>
                      </c:pt>
                      <c:pt idx="445">
                        <c:v>82093.16</c:v>
                      </c:pt>
                      <c:pt idx="446">
                        <c:v>82057.320000000007</c:v>
                      </c:pt>
                      <c:pt idx="447">
                        <c:v>82004.009999999995</c:v>
                      </c:pt>
                      <c:pt idx="448">
                        <c:v>81728.7</c:v>
                      </c:pt>
                      <c:pt idx="449">
                        <c:v>81674.600000000006</c:v>
                      </c:pt>
                      <c:pt idx="450">
                        <c:v>81612.039999999994</c:v>
                      </c:pt>
                      <c:pt idx="451">
                        <c:v>81590.240000000005</c:v>
                      </c:pt>
                      <c:pt idx="452">
                        <c:v>81442.8</c:v>
                      </c:pt>
                      <c:pt idx="453">
                        <c:v>81372.210000000006</c:v>
                      </c:pt>
                      <c:pt idx="454">
                        <c:v>81494.740000000005</c:v>
                      </c:pt>
                      <c:pt idx="455">
                        <c:v>81420.509999999995</c:v>
                      </c:pt>
                      <c:pt idx="456">
                        <c:v>81514.11</c:v>
                      </c:pt>
                      <c:pt idx="457">
                        <c:v>81530.399999999994</c:v>
                      </c:pt>
                      <c:pt idx="458">
                        <c:v>81243.710000000006</c:v>
                      </c:pt>
                      <c:pt idx="459">
                        <c:v>81196.38</c:v>
                      </c:pt>
                      <c:pt idx="460">
                        <c:v>81136.960000000006</c:v>
                      </c:pt>
                      <c:pt idx="461">
                        <c:v>81062.31</c:v>
                      </c:pt>
                      <c:pt idx="462">
                        <c:v>81067.61</c:v>
                      </c:pt>
                      <c:pt idx="463">
                        <c:v>81008.14</c:v>
                      </c:pt>
                      <c:pt idx="464">
                        <c:v>81008.2</c:v>
                      </c:pt>
                      <c:pt idx="465">
                        <c:v>81013.73</c:v>
                      </c:pt>
                      <c:pt idx="466">
                        <c:v>81034.83</c:v>
                      </c:pt>
                      <c:pt idx="467">
                        <c:v>81245.39</c:v>
                      </c:pt>
                      <c:pt idx="468">
                        <c:v>81174.509999999995</c:v>
                      </c:pt>
                      <c:pt idx="469">
                        <c:v>81193.03</c:v>
                      </c:pt>
                      <c:pt idx="470">
                        <c:v>81205.7</c:v>
                      </c:pt>
                      <c:pt idx="471">
                        <c:v>81127.83</c:v>
                      </c:pt>
                      <c:pt idx="472">
                        <c:v>81210.5</c:v>
                      </c:pt>
                      <c:pt idx="473">
                        <c:v>81210.649999999994</c:v>
                      </c:pt>
                      <c:pt idx="474">
                        <c:v>81215.070000000007</c:v>
                      </c:pt>
                      <c:pt idx="475">
                        <c:v>81421.02</c:v>
                      </c:pt>
                      <c:pt idx="476">
                        <c:v>81526.63</c:v>
                      </c:pt>
                      <c:pt idx="477">
                        <c:v>81494.149999999994</c:v>
                      </c:pt>
                      <c:pt idx="478">
                        <c:v>81499.39</c:v>
                      </c:pt>
                      <c:pt idx="479">
                        <c:v>81507.03</c:v>
                      </c:pt>
                      <c:pt idx="480">
                        <c:v>81486.429999999993</c:v>
                      </c:pt>
                      <c:pt idx="481">
                        <c:v>81502.399999999994</c:v>
                      </c:pt>
                      <c:pt idx="482">
                        <c:v>81377.55</c:v>
                      </c:pt>
                      <c:pt idx="483">
                        <c:v>81251.509999999995</c:v>
                      </c:pt>
                      <c:pt idx="484">
                        <c:v>81273.899999999994</c:v>
                      </c:pt>
                      <c:pt idx="485">
                        <c:v>81304.039999999994</c:v>
                      </c:pt>
                      <c:pt idx="486">
                        <c:v>81668.509999999995</c:v>
                      </c:pt>
                      <c:pt idx="487">
                        <c:v>81737.8</c:v>
                      </c:pt>
                      <c:pt idx="488">
                        <c:v>81617.75</c:v>
                      </c:pt>
                      <c:pt idx="489">
                        <c:v>81564.14</c:v>
                      </c:pt>
                      <c:pt idx="490">
                        <c:v>81448.850000000006</c:v>
                      </c:pt>
                      <c:pt idx="491">
                        <c:v>81406.23</c:v>
                      </c:pt>
                      <c:pt idx="492">
                        <c:v>81419.62</c:v>
                      </c:pt>
                      <c:pt idx="493">
                        <c:v>81320.03</c:v>
                      </c:pt>
                      <c:pt idx="494">
                        <c:v>81252.429999999993</c:v>
                      </c:pt>
                      <c:pt idx="495">
                        <c:v>81251.41</c:v>
                      </c:pt>
                      <c:pt idx="496">
                        <c:v>81227.09</c:v>
                      </c:pt>
                      <c:pt idx="497">
                        <c:v>81113.66</c:v>
                      </c:pt>
                      <c:pt idx="498">
                        <c:v>81188.429999999993</c:v>
                      </c:pt>
                      <c:pt idx="499">
                        <c:v>81216.89</c:v>
                      </c:pt>
                      <c:pt idx="500">
                        <c:v>81204.7</c:v>
                      </c:pt>
                      <c:pt idx="501">
                        <c:v>81144.259999999995</c:v>
                      </c:pt>
                      <c:pt idx="502">
                        <c:v>81187.710000000006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4B5-44E6-B510-6571DD8D3F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Issue1949!$E$2</c15:sqref>
                        </c15:formulaRef>
                      </c:ext>
                    </c:extLst>
                    <c:strCache>
                      <c:ptCount val="1"/>
                      <c:pt idx="0">
                        <c:v> low 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Issue1949!$A$3:$A$1432</c15:sqref>
                        </c15:formulaRef>
                      </c:ext>
                    </c:extLst>
                    <c:numCache>
                      <c:formatCode>General</c:formatCode>
                      <c:ptCount val="143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Issue1949!$E$3:$E$505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503"/>
                      <c:pt idx="0">
                        <c:v>83637.81</c:v>
                      </c:pt>
                      <c:pt idx="1">
                        <c:v>83642.100000000006</c:v>
                      </c:pt>
                      <c:pt idx="2">
                        <c:v>83695.81</c:v>
                      </c:pt>
                      <c:pt idx="3">
                        <c:v>83711.75</c:v>
                      </c:pt>
                      <c:pt idx="4">
                        <c:v>83718.03</c:v>
                      </c:pt>
                      <c:pt idx="5">
                        <c:v>83730.080000000002</c:v>
                      </c:pt>
                      <c:pt idx="6">
                        <c:v>83730.649999999994</c:v>
                      </c:pt>
                      <c:pt idx="7">
                        <c:v>83708.38</c:v>
                      </c:pt>
                      <c:pt idx="8">
                        <c:v>83708.03</c:v>
                      </c:pt>
                      <c:pt idx="9">
                        <c:v>83708.69</c:v>
                      </c:pt>
                      <c:pt idx="10">
                        <c:v>83728.5</c:v>
                      </c:pt>
                      <c:pt idx="11">
                        <c:v>83727.759999999995</c:v>
                      </c:pt>
                      <c:pt idx="12">
                        <c:v>83734.740000000005</c:v>
                      </c:pt>
                      <c:pt idx="13">
                        <c:v>83701.7</c:v>
                      </c:pt>
                      <c:pt idx="14">
                        <c:v>83699.070000000007</c:v>
                      </c:pt>
                      <c:pt idx="15">
                        <c:v>83696.52</c:v>
                      </c:pt>
                      <c:pt idx="16">
                        <c:v>83718.710000000006</c:v>
                      </c:pt>
                      <c:pt idx="17">
                        <c:v>83644.58</c:v>
                      </c:pt>
                      <c:pt idx="18">
                        <c:v>83644.820000000007</c:v>
                      </c:pt>
                      <c:pt idx="19">
                        <c:v>83652.600000000006</c:v>
                      </c:pt>
                      <c:pt idx="20">
                        <c:v>83640.710000000006</c:v>
                      </c:pt>
                      <c:pt idx="21">
                        <c:v>83655.399999999994</c:v>
                      </c:pt>
                      <c:pt idx="22">
                        <c:v>83683.81</c:v>
                      </c:pt>
                      <c:pt idx="23">
                        <c:v>83685.2</c:v>
                      </c:pt>
                      <c:pt idx="24">
                        <c:v>83685.210000000006</c:v>
                      </c:pt>
                      <c:pt idx="25">
                        <c:v>83699.259999999995</c:v>
                      </c:pt>
                      <c:pt idx="26">
                        <c:v>83683.81</c:v>
                      </c:pt>
                      <c:pt idx="27">
                        <c:v>83669.25</c:v>
                      </c:pt>
                      <c:pt idx="28">
                        <c:v>83663.8</c:v>
                      </c:pt>
                      <c:pt idx="29">
                        <c:v>83651.05</c:v>
                      </c:pt>
                      <c:pt idx="30">
                        <c:v>83627.12</c:v>
                      </c:pt>
                      <c:pt idx="31">
                        <c:v>83639.31</c:v>
                      </c:pt>
                      <c:pt idx="32">
                        <c:v>83647.91</c:v>
                      </c:pt>
                      <c:pt idx="33">
                        <c:v>83648.11</c:v>
                      </c:pt>
                      <c:pt idx="34">
                        <c:v>83668.960000000006</c:v>
                      </c:pt>
                      <c:pt idx="35">
                        <c:v>83673.42</c:v>
                      </c:pt>
                      <c:pt idx="36">
                        <c:v>83690.67</c:v>
                      </c:pt>
                      <c:pt idx="37">
                        <c:v>83697.119999999995</c:v>
                      </c:pt>
                      <c:pt idx="38">
                        <c:v>83693.84</c:v>
                      </c:pt>
                      <c:pt idx="39">
                        <c:v>83663.44</c:v>
                      </c:pt>
                      <c:pt idx="40">
                        <c:v>83650.5</c:v>
                      </c:pt>
                      <c:pt idx="41">
                        <c:v>83540.11</c:v>
                      </c:pt>
                      <c:pt idx="42">
                        <c:v>83507.19</c:v>
                      </c:pt>
                      <c:pt idx="43">
                        <c:v>83510.009999999995</c:v>
                      </c:pt>
                      <c:pt idx="44">
                        <c:v>83438.720000000001</c:v>
                      </c:pt>
                      <c:pt idx="45">
                        <c:v>83486.37</c:v>
                      </c:pt>
                      <c:pt idx="46">
                        <c:v>83491.509999999995</c:v>
                      </c:pt>
                      <c:pt idx="47">
                        <c:v>83494.539999999994</c:v>
                      </c:pt>
                      <c:pt idx="48">
                        <c:v>83446.81</c:v>
                      </c:pt>
                      <c:pt idx="49">
                        <c:v>83409.87</c:v>
                      </c:pt>
                      <c:pt idx="50">
                        <c:v>83369.350000000006</c:v>
                      </c:pt>
                      <c:pt idx="51">
                        <c:v>83365.5</c:v>
                      </c:pt>
                      <c:pt idx="52">
                        <c:v>83357.94</c:v>
                      </c:pt>
                      <c:pt idx="53">
                        <c:v>83358.399999999994</c:v>
                      </c:pt>
                      <c:pt idx="54">
                        <c:v>83412.31</c:v>
                      </c:pt>
                      <c:pt idx="55">
                        <c:v>83416.42</c:v>
                      </c:pt>
                      <c:pt idx="56">
                        <c:v>83432.91</c:v>
                      </c:pt>
                      <c:pt idx="57">
                        <c:v>83434.66</c:v>
                      </c:pt>
                      <c:pt idx="58">
                        <c:v>83456.5</c:v>
                      </c:pt>
                      <c:pt idx="59">
                        <c:v>83499.899999999994</c:v>
                      </c:pt>
                      <c:pt idx="60">
                        <c:v>83469.960000000006</c:v>
                      </c:pt>
                      <c:pt idx="61">
                        <c:v>83468.81</c:v>
                      </c:pt>
                      <c:pt idx="62">
                        <c:v>83469.440000000002</c:v>
                      </c:pt>
                      <c:pt idx="63">
                        <c:v>83494.13</c:v>
                      </c:pt>
                      <c:pt idx="64">
                        <c:v>83494.5</c:v>
                      </c:pt>
                      <c:pt idx="65">
                        <c:v>83495.929999999993</c:v>
                      </c:pt>
                      <c:pt idx="66">
                        <c:v>83500.100000000006</c:v>
                      </c:pt>
                      <c:pt idx="67">
                        <c:v>83483.899999999994</c:v>
                      </c:pt>
                      <c:pt idx="68">
                        <c:v>83467.990000000005</c:v>
                      </c:pt>
                      <c:pt idx="69">
                        <c:v>83500.789999999994</c:v>
                      </c:pt>
                      <c:pt idx="70">
                        <c:v>83490.44</c:v>
                      </c:pt>
                      <c:pt idx="71">
                        <c:v>83502.070000000007</c:v>
                      </c:pt>
                      <c:pt idx="72">
                        <c:v>83514.320000000007</c:v>
                      </c:pt>
                      <c:pt idx="73">
                        <c:v>83522.600000000006</c:v>
                      </c:pt>
                      <c:pt idx="74">
                        <c:v>83512.509999999995</c:v>
                      </c:pt>
                      <c:pt idx="75">
                        <c:v>83452.38</c:v>
                      </c:pt>
                      <c:pt idx="76">
                        <c:v>83453.3</c:v>
                      </c:pt>
                      <c:pt idx="77">
                        <c:v>83486.559999999998</c:v>
                      </c:pt>
                      <c:pt idx="78">
                        <c:v>83443.399999999994</c:v>
                      </c:pt>
                      <c:pt idx="79">
                        <c:v>83425.58</c:v>
                      </c:pt>
                      <c:pt idx="80">
                        <c:v>83417.240000000005</c:v>
                      </c:pt>
                      <c:pt idx="81">
                        <c:v>83367.850000000006</c:v>
                      </c:pt>
                      <c:pt idx="82">
                        <c:v>83249.3</c:v>
                      </c:pt>
                      <c:pt idx="83">
                        <c:v>83124.100000000006</c:v>
                      </c:pt>
                      <c:pt idx="84">
                        <c:v>83149.350000000006</c:v>
                      </c:pt>
                      <c:pt idx="85">
                        <c:v>83150.61</c:v>
                      </c:pt>
                      <c:pt idx="86">
                        <c:v>83130.929999999993</c:v>
                      </c:pt>
                      <c:pt idx="87">
                        <c:v>83124.600000000006</c:v>
                      </c:pt>
                      <c:pt idx="88">
                        <c:v>83008.12</c:v>
                      </c:pt>
                      <c:pt idx="89">
                        <c:v>83128.320000000007</c:v>
                      </c:pt>
                      <c:pt idx="90">
                        <c:v>83182.899999999994</c:v>
                      </c:pt>
                      <c:pt idx="91">
                        <c:v>83190.63</c:v>
                      </c:pt>
                      <c:pt idx="92">
                        <c:v>83209.09</c:v>
                      </c:pt>
                      <c:pt idx="93">
                        <c:v>83167.39</c:v>
                      </c:pt>
                      <c:pt idx="94">
                        <c:v>83159.23</c:v>
                      </c:pt>
                      <c:pt idx="95">
                        <c:v>83149.31</c:v>
                      </c:pt>
                      <c:pt idx="96">
                        <c:v>83141.84</c:v>
                      </c:pt>
                      <c:pt idx="97">
                        <c:v>83098.429999999993</c:v>
                      </c:pt>
                      <c:pt idx="98">
                        <c:v>83069.63</c:v>
                      </c:pt>
                      <c:pt idx="99">
                        <c:v>82995.710000000006</c:v>
                      </c:pt>
                      <c:pt idx="100">
                        <c:v>83024.2</c:v>
                      </c:pt>
                      <c:pt idx="101">
                        <c:v>83012.91</c:v>
                      </c:pt>
                      <c:pt idx="102">
                        <c:v>82952.37</c:v>
                      </c:pt>
                      <c:pt idx="103">
                        <c:v>82941.7</c:v>
                      </c:pt>
                      <c:pt idx="104">
                        <c:v>82879.61</c:v>
                      </c:pt>
                      <c:pt idx="105">
                        <c:v>82838.820000000007</c:v>
                      </c:pt>
                      <c:pt idx="106">
                        <c:v>82799.509999999995</c:v>
                      </c:pt>
                      <c:pt idx="107">
                        <c:v>82748.5</c:v>
                      </c:pt>
                      <c:pt idx="108">
                        <c:v>82688.59</c:v>
                      </c:pt>
                      <c:pt idx="109">
                        <c:v>82931.42</c:v>
                      </c:pt>
                      <c:pt idx="110">
                        <c:v>82868.5</c:v>
                      </c:pt>
                      <c:pt idx="111">
                        <c:v>82648.100000000006</c:v>
                      </c:pt>
                      <c:pt idx="112">
                        <c:v>82636.2</c:v>
                      </c:pt>
                      <c:pt idx="113">
                        <c:v>82640.53</c:v>
                      </c:pt>
                      <c:pt idx="114">
                        <c:v>82522.850000000006</c:v>
                      </c:pt>
                      <c:pt idx="115">
                        <c:v>82656.66</c:v>
                      </c:pt>
                      <c:pt idx="116">
                        <c:v>82661.149999999994</c:v>
                      </c:pt>
                      <c:pt idx="117">
                        <c:v>82747.149999999994</c:v>
                      </c:pt>
                      <c:pt idx="118">
                        <c:v>82656.67</c:v>
                      </c:pt>
                      <c:pt idx="119">
                        <c:v>82699.03</c:v>
                      </c:pt>
                      <c:pt idx="120">
                        <c:v>82745.63</c:v>
                      </c:pt>
                      <c:pt idx="121">
                        <c:v>82775.460000000006</c:v>
                      </c:pt>
                      <c:pt idx="122">
                        <c:v>82812.509999999995</c:v>
                      </c:pt>
                      <c:pt idx="123">
                        <c:v>82891.19</c:v>
                      </c:pt>
                      <c:pt idx="124">
                        <c:v>82921.52</c:v>
                      </c:pt>
                      <c:pt idx="125">
                        <c:v>82965.91</c:v>
                      </c:pt>
                      <c:pt idx="126">
                        <c:v>82991.13</c:v>
                      </c:pt>
                      <c:pt idx="127">
                        <c:v>83058.350000000006</c:v>
                      </c:pt>
                      <c:pt idx="128">
                        <c:v>83094.22</c:v>
                      </c:pt>
                      <c:pt idx="129">
                        <c:v>83047.039999999994</c:v>
                      </c:pt>
                      <c:pt idx="130">
                        <c:v>83017.63</c:v>
                      </c:pt>
                      <c:pt idx="131">
                        <c:v>83024.100000000006</c:v>
                      </c:pt>
                      <c:pt idx="132">
                        <c:v>83029.2</c:v>
                      </c:pt>
                      <c:pt idx="133">
                        <c:v>83056.02</c:v>
                      </c:pt>
                      <c:pt idx="134">
                        <c:v>83110.350000000006</c:v>
                      </c:pt>
                      <c:pt idx="135">
                        <c:v>83129.08</c:v>
                      </c:pt>
                      <c:pt idx="136">
                        <c:v>83120.88</c:v>
                      </c:pt>
                      <c:pt idx="137">
                        <c:v>83031.13</c:v>
                      </c:pt>
                      <c:pt idx="138">
                        <c:v>83026.28</c:v>
                      </c:pt>
                      <c:pt idx="139">
                        <c:v>83070.75</c:v>
                      </c:pt>
                      <c:pt idx="140">
                        <c:v>83079.77</c:v>
                      </c:pt>
                      <c:pt idx="141">
                        <c:v>83098.399999999994</c:v>
                      </c:pt>
                      <c:pt idx="142">
                        <c:v>83110.73</c:v>
                      </c:pt>
                      <c:pt idx="143">
                        <c:v>83117.820000000007</c:v>
                      </c:pt>
                      <c:pt idx="144">
                        <c:v>83134.679999999993</c:v>
                      </c:pt>
                      <c:pt idx="145">
                        <c:v>83090.42</c:v>
                      </c:pt>
                      <c:pt idx="146">
                        <c:v>83064.539999999994</c:v>
                      </c:pt>
                      <c:pt idx="147">
                        <c:v>83028.47</c:v>
                      </c:pt>
                      <c:pt idx="148">
                        <c:v>83087.839999999997</c:v>
                      </c:pt>
                      <c:pt idx="149">
                        <c:v>83106.36</c:v>
                      </c:pt>
                      <c:pt idx="150">
                        <c:v>83033.81</c:v>
                      </c:pt>
                      <c:pt idx="151">
                        <c:v>83020.36</c:v>
                      </c:pt>
                      <c:pt idx="152">
                        <c:v>82965.39</c:v>
                      </c:pt>
                      <c:pt idx="153">
                        <c:v>82944.28</c:v>
                      </c:pt>
                      <c:pt idx="154">
                        <c:v>82905.81</c:v>
                      </c:pt>
                      <c:pt idx="155">
                        <c:v>82855.070000000007</c:v>
                      </c:pt>
                      <c:pt idx="156">
                        <c:v>82855.67</c:v>
                      </c:pt>
                      <c:pt idx="157">
                        <c:v>82839.009999999995</c:v>
                      </c:pt>
                      <c:pt idx="158">
                        <c:v>82886.83</c:v>
                      </c:pt>
                      <c:pt idx="159">
                        <c:v>82903.98</c:v>
                      </c:pt>
                      <c:pt idx="160">
                        <c:v>82923.7</c:v>
                      </c:pt>
                      <c:pt idx="161">
                        <c:v>82978.929999999993</c:v>
                      </c:pt>
                      <c:pt idx="162">
                        <c:v>83025.73</c:v>
                      </c:pt>
                      <c:pt idx="163">
                        <c:v>83097.36</c:v>
                      </c:pt>
                      <c:pt idx="164">
                        <c:v>83133.2</c:v>
                      </c:pt>
                      <c:pt idx="165">
                        <c:v>83167.210000000006</c:v>
                      </c:pt>
                      <c:pt idx="166">
                        <c:v>83181.41</c:v>
                      </c:pt>
                      <c:pt idx="167">
                        <c:v>83189.53</c:v>
                      </c:pt>
                      <c:pt idx="168">
                        <c:v>83121.41</c:v>
                      </c:pt>
                      <c:pt idx="169">
                        <c:v>83128.47</c:v>
                      </c:pt>
                      <c:pt idx="170">
                        <c:v>83142.05</c:v>
                      </c:pt>
                      <c:pt idx="171">
                        <c:v>83156.41</c:v>
                      </c:pt>
                      <c:pt idx="172">
                        <c:v>83182.429999999993</c:v>
                      </c:pt>
                      <c:pt idx="173">
                        <c:v>83170.509999999995</c:v>
                      </c:pt>
                      <c:pt idx="174">
                        <c:v>83178.23</c:v>
                      </c:pt>
                      <c:pt idx="175">
                        <c:v>83155.3</c:v>
                      </c:pt>
                      <c:pt idx="176">
                        <c:v>83131.92</c:v>
                      </c:pt>
                      <c:pt idx="177">
                        <c:v>83142.990000000005</c:v>
                      </c:pt>
                      <c:pt idx="178">
                        <c:v>83082.19</c:v>
                      </c:pt>
                      <c:pt idx="179">
                        <c:v>83079.570000000007</c:v>
                      </c:pt>
                      <c:pt idx="180">
                        <c:v>83056.710000000006</c:v>
                      </c:pt>
                      <c:pt idx="181">
                        <c:v>83069.13</c:v>
                      </c:pt>
                      <c:pt idx="182">
                        <c:v>83069.05</c:v>
                      </c:pt>
                      <c:pt idx="183">
                        <c:v>83045.17</c:v>
                      </c:pt>
                      <c:pt idx="184">
                        <c:v>83059.25</c:v>
                      </c:pt>
                      <c:pt idx="185">
                        <c:v>83040.81</c:v>
                      </c:pt>
                      <c:pt idx="186">
                        <c:v>83102.720000000001</c:v>
                      </c:pt>
                      <c:pt idx="187">
                        <c:v>83120.5</c:v>
                      </c:pt>
                      <c:pt idx="188">
                        <c:v>83107.91</c:v>
                      </c:pt>
                      <c:pt idx="189">
                        <c:v>83074.87</c:v>
                      </c:pt>
                      <c:pt idx="190">
                        <c:v>83040.320000000007</c:v>
                      </c:pt>
                      <c:pt idx="191">
                        <c:v>83050.63</c:v>
                      </c:pt>
                      <c:pt idx="192">
                        <c:v>83079.179999999993</c:v>
                      </c:pt>
                      <c:pt idx="193">
                        <c:v>83067.149999999994</c:v>
                      </c:pt>
                      <c:pt idx="194">
                        <c:v>83050.42</c:v>
                      </c:pt>
                      <c:pt idx="195">
                        <c:v>82998.31</c:v>
                      </c:pt>
                      <c:pt idx="196">
                        <c:v>83036.75</c:v>
                      </c:pt>
                      <c:pt idx="197">
                        <c:v>83033.45</c:v>
                      </c:pt>
                      <c:pt idx="198">
                        <c:v>82998.320000000007</c:v>
                      </c:pt>
                      <c:pt idx="199">
                        <c:v>82931.3</c:v>
                      </c:pt>
                      <c:pt idx="200">
                        <c:v>82914.53</c:v>
                      </c:pt>
                      <c:pt idx="201">
                        <c:v>82941.279999999999</c:v>
                      </c:pt>
                      <c:pt idx="202">
                        <c:v>82972.7</c:v>
                      </c:pt>
                      <c:pt idx="203">
                        <c:v>82953.69</c:v>
                      </c:pt>
                      <c:pt idx="204">
                        <c:v>82957.66</c:v>
                      </c:pt>
                      <c:pt idx="205">
                        <c:v>82950.490000000005</c:v>
                      </c:pt>
                      <c:pt idx="206">
                        <c:v>82950.27</c:v>
                      </c:pt>
                      <c:pt idx="207">
                        <c:v>82950.039999999994</c:v>
                      </c:pt>
                      <c:pt idx="208">
                        <c:v>82890.09</c:v>
                      </c:pt>
                      <c:pt idx="209">
                        <c:v>82870.5</c:v>
                      </c:pt>
                      <c:pt idx="210">
                        <c:v>82870.02</c:v>
                      </c:pt>
                      <c:pt idx="211">
                        <c:v>82908.75</c:v>
                      </c:pt>
                      <c:pt idx="212">
                        <c:v>82940.990000000005</c:v>
                      </c:pt>
                      <c:pt idx="213">
                        <c:v>82961.179999999993</c:v>
                      </c:pt>
                      <c:pt idx="214">
                        <c:v>82966</c:v>
                      </c:pt>
                      <c:pt idx="215">
                        <c:v>82940.66</c:v>
                      </c:pt>
                      <c:pt idx="216">
                        <c:v>82941.02</c:v>
                      </c:pt>
                      <c:pt idx="217">
                        <c:v>83000.84</c:v>
                      </c:pt>
                      <c:pt idx="218">
                        <c:v>82994.509999999995</c:v>
                      </c:pt>
                      <c:pt idx="219">
                        <c:v>83005.429999999993</c:v>
                      </c:pt>
                      <c:pt idx="220">
                        <c:v>83003.77</c:v>
                      </c:pt>
                      <c:pt idx="221">
                        <c:v>82989.47</c:v>
                      </c:pt>
                      <c:pt idx="222">
                        <c:v>83023.990000000005</c:v>
                      </c:pt>
                      <c:pt idx="223">
                        <c:v>83101.710000000006</c:v>
                      </c:pt>
                      <c:pt idx="224">
                        <c:v>83114.039999999994</c:v>
                      </c:pt>
                      <c:pt idx="225">
                        <c:v>83055.48</c:v>
                      </c:pt>
                      <c:pt idx="226">
                        <c:v>83018.41</c:v>
                      </c:pt>
                      <c:pt idx="227">
                        <c:v>83012.91</c:v>
                      </c:pt>
                      <c:pt idx="228">
                        <c:v>83046.8</c:v>
                      </c:pt>
                      <c:pt idx="229">
                        <c:v>83026.100000000006</c:v>
                      </c:pt>
                      <c:pt idx="230">
                        <c:v>83027.53</c:v>
                      </c:pt>
                      <c:pt idx="231">
                        <c:v>83049.539999999994</c:v>
                      </c:pt>
                      <c:pt idx="232">
                        <c:v>83050.600000000006</c:v>
                      </c:pt>
                      <c:pt idx="233">
                        <c:v>83090.399999999994</c:v>
                      </c:pt>
                      <c:pt idx="234">
                        <c:v>83084.429999999993</c:v>
                      </c:pt>
                      <c:pt idx="235">
                        <c:v>83115.03</c:v>
                      </c:pt>
                      <c:pt idx="236">
                        <c:v>83090.5</c:v>
                      </c:pt>
                      <c:pt idx="237">
                        <c:v>83077.67</c:v>
                      </c:pt>
                      <c:pt idx="238">
                        <c:v>83078.679999999993</c:v>
                      </c:pt>
                      <c:pt idx="239">
                        <c:v>83048.679999999993</c:v>
                      </c:pt>
                      <c:pt idx="240">
                        <c:v>83057.39</c:v>
                      </c:pt>
                      <c:pt idx="241">
                        <c:v>83061.350000000006</c:v>
                      </c:pt>
                      <c:pt idx="242">
                        <c:v>83009.899999999994</c:v>
                      </c:pt>
                      <c:pt idx="243">
                        <c:v>83016.149999999994</c:v>
                      </c:pt>
                      <c:pt idx="244">
                        <c:v>83051.33</c:v>
                      </c:pt>
                      <c:pt idx="245">
                        <c:v>83073.98</c:v>
                      </c:pt>
                      <c:pt idx="246">
                        <c:v>83121.460000000006</c:v>
                      </c:pt>
                      <c:pt idx="247">
                        <c:v>83097.679999999993</c:v>
                      </c:pt>
                      <c:pt idx="248">
                        <c:v>83109.919999999998</c:v>
                      </c:pt>
                      <c:pt idx="249">
                        <c:v>83081.960000000006</c:v>
                      </c:pt>
                      <c:pt idx="250">
                        <c:v>83067.3</c:v>
                      </c:pt>
                      <c:pt idx="251">
                        <c:v>83025.37</c:v>
                      </c:pt>
                      <c:pt idx="252">
                        <c:v>83034.58</c:v>
                      </c:pt>
                      <c:pt idx="253">
                        <c:v>82990.509999999995</c:v>
                      </c:pt>
                      <c:pt idx="254">
                        <c:v>82997.8</c:v>
                      </c:pt>
                      <c:pt idx="255">
                        <c:v>82995.710000000006</c:v>
                      </c:pt>
                      <c:pt idx="256">
                        <c:v>82971.22</c:v>
                      </c:pt>
                      <c:pt idx="257">
                        <c:v>82982.960000000006</c:v>
                      </c:pt>
                      <c:pt idx="258">
                        <c:v>83011.320000000007</c:v>
                      </c:pt>
                      <c:pt idx="259">
                        <c:v>82988.259999999995</c:v>
                      </c:pt>
                      <c:pt idx="260">
                        <c:v>82989.509999999995</c:v>
                      </c:pt>
                      <c:pt idx="261">
                        <c:v>82972.22</c:v>
                      </c:pt>
                      <c:pt idx="262">
                        <c:v>82975.100000000006</c:v>
                      </c:pt>
                      <c:pt idx="263">
                        <c:v>82988.2</c:v>
                      </c:pt>
                      <c:pt idx="264">
                        <c:v>82955.61</c:v>
                      </c:pt>
                      <c:pt idx="265">
                        <c:v>82933.17</c:v>
                      </c:pt>
                      <c:pt idx="266">
                        <c:v>82955.73</c:v>
                      </c:pt>
                      <c:pt idx="267">
                        <c:v>82986.03</c:v>
                      </c:pt>
                      <c:pt idx="268">
                        <c:v>82949.11</c:v>
                      </c:pt>
                      <c:pt idx="269">
                        <c:v>82949.42</c:v>
                      </c:pt>
                      <c:pt idx="270">
                        <c:v>82964.66</c:v>
                      </c:pt>
                      <c:pt idx="271">
                        <c:v>82982.02</c:v>
                      </c:pt>
                      <c:pt idx="272">
                        <c:v>82968.44</c:v>
                      </c:pt>
                      <c:pt idx="273">
                        <c:v>82983.48</c:v>
                      </c:pt>
                      <c:pt idx="274">
                        <c:v>82993.61</c:v>
                      </c:pt>
                      <c:pt idx="275">
                        <c:v>83000.41</c:v>
                      </c:pt>
                      <c:pt idx="276">
                        <c:v>82983.34</c:v>
                      </c:pt>
                      <c:pt idx="277">
                        <c:v>83008.39</c:v>
                      </c:pt>
                      <c:pt idx="278">
                        <c:v>82990.63</c:v>
                      </c:pt>
                      <c:pt idx="279">
                        <c:v>82956.850000000006</c:v>
                      </c:pt>
                      <c:pt idx="280">
                        <c:v>82942.63</c:v>
                      </c:pt>
                      <c:pt idx="281">
                        <c:v>82954.710000000006</c:v>
                      </c:pt>
                      <c:pt idx="282">
                        <c:v>82975.710000000006</c:v>
                      </c:pt>
                      <c:pt idx="283">
                        <c:v>82967.259999999995</c:v>
                      </c:pt>
                      <c:pt idx="284">
                        <c:v>82986.83</c:v>
                      </c:pt>
                      <c:pt idx="285">
                        <c:v>82970.5</c:v>
                      </c:pt>
                      <c:pt idx="286">
                        <c:v>82987.62</c:v>
                      </c:pt>
                      <c:pt idx="287">
                        <c:v>82983.58</c:v>
                      </c:pt>
                      <c:pt idx="288">
                        <c:v>82972.75</c:v>
                      </c:pt>
                      <c:pt idx="289">
                        <c:v>82976.539999999994</c:v>
                      </c:pt>
                      <c:pt idx="290">
                        <c:v>82970.5</c:v>
                      </c:pt>
                      <c:pt idx="291">
                        <c:v>82970.5</c:v>
                      </c:pt>
                      <c:pt idx="292">
                        <c:v>82947.600000000006</c:v>
                      </c:pt>
                      <c:pt idx="293">
                        <c:v>82972.58</c:v>
                      </c:pt>
                      <c:pt idx="294">
                        <c:v>82959.17</c:v>
                      </c:pt>
                      <c:pt idx="295">
                        <c:v>82918.09</c:v>
                      </c:pt>
                      <c:pt idx="296">
                        <c:v>82933.3</c:v>
                      </c:pt>
                      <c:pt idx="297">
                        <c:v>82911.179999999993</c:v>
                      </c:pt>
                      <c:pt idx="298">
                        <c:v>82915.19</c:v>
                      </c:pt>
                      <c:pt idx="299">
                        <c:v>82922.97</c:v>
                      </c:pt>
                      <c:pt idx="300">
                        <c:v>82922.97</c:v>
                      </c:pt>
                      <c:pt idx="301">
                        <c:v>82947.210000000006</c:v>
                      </c:pt>
                      <c:pt idx="302">
                        <c:v>82889.95</c:v>
                      </c:pt>
                      <c:pt idx="303">
                        <c:v>82803.88</c:v>
                      </c:pt>
                      <c:pt idx="304">
                        <c:v>82835.039999999994</c:v>
                      </c:pt>
                      <c:pt idx="305">
                        <c:v>82886.399999999994</c:v>
                      </c:pt>
                      <c:pt idx="306">
                        <c:v>82908.25</c:v>
                      </c:pt>
                      <c:pt idx="307">
                        <c:v>82939.62</c:v>
                      </c:pt>
                      <c:pt idx="308">
                        <c:v>82939.520000000004</c:v>
                      </c:pt>
                      <c:pt idx="309">
                        <c:v>82900.759999999995</c:v>
                      </c:pt>
                      <c:pt idx="310">
                        <c:v>82905.69</c:v>
                      </c:pt>
                      <c:pt idx="311">
                        <c:v>82953.289999999994</c:v>
                      </c:pt>
                      <c:pt idx="312">
                        <c:v>82950.759999999995</c:v>
                      </c:pt>
                      <c:pt idx="313">
                        <c:v>82940.759999999995</c:v>
                      </c:pt>
                      <c:pt idx="314">
                        <c:v>82948.17</c:v>
                      </c:pt>
                      <c:pt idx="315">
                        <c:v>82947.97</c:v>
                      </c:pt>
                      <c:pt idx="316">
                        <c:v>82945.679999999993</c:v>
                      </c:pt>
                      <c:pt idx="317">
                        <c:v>82978.55</c:v>
                      </c:pt>
                      <c:pt idx="318">
                        <c:v>82797.5</c:v>
                      </c:pt>
                      <c:pt idx="319">
                        <c:v>82797.53</c:v>
                      </c:pt>
                      <c:pt idx="320">
                        <c:v>82815.5</c:v>
                      </c:pt>
                      <c:pt idx="321">
                        <c:v>82881.06</c:v>
                      </c:pt>
                      <c:pt idx="322">
                        <c:v>82880.240000000005</c:v>
                      </c:pt>
                      <c:pt idx="323">
                        <c:v>82887.58</c:v>
                      </c:pt>
                      <c:pt idx="324">
                        <c:v>82960.22</c:v>
                      </c:pt>
                      <c:pt idx="325">
                        <c:v>82906.009999999995</c:v>
                      </c:pt>
                      <c:pt idx="326">
                        <c:v>82887.039999999994</c:v>
                      </c:pt>
                      <c:pt idx="327">
                        <c:v>82928.22</c:v>
                      </c:pt>
                      <c:pt idx="328">
                        <c:v>82946.42</c:v>
                      </c:pt>
                      <c:pt idx="329">
                        <c:v>82946.89</c:v>
                      </c:pt>
                      <c:pt idx="330">
                        <c:v>82956.83</c:v>
                      </c:pt>
                      <c:pt idx="331">
                        <c:v>82938.350000000006</c:v>
                      </c:pt>
                      <c:pt idx="332">
                        <c:v>82931.05</c:v>
                      </c:pt>
                      <c:pt idx="333">
                        <c:v>82926.720000000001</c:v>
                      </c:pt>
                      <c:pt idx="334">
                        <c:v>82917.61</c:v>
                      </c:pt>
                      <c:pt idx="335">
                        <c:v>82875.850000000006</c:v>
                      </c:pt>
                      <c:pt idx="336">
                        <c:v>82848.160000000003</c:v>
                      </c:pt>
                      <c:pt idx="337">
                        <c:v>82885.91</c:v>
                      </c:pt>
                      <c:pt idx="338">
                        <c:v>82862.14</c:v>
                      </c:pt>
                      <c:pt idx="339">
                        <c:v>82851.25</c:v>
                      </c:pt>
                      <c:pt idx="340">
                        <c:v>82854</c:v>
                      </c:pt>
                      <c:pt idx="341">
                        <c:v>82758.5</c:v>
                      </c:pt>
                      <c:pt idx="342">
                        <c:v>82796.62</c:v>
                      </c:pt>
                      <c:pt idx="343">
                        <c:v>82850.78</c:v>
                      </c:pt>
                      <c:pt idx="344">
                        <c:v>82856.649999999994</c:v>
                      </c:pt>
                      <c:pt idx="345">
                        <c:v>82893.399999999994</c:v>
                      </c:pt>
                      <c:pt idx="346">
                        <c:v>82887.8</c:v>
                      </c:pt>
                      <c:pt idx="347">
                        <c:v>82879.3</c:v>
                      </c:pt>
                      <c:pt idx="348">
                        <c:v>82864.44</c:v>
                      </c:pt>
                      <c:pt idx="349">
                        <c:v>82881.3</c:v>
                      </c:pt>
                      <c:pt idx="350">
                        <c:v>82885.440000000002</c:v>
                      </c:pt>
                      <c:pt idx="351">
                        <c:v>82843.55</c:v>
                      </c:pt>
                      <c:pt idx="352">
                        <c:v>82759.539999999994</c:v>
                      </c:pt>
                      <c:pt idx="353">
                        <c:v>82759.520000000004</c:v>
                      </c:pt>
                      <c:pt idx="354">
                        <c:v>82707.3</c:v>
                      </c:pt>
                      <c:pt idx="355">
                        <c:v>82719.179999999993</c:v>
                      </c:pt>
                      <c:pt idx="356">
                        <c:v>82667.45</c:v>
                      </c:pt>
                      <c:pt idx="357">
                        <c:v>82693.67</c:v>
                      </c:pt>
                      <c:pt idx="358">
                        <c:v>82742.33</c:v>
                      </c:pt>
                      <c:pt idx="359">
                        <c:v>82745.039999999994</c:v>
                      </c:pt>
                      <c:pt idx="360">
                        <c:v>82744.67</c:v>
                      </c:pt>
                      <c:pt idx="361">
                        <c:v>82738.759999999995</c:v>
                      </c:pt>
                      <c:pt idx="362">
                        <c:v>82709.210000000006</c:v>
                      </c:pt>
                      <c:pt idx="363">
                        <c:v>82690.5</c:v>
                      </c:pt>
                      <c:pt idx="364">
                        <c:v>82676.02</c:v>
                      </c:pt>
                      <c:pt idx="365">
                        <c:v>82675.37</c:v>
                      </c:pt>
                      <c:pt idx="366">
                        <c:v>82655.53</c:v>
                      </c:pt>
                      <c:pt idx="367">
                        <c:v>82728.31</c:v>
                      </c:pt>
                      <c:pt idx="368">
                        <c:v>82736.95</c:v>
                      </c:pt>
                      <c:pt idx="369">
                        <c:v>82753.320000000007</c:v>
                      </c:pt>
                      <c:pt idx="370">
                        <c:v>82747.33</c:v>
                      </c:pt>
                      <c:pt idx="371">
                        <c:v>82750.55</c:v>
                      </c:pt>
                      <c:pt idx="372">
                        <c:v>82777.63</c:v>
                      </c:pt>
                      <c:pt idx="373">
                        <c:v>82814.100000000006</c:v>
                      </c:pt>
                      <c:pt idx="374">
                        <c:v>82786.55</c:v>
                      </c:pt>
                      <c:pt idx="375">
                        <c:v>82797.119999999995</c:v>
                      </c:pt>
                      <c:pt idx="376">
                        <c:v>82773.66</c:v>
                      </c:pt>
                      <c:pt idx="377">
                        <c:v>82745.48</c:v>
                      </c:pt>
                      <c:pt idx="378">
                        <c:v>82749.23</c:v>
                      </c:pt>
                      <c:pt idx="379">
                        <c:v>82750.02</c:v>
                      </c:pt>
                      <c:pt idx="380">
                        <c:v>82768.41</c:v>
                      </c:pt>
                      <c:pt idx="381">
                        <c:v>82820.5</c:v>
                      </c:pt>
                      <c:pt idx="382">
                        <c:v>82854.06</c:v>
                      </c:pt>
                      <c:pt idx="383">
                        <c:v>82740.58</c:v>
                      </c:pt>
                      <c:pt idx="384">
                        <c:v>82773.919999999998</c:v>
                      </c:pt>
                      <c:pt idx="385">
                        <c:v>82771.31</c:v>
                      </c:pt>
                      <c:pt idx="386">
                        <c:v>82756.78</c:v>
                      </c:pt>
                      <c:pt idx="387">
                        <c:v>82748.100000000006</c:v>
                      </c:pt>
                      <c:pt idx="388">
                        <c:v>82738.67</c:v>
                      </c:pt>
                      <c:pt idx="389">
                        <c:v>82732.33</c:v>
                      </c:pt>
                      <c:pt idx="390">
                        <c:v>82771.100000000006</c:v>
                      </c:pt>
                      <c:pt idx="391">
                        <c:v>82778.83</c:v>
                      </c:pt>
                      <c:pt idx="392">
                        <c:v>82723.509999999995</c:v>
                      </c:pt>
                      <c:pt idx="393">
                        <c:v>82599.22</c:v>
                      </c:pt>
                      <c:pt idx="394">
                        <c:v>82548.600000000006</c:v>
                      </c:pt>
                      <c:pt idx="395">
                        <c:v>82461.56</c:v>
                      </c:pt>
                      <c:pt idx="396">
                        <c:v>82489.5</c:v>
                      </c:pt>
                      <c:pt idx="397">
                        <c:v>82462.31</c:v>
                      </c:pt>
                      <c:pt idx="398">
                        <c:v>82453.61</c:v>
                      </c:pt>
                      <c:pt idx="399">
                        <c:v>82438.559999999998</c:v>
                      </c:pt>
                      <c:pt idx="400">
                        <c:v>82447.600000000006</c:v>
                      </c:pt>
                      <c:pt idx="401">
                        <c:v>82495.63</c:v>
                      </c:pt>
                      <c:pt idx="402">
                        <c:v>82546.720000000001</c:v>
                      </c:pt>
                      <c:pt idx="403">
                        <c:v>82546.399999999994</c:v>
                      </c:pt>
                      <c:pt idx="404">
                        <c:v>82518.5</c:v>
                      </c:pt>
                      <c:pt idx="405">
                        <c:v>82554.42</c:v>
                      </c:pt>
                      <c:pt idx="406">
                        <c:v>82563.72</c:v>
                      </c:pt>
                      <c:pt idx="407">
                        <c:v>82578.2</c:v>
                      </c:pt>
                      <c:pt idx="408">
                        <c:v>82581.429999999993</c:v>
                      </c:pt>
                      <c:pt idx="409">
                        <c:v>82560.33</c:v>
                      </c:pt>
                      <c:pt idx="410">
                        <c:v>82589.02</c:v>
                      </c:pt>
                      <c:pt idx="411">
                        <c:v>82595.62</c:v>
                      </c:pt>
                      <c:pt idx="412">
                        <c:v>82579.990000000005</c:v>
                      </c:pt>
                      <c:pt idx="413">
                        <c:v>82546.3</c:v>
                      </c:pt>
                      <c:pt idx="414">
                        <c:v>82582.070000000007</c:v>
                      </c:pt>
                      <c:pt idx="415">
                        <c:v>82609.59</c:v>
                      </c:pt>
                      <c:pt idx="416">
                        <c:v>82630.490000000005</c:v>
                      </c:pt>
                      <c:pt idx="417">
                        <c:v>82632.539999999994</c:v>
                      </c:pt>
                      <c:pt idx="418">
                        <c:v>82635.34</c:v>
                      </c:pt>
                      <c:pt idx="419">
                        <c:v>82650.81</c:v>
                      </c:pt>
                      <c:pt idx="420">
                        <c:v>82701.990000000005</c:v>
                      </c:pt>
                      <c:pt idx="421">
                        <c:v>82723.23</c:v>
                      </c:pt>
                      <c:pt idx="422">
                        <c:v>82763.509999999995</c:v>
                      </c:pt>
                      <c:pt idx="423">
                        <c:v>82670.259999999995</c:v>
                      </c:pt>
                      <c:pt idx="424">
                        <c:v>82710.31</c:v>
                      </c:pt>
                      <c:pt idx="425">
                        <c:v>82739.100000000006</c:v>
                      </c:pt>
                      <c:pt idx="426">
                        <c:v>82810.149999999994</c:v>
                      </c:pt>
                      <c:pt idx="427">
                        <c:v>82810.22</c:v>
                      </c:pt>
                      <c:pt idx="428">
                        <c:v>82770.28</c:v>
                      </c:pt>
                      <c:pt idx="429">
                        <c:v>82590.22</c:v>
                      </c:pt>
                      <c:pt idx="430">
                        <c:v>82537</c:v>
                      </c:pt>
                      <c:pt idx="431">
                        <c:v>82369.100000000006</c:v>
                      </c:pt>
                      <c:pt idx="432">
                        <c:v>82406.28</c:v>
                      </c:pt>
                      <c:pt idx="433">
                        <c:v>82378.84</c:v>
                      </c:pt>
                      <c:pt idx="434">
                        <c:v>82340.63</c:v>
                      </c:pt>
                      <c:pt idx="435">
                        <c:v>82299.100000000006</c:v>
                      </c:pt>
                      <c:pt idx="436">
                        <c:v>82249.350000000006</c:v>
                      </c:pt>
                      <c:pt idx="437">
                        <c:v>82339.94</c:v>
                      </c:pt>
                      <c:pt idx="438">
                        <c:v>82328.81</c:v>
                      </c:pt>
                      <c:pt idx="439">
                        <c:v>82229.73</c:v>
                      </c:pt>
                      <c:pt idx="440">
                        <c:v>82190.789999999994</c:v>
                      </c:pt>
                      <c:pt idx="441">
                        <c:v>82204.09</c:v>
                      </c:pt>
                      <c:pt idx="442">
                        <c:v>82210.37</c:v>
                      </c:pt>
                      <c:pt idx="443">
                        <c:v>82121.61</c:v>
                      </c:pt>
                      <c:pt idx="444">
                        <c:v>81961.960000000006</c:v>
                      </c:pt>
                      <c:pt idx="445">
                        <c:v>81918.039999999994</c:v>
                      </c:pt>
                      <c:pt idx="446">
                        <c:v>81907.45</c:v>
                      </c:pt>
                      <c:pt idx="447">
                        <c:v>81239.490000000005</c:v>
                      </c:pt>
                      <c:pt idx="448">
                        <c:v>81257.919999999998</c:v>
                      </c:pt>
                      <c:pt idx="449">
                        <c:v>81324.88</c:v>
                      </c:pt>
                      <c:pt idx="450">
                        <c:v>81349.67</c:v>
                      </c:pt>
                      <c:pt idx="451">
                        <c:v>81360.289999999994</c:v>
                      </c:pt>
                      <c:pt idx="452">
                        <c:v>81101.23</c:v>
                      </c:pt>
                      <c:pt idx="453">
                        <c:v>81101.460000000006</c:v>
                      </c:pt>
                      <c:pt idx="454">
                        <c:v>81297.64</c:v>
                      </c:pt>
                      <c:pt idx="455">
                        <c:v>81260.179999999993</c:v>
                      </c:pt>
                      <c:pt idx="456">
                        <c:v>81348.17</c:v>
                      </c:pt>
                      <c:pt idx="457">
                        <c:v>81145.55</c:v>
                      </c:pt>
                      <c:pt idx="458">
                        <c:v>81080.06</c:v>
                      </c:pt>
                      <c:pt idx="459">
                        <c:v>80754.13</c:v>
                      </c:pt>
                      <c:pt idx="460">
                        <c:v>80895.72</c:v>
                      </c:pt>
                      <c:pt idx="461">
                        <c:v>80959.75</c:v>
                      </c:pt>
                      <c:pt idx="462">
                        <c:v>80927.31</c:v>
                      </c:pt>
                      <c:pt idx="463">
                        <c:v>80848.960000000006</c:v>
                      </c:pt>
                      <c:pt idx="464">
                        <c:v>80919.710000000006</c:v>
                      </c:pt>
                      <c:pt idx="465">
                        <c:v>80891.92</c:v>
                      </c:pt>
                      <c:pt idx="466">
                        <c:v>80840.52</c:v>
                      </c:pt>
                      <c:pt idx="467">
                        <c:v>80955.98</c:v>
                      </c:pt>
                      <c:pt idx="468">
                        <c:v>81026.53</c:v>
                      </c:pt>
                      <c:pt idx="469">
                        <c:v>81028.3</c:v>
                      </c:pt>
                      <c:pt idx="470">
                        <c:v>81054.61</c:v>
                      </c:pt>
                      <c:pt idx="471">
                        <c:v>81040.52</c:v>
                      </c:pt>
                      <c:pt idx="472">
                        <c:v>81060.84</c:v>
                      </c:pt>
                      <c:pt idx="473">
                        <c:v>81172.86</c:v>
                      </c:pt>
                      <c:pt idx="474">
                        <c:v>81168.67</c:v>
                      </c:pt>
                      <c:pt idx="475">
                        <c:v>81207</c:v>
                      </c:pt>
                      <c:pt idx="476">
                        <c:v>81365.27</c:v>
                      </c:pt>
                      <c:pt idx="477">
                        <c:v>81373.05</c:v>
                      </c:pt>
                      <c:pt idx="478">
                        <c:v>81400.94</c:v>
                      </c:pt>
                      <c:pt idx="479">
                        <c:v>81424.800000000003</c:v>
                      </c:pt>
                      <c:pt idx="480">
                        <c:v>81426.66</c:v>
                      </c:pt>
                      <c:pt idx="481">
                        <c:v>81367.89</c:v>
                      </c:pt>
                      <c:pt idx="482">
                        <c:v>81190.25</c:v>
                      </c:pt>
                      <c:pt idx="483">
                        <c:v>81149.820000000007</c:v>
                      </c:pt>
                      <c:pt idx="484">
                        <c:v>81192.539999999994</c:v>
                      </c:pt>
                      <c:pt idx="485">
                        <c:v>81193.990000000005</c:v>
                      </c:pt>
                      <c:pt idx="486">
                        <c:v>81269.2</c:v>
                      </c:pt>
                      <c:pt idx="487">
                        <c:v>81590.59</c:v>
                      </c:pt>
                      <c:pt idx="488">
                        <c:v>81520.08</c:v>
                      </c:pt>
                      <c:pt idx="489">
                        <c:v>81397.509999999995</c:v>
                      </c:pt>
                      <c:pt idx="490">
                        <c:v>81347.63</c:v>
                      </c:pt>
                      <c:pt idx="491">
                        <c:v>81325.789999999994</c:v>
                      </c:pt>
                      <c:pt idx="492">
                        <c:v>81287.03</c:v>
                      </c:pt>
                      <c:pt idx="493">
                        <c:v>81211.12</c:v>
                      </c:pt>
                      <c:pt idx="494">
                        <c:v>81197.23</c:v>
                      </c:pt>
                      <c:pt idx="495">
                        <c:v>81170.539999999994</c:v>
                      </c:pt>
                      <c:pt idx="496">
                        <c:v>81113.429999999993</c:v>
                      </c:pt>
                      <c:pt idx="497">
                        <c:v>81044.83</c:v>
                      </c:pt>
                      <c:pt idx="498">
                        <c:v>81058.45</c:v>
                      </c:pt>
                      <c:pt idx="499">
                        <c:v>81101.55</c:v>
                      </c:pt>
                      <c:pt idx="500">
                        <c:v>81089.42</c:v>
                      </c:pt>
                      <c:pt idx="501">
                        <c:v>81069.25</c:v>
                      </c:pt>
                      <c:pt idx="502">
                        <c:v>81081.7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B5-44E6-B510-6571DD8D3F85}"/>
                  </c:ext>
                </c:extLst>
              </c15:ser>
            </c15:filteredLineSeries>
          </c:ext>
        </c:extLst>
      </c:lineChart>
      <c:catAx>
        <c:axId val="48442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64751"/>
        <c:crosses val="autoZero"/>
        <c:auto val="1"/>
        <c:lblAlgn val="ctr"/>
        <c:lblOffset val="100"/>
        <c:noMultiLvlLbl val="0"/>
      </c:catAx>
      <c:valAx>
        <c:axId val="340264751"/>
        <c:scaling>
          <c:orientation val="minMax"/>
          <c:max val="84000"/>
          <c:min val="7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4</xdr:row>
      <xdr:rowOff>76199</xdr:rowOff>
    </xdr:from>
    <xdr:to>
      <xdr:col>13</xdr:col>
      <xdr:colOff>600075</xdr:colOff>
      <xdr:row>27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343596-08F5-412B-A637-C1A3E9845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</xdr:row>
      <xdr:rowOff>66674</xdr:rowOff>
    </xdr:from>
    <xdr:to>
      <xdr:col>13</xdr:col>
      <xdr:colOff>390525</xdr:colOff>
      <xdr:row>25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7E0CB-3FED-4E9A-B2DC-BD3984B29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17</xdr:row>
      <xdr:rowOff>38100</xdr:rowOff>
    </xdr:from>
    <xdr:to>
      <xdr:col>11</xdr:col>
      <xdr:colOff>876300</xdr:colOff>
      <xdr:row>31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FBEB5-073C-4DB0-939D-21B39E762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</xdr:colOff>
      <xdr:row>31</xdr:row>
      <xdr:rowOff>123825</xdr:rowOff>
    </xdr:from>
    <xdr:to>
      <xdr:col>11</xdr:col>
      <xdr:colOff>885825</xdr:colOff>
      <xdr:row>45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6C318-E4C4-4489-AF07-F74033968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393701</xdr:colOff>
      <xdr:row>2</xdr:row>
      <xdr:rowOff>47624</xdr:rowOff>
    </xdr:from>
    <xdr:to>
      <xdr:col>33</xdr:col>
      <xdr:colOff>546101</xdr:colOff>
      <xdr:row>24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B747D-BEB7-41DF-9FE3-11002018D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387350</xdr:colOff>
      <xdr:row>25</xdr:row>
      <xdr:rowOff>95250</xdr:rowOff>
    </xdr:from>
    <xdr:to>
      <xdr:col>33</xdr:col>
      <xdr:colOff>539750</xdr:colOff>
      <xdr:row>47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8B2F2-7CAB-43C0-B0AA-F3D544DCB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8A93B-7DCD-4B08-81FC-F6E776229EB3}" name="testdataClose" displayName="testdataClose" ref="A1:N503" totalsRowShown="0" headerRowDxfId="85" dataDxfId="84" headerRowCellStyle="Currency" dataCellStyle="Currency">
  <sortState xmlns:xlrd2="http://schemas.microsoft.com/office/spreadsheetml/2017/richdata2" ref="B2:G503">
    <sortCondition ref="B2"/>
  </sortState>
  <tableColumns count="14">
    <tableColumn id="9" xr3:uid="{9F699A46-4958-42A4-A5C9-B52EB0EE585B}" name="Index" dataDxfId="83" dataCellStyle="Currency"/>
    <tableColumn id="2" xr3:uid="{870234D4-B88D-4DBC-B1B5-A3A328FCAA43}" name="date" dataDxfId="82"/>
    <tableColumn id="3" xr3:uid="{EF611352-AF5A-4141-B3FC-D86820A763EA}" name="open" dataDxfId="81" dataCellStyle="Currency"/>
    <tableColumn id="4" xr3:uid="{74B28648-F2A3-4493-9B04-FE02A7EBAE5E}" name="high" dataDxfId="80" dataCellStyle="Currency"/>
    <tableColumn id="5" xr3:uid="{F6126363-2529-4BAC-9F69-0710D7A587F6}" name="low" dataDxfId="79" dataCellStyle="Currency"/>
    <tableColumn id="6" xr3:uid="{1625C5E8-2802-4281-81F5-7308EFB9EB0C}" name="close" dataDxfId="78" dataCellStyle="60% - Accent6"/>
    <tableColumn id="7" xr3:uid="{9D524E41-7E60-45BD-80C8-513C8040D514}" name="volume" dataDxfId="77" dataCellStyle="Comma"/>
    <tableColumn id="19" xr3:uid="{8DA2522D-BC80-45B8-BBE6-79A6844F6637}" name="direction" dataDxfId="76" dataCellStyle="Currency"/>
    <tableColumn id="21" xr3:uid="{3FD1B83D-7ADD-40C3-A451-006B86C93FDF}" name="hl" dataDxfId="75" dataCellStyle="Currency">
      <calculatedColumnFormula>testdataClose[[#This Row],[close]]</calculatedColumnFormula>
    </tableColumn>
    <tableColumn id="10" xr3:uid="{4272B245-FF1C-42A1-B576-03E0B3CE5173}" name="change" dataDxfId="74" dataCellStyle="Percent">
      <calculatedColumnFormula>(testdataClose[[#This Row],[close]]-testdataClose[[#This Row],[hl]])/testdataClose[[#This Row],[hl]]</calculatedColumnFormula>
    </tableColumn>
    <tableColumn id="14" xr3:uid="{C5ED74EC-95DF-4CBC-B54E-982654B81BC9}" name="zigzag" dataDxfId="73" dataCellStyle="40% - Accent4">
      <calculatedColumnFormula>testdataClose[[#This Row],[hl]]</calculatedColumnFormula>
    </tableColumn>
    <tableColumn id="22" xr3:uid="{966073D5-E8FD-4E97-8F99-DB721F80EA99}" name="type" dataDxfId="72" dataCellStyle="Currency"/>
    <tableColumn id="23" xr3:uid="{EB593E13-36F4-40D9-838B-E7438B12E34D}" name="retHigh" dataDxfId="71" dataCellStyle="Currency">
      <calculatedColumnFormula>IF(testdataClose[[#This Row],[type]]="H",testdataClose[[#This Row],[close]],AVERAGE(M1,M3))</calculatedColumnFormula>
    </tableColumn>
    <tableColumn id="24" xr3:uid="{1B9707BB-07AD-4641-9516-E2AFC2693502}" name="retLow" dataDxfId="70" dataCellStyle="Currency">
      <calculatedColumnFormula>IF(testdataClose[[#This Row],[type]]="L",testdataClose[[#This Row],[close]],AVERAGE(N1,N3))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3A3CEB-BA75-47E3-BA49-A06069D5F9E0}" name="Table7" displayName="Table7" ref="Q1:U503" totalsRowShown="0">
  <tableColumns count="5">
    <tableColumn id="1" xr3:uid="{684E01A4-5DCD-45E1-9214-E13EA35817E4}" name="index" dataDxfId="69"/>
    <tableColumn id="2" xr3:uid="{21FE1FDB-6C76-4E0A-B467-CBAA930C85FC}" name="zigzag" dataDxfId="68" dataCellStyle="Currency"/>
    <tableColumn id="3" xr3:uid="{96507A80-CE71-47CC-BDD9-9895599D1A40}" name="retHigh" dataDxfId="67" dataCellStyle="Currency"/>
    <tableColumn id="4" xr3:uid="{CB6E7D0C-90EE-482D-BB56-7DBFEFA45B72}" name="retLow" dataDxfId="66" dataCellStyle="Currency"/>
    <tableColumn id="5" xr3:uid="{48B5957D-AF36-4A07-89E1-1A8689BCEC47}" name="point" dataDxfId="6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6F0C5-6F0C-4516-A0E1-DA0A4069C7CD}" name="testdataHighLow" displayName="testdataHighLow" ref="A1:N503" totalsRowShown="0" headerRowDxfId="64" dataDxfId="63" headerRowCellStyle="Currency" dataCellStyle="Currency">
  <tableColumns count="14">
    <tableColumn id="9" xr3:uid="{990B482D-70F7-4822-BEB5-E416FB69D6F8}" name="Index" dataDxfId="62" dataCellStyle="Currency"/>
    <tableColumn id="2" xr3:uid="{55C8A5E3-BD3C-4FC3-99B2-970BC1ED79A0}" name="date" dataDxfId="61"/>
    <tableColumn id="3" xr3:uid="{E850CC54-7954-4742-8AD2-52085650E685}" name="open" dataDxfId="60" dataCellStyle="Currency"/>
    <tableColumn id="4" xr3:uid="{9AEA8879-BCE3-4720-85FC-05A7B622A575}" name="high" dataDxfId="59" dataCellStyle="60% - Accent6"/>
    <tableColumn id="5" xr3:uid="{D36D6568-2F5F-4119-8C8E-E56765DDE213}" name="low" dataDxfId="58" dataCellStyle="60% - Accent6"/>
    <tableColumn id="6" xr3:uid="{B73558A2-3A22-4648-99A5-5BD9898ADEB1}" name="close" dataDxfId="57" dataCellStyle="Currency"/>
    <tableColumn id="7" xr3:uid="{4F220CBE-D0C5-4797-AEB3-686D8487A280}" name="volume" dataDxfId="56" dataCellStyle="Comma"/>
    <tableColumn id="19" xr3:uid="{82A4F324-0037-457A-8C10-CF7761E6176E}" name="direction" dataDxfId="55" dataCellStyle="Currency"/>
    <tableColumn id="21" xr3:uid="{997DD2DA-08EB-49B6-ADD3-2C9A3E04668E}" name="hl" dataDxfId="54" dataCellStyle="Currency">
      <calculatedColumnFormula>testdataHighLow[[#This Row],[close]]</calculatedColumnFormula>
    </tableColumn>
    <tableColumn id="10" xr3:uid="{BF6DF5E7-ECCA-41B1-AA66-67BA967854F2}" name="change" dataDxfId="53" dataCellStyle="Percent">
      <calculatedColumnFormula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calculatedColumnFormula>
    </tableColumn>
    <tableColumn id="14" xr3:uid="{07EF5BB3-E70D-47CE-BBC4-7C74B218DAEC}" name="zigzag" dataDxfId="52" dataCellStyle="40% - Accent4">
      <calculatedColumnFormula>testdataHighLow[[#This Row],[hl]]</calculatedColumnFormula>
    </tableColumn>
    <tableColumn id="22" xr3:uid="{CE7F12FA-868A-488F-83B6-9F4C8591013F}" name="type" dataDxfId="51" dataCellStyle="Currency"/>
    <tableColumn id="23" xr3:uid="{B1B51211-986D-48A7-AC31-B700BC4EB782}" name="retHigh" dataDxfId="50" dataCellStyle="Currency">
      <calculatedColumnFormula>IF(testdataHighLow[[#This Row],[type]]="H",testdataHighLow[[#This Row],[close]],AVERAGE(M1,M3))</calculatedColumnFormula>
    </tableColumn>
    <tableColumn id="24" xr3:uid="{39856912-D4DF-4830-9D90-C0B209F314DE}" name="retLow" dataDxfId="49" dataCellStyle="Currency">
      <calculatedColumnFormula>IF(testdataHighLow[[#This Row],[type]]="L",testdataHighLow[[#This Row],[close]],AVERAGE(N1,N3))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7C623-5DF5-4DB5-943B-F691034FA9B5}" name="Table3" displayName="Table3" ref="Q1:U503" totalsRowShown="0">
  <tableColumns count="5">
    <tableColumn id="1" xr3:uid="{F88ABAB4-294F-43FB-8001-DFB75E21861E}" name="index" dataDxfId="48" dataCellStyle="Currency"/>
    <tableColumn id="2" xr3:uid="{78A9D760-9B5E-4D70-9E6B-1FB7755A1743}" name="zigZag"/>
    <tableColumn id="3" xr3:uid="{6BCBE059-D82A-43B1-81AC-B1CB1E6CD105}" name="retHigh" dataDxfId="47" dataCellStyle="Currency"/>
    <tableColumn id="4" xr3:uid="{75CBB200-7E08-44FB-A9AC-2478B148B285}" name="retLow" dataDxfId="46" dataCellStyle="Currency"/>
    <tableColumn id="5" xr3:uid="{AFCE2314-7750-4E70-BE70-6BA60731698C}" name="type" dataDxfId="45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9FC00-93FB-44B3-85E1-9D8E31BD3DDC}" name="testdataClose5" displayName="testdataClose5" ref="A1:H301" totalsRowShown="0" headerRowDxfId="44" dataDxfId="43" headerRowCellStyle="Currency" dataCellStyle="Currency">
  <tableColumns count="8">
    <tableColumn id="9" xr3:uid="{DC50F437-F685-410D-9DC5-BFDF6213469B}" name="i" dataDxfId="42" dataCellStyle="Currency"/>
    <tableColumn id="2" xr3:uid="{B9B2411B-E42C-45B2-BE06-EC74F8F1C8D7}" name="date" dataDxfId="41"/>
    <tableColumn id="6" xr3:uid="{A648DA0E-5C97-45FC-8050-5BEC667C085D}" name="close" dataDxfId="40" dataCellStyle="60% - Accent6"/>
    <tableColumn id="19" xr3:uid="{D2AA9209-7EE5-4985-A8D9-122BD3C4F102}" name="direction" dataDxfId="39" dataCellStyle="Currency"/>
    <tableColumn id="21" xr3:uid="{8CD05489-6B40-4626-BF05-FFE957BA3DE9}" name="hl" dataDxfId="38" dataCellStyle="Currency">
      <calculatedColumnFormula>testdataClose5[[#This Row],[close]]</calculatedColumnFormula>
    </tableColumn>
    <tableColumn id="10" xr3:uid="{D8661CDA-37CD-44BA-A9F7-30795368246F}" name="change" dataDxfId="37" dataCellStyle="Percent">
      <calculatedColumnFormula>(testdataClose5[[#This Row],[close]]-testdataClose5[[#This Row],[hl]])/testdataClose5[[#This Row],[hl]]</calculatedColumnFormula>
    </tableColumn>
    <tableColumn id="14" xr3:uid="{A177AE88-5442-41CF-BD24-443956CE9486}" name="zigzag" dataDxfId="36" dataCellStyle="40% - Accent4">
      <calculatedColumnFormula>testdataClose5[[#This Row],[hl]]</calculatedColumnFormula>
    </tableColumn>
    <tableColumn id="22" xr3:uid="{E3108775-235A-4EAC-B1FA-C314211ED8C4}" name="type" dataDxfId="35" dataCellStyle="Currenc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D2FDBF-BA01-4A08-A11C-47A846921FD3}" name="Table5" displayName="Table5" ref="K1:P301" totalsRowShown="0" headerRowDxfId="34">
  <tableColumns count="6">
    <tableColumn id="1" xr3:uid="{71C9DF2F-FA9C-41F7-9D54-2B8A8A409725}" name="i" dataDxfId="33"/>
    <tableColumn id="2" xr3:uid="{6697042A-43FD-44AA-980C-ABE82080AB7D}" name="date" dataDxfId="32"/>
    <tableColumn id="3" xr3:uid="{FBC2548C-273F-4A3D-9005-7574199F83AB}" name="close" dataDxfId="31" dataCellStyle="Currency"/>
    <tableColumn id="4" xr3:uid="{128D8DB9-AF54-407E-AFA5-193235B88676}" name="zigzag" dataDxfId="30" dataCellStyle="Currency"/>
    <tableColumn id="5" xr3:uid="{F27CF97C-342D-4B42-9527-7E5CE02C9E64}" name="x" dataDxfId="29"/>
    <tableColumn id="6" xr3:uid="{AF365722-8450-4C6B-BBBB-C4E9A7157E79}" name="type" dataDxfId="2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B0EBD1-85B7-4F1B-B95C-5E6C44961088}" name="testdataHighLow7" displayName="testdataHighLow7" ref="A2:G1432" totalsRowShown="0" headerRowDxfId="27" dataDxfId="26" headerRowCellStyle="Currency" dataCellStyle="Currency">
  <tableColumns count="7">
    <tableColumn id="9" xr3:uid="{99F14592-A475-4DFD-8CB3-5A4092080789}" name="i" dataDxfId="25" dataCellStyle="Currency"/>
    <tableColumn id="2" xr3:uid="{ACBEBB97-A7E6-4D09-BF11-4C11CFBD8A2E}" name="date" dataDxfId="6"/>
    <tableColumn id="3" xr3:uid="{4DB953E4-91DF-4D7D-B745-D3487CA29CD9}" name="open" dataDxfId="3" dataCellStyle="Currency"/>
    <tableColumn id="4" xr3:uid="{148B8A1C-411E-4B02-8639-140400D46988}" name="high" dataDxfId="2" dataCellStyle="60% - Accent6"/>
    <tableColumn id="5" xr3:uid="{E6FF6F16-C6AF-4251-A87D-613C87B19492}" name="low" dataDxfId="0" dataCellStyle="60% - Accent6"/>
    <tableColumn id="6" xr3:uid="{7863DBFC-965F-4B73-98A1-C628C6022661}" name="close" dataDxfId="1" dataCellStyle="Currency"/>
    <tableColumn id="7" xr3:uid="{1D9B2E38-6734-4BB6-BCD8-36A6E35E2DF5}" name="volume" dataDxfId="24" dataCellStyle="Comm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6436B-F168-416D-8361-16672056CD0C}" name="Table39" displayName="Table39" ref="I2:M1432" totalsRowShown="0">
  <tableColumns count="5">
    <tableColumn id="6" xr3:uid="{818E1958-6CE8-4942-A8D3-768C2CD5514A}" name="date" dataDxfId="5" dataCellStyle="Currency"/>
    <tableColumn id="2" xr3:uid="{CA09ABB7-5BA1-48B9-A481-19F02772C679}" name="zigZag" dataDxfId="10" dataCellStyle="Currency"/>
    <tableColumn id="5" xr3:uid="{40371CF3-68BD-4677-ADAA-3B69FE4ACC08}" name="type" dataDxfId="11"/>
    <tableColumn id="3" xr3:uid="{E9D28AFC-6605-43F2-9B01-FF1291D1085F}" name="retHigh" dataDxfId="23" dataCellStyle="Currency"/>
    <tableColumn id="4" xr3:uid="{8408AEB2-EE72-4B87-A590-E310DE966B62}" name="retLow" dataDxfId="22" dataCellStyle="Currency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B3BDE8-1895-4308-8670-E340337B3D42}" name="Table3910" displayName="Table3910" ref="O2:S1432" totalsRowShown="0">
  <tableColumns count="5">
    <tableColumn id="6" xr3:uid="{E1074F0E-2F8B-45D7-952D-167F2A118749}" name="date" dataDxfId="4" dataCellStyle="Currency"/>
    <tableColumn id="2" xr3:uid="{0253C8B2-4EFB-4961-AF0F-C682696FD051}" name="zigZag" dataDxfId="9" dataCellStyle="Currency"/>
    <tableColumn id="5" xr3:uid="{539FEF43-E198-422C-9ADB-C42F2171B0A6}" name="type" dataDxfId="7"/>
    <tableColumn id="3" xr3:uid="{65E05F63-A21C-4727-80DF-EBCAF7D84F6B}" name="retHigh" dataDxfId="8" dataCellStyle="Currency"/>
    <tableColumn id="4" xr3:uid="{1970717E-D816-494B-B425-F34039AF30BE}" name="retLow" dataDxfId="12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"/>
  <sheetViews>
    <sheetView workbookViewId="0">
      <selection activeCell="P1" sqref="P1"/>
    </sheetView>
  </sheetViews>
  <sheetFormatPr defaultRowHeight="14.5" x14ac:dyDescent="0.35"/>
  <cols>
    <col min="1" max="1" width="6" style="4" bestFit="1" customWidth="1"/>
    <col min="2" max="2" width="10.7265625" style="3" customWidth="1"/>
    <col min="3" max="6" width="10.7265625" style="2" customWidth="1"/>
    <col min="7" max="7" width="14.26953125" style="1" customWidth="1"/>
    <col min="9" max="9" width="10.453125" style="4" bestFit="1" customWidth="1"/>
    <col min="10" max="10" width="10.453125" style="4" customWidth="1"/>
    <col min="11" max="11" width="13.26953125" customWidth="1"/>
    <col min="12" max="12" width="6.453125" style="16" bestFit="1" customWidth="1"/>
    <col min="13" max="14" width="11.7265625" style="16" customWidth="1"/>
    <col min="15" max="15" width="13" customWidth="1"/>
    <col min="16" max="16" width="2.7265625" customWidth="1"/>
    <col min="17" max="17" width="6" style="4" bestFit="1" customWidth="1"/>
    <col min="18" max="20" width="11.7265625" style="16" customWidth="1"/>
    <col min="21" max="21" width="5.7265625" style="4" bestFit="1" customWidth="1"/>
  </cols>
  <sheetData>
    <row r="1" spans="1:21" x14ac:dyDescent="0.35">
      <c r="A1" s="7" t="s">
        <v>6</v>
      </c>
      <c r="B1" s="3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6" t="s">
        <v>9</v>
      </c>
      <c r="I1" s="6" t="s">
        <v>11</v>
      </c>
      <c r="J1" s="10" t="s">
        <v>13</v>
      </c>
      <c r="K1" s="8" t="s">
        <v>8</v>
      </c>
      <c r="L1" s="6" t="s">
        <v>16</v>
      </c>
      <c r="M1" s="6" t="s">
        <v>17</v>
      </c>
      <c r="N1" s="6" t="s">
        <v>18</v>
      </c>
      <c r="O1" s="4" t="s">
        <v>7</v>
      </c>
      <c r="Q1" s="4" t="s">
        <v>20</v>
      </c>
      <c r="R1" s="6" t="s">
        <v>8</v>
      </c>
      <c r="S1" s="6" t="s">
        <v>17</v>
      </c>
      <c r="T1" s="6" t="s">
        <v>18</v>
      </c>
      <c r="U1" s="4" t="s">
        <v>23</v>
      </c>
    </row>
    <row r="2" spans="1:21" x14ac:dyDescent="0.35">
      <c r="A2" s="7">
        <v>1</v>
      </c>
      <c r="B2" s="3">
        <v>42738</v>
      </c>
      <c r="C2" s="2">
        <v>212.61</v>
      </c>
      <c r="D2" s="2">
        <v>213.35</v>
      </c>
      <c r="E2" s="2">
        <v>211.52</v>
      </c>
      <c r="F2" s="14">
        <v>212.8</v>
      </c>
      <c r="G2" s="1">
        <v>96708880</v>
      </c>
      <c r="H2" s="6" t="s">
        <v>10</v>
      </c>
      <c r="I2" s="9">
        <f>testdataClose[[#This Row],[close]]</f>
        <v>212.8</v>
      </c>
      <c r="J2" s="11">
        <f>(testdataClose[[#This Row],[close]]-testdataClose[[#This Row],[hl]])/testdataClose[[#This Row],[hl]]</f>
        <v>0</v>
      </c>
      <c r="K2" s="17">
        <f>testdataClose[[#This Row],[hl]]</f>
        <v>212.8</v>
      </c>
      <c r="L2" s="6"/>
      <c r="M2" s="19"/>
      <c r="N2" s="19"/>
      <c r="O2" s="12">
        <v>0.03</v>
      </c>
      <c r="Q2" s="4">
        <v>1</v>
      </c>
      <c r="R2" s="33"/>
      <c r="S2" s="19"/>
      <c r="T2" s="19"/>
    </row>
    <row r="3" spans="1:21" x14ac:dyDescent="0.35">
      <c r="A3" s="7">
        <v>2</v>
      </c>
      <c r="B3" s="3">
        <v>42739</v>
      </c>
      <c r="C3" s="2">
        <v>213.16</v>
      </c>
      <c r="D3" s="2">
        <v>214.22</v>
      </c>
      <c r="E3" s="2">
        <v>213.15</v>
      </c>
      <c r="F3" s="14">
        <v>214.06</v>
      </c>
      <c r="G3" s="1">
        <v>83348752</v>
      </c>
      <c r="H3" s="6" t="s">
        <v>10</v>
      </c>
      <c r="I3" s="9">
        <f>I2</f>
        <v>212.8</v>
      </c>
      <c r="J3" s="11">
        <f>(testdataClose[[#This Row],[close]]-testdataClose[[#This Row],[hl]])/testdataClose[[#This Row],[hl]]</f>
        <v>5.9210526315789042E-3</v>
      </c>
      <c r="K3" s="15">
        <f ca="1">AVERAGE(K2,K4)</f>
        <v>213.03585820895248</v>
      </c>
      <c r="L3" s="6"/>
      <c r="M3" s="19"/>
      <c r="N3" s="19"/>
      <c r="Q3" s="4">
        <v>2</v>
      </c>
      <c r="R3" s="33"/>
      <c r="S3" s="19"/>
      <c r="T3" s="19"/>
    </row>
    <row r="4" spans="1:21" x14ac:dyDescent="0.35">
      <c r="A4" s="7">
        <v>3</v>
      </c>
      <c r="B4" s="3">
        <v>42740</v>
      </c>
      <c r="C4" s="2">
        <v>213.77</v>
      </c>
      <c r="D4" s="2">
        <v>214.06</v>
      </c>
      <c r="E4" s="2">
        <v>213.02</v>
      </c>
      <c r="F4" s="14">
        <v>213.89</v>
      </c>
      <c r="G4" s="1">
        <v>82961968</v>
      </c>
      <c r="H4" s="6" t="s">
        <v>10</v>
      </c>
      <c r="I4" s="9">
        <f t="shared" ref="I4:I29" si="0">I3</f>
        <v>212.8</v>
      </c>
      <c r="J4" s="11">
        <f>(testdataClose[[#This Row],[close]]-testdataClose[[#This Row],[hl]])/testdataClose[[#This Row],[hl]]</f>
        <v>5.1221804511277017E-3</v>
      </c>
      <c r="K4" s="15">
        <f t="shared" ref="K4:K67" ca="1" si="1">AVERAGE(K3,K5)</f>
        <v>213.27171641790494</v>
      </c>
      <c r="L4" s="6"/>
      <c r="M4" s="19"/>
      <c r="N4" s="19"/>
      <c r="Q4" s="4">
        <v>3</v>
      </c>
      <c r="R4" s="33"/>
      <c r="S4" s="19"/>
      <c r="T4" s="19"/>
    </row>
    <row r="5" spans="1:21" x14ac:dyDescent="0.35">
      <c r="A5" s="7">
        <v>4</v>
      </c>
      <c r="B5" s="3">
        <v>42741</v>
      </c>
      <c r="C5" s="2">
        <v>214.02</v>
      </c>
      <c r="D5" s="2">
        <v>215.17</v>
      </c>
      <c r="E5" s="2">
        <v>213.42</v>
      </c>
      <c r="F5" s="14">
        <v>214.66</v>
      </c>
      <c r="G5" s="1">
        <v>75744152</v>
      </c>
      <c r="H5" s="6" t="s">
        <v>10</v>
      </c>
      <c r="I5" s="9">
        <f t="shared" si="0"/>
        <v>212.8</v>
      </c>
      <c r="J5" s="11">
        <f>(testdataClose[[#This Row],[close]]-testdataClose[[#This Row],[hl]])/testdataClose[[#This Row],[hl]]</f>
        <v>8.7406015037593283E-3</v>
      </c>
      <c r="K5" s="15">
        <f t="shared" ca="1" si="1"/>
        <v>213.50757462685743</v>
      </c>
      <c r="L5" s="6"/>
      <c r="M5" s="19"/>
      <c r="N5" s="19"/>
      <c r="Q5" s="4">
        <v>4</v>
      </c>
      <c r="R5" s="33"/>
      <c r="S5" s="19"/>
      <c r="T5" s="19"/>
    </row>
    <row r="6" spans="1:21" x14ac:dyDescent="0.35">
      <c r="A6" s="7">
        <v>5</v>
      </c>
      <c r="B6" s="3">
        <v>42744</v>
      </c>
      <c r="C6" s="2">
        <v>214.38</v>
      </c>
      <c r="D6" s="2">
        <v>214.53</v>
      </c>
      <c r="E6" s="2">
        <v>213.91</v>
      </c>
      <c r="F6" s="14">
        <v>213.95</v>
      </c>
      <c r="G6" s="1">
        <v>49684316</v>
      </c>
      <c r="H6" s="6" t="s">
        <v>10</v>
      </c>
      <c r="I6" s="9">
        <f t="shared" si="0"/>
        <v>212.8</v>
      </c>
      <c r="J6" s="11">
        <f>(testdataClose[[#This Row],[close]]-testdataClose[[#This Row],[hl]])/testdataClose[[#This Row],[hl]]</f>
        <v>5.4041353383457577E-3</v>
      </c>
      <c r="K6" s="15">
        <f t="shared" ca="1" si="1"/>
        <v>213.74343283580993</v>
      </c>
      <c r="L6" s="6"/>
      <c r="M6" s="19"/>
      <c r="N6" s="19"/>
      <c r="Q6" s="4">
        <v>5</v>
      </c>
      <c r="R6" s="33"/>
      <c r="S6" s="19"/>
      <c r="T6" s="19"/>
    </row>
    <row r="7" spans="1:21" x14ac:dyDescent="0.35">
      <c r="A7" s="7">
        <v>6</v>
      </c>
      <c r="B7" s="3">
        <v>42745</v>
      </c>
      <c r="C7" s="2">
        <v>213.97</v>
      </c>
      <c r="D7" s="2">
        <v>214.89</v>
      </c>
      <c r="E7" s="2">
        <v>213.52</v>
      </c>
      <c r="F7" s="14">
        <v>213.95</v>
      </c>
      <c r="G7" s="1">
        <v>67500792</v>
      </c>
      <c r="H7" s="6" t="s">
        <v>10</v>
      </c>
      <c r="I7" s="9">
        <f t="shared" si="0"/>
        <v>212.8</v>
      </c>
      <c r="J7" s="11">
        <f>(testdataClose[[#This Row],[close]]-testdataClose[[#This Row],[hl]])/testdataClose[[#This Row],[hl]]</f>
        <v>5.4041353383457577E-3</v>
      </c>
      <c r="K7" s="15">
        <f t="shared" ca="1" si="1"/>
        <v>213.97929104476245</v>
      </c>
      <c r="L7" s="6"/>
      <c r="M7" s="19"/>
      <c r="N7" s="19"/>
      <c r="Q7" s="4">
        <v>6</v>
      </c>
      <c r="R7" s="33"/>
      <c r="S7" s="19"/>
      <c r="T7" s="19"/>
    </row>
    <row r="8" spans="1:21" x14ac:dyDescent="0.35">
      <c r="A8" s="7">
        <v>7</v>
      </c>
      <c r="B8" s="3">
        <v>42746</v>
      </c>
      <c r="C8" s="2">
        <v>213.86</v>
      </c>
      <c r="D8" s="2">
        <v>214.55</v>
      </c>
      <c r="E8" s="2">
        <v>213.13</v>
      </c>
      <c r="F8" s="14">
        <v>214.55</v>
      </c>
      <c r="G8" s="1">
        <v>79014928</v>
      </c>
      <c r="H8" s="6" t="s">
        <v>10</v>
      </c>
      <c r="I8" s="9">
        <f t="shared" si="0"/>
        <v>212.8</v>
      </c>
      <c r="J8" s="11">
        <f>(testdataClose[[#This Row],[close]]-testdataClose[[#This Row],[hl]])/testdataClose[[#This Row],[hl]]</f>
        <v>8.2236842105263153E-3</v>
      </c>
      <c r="K8" s="15">
        <f t="shared" ca="1" si="1"/>
        <v>214.21514925371497</v>
      </c>
      <c r="L8" s="6"/>
      <c r="M8" s="19"/>
      <c r="N8" s="19"/>
      <c r="Q8" s="4">
        <v>7</v>
      </c>
      <c r="R8" s="33"/>
      <c r="S8" s="19"/>
      <c r="T8" s="19"/>
    </row>
    <row r="9" spans="1:21" x14ac:dyDescent="0.35">
      <c r="A9" s="7">
        <v>8</v>
      </c>
      <c r="B9" s="3">
        <v>42747</v>
      </c>
      <c r="C9" s="2">
        <v>213.99</v>
      </c>
      <c r="D9" s="2">
        <v>214.22</v>
      </c>
      <c r="E9" s="2">
        <v>212.53</v>
      </c>
      <c r="F9" s="14">
        <v>214.02</v>
      </c>
      <c r="G9" s="1">
        <v>76329760</v>
      </c>
      <c r="H9" s="6" t="s">
        <v>10</v>
      </c>
      <c r="I9" s="9">
        <f t="shared" si="0"/>
        <v>212.8</v>
      </c>
      <c r="J9" s="11">
        <f>(testdataClose[[#This Row],[close]]-testdataClose[[#This Row],[hl]])/testdataClose[[#This Row],[hl]]</f>
        <v>5.7330827067669119E-3</v>
      </c>
      <c r="K9" s="15">
        <f t="shared" ca="1" si="1"/>
        <v>214.45100746266752</v>
      </c>
      <c r="L9" s="6"/>
      <c r="M9" s="19"/>
      <c r="N9" s="19"/>
      <c r="Q9" s="4">
        <v>8</v>
      </c>
      <c r="R9" s="33"/>
      <c r="S9" s="19"/>
      <c r="T9" s="19"/>
    </row>
    <row r="10" spans="1:21" x14ac:dyDescent="0.35">
      <c r="A10" s="7">
        <v>9</v>
      </c>
      <c r="B10" s="3">
        <v>42748</v>
      </c>
      <c r="C10" s="2">
        <v>214.21</v>
      </c>
      <c r="D10" s="2">
        <v>214.84</v>
      </c>
      <c r="E10" s="2">
        <v>214.17</v>
      </c>
      <c r="F10" s="14">
        <v>214.51</v>
      </c>
      <c r="G10" s="1">
        <v>66385084</v>
      </c>
      <c r="H10" s="6" t="s">
        <v>10</v>
      </c>
      <c r="I10" s="9">
        <f t="shared" si="0"/>
        <v>212.8</v>
      </c>
      <c r="J10" s="11">
        <f>(testdataClose[[#This Row],[close]]-testdataClose[[#This Row],[hl]])/testdataClose[[#This Row],[hl]]</f>
        <v>8.0357142857141895E-3</v>
      </c>
      <c r="K10" s="15">
        <f t="shared" ca="1" si="1"/>
        <v>214.6868656716201</v>
      </c>
      <c r="L10" s="6"/>
      <c r="M10" s="19"/>
      <c r="N10" s="19"/>
      <c r="Q10" s="4">
        <v>9</v>
      </c>
      <c r="R10" s="33"/>
      <c r="S10" s="19"/>
      <c r="T10" s="19"/>
    </row>
    <row r="11" spans="1:21" x14ac:dyDescent="0.35">
      <c r="A11" s="7">
        <v>10</v>
      </c>
      <c r="B11" s="3">
        <v>42752</v>
      </c>
      <c r="C11" s="2">
        <v>213.81</v>
      </c>
      <c r="D11" s="2">
        <v>214.25</v>
      </c>
      <c r="E11" s="2">
        <v>213.33</v>
      </c>
      <c r="F11" s="14">
        <v>213.75</v>
      </c>
      <c r="G11" s="1">
        <v>64821664</v>
      </c>
      <c r="H11" s="6" t="s">
        <v>10</v>
      </c>
      <c r="I11" s="9">
        <f t="shared" si="0"/>
        <v>212.8</v>
      </c>
      <c r="J11" s="11">
        <f>(testdataClose[[#This Row],[close]]-testdataClose[[#This Row],[hl]])/testdataClose[[#This Row],[hl]]</f>
        <v>4.4642857142856603E-3</v>
      </c>
      <c r="K11" s="15">
        <f t="shared" ca="1" si="1"/>
        <v>214.92272388057268</v>
      </c>
      <c r="L11" s="6"/>
      <c r="M11" s="19"/>
      <c r="N11" s="19"/>
      <c r="Q11" s="4">
        <v>10</v>
      </c>
      <c r="R11" s="33"/>
      <c r="S11" s="19"/>
      <c r="T11" s="19"/>
    </row>
    <row r="12" spans="1:21" x14ac:dyDescent="0.35">
      <c r="A12" s="7">
        <v>11</v>
      </c>
      <c r="B12" s="3">
        <v>42753</v>
      </c>
      <c r="C12" s="2">
        <v>214.02</v>
      </c>
      <c r="D12" s="2">
        <v>214.27</v>
      </c>
      <c r="E12" s="2">
        <v>213.42</v>
      </c>
      <c r="F12" s="14">
        <v>214.22</v>
      </c>
      <c r="G12" s="1">
        <v>57997156</v>
      </c>
      <c r="H12" s="6" t="s">
        <v>10</v>
      </c>
      <c r="I12" s="9">
        <f t="shared" si="0"/>
        <v>212.8</v>
      </c>
      <c r="J12" s="11">
        <f>(testdataClose[[#This Row],[close]]-testdataClose[[#This Row],[hl]])/testdataClose[[#This Row],[hl]]</f>
        <v>6.6729323308270085E-3</v>
      </c>
      <c r="K12" s="15">
        <f t="shared" ca="1" si="1"/>
        <v>215.15858208952528</v>
      </c>
      <c r="L12" s="6"/>
      <c r="M12" s="19"/>
      <c r="N12" s="19"/>
      <c r="Q12" s="4">
        <v>11</v>
      </c>
      <c r="R12" s="33"/>
      <c r="S12" s="19"/>
      <c r="T12" s="19"/>
    </row>
    <row r="13" spans="1:21" x14ac:dyDescent="0.35">
      <c r="A13" s="7">
        <v>12</v>
      </c>
      <c r="B13" s="3">
        <v>42754</v>
      </c>
      <c r="C13" s="2">
        <v>214.31</v>
      </c>
      <c r="D13" s="2">
        <v>214.46</v>
      </c>
      <c r="E13" s="2">
        <v>212.96</v>
      </c>
      <c r="F13" s="14">
        <v>213.43</v>
      </c>
      <c r="G13" s="1">
        <v>70503512</v>
      </c>
      <c r="H13" s="6" t="s">
        <v>10</v>
      </c>
      <c r="I13" s="9">
        <f t="shared" si="0"/>
        <v>212.8</v>
      </c>
      <c r="J13" s="11">
        <f>(testdataClose[[#This Row],[close]]-testdataClose[[#This Row],[hl]])/testdataClose[[#This Row],[hl]]</f>
        <v>2.9605263157894521E-3</v>
      </c>
      <c r="K13" s="15">
        <f t="shared" ca="1" si="1"/>
        <v>215.39444029847792</v>
      </c>
      <c r="L13" s="6"/>
      <c r="M13" s="19"/>
      <c r="N13" s="19"/>
      <c r="Q13" s="4">
        <v>12</v>
      </c>
      <c r="R13" s="33"/>
      <c r="S13" s="19"/>
      <c r="T13" s="19"/>
    </row>
    <row r="14" spans="1:21" x14ac:dyDescent="0.35">
      <c r="A14" s="7">
        <v>13</v>
      </c>
      <c r="B14" s="3">
        <v>42755</v>
      </c>
      <c r="C14" s="2">
        <v>214.18</v>
      </c>
      <c r="D14" s="2">
        <v>214.75</v>
      </c>
      <c r="E14" s="2">
        <v>213.49</v>
      </c>
      <c r="F14" s="14">
        <v>214.21</v>
      </c>
      <c r="G14" s="1">
        <v>136721344</v>
      </c>
      <c r="H14" s="6" t="s">
        <v>10</v>
      </c>
      <c r="I14" s="9">
        <f t="shared" si="0"/>
        <v>212.8</v>
      </c>
      <c r="J14" s="11">
        <f>(testdataClose[[#This Row],[close]]-testdataClose[[#This Row],[hl]])/testdataClose[[#This Row],[hl]]</f>
        <v>6.6259398496240438E-3</v>
      </c>
      <c r="K14" s="15">
        <f t="shared" ca="1" si="1"/>
        <v>215.63029850743055</v>
      </c>
      <c r="L14" s="6"/>
      <c r="M14" s="19"/>
      <c r="N14" s="19"/>
      <c r="Q14" s="4">
        <v>13</v>
      </c>
      <c r="R14" s="33"/>
      <c r="S14" s="19"/>
      <c r="T14" s="19"/>
    </row>
    <row r="15" spans="1:21" x14ac:dyDescent="0.35">
      <c r="A15" s="7">
        <v>14</v>
      </c>
      <c r="B15" s="3">
        <v>42758</v>
      </c>
      <c r="C15" s="2">
        <v>213.85</v>
      </c>
      <c r="D15" s="2">
        <v>214.28</v>
      </c>
      <c r="E15" s="2">
        <v>212.83</v>
      </c>
      <c r="F15" s="14">
        <v>213.66</v>
      </c>
      <c r="G15" s="1">
        <v>79450624</v>
      </c>
      <c r="H15" s="6" t="s">
        <v>10</v>
      </c>
      <c r="I15" s="9">
        <f t="shared" si="0"/>
        <v>212.8</v>
      </c>
      <c r="J15" s="11">
        <f>(testdataClose[[#This Row],[close]]-testdataClose[[#This Row],[hl]])/testdataClose[[#This Row],[hl]]</f>
        <v>4.0413533834585767E-3</v>
      </c>
      <c r="K15" s="15">
        <f t="shared" ca="1" si="1"/>
        <v>215.86615671638322</v>
      </c>
      <c r="L15" s="6"/>
      <c r="M15" s="19"/>
      <c r="N15" s="19"/>
      <c r="Q15" s="4">
        <v>14</v>
      </c>
      <c r="R15" s="33"/>
      <c r="S15" s="19"/>
      <c r="T15" s="19"/>
    </row>
    <row r="16" spans="1:21" x14ac:dyDescent="0.35">
      <c r="A16" s="7">
        <v>15</v>
      </c>
      <c r="B16" s="3">
        <v>42759</v>
      </c>
      <c r="C16" s="2">
        <v>213.89</v>
      </c>
      <c r="D16" s="2">
        <v>215.48</v>
      </c>
      <c r="E16" s="2">
        <v>213.77</v>
      </c>
      <c r="F16" s="14">
        <v>215.03</v>
      </c>
      <c r="G16" s="1">
        <v>101142584</v>
      </c>
      <c r="H16" s="6" t="s">
        <v>10</v>
      </c>
      <c r="I16" s="9">
        <f t="shared" si="0"/>
        <v>212.8</v>
      </c>
      <c r="J16" s="11">
        <f>(testdataClose[[#This Row],[close]]-testdataClose[[#This Row],[hl]])/testdataClose[[#This Row],[hl]]</f>
        <v>1.0479323308270628E-2</v>
      </c>
      <c r="K16" s="15">
        <f t="shared" ca="1" si="1"/>
        <v>216.10201492533591</v>
      </c>
      <c r="L16" s="6"/>
      <c r="M16" s="19"/>
      <c r="N16" s="19"/>
      <c r="Q16" s="4">
        <v>15</v>
      </c>
      <c r="R16" s="33"/>
      <c r="S16" s="19"/>
      <c r="T16" s="19"/>
    </row>
    <row r="17" spans="1:20" x14ac:dyDescent="0.35">
      <c r="A17" s="7">
        <v>16</v>
      </c>
      <c r="B17" s="3">
        <v>42760</v>
      </c>
      <c r="C17" s="2">
        <v>216.07</v>
      </c>
      <c r="D17" s="2">
        <v>216.89</v>
      </c>
      <c r="E17" s="2">
        <v>215.89</v>
      </c>
      <c r="F17" s="14">
        <v>216.89</v>
      </c>
      <c r="G17" s="1">
        <v>89374928</v>
      </c>
      <c r="H17" s="6" t="s">
        <v>10</v>
      </c>
      <c r="I17" s="9">
        <f t="shared" si="0"/>
        <v>212.8</v>
      </c>
      <c r="J17" s="11">
        <f>(testdataClose[[#This Row],[close]]-testdataClose[[#This Row],[hl]])/testdataClose[[#This Row],[hl]]</f>
        <v>1.9219924812029957E-2</v>
      </c>
      <c r="K17" s="15">
        <f t="shared" ca="1" si="1"/>
        <v>216.3378731342886</v>
      </c>
      <c r="L17" s="6"/>
      <c r="M17" s="19"/>
      <c r="N17" s="19"/>
      <c r="Q17" s="4">
        <v>16</v>
      </c>
      <c r="R17" s="33"/>
      <c r="S17" s="19"/>
      <c r="T17" s="19"/>
    </row>
    <row r="18" spans="1:20" x14ac:dyDescent="0.35">
      <c r="A18" s="7">
        <v>17</v>
      </c>
      <c r="B18" s="3">
        <v>42761</v>
      </c>
      <c r="C18" s="2">
        <v>216.73</v>
      </c>
      <c r="D18" s="2">
        <v>217.02</v>
      </c>
      <c r="E18" s="2">
        <v>216.36</v>
      </c>
      <c r="F18" s="14">
        <v>216.66</v>
      </c>
      <c r="G18" s="1">
        <v>63477304</v>
      </c>
      <c r="H18" s="6" t="s">
        <v>10</v>
      </c>
      <c r="I18" s="9">
        <f t="shared" si="0"/>
        <v>212.8</v>
      </c>
      <c r="J18" s="11">
        <f>(testdataClose[[#This Row],[close]]-testdataClose[[#This Row],[hl]])/testdataClose[[#This Row],[hl]]</f>
        <v>1.8139097744360833E-2</v>
      </c>
      <c r="K18" s="15">
        <f t="shared" ca="1" si="1"/>
        <v>216.57373134324132</v>
      </c>
      <c r="L18" s="6"/>
      <c r="M18" s="19"/>
      <c r="N18" s="19"/>
      <c r="Q18" s="4">
        <v>17</v>
      </c>
      <c r="R18" s="33"/>
      <c r="S18" s="19"/>
      <c r="T18" s="19"/>
    </row>
    <row r="19" spans="1:20" x14ac:dyDescent="0.35">
      <c r="A19" s="7">
        <v>18</v>
      </c>
      <c r="B19" s="3">
        <v>42762</v>
      </c>
      <c r="C19" s="2">
        <v>216.75</v>
      </c>
      <c r="D19" s="2">
        <v>216.91</v>
      </c>
      <c r="E19" s="2">
        <v>216.12</v>
      </c>
      <c r="F19" s="14">
        <v>216.32</v>
      </c>
      <c r="G19" s="1">
        <v>63202528</v>
      </c>
      <c r="H19" s="6" t="s">
        <v>10</v>
      </c>
      <c r="I19" s="9">
        <f t="shared" si="0"/>
        <v>212.8</v>
      </c>
      <c r="J19" s="11">
        <f>(testdataClose[[#This Row],[close]]-testdataClose[[#This Row],[hl]])/testdataClose[[#This Row],[hl]]</f>
        <v>1.6541353383458562E-2</v>
      </c>
      <c r="K19" s="15">
        <f t="shared" ca="1" si="1"/>
        <v>216.80958955219407</v>
      </c>
      <c r="L19" s="6"/>
      <c r="M19" s="19"/>
      <c r="N19" s="19"/>
      <c r="Q19" s="4">
        <v>18</v>
      </c>
      <c r="R19" s="33"/>
      <c r="S19" s="19"/>
      <c r="T19" s="19"/>
    </row>
    <row r="20" spans="1:20" x14ac:dyDescent="0.35">
      <c r="A20" s="7">
        <v>19</v>
      </c>
      <c r="B20" s="3">
        <v>42765</v>
      </c>
      <c r="C20" s="2">
        <v>215.57</v>
      </c>
      <c r="D20" s="2">
        <v>215.59</v>
      </c>
      <c r="E20" s="2">
        <v>213.9</v>
      </c>
      <c r="F20" s="14">
        <v>214.98</v>
      </c>
      <c r="G20" s="1">
        <v>84399624</v>
      </c>
      <c r="H20" s="6" t="s">
        <v>10</v>
      </c>
      <c r="I20" s="9">
        <f t="shared" si="0"/>
        <v>212.8</v>
      </c>
      <c r="J20" s="11">
        <f>(testdataClose[[#This Row],[close]]-testdataClose[[#This Row],[hl]])/testdataClose[[#This Row],[hl]]</f>
        <v>1.0244360902255537E-2</v>
      </c>
      <c r="K20" s="15">
        <f t="shared" ca="1" si="1"/>
        <v>217.04544776114682</v>
      </c>
      <c r="L20" s="6"/>
      <c r="M20" s="19"/>
      <c r="N20" s="19"/>
      <c r="Q20" s="4">
        <v>19</v>
      </c>
      <c r="R20" s="33"/>
      <c r="S20" s="19"/>
      <c r="T20" s="19"/>
    </row>
    <row r="21" spans="1:20" x14ac:dyDescent="0.35">
      <c r="A21" s="7">
        <v>20</v>
      </c>
      <c r="B21" s="3">
        <v>42766</v>
      </c>
      <c r="C21" s="2">
        <v>214.44</v>
      </c>
      <c r="D21" s="2">
        <v>215.03</v>
      </c>
      <c r="E21" s="2">
        <v>213.82</v>
      </c>
      <c r="F21" s="14">
        <v>214.96</v>
      </c>
      <c r="G21" s="1">
        <v>80317680</v>
      </c>
      <c r="H21" s="6" t="s">
        <v>10</v>
      </c>
      <c r="I21" s="9">
        <f t="shared" si="0"/>
        <v>212.8</v>
      </c>
      <c r="J21" s="11">
        <f>(testdataClose[[#This Row],[close]]-testdataClose[[#This Row],[hl]])/testdataClose[[#This Row],[hl]]</f>
        <v>1.0150375939849608E-2</v>
      </c>
      <c r="K21" s="15">
        <f t="shared" ca="1" si="1"/>
        <v>217.2813059700996</v>
      </c>
      <c r="L21" s="6"/>
      <c r="M21" s="19"/>
      <c r="N21" s="19"/>
      <c r="Q21" s="4">
        <v>20</v>
      </c>
      <c r="R21" s="33"/>
      <c r="S21" s="19"/>
      <c r="T21" s="19"/>
    </row>
    <row r="22" spans="1:20" x14ac:dyDescent="0.35">
      <c r="A22" s="7">
        <v>21</v>
      </c>
      <c r="B22" s="3">
        <v>42767</v>
      </c>
      <c r="C22" s="2">
        <v>215.65</v>
      </c>
      <c r="D22" s="2">
        <v>215.96</v>
      </c>
      <c r="E22" s="2">
        <v>214.4</v>
      </c>
      <c r="F22" s="14">
        <v>215.05</v>
      </c>
      <c r="G22" s="1">
        <v>83743792</v>
      </c>
      <c r="H22" s="6" t="s">
        <v>10</v>
      </c>
      <c r="I22" s="9">
        <f t="shared" si="0"/>
        <v>212.8</v>
      </c>
      <c r="J22" s="11">
        <f>(testdataClose[[#This Row],[close]]-testdataClose[[#This Row],[hl]])/testdataClose[[#This Row],[hl]]</f>
        <v>1.0573308270676691E-2</v>
      </c>
      <c r="K22" s="15">
        <f t="shared" ca="1" si="1"/>
        <v>217.5171641790524</v>
      </c>
      <c r="L22" s="6"/>
      <c r="M22" s="19"/>
      <c r="N22" s="19"/>
      <c r="Q22" s="4">
        <v>21</v>
      </c>
      <c r="R22" s="33"/>
      <c r="S22" s="19"/>
      <c r="T22" s="19"/>
    </row>
    <row r="23" spans="1:20" x14ac:dyDescent="0.35">
      <c r="A23" s="7">
        <v>22</v>
      </c>
      <c r="B23" s="3">
        <v>42768</v>
      </c>
      <c r="C23" s="2">
        <v>214.65</v>
      </c>
      <c r="D23" s="2">
        <v>215.5</v>
      </c>
      <c r="E23" s="2">
        <v>214.29</v>
      </c>
      <c r="F23" s="14">
        <v>215.19</v>
      </c>
      <c r="G23" s="1">
        <v>73730552</v>
      </c>
      <c r="H23" s="6" t="s">
        <v>10</v>
      </c>
      <c r="I23" s="9">
        <f t="shared" si="0"/>
        <v>212.8</v>
      </c>
      <c r="J23" s="11">
        <f>(testdataClose[[#This Row],[close]]-testdataClose[[#This Row],[hl]])/testdataClose[[#This Row],[hl]]</f>
        <v>1.1231203007518733E-2</v>
      </c>
      <c r="K23" s="15">
        <f t="shared" ca="1" si="1"/>
        <v>217.75302238800521</v>
      </c>
      <c r="L23" s="6"/>
      <c r="M23" s="19"/>
      <c r="N23" s="19"/>
      <c r="Q23" s="4">
        <v>22</v>
      </c>
      <c r="R23" s="33"/>
      <c r="S23" s="19"/>
      <c r="T23" s="19"/>
    </row>
    <row r="24" spans="1:20" x14ac:dyDescent="0.35">
      <c r="A24" s="7">
        <v>23</v>
      </c>
      <c r="B24" s="3">
        <v>42769</v>
      </c>
      <c r="C24" s="2">
        <v>216.18</v>
      </c>
      <c r="D24" s="2">
        <v>216.87</v>
      </c>
      <c r="E24" s="2">
        <v>215.84</v>
      </c>
      <c r="F24" s="14">
        <v>216.67</v>
      </c>
      <c r="G24" s="1">
        <v>85273832</v>
      </c>
      <c r="H24" s="6" t="s">
        <v>10</v>
      </c>
      <c r="I24" s="9">
        <f t="shared" si="0"/>
        <v>212.8</v>
      </c>
      <c r="J24" s="11">
        <f>(testdataClose[[#This Row],[close]]-testdataClose[[#This Row],[hl]])/testdataClose[[#This Row],[hl]]</f>
        <v>1.8186090225563795E-2</v>
      </c>
      <c r="K24" s="15">
        <f t="shared" ca="1" si="1"/>
        <v>217.98888059695804</v>
      </c>
      <c r="L24" s="6"/>
      <c r="M24" s="19"/>
      <c r="N24" s="19"/>
      <c r="Q24" s="4">
        <v>23</v>
      </c>
      <c r="R24" s="33"/>
      <c r="S24" s="19"/>
      <c r="T24" s="19"/>
    </row>
    <row r="25" spans="1:20" x14ac:dyDescent="0.35">
      <c r="A25" s="7">
        <v>24</v>
      </c>
      <c r="B25" s="3">
        <v>42772</v>
      </c>
      <c r="C25" s="2">
        <v>216.23</v>
      </c>
      <c r="D25" s="2">
        <v>216.66</v>
      </c>
      <c r="E25" s="2">
        <v>215.92</v>
      </c>
      <c r="F25" s="14">
        <v>216.28</v>
      </c>
      <c r="G25" s="1">
        <v>61169192</v>
      </c>
      <c r="H25" s="6" t="s">
        <v>10</v>
      </c>
      <c r="I25" s="9">
        <f t="shared" si="0"/>
        <v>212.8</v>
      </c>
      <c r="J25" s="11">
        <f>(testdataClose[[#This Row],[close]]-testdataClose[[#This Row],[hl]])/testdataClose[[#This Row],[hl]]</f>
        <v>1.6353383458646568E-2</v>
      </c>
      <c r="K25" s="15">
        <f t="shared" ca="1" si="1"/>
        <v>218.2247388059109</v>
      </c>
      <c r="L25" s="6"/>
      <c r="M25" s="19"/>
      <c r="N25" s="19"/>
      <c r="Q25" s="4">
        <v>24</v>
      </c>
      <c r="R25" s="33"/>
      <c r="S25" s="19"/>
      <c r="T25" s="19"/>
    </row>
    <row r="26" spans="1:20" x14ac:dyDescent="0.35">
      <c r="A26" s="7">
        <v>25</v>
      </c>
      <c r="B26" s="3">
        <v>42773</v>
      </c>
      <c r="C26" s="2">
        <v>216.71</v>
      </c>
      <c r="D26" s="2">
        <v>216.97</v>
      </c>
      <c r="E26" s="2">
        <v>216.09</v>
      </c>
      <c r="F26" s="14">
        <v>216.29</v>
      </c>
      <c r="G26" s="1">
        <v>61318484</v>
      </c>
      <c r="H26" s="6" t="s">
        <v>10</v>
      </c>
      <c r="I26" s="9">
        <f t="shared" si="0"/>
        <v>212.8</v>
      </c>
      <c r="J26" s="11">
        <f>(testdataClose[[#This Row],[close]]-testdataClose[[#This Row],[hl]])/testdataClose[[#This Row],[hl]]</f>
        <v>1.6400375939849533E-2</v>
      </c>
      <c r="K26" s="15">
        <f t="shared" ca="1" si="1"/>
        <v>218.46059701486377</v>
      </c>
      <c r="L26" s="6"/>
      <c r="M26" s="19"/>
      <c r="N26" s="19"/>
      <c r="Q26" s="4">
        <v>25</v>
      </c>
      <c r="R26" s="33"/>
      <c r="S26" s="19"/>
      <c r="T26" s="19"/>
    </row>
    <row r="27" spans="1:20" x14ac:dyDescent="0.35">
      <c r="A27" s="7">
        <v>26</v>
      </c>
      <c r="B27" s="3">
        <v>42774</v>
      </c>
      <c r="C27" s="2">
        <v>215.98</v>
      </c>
      <c r="D27" s="2">
        <v>216.72</v>
      </c>
      <c r="E27" s="2">
        <v>215.7</v>
      </c>
      <c r="F27" s="14">
        <v>216.58</v>
      </c>
      <c r="G27" s="1">
        <v>54581376</v>
      </c>
      <c r="H27" s="6" t="s">
        <v>10</v>
      </c>
      <c r="I27" s="9">
        <f t="shared" si="0"/>
        <v>212.8</v>
      </c>
      <c r="J27" s="11">
        <f>(testdataClose[[#This Row],[close]]-testdataClose[[#This Row],[hl]])/testdataClose[[#This Row],[hl]]</f>
        <v>1.7763157894736845E-2</v>
      </c>
      <c r="K27" s="15">
        <f t="shared" ca="1" si="1"/>
        <v>218.69645522381666</v>
      </c>
      <c r="L27" s="6"/>
      <c r="M27" s="19"/>
      <c r="N27" s="19"/>
      <c r="Q27" s="4">
        <v>26</v>
      </c>
      <c r="R27" s="33"/>
      <c r="S27" s="19"/>
      <c r="T27" s="19"/>
    </row>
    <row r="28" spans="1:20" x14ac:dyDescent="0.35">
      <c r="A28" s="7">
        <v>27</v>
      </c>
      <c r="B28" s="3">
        <v>42775</v>
      </c>
      <c r="C28" s="2">
        <v>216.88</v>
      </c>
      <c r="D28" s="2">
        <v>218.19</v>
      </c>
      <c r="E28" s="2">
        <v>216.84</v>
      </c>
      <c r="F28" s="14">
        <v>217.86</v>
      </c>
      <c r="G28" s="1">
        <v>69811760</v>
      </c>
      <c r="H28" s="6" t="s">
        <v>10</v>
      </c>
      <c r="I28" s="9">
        <f t="shared" si="0"/>
        <v>212.8</v>
      </c>
      <c r="J28" s="11">
        <f>(testdataClose[[#This Row],[close]]-testdataClose[[#This Row],[hl]])/testdataClose[[#This Row],[hl]]</f>
        <v>2.3778195488721815E-2</v>
      </c>
      <c r="K28" s="15">
        <f t="shared" ca="1" si="1"/>
        <v>218.93231343276958</v>
      </c>
      <c r="L28" s="6"/>
      <c r="M28" s="19"/>
      <c r="N28" s="19"/>
      <c r="Q28" s="4">
        <v>27</v>
      </c>
      <c r="R28" s="33"/>
      <c r="S28" s="19"/>
      <c r="T28" s="19"/>
    </row>
    <row r="29" spans="1:20" x14ac:dyDescent="0.35">
      <c r="A29" s="7">
        <v>28</v>
      </c>
      <c r="B29" s="3">
        <v>42776</v>
      </c>
      <c r="C29" s="2">
        <v>218.24</v>
      </c>
      <c r="D29" s="2">
        <v>218.97</v>
      </c>
      <c r="E29" s="2">
        <v>217.88</v>
      </c>
      <c r="F29" s="14">
        <v>218.72</v>
      </c>
      <c r="G29" s="1">
        <v>69875952</v>
      </c>
      <c r="H29" s="6" t="s">
        <v>10</v>
      </c>
      <c r="I29" s="9">
        <f t="shared" si="0"/>
        <v>212.8</v>
      </c>
      <c r="J29" s="11">
        <f>(testdataClose[[#This Row],[close]]-testdataClose[[#This Row],[hl]])/testdataClose[[#This Row],[hl]]</f>
        <v>2.781954887218039E-2</v>
      </c>
      <c r="K29" s="15">
        <f t="shared" ca="1" si="1"/>
        <v>219.16817164172249</v>
      </c>
      <c r="L29" s="6"/>
      <c r="M29" s="19"/>
      <c r="N29" s="19"/>
      <c r="Q29" s="4">
        <v>28</v>
      </c>
      <c r="R29" s="33"/>
      <c r="S29" s="19"/>
      <c r="T29" s="19"/>
    </row>
    <row r="30" spans="1:20" x14ac:dyDescent="0.35">
      <c r="A30" s="7">
        <v>29</v>
      </c>
      <c r="B30" s="3">
        <v>42779</v>
      </c>
      <c r="C30" s="2">
        <v>219.26</v>
      </c>
      <c r="D30" s="2">
        <v>220.19</v>
      </c>
      <c r="E30" s="2">
        <v>219.23</v>
      </c>
      <c r="F30" s="14">
        <v>219.91</v>
      </c>
      <c r="G30" s="1">
        <v>58408632</v>
      </c>
      <c r="H30" s="13" t="s">
        <v>10</v>
      </c>
      <c r="I30" s="9">
        <f>testdataClose[[#This Row],[close]]</f>
        <v>219.91</v>
      </c>
      <c r="J30" s="11">
        <f>(testdataClose[[#This Row],[close]]-testdataClose[[#This Row],[hl]])/testdataClose[[#This Row],[hl]]</f>
        <v>0</v>
      </c>
      <c r="K30" s="15">
        <f t="shared" ca="1" si="1"/>
        <v>219.40402985067544</v>
      </c>
      <c r="L30" s="6"/>
      <c r="M30" s="19"/>
      <c r="N30" s="19"/>
      <c r="Q30" s="4">
        <v>29</v>
      </c>
      <c r="R30" s="33"/>
      <c r="S30" s="19"/>
      <c r="T30" s="19"/>
    </row>
    <row r="31" spans="1:20" x14ac:dyDescent="0.35">
      <c r="A31" s="7">
        <v>30</v>
      </c>
      <c r="B31" s="3">
        <v>42780</v>
      </c>
      <c r="C31" s="2">
        <v>219.71</v>
      </c>
      <c r="D31" s="2">
        <v>220.8</v>
      </c>
      <c r="E31" s="2">
        <v>219.33</v>
      </c>
      <c r="F31" s="14">
        <v>220.79</v>
      </c>
      <c r="G31" s="1">
        <v>75266840</v>
      </c>
      <c r="H31" s="6" t="s">
        <v>10</v>
      </c>
      <c r="I31" s="6">
        <f>IF(AND(H30="UP",testdataClose[[#This Row],[close]]&gt;I30),testdataClose[[#This Row],[close]],IF(AND(H30="DN",testdataClose[[#This Row],[close]]&lt;I30),testdataClose[[#This Row],[close]],I30))</f>
        <v>220.79</v>
      </c>
      <c r="J31" s="11">
        <f>(testdataClose[[#This Row],[close]]-testdataClose[[#This Row],[hl]])/testdataClose[[#This Row],[hl]]</f>
        <v>0</v>
      </c>
      <c r="K31" s="15">
        <f t="shared" ca="1" si="1"/>
        <v>219.63988805962842</v>
      </c>
      <c r="L31" s="6"/>
      <c r="M31" s="19"/>
      <c r="N31" s="19"/>
      <c r="Q31" s="4">
        <v>30</v>
      </c>
      <c r="R31" s="33"/>
      <c r="S31" s="19"/>
      <c r="T31" s="19"/>
    </row>
    <row r="32" spans="1:20" x14ac:dyDescent="0.35">
      <c r="A32" s="7">
        <v>31</v>
      </c>
      <c r="B32" s="3">
        <v>42781</v>
      </c>
      <c r="C32" s="2">
        <v>220.55</v>
      </c>
      <c r="D32" s="2">
        <v>222.15</v>
      </c>
      <c r="E32" s="2">
        <v>220.5</v>
      </c>
      <c r="F32" s="14">
        <v>221.94</v>
      </c>
      <c r="G32" s="1">
        <v>91860344</v>
      </c>
      <c r="H32" s="6" t="s">
        <v>10</v>
      </c>
      <c r="I32" s="6">
        <f>IF(AND(H31="UP",testdataClose[[#This Row],[close]]&gt;I31),testdataClose[[#This Row],[close]],IF(AND(H31="DN",testdataClose[[#This Row],[close]]&lt;I31),testdataClose[[#This Row],[close]],I31))</f>
        <v>221.94</v>
      </c>
      <c r="J32" s="11">
        <f>(testdataClose[[#This Row],[close]]-testdataClose[[#This Row],[hl]])/testdataClose[[#This Row],[hl]]</f>
        <v>0</v>
      </c>
      <c r="K32" s="15">
        <f t="shared" ca="1" si="1"/>
        <v>219.87574626858139</v>
      </c>
      <c r="L32" s="6"/>
      <c r="M32" s="19"/>
      <c r="N32" s="19"/>
      <c r="Q32" s="4">
        <v>31</v>
      </c>
      <c r="R32" s="33"/>
      <c r="S32" s="19"/>
      <c r="T32" s="19"/>
    </row>
    <row r="33" spans="1:20" x14ac:dyDescent="0.35">
      <c r="A33" s="7">
        <v>32</v>
      </c>
      <c r="B33" s="3">
        <v>42782</v>
      </c>
      <c r="C33" s="2">
        <v>221.98</v>
      </c>
      <c r="D33" s="2">
        <v>222.16</v>
      </c>
      <c r="E33" s="2">
        <v>220.93</v>
      </c>
      <c r="F33" s="14">
        <v>221.75</v>
      </c>
      <c r="G33" s="1">
        <v>89676304</v>
      </c>
      <c r="H33" s="6" t="s">
        <v>10</v>
      </c>
      <c r="I33" s="6">
        <f>IF(AND(H32="UP",testdataClose[[#This Row],[close]]&gt;I32),testdataClose[[#This Row],[close]],IF(AND(H32="DN",testdataClose[[#This Row],[close]]&lt;I32),testdataClose[[#This Row],[close]],I32))</f>
        <v>221.94</v>
      </c>
      <c r="J33" s="11">
        <f>(testdataClose[[#This Row],[close]]-testdataClose[[#This Row],[hl]])/testdataClose[[#This Row],[hl]]</f>
        <v>-8.5608723078308433E-4</v>
      </c>
      <c r="K33" s="15">
        <f t="shared" ca="1" si="1"/>
        <v>220.1116044775344</v>
      </c>
      <c r="L33" s="6"/>
      <c r="M33" s="19"/>
      <c r="N33" s="19"/>
      <c r="Q33" s="4">
        <v>32</v>
      </c>
      <c r="R33" s="33"/>
      <c r="S33" s="19"/>
      <c r="T33" s="19"/>
    </row>
    <row r="34" spans="1:20" x14ac:dyDescent="0.35">
      <c r="A34" s="7">
        <v>33</v>
      </c>
      <c r="B34" s="3">
        <v>42783</v>
      </c>
      <c r="C34" s="2">
        <v>221.03</v>
      </c>
      <c r="D34" s="2">
        <v>222.1</v>
      </c>
      <c r="E34" s="2">
        <v>221.01</v>
      </c>
      <c r="F34" s="14">
        <v>222.1</v>
      </c>
      <c r="G34" s="1">
        <v>81718352</v>
      </c>
      <c r="H34" s="6" t="s">
        <v>10</v>
      </c>
      <c r="I34" s="6">
        <f>IF(AND(H33="UP",testdataClose[[#This Row],[close]]&gt;I33),testdataClose[[#This Row],[close]],IF(AND(H33="DN",testdataClose[[#This Row],[close]]&lt;I33),testdataClose[[#This Row],[close]],I33))</f>
        <v>222.1</v>
      </c>
      <c r="J34" s="11">
        <f>(testdataClose[[#This Row],[close]]-testdataClose[[#This Row],[hl]])/testdataClose[[#This Row],[hl]]</f>
        <v>0</v>
      </c>
      <c r="K34" s="15">
        <f t="shared" ca="1" si="1"/>
        <v>220.34746268648743</v>
      </c>
      <c r="L34" s="6"/>
      <c r="M34" s="19"/>
      <c r="N34" s="19"/>
      <c r="Q34" s="4">
        <v>33</v>
      </c>
      <c r="R34" s="33"/>
      <c r="S34" s="19"/>
      <c r="T34" s="19"/>
    </row>
    <row r="35" spans="1:20" x14ac:dyDescent="0.35">
      <c r="A35" s="7">
        <v>34</v>
      </c>
      <c r="B35" s="3">
        <v>42787</v>
      </c>
      <c r="C35" s="2">
        <v>222.51</v>
      </c>
      <c r="D35" s="2">
        <v>223.62</v>
      </c>
      <c r="E35" s="2">
        <v>222.5</v>
      </c>
      <c r="F35" s="14">
        <v>223.43</v>
      </c>
      <c r="G35" s="1">
        <v>94146880</v>
      </c>
      <c r="H35" s="6" t="s">
        <v>10</v>
      </c>
      <c r="I35" s="6">
        <f>IF(AND(H34="UP",testdataClose[[#This Row],[close]]&gt;I34),testdataClose[[#This Row],[close]],IF(AND(H34="DN",testdataClose[[#This Row],[close]]&lt;I34),testdataClose[[#This Row],[close]],I34))</f>
        <v>223.43</v>
      </c>
      <c r="J35" s="11">
        <f>(testdataClose[[#This Row],[close]]-testdataClose[[#This Row],[hl]])/testdataClose[[#This Row],[hl]]</f>
        <v>0</v>
      </c>
      <c r="K35" s="15">
        <f t="shared" ca="1" si="1"/>
        <v>220.58332089544047</v>
      </c>
      <c r="L35" s="6"/>
      <c r="M35" s="19"/>
      <c r="N35" s="19"/>
      <c r="Q35" s="4">
        <v>34</v>
      </c>
      <c r="R35" s="33"/>
      <c r="S35" s="19"/>
      <c r="T35" s="19"/>
    </row>
    <row r="36" spans="1:20" x14ac:dyDescent="0.35">
      <c r="A36" s="7">
        <v>35</v>
      </c>
      <c r="B36" s="3">
        <v>42788</v>
      </c>
      <c r="C36" s="2">
        <v>222.98</v>
      </c>
      <c r="D36" s="2">
        <v>223.47</v>
      </c>
      <c r="E36" s="2">
        <v>222.8</v>
      </c>
      <c r="F36" s="14">
        <v>223.23</v>
      </c>
      <c r="G36" s="1">
        <v>65747160</v>
      </c>
      <c r="H36" s="6" t="s">
        <v>10</v>
      </c>
      <c r="I36" s="6">
        <f>IF(AND(H35="UP",testdataClose[[#This Row],[close]]&gt;I35),testdataClose[[#This Row],[close]],IF(AND(H35="DN",testdataClose[[#This Row],[close]]&lt;I35),testdataClose[[#This Row],[close]],I35))</f>
        <v>223.43</v>
      </c>
      <c r="J36" s="11">
        <f>(testdataClose[[#This Row],[close]]-testdataClose[[#This Row],[hl]])/testdataClose[[#This Row],[hl]]</f>
        <v>-8.951349415925213E-4</v>
      </c>
      <c r="K36" s="15">
        <f t="shared" ca="1" si="1"/>
        <v>220.81917910439353</v>
      </c>
      <c r="L36" s="6"/>
      <c r="M36" s="19"/>
      <c r="N36" s="19"/>
      <c r="Q36" s="4">
        <v>35</v>
      </c>
      <c r="R36" s="33"/>
      <c r="S36" s="19"/>
      <c r="T36" s="19"/>
    </row>
    <row r="37" spans="1:20" x14ac:dyDescent="0.35">
      <c r="A37" s="7">
        <v>36</v>
      </c>
      <c r="B37" s="3">
        <v>42789</v>
      </c>
      <c r="C37" s="2">
        <v>223.79</v>
      </c>
      <c r="D37" s="2">
        <v>223.81</v>
      </c>
      <c r="E37" s="2">
        <v>222.55</v>
      </c>
      <c r="F37" s="14">
        <v>223.38</v>
      </c>
      <c r="G37" s="1">
        <v>78978816</v>
      </c>
      <c r="H37" s="6" t="s">
        <v>10</v>
      </c>
      <c r="I37" s="6">
        <f>IF(AND(H36="UP",testdataClose[[#This Row],[close]]&gt;I36),testdataClose[[#This Row],[close]],IF(AND(H36="DN",testdataClose[[#This Row],[close]]&lt;I36),testdataClose[[#This Row],[close]],I36))</f>
        <v>223.43</v>
      </c>
      <c r="J37" s="11">
        <f>(testdataClose[[#This Row],[close]]-testdataClose[[#This Row],[hl]])/testdataClose[[#This Row],[hl]]</f>
        <v>-2.2378373539816215E-4</v>
      </c>
      <c r="K37" s="15">
        <f t="shared" ca="1" si="1"/>
        <v>221.05503731334662</v>
      </c>
      <c r="L37" s="6"/>
      <c r="M37" s="19"/>
      <c r="N37" s="19"/>
      <c r="Q37" s="4">
        <v>36</v>
      </c>
      <c r="R37" s="33"/>
      <c r="S37" s="19"/>
      <c r="T37" s="19"/>
    </row>
    <row r="38" spans="1:20" x14ac:dyDescent="0.35">
      <c r="A38" s="7">
        <v>37</v>
      </c>
      <c r="B38" s="3">
        <v>42790</v>
      </c>
      <c r="C38" s="2">
        <v>222.45</v>
      </c>
      <c r="D38" s="2">
        <v>223.71</v>
      </c>
      <c r="E38" s="2">
        <v>222.41</v>
      </c>
      <c r="F38" s="14">
        <v>223.66</v>
      </c>
      <c r="G38" s="1">
        <v>87198608</v>
      </c>
      <c r="H38" s="6" t="s">
        <v>10</v>
      </c>
      <c r="I38" s="6">
        <f>IF(AND(H37="UP",testdataClose[[#This Row],[close]]&gt;I37),testdataClose[[#This Row],[close]],IF(AND(H37="DN",testdataClose[[#This Row],[close]]&lt;I37),testdataClose[[#This Row],[close]],I37))</f>
        <v>223.66</v>
      </c>
      <c r="J38" s="11">
        <f>(testdataClose[[#This Row],[close]]-testdataClose[[#This Row],[hl]])/testdataClose[[#This Row],[hl]]</f>
        <v>0</v>
      </c>
      <c r="K38" s="15">
        <f t="shared" ca="1" si="1"/>
        <v>221.29089552229971</v>
      </c>
      <c r="L38" s="6"/>
      <c r="M38" s="19"/>
      <c r="N38" s="19"/>
      <c r="Q38" s="4">
        <v>37</v>
      </c>
      <c r="R38" s="33"/>
      <c r="S38" s="19"/>
      <c r="T38" s="19"/>
    </row>
    <row r="39" spans="1:20" x14ac:dyDescent="0.35">
      <c r="A39" s="7">
        <v>38</v>
      </c>
      <c r="B39" s="3">
        <v>42793</v>
      </c>
      <c r="C39" s="2">
        <v>223.57</v>
      </c>
      <c r="D39" s="2">
        <v>224.2</v>
      </c>
      <c r="E39" s="2">
        <v>223.29</v>
      </c>
      <c r="F39" s="14">
        <v>224.01</v>
      </c>
      <c r="G39" s="1">
        <v>59819992</v>
      </c>
      <c r="H39" s="6" t="s">
        <v>10</v>
      </c>
      <c r="I39" s="6">
        <f>IF(AND(H38="UP",testdataClose[[#This Row],[close]]&gt;I38),testdataClose[[#This Row],[close]],IF(AND(H38="DN",testdataClose[[#This Row],[close]]&lt;I38),testdataClose[[#This Row],[close]],I38))</f>
        <v>224.01</v>
      </c>
      <c r="J39" s="11">
        <f>(testdataClose[[#This Row],[close]]-testdataClose[[#This Row],[hl]])/testdataClose[[#This Row],[hl]]</f>
        <v>0</v>
      </c>
      <c r="K39" s="15">
        <f t="shared" ca="1" si="1"/>
        <v>221.52675373125282</v>
      </c>
      <c r="L39" s="6"/>
      <c r="M39" s="19"/>
      <c r="N39" s="19"/>
      <c r="Q39" s="4">
        <v>38</v>
      </c>
      <c r="R39" s="33"/>
      <c r="S39" s="19"/>
      <c r="T39" s="19"/>
    </row>
    <row r="40" spans="1:20" x14ac:dyDescent="0.35">
      <c r="A40" s="7">
        <v>39</v>
      </c>
      <c r="B40" s="3">
        <v>42794</v>
      </c>
      <c r="C40" s="2">
        <v>223.6</v>
      </c>
      <c r="D40" s="2">
        <v>223.86</v>
      </c>
      <c r="E40" s="2">
        <v>222.98</v>
      </c>
      <c r="F40" s="14">
        <v>223.41</v>
      </c>
      <c r="G40" s="1">
        <v>102631472</v>
      </c>
      <c r="H40" s="6" t="s">
        <v>10</v>
      </c>
      <c r="I40" s="6">
        <f>IF(AND(H39="UP",testdataClose[[#This Row],[close]]&gt;I39),testdataClose[[#This Row],[close]],IF(AND(H39="DN",testdataClose[[#This Row],[close]]&lt;I39),testdataClose[[#This Row],[close]],I39))</f>
        <v>224.01</v>
      </c>
      <c r="J40" s="11">
        <f>(testdataClose[[#This Row],[close]]-testdataClose[[#This Row],[hl]])/testdataClose[[#This Row],[hl]]</f>
        <v>-2.6784518548278844E-3</v>
      </c>
      <c r="K40" s="15">
        <f t="shared" ca="1" si="1"/>
        <v>221.76261194020597</v>
      </c>
      <c r="L40" s="6"/>
      <c r="M40" s="19"/>
      <c r="N40" s="19"/>
      <c r="Q40" s="4">
        <v>39</v>
      </c>
      <c r="R40" s="33"/>
      <c r="S40" s="19"/>
      <c r="T40" s="19"/>
    </row>
    <row r="41" spans="1:20" x14ac:dyDescent="0.35">
      <c r="A41" s="7">
        <v>40</v>
      </c>
      <c r="B41" s="3">
        <v>42795</v>
      </c>
      <c r="C41" s="2">
        <v>225.22</v>
      </c>
      <c r="D41" s="2">
        <v>227.04</v>
      </c>
      <c r="E41" s="2">
        <v>225.2</v>
      </c>
      <c r="F41" s="14">
        <v>226.53</v>
      </c>
      <c r="G41" s="1">
        <v>157879712</v>
      </c>
      <c r="H41" s="6" t="s">
        <v>10</v>
      </c>
      <c r="I41" s="6">
        <f>IF(AND(H40="UP",testdataClose[[#This Row],[close]]&gt;I40),testdataClose[[#This Row],[close]],IF(AND(H40="DN",testdataClose[[#This Row],[close]]&lt;I40),testdataClose[[#This Row],[close]],I40))</f>
        <v>226.53</v>
      </c>
      <c r="J41" s="11">
        <f>(testdataClose[[#This Row],[close]]-testdataClose[[#This Row],[hl]])/testdataClose[[#This Row],[hl]]</f>
        <v>0</v>
      </c>
      <c r="K41" s="15">
        <f t="shared" ca="1" si="1"/>
        <v>221.99847014915912</v>
      </c>
      <c r="L41" s="6"/>
      <c r="M41" s="19"/>
      <c r="N41" s="19"/>
      <c r="Q41" s="4">
        <v>40</v>
      </c>
      <c r="R41" s="33"/>
      <c r="S41" s="19"/>
      <c r="T41" s="19"/>
    </row>
    <row r="42" spans="1:20" x14ac:dyDescent="0.35">
      <c r="A42" s="7">
        <v>41</v>
      </c>
      <c r="B42" s="3">
        <v>42796</v>
      </c>
      <c r="C42" s="2">
        <v>226.33</v>
      </c>
      <c r="D42" s="2">
        <v>226.34</v>
      </c>
      <c r="E42" s="2">
        <v>225.05</v>
      </c>
      <c r="F42" s="14">
        <v>225.11</v>
      </c>
      <c r="G42" s="1">
        <v>74353376</v>
      </c>
      <c r="H42" s="6" t="s">
        <v>10</v>
      </c>
      <c r="I42" s="6">
        <f>IF(AND(H41="UP",testdataClose[[#This Row],[close]]&gt;I41),testdataClose[[#This Row],[close]],IF(AND(H41="DN",testdataClose[[#This Row],[close]]&lt;I41),testdataClose[[#This Row],[close]],I41))</f>
        <v>226.53</v>
      </c>
      <c r="J42" s="11">
        <f>(testdataClose[[#This Row],[close]]-testdataClose[[#This Row],[hl]])/testdataClose[[#This Row],[hl]]</f>
        <v>-6.2684854103208735E-3</v>
      </c>
      <c r="K42" s="15">
        <f t="shared" ca="1" si="1"/>
        <v>222.23432835811229</v>
      </c>
      <c r="L42" s="6"/>
      <c r="M42" s="19"/>
      <c r="N42" s="19"/>
      <c r="Q42" s="4">
        <v>41</v>
      </c>
      <c r="R42" s="33"/>
      <c r="S42" s="19"/>
      <c r="T42" s="19"/>
    </row>
    <row r="43" spans="1:20" x14ac:dyDescent="0.35">
      <c r="A43" s="7">
        <v>42</v>
      </c>
      <c r="B43" s="3">
        <v>42797</v>
      </c>
      <c r="C43" s="2">
        <v>225.01</v>
      </c>
      <c r="D43" s="2">
        <v>225.43</v>
      </c>
      <c r="E43" s="2">
        <v>224.6</v>
      </c>
      <c r="F43" s="14">
        <v>225.25</v>
      </c>
      <c r="G43" s="1">
        <v>86767480</v>
      </c>
      <c r="H43" s="6" t="s">
        <v>10</v>
      </c>
      <c r="I43" s="6">
        <f>IF(AND(H42="UP",testdataClose[[#This Row],[close]]&gt;I42),testdataClose[[#This Row],[close]],IF(AND(H42="DN",testdataClose[[#This Row],[close]]&lt;I42),testdataClose[[#This Row],[close]],I42))</f>
        <v>226.53</v>
      </c>
      <c r="J43" s="11">
        <f>(testdataClose[[#This Row],[close]]-testdataClose[[#This Row],[hl]])/testdataClose[[#This Row],[hl]]</f>
        <v>-5.6504657219794341E-3</v>
      </c>
      <c r="K43" s="15">
        <f t="shared" ca="1" si="1"/>
        <v>222.4701865670655</v>
      </c>
      <c r="L43" s="6"/>
      <c r="M43" s="19"/>
      <c r="N43" s="19"/>
      <c r="Q43" s="4">
        <v>42</v>
      </c>
      <c r="R43" s="33"/>
      <c r="S43" s="19"/>
      <c r="T43" s="19"/>
    </row>
    <row r="44" spans="1:20" x14ac:dyDescent="0.35">
      <c r="A44" s="7">
        <v>43</v>
      </c>
      <c r="B44" s="3">
        <v>42800</v>
      </c>
      <c r="C44" s="2">
        <v>224.38</v>
      </c>
      <c r="D44" s="2">
        <v>224.97</v>
      </c>
      <c r="E44" s="2">
        <v>223.92</v>
      </c>
      <c r="F44" s="14">
        <v>224.58</v>
      </c>
      <c r="G44" s="1">
        <v>58630368</v>
      </c>
      <c r="H44" s="6" t="s">
        <v>10</v>
      </c>
      <c r="I44" s="6">
        <f>IF(AND(H43="UP",testdataClose[[#This Row],[close]]&gt;I43),testdataClose[[#This Row],[close]],IF(AND(H43="DN",testdataClose[[#This Row],[close]]&lt;I43),testdataClose[[#This Row],[close]],I43))</f>
        <v>226.53</v>
      </c>
      <c r="J44" s="11">
        <f>(testdataClose[[#This Row],[close]]-testdataClose[[#This Row],[hl]])/testdataClose[[#This Row],[hl]]</f>
        <v>-8.6081313733279863E-3</v>
      </c>
      <c r="K44" s="15">
        <f t="shared" ca="1" si="1"/>
        <v>222.7060447760187</v>
      </c>
      <c r="L44" s="6"/>
      <c r="M44" s="19"/>
      <c r="N44" s="19"/>
      <c r="Q44" s="4">
        <v>43</v>
      </c>
      <c r="R44" s="33"/>
      <c r="S44" s="19"/>
      <c r="T44" s="19"/>
    </row>
    <row r="45" spans="1:20" x14ac:dyDescent="0.35">
      <c r="A45" s="7">
        <v>44</v>
      </c>
      <c r="B45" s="3">
        <v>42801</v>
      </c>
      <c r="C45" s="2">
        <v>224.25</v>
      </c>
      <c r="D45" s="2">
        <v>224.64</v>
      </c>
      <c r="E45" s="2">
        <v>223.68</v>
      </c>
      <c r="F45" s="14">
        <v>223.91</v>
      </c>
      <c r="G45" s="1">
        <v>68910464</v>
      </c>
      <c r="H45" s="6" t="s">
        <v>10</v>
      </c>
      <c r="I45" s="6">
        <f>IF(AND(H44="UP",testdataClose[[#This Row],[close]]&gt;I44),testdataClose[[#This Row],[close]],IF(AND(H44="DN",testdataClose[[#This Row],[close]]&lt;I44),testdataClose[[#This Row],[close]],I44))</f>
        <v>226.53</v>
      </c>
      <c r="J45" s="11">
        <f>(testdataClose[[#This Row],[close]]-testdataClose[[#This Row],[hl]])/testdataClose[[#This Row],[hl]]</f>
        <v>-1.1565797024676663E-2</v>
      </c>
      <c r="K45" s="15">
        <f t="shared" ca="1" si="1"/>
        <v>222.94190298497193</v>
      </c>
      <c r="L45" s="6"/>
      <c r="M45" s="19"/>
      <c r="N45" s="19"/>
      <c r="Q45" s="4">
        <v>44</v>
      </c>
      <c r="R45" s="33"/>
      <c r="S45" s="19"/>
      <c r="T45" s="19"/>
    </row>
    <row r="46" spans="1:20" x14ac:dyDescent="0.35">
      <c r="A46" s="7">
        <v>45</v>
      </c>
      <c r="B46" s="3">
        <v>42802</v>
      </c>
      <c r="C46" s="2">
        <v>224.23</v>
      </c>
      <c r="D46" s="2">
        <v>224.51</v>
      </c>
      <c r="E46" s="2">
        <v>223.34</v>
      </c>
      <c r="F46" s="14">
        <v>223.49</v>
      </c>
      <c r="G46" s="1">
        <v>82739456</v>
      </c>
      <c r="H46" s="6" t="s">
        <v>10</v>
      </c>
      <c r="I46" s="6">
        <f>IF(AND(H45="UP",testdataClose[[#This Row],[close]]&gt;I45),testdataClose[[#This Row],[close]],IF(AND(H45="DN",testdataClose[[#This Row],[close]]&lt;I45),testdataClose[[#This Row],[close]],I45))</f>
        <v>226.53</v>
      </c>
      <c r="J46" s="11">
        <f>(testdataClose[[#This Row],[close]]-testdataClose[[#This Row],[hl]])/testdataClose[[#This Row],[hl]]</f>
        <v>-1.3419856089701108E-2</v>
      </c>
      <c r="K46" s="15">
        <f t="shared" ca="1" si="1"/>
        <v>223.17776119392519</v>
      </c>
      <c r="L46" s="6"/>
      <c r="M46" s="19"/>
      <c r="N46" s="19"/>
      <c r="Q46" s="4">
        <v>45</v>
      </c>
      <c r="R46" s="33"/>
      <c r="S46" s="19"/>
      <c r="T46" s="19"/>
    </row>
    <row r="47" spans="1:20" x14ac:dyDescent="0.35">
      <c r="A47" s="7">
        <v>46</v>
      </c>
      <c r="B47" s="3">
        <v>42803</v>
      </c>
      <c r="C47" s="2">
        <v>223.62</v>
      </c>
      <c r="D47" s="2">
        <v>224.13</v>
      </c>
      <c r="E47" s="2">
        <v>222.72</v>
      </c>
      <c r="F47" s="14">
        <v>223.78</v>
      </c>
      <c r="G47" s="1">
        <v>95986360</v>
      </c>
      <c r="H47" s="6" t="s">
        <v>10</v>
      </c>
      <c r="I47" s="6">
        <f>IF(AND(H46="UP",testdataClose[[#This Row],[close]]&gt;I46),testdataClose[[#This Row],[close]],IF(AND(H46="DN",testdataClose[[#This Row],[close]]&lt;I46),testdataClose[[#This Row],[close]],I46))</f>
        <v>226.53</v>
      </c>
      <c r="J47" s="11">
        <f>(testdataClose[[#This Row],[close]]-testdataClose[[#This Row],[hl]])/testdataClose[[#This Row],[hl]]</f>
        <v>-1.2139672449565179E-2</v>
      </c>
      <c r="K47" s="15">
        <f t="shared" ca="1" si="1"/>
        <v>223.41361940287845</v>
      </c>
      <c r="L47" s="6"/>
      <c r="M47" s="19"/>
      <c r="N47" s="19"/>
      <c r="Q47" s="4">
        <v>46</v>
      </c>
      <c r="R47" s="33"/>
      <c r="S47" s="19"/>
      <c r="T47" s="19"/>
    </row>
    <row r="48" spans="1:20" x14ac:dyDescent="0.35">
      <c r="A48" s="7">
        <v>47</v>
      </c>
      <c r="B48" s="3">
        <v>42804</v>
      </c>
      <c r="C48" s="2">
        <v>224.82</v>
      </c>
      <c r="D48" s="2">
        <v>224.87</v>
      </c>
      <c r="E48" s="2">
        <v>223.52</v>
      </c>
      <c r="F48" s="14">
        <v>224.56</v>
      </c>
      <c r="G48" s="1">
        <v>86785840</v>
      </c>
      <c r="H48" s="6" t="s">
        <v>10</v>
      </c>
      <c r="I48" s="6">
        <f>IF(AND(H47="UP",testdataClose[[#This Row],[close]]&gt;I47),testdataClose[[#This Row],[close]],IF(AND(H47="DN",testdataClose[[#This Row],[close]]&lt;I47),testdataClose[[#This Row],[close]],I47))</f>
        <v>226.53</v>
      </c>
      <c r="J48" s="11">
        <f>(testdataClose[[#This Row],[close]]-testdataClose[[#This Row],[hl]])/testdataClose[[#This Row],[hl]]</f>
        <v>-8.6964199002339589E-3</v>
      </c>
      <c r="K48" s="15">
        <f t="shared" ca="1" si="1"/>
        <v>223.64947761183174</v>
      </c>
      <c r="L48" s="6"/>
      <c r="M48" s="19"/>
      <c r="N48" s="19"/>
      <c r="Q48" s="4">
        <v>47</v>
      </c>
      <c r="R48" s="33"/>
      <c r="S48" s="19"/>
      <c r="T48" s="19"/>
    </row>
    <row r="49" spans="1:20" x14ac:dyDescent="0.35">
      <c r="A49" s="7">
        <v>48</v>
      </c>
      <c r="B49" s="3">
        <v>42807</v>
      </c>
      <c r="C49" s="2">
        <v>224.49</v>
      </c>
      <c r="D49" s="2">
        <v>224.72</v>
      </c>
      <c r="E49" s="2">
        <v>224.13</v>
      </c>
      <c r="F49" s="14">
        <v>224.67</v>
      </c>
      <c r="G49" s="1">
        <v>60604724</v>
      </c>
      <c r="H49" s="6" t="s">
        <v>10</v>
      </c>
      <c r="I49" s="6">
        <f>IF(AND(H48="UP",testdataClose[[#This Row],[close]]&gt;I48),testdataClose[[#This Row],[close]],IF(AND(H48="DN",testdataClose[[#This Row],[close]]&lt;I48),testdataClose[[#This Row],[close]],I48))</f>
        <v>226.53</v>
      </c>
      <c r="J49" s="11">
        <f>(testdataClose[[#This Row],[close]]-testdataClose[[#This Row],[hl]])/testdataClose[[#This Row],[hl]]</f>
        <v>-8.2108330022514168E-3</v>
      </c>
      <c r="K49" s="15">
        <f t="shared" ca="1" si="1"/>
        <v>223.88533582078506</v>
      </c>
      <c r="L49" s="6"/>
      <c r="M49" s="19"/>
      <c r="N49" s="19"/>
      <c r="Q49" s="4">
        <v>48</v>
      </c>
      <c r="R49" s="33"/>
      <c r="S49" s="19"/>
      <c r="T49" s="19"/>
    </row>
    <row r="50" spans="1:20" x14ac:dyDescent="0.35">
      <c r="A50" s="7">
        <v>49</v>
      </c>
      <c r="B50" s="3">
        <v>42808</v>
      </c>
      <c r="C50" s="2">
        <v>224.08</v>
      </c>
      <c r="D50" s="2">
        <v>224.13</v>
      </c>
      <c r="E50" s="2">
        <v>223.14</v>
      </c>
      <c r="F50" s="14">
        <v>223.81</v>
      </c>
      <c r="G50" s="1">
        <v>63382108</v>
      </c>
      <c r="H50" s="6" t="s">
        <v>10</v>
      </c>
      <c r="I50" s="6">
        <f>IF(AND(H49="UP",testdataClose[[#This Row],[close]]&gt;I49),testdataClose[[#This Row],[close]],IF(AND(H49="DN",testdataClose[[#This Row],[close]]&lt;I49),testdataClose[[#This Row],[close]],I49))</f>
        <v>226.53</v>
      </c>
      <c r="J50" s="11">
        <f>(testdataClose[[#This Row],[close]]-testdataClose[[#This Row],[hl]])/testdataClose[[#This Row],[hl]]</f>
        <v>-1.2007239659206281E-2</v>
      </c>
      <c r="K50" s="15">
        <f t="shared" ca="1" si="1"/>
        <v>224.12119402973838</v>
      </c>
      <c r="L50" s="6"/>
      <c r="M50" s="19"/>
      <c r="N50" s="19"/>
      <c r="Q50" s="4">
        <v>49</v>
      </c>
      <c r="R50" s="33"/>
      <c r="S50" s="19"/>
      <c r="T50" s="19"/>
    </row>
    <row r="51" spans="1:20" x14ac:dyDescent="0.35">
      <c r="A51" s="7">
        <v>50</v>
      </c>
      <c r="B51" s="3">
        <v>42809</v>
      </c>
      <c r="C51" s="2">
        <v>224.44</v>
      </c>
      <c r="D51" s="2">
        <v>226.21</v>
      </c>
      <c r="E51" s="2">
        <v>224.18</v>
      </c>
      <c r="F51" s="14">
        <v>225.75</v>
      </c>
      <c r="G51" s="1">
        <v>101699816</v>
      </c>
      <c r="H51" s="6" t="s">
        <v>10</v>
      </c>
      <c r="I51" s="6">
        <f>IF(AND(H50="UP",testdataClose[[#This Row],[close]]&gt;I50),testdataClose[[#This Row],[close]],IF(AND(H50="DN",testdataClose[[#This Row],[close]]&lt;I50),testdataClose[[#This Row],[close]],I50))</f>
        <v>226.53</v>
      </c>
      <c r="J51" s="11">
        <f>(testdataClose[[#This Row],[close]]-testdataClose[[#This Row],[hl]])/testdataClose[[#This Row],[hl]]</f>
        <v>-3.4432525493312193E-3</v>
      </c>
      <c r="K51" s="15">
        <f t="shared" ca="1" si="1"/>
        <v>224.35705223869172</v>
      </c>
      <c r="L51" s="6"/>
      <c r="M51" s="19"/>
      <c r="N51" s="19"/>
      <c r="Q51" s="4">
        <v>50</v>
      </c>
      <c r="R51" s="33"/>
      <c r="S51" s="19"/>
      <c r="T51" s="19"/>
    </row>
    <row r="52" spans="1:20" x14ac:dyDescent="0.35">
      <c r="A52" s="7">
        <v>51</v>
      </c>
      <c r="B52" s="3">
        <v>42810</v>
      </c>
      <c r="C52" s="2">
        <v>225.9</v>
      </c>
      <c r="D52" s="2">
        <v>225.99</v>
      </c>
      <c r="E52" s="2">
        <v>224.95</v>
      </c>
      <c r="F52" s="14">
        <v>225.31</v>
      </c>
      <c r="G52" s="1">
        <v>82924856</v>
      </c>
      <c r="H52" s="6" t="s">
        <v>10</v>
      </c>
      <c r="I52" s="6">
        <f>IF(AND(H51="UP",testdataClose[[#This Row],[close]]&gt;I51),testdataClose[[#This Row],[close]],IF(AND(H51="DN",testdataClose[[#This Row],[close]]&lt;I51),testdataClose[[#This Row],[close]],I51))</f>
        <v>226.53</v>
      </c>
      <c r="J52" s="11">
        <f>(testdataClose[[#This Row],[close]]-testdataClose[[#This Row],[hl]])/testdataClose[[#This Row],[hl]]</f>
        <v>-5.3856001412616377E-3</v>
      </c>
      <c r="K52" s="15">
        <f t="shared" ca="1" si="1"/>
        <v>224.5929104476451</v>
      </c>
      <c r="L52" s="6"/>
      <c r="M52" s="19"/>
      <c r="N52" s="19"/>
      <c r="Q52" s="4">
        <v>51</v>
      </c>
      <c r="R52" s="33"/>
      <c r="S52" s="19"/>
      <c r="T52" s="19"/>
    </row>
    <row r="53" spans="1:20" x14ac:dyDescent="0.35">
      <c r="A53" s="7">
        <v>52</v>
      </c>
      <c r="B53" s="3">
        <v>42811</v>
      </c>
      <c r="C53" s="2">
        <v>225.59</v>
      </c>
      <c r="D53" s="2">
        <v>225.8</v>
      </c>
      <c r="E53" s="2">
        <v>224.91</v>
      </c>
      <c r="F53" s="14">
        <v>224.91</v>
      </c>
      <c r="G53" s="1">
        <v>93798120</v>
      </c>
      <c r="H53" s="6" t="s">
        <v>10</v>
      </c>
      <c r="I53" s="6">
        <f>IF(AND(H52="UP",testdataClose[[#This Row],[close]]&gt;I52),testdataClose[[#This Row],[close]],IF(AND(H52="DN",testdataClose[[#This Row],[close]]&lt;I52),testdataClose[[#This Row],[close]],I52))</f>
        <v>226.53</v>
      </c>
      <c r="J53" s="11">
        <f>(testdataClose[[#This Row],[close]]-testdataClose[[#This Row],[hl]])/testdataClose[[#This Row],[hl]]</f>
        <v>-7.151370679380235E-3</v>
      </c>
      <c r="K53" s="15">
        <f t="shared" ca="1" si="1"/>
        <v>224.82876865659847</v>
      </c>
      <c r="L53" s="6"/>
      <c r="M53" s="19"/>
      <c r="N53" s="19"/>
      <c r="Q53" s="4">
        <v>52</v>
      </c>
      <c r="R53" s="33"/>
      <c r="S53" s="19"/>
      <c r="T53" s="19"/>
    </row>
    <row r="54" spans="1:20" x14ac:dyDescent="0.35">
      <c r="A54" s="7">
        <v>53</v>
      </c>
      <c r="B54" s="3">
        <v>42814</v>
      </c>
      <c r="C54" s="2">
        <v>224.91</v>
      </c>
      <c r="D54" s="2">
        <v>225.22</v>
      </c>
      <c r="E54" s="2">
        <v>224.24</v>
      </c>
      <c r="F54" s="14">
        <v>224.66</v>
      </c>
      <c r="G54" s="1">
        <v>55368008</v>
      </c>
      <c r="H54" s="6" t="s">
        <v>10</v>
      </c>
      <c r="I54" s="6">
        <f>IF(AND(H53="UP",testdataClose[[#This Row],[close]]&gt;I53),testdataClose[[#This Row],[close]],IF(AND(H53="DN",testdataClose[[#This Row],[close]]&lt;I53),testdataClose[[#This Row],[close]],I53))</f>
        <v>226.53</v>
      </c>
      <c r="J54" s="11">
        <f>(testdataClose[[#This Row],[close]]-testdataClose[[#This Row],[hl]])/testdataClose[[#This Row],[hl]]</f>
        <v>-8.2549772657043424E-3</v>
      </c>
      <c r="K54" s="15">
        <f t="shared" ca="1" si="1"/>
        <v>225.06462686555187</v>
      </c>
      <c r="L54" s="6"/>
      <c r="M54" s="19"/>
      <c r="N54" s="19"/>
      <c r="Q54" s="4">
        <v>53</v>
      </c>
      <c r="R54" s="33"/>
      <c r="S54" s="19"/>
      <c r="T54" s="19"/>
    </row>
    <row r="55" spans="1:20" x14ac:dyDescent="0.35">
      <c r="A55" s="7">
        <v>54</v>
      </c>
      <c r="B55" s="3">
        <v>42815</v>
      </c>
      <c r="C55" s="2">
        <v>225.33</v>
      </c>
      <c r="D55" s="2">
        <v>225.46</v>
      </c>
      <c r="E55" s="2">
        <v>221.64</v>
      </c>
      <c r="F55" s="14">
        <v>221.78</v>
      </c>
      <c r="G55" s="1">
        <v>138912016</v>
      </c>
      <c r="H55" s="6" t="s">
        <v>10</v>
      </c>
      <c r="I55" s="6">
        <f>IF(AND(H54="UP",testdataClose[[#This Row],[close]]&gt;I54),testdataClose[[#This Row],[close]],IF(AND(H54="DN",testdataClose[[#This Row],[close]]&lt;I54),testdataClose[[#This Row],[close]],I54))</f>
        <v>226.53</v>
      </c>
      <c r="J55" s="11">
        <f>(testdataClose[[#This Row],[close]]-testdataClose[[#This Row],[hl]])/testdataClose[[#This Row],[hl]]</f>
        <v>-2.0968525140158036E-2</v>
      </c>
      <c r="K55" s="15">
        <f t="shared" ca="1" si="1"/>
        <v>225.3004850745053</v>
      </c>
      <c r="L55" s="6"/>
      <c r="M55" s="19"/>
      <c r="N55" s="19"/>
      <c r="Q55" s="4">
        <v>54</v>
      </c>
      <c r="R55" s="33"/>
      <c r="S55" s="19"/>
      <c r="T55" s="19"/>
    </row>
    <row r="56" spans="1:20" x14ac:dyDescent="0.35">
      <c r="A56" s="7">
        <v>55</v>
      </c>
      <c r="B56" s="3">
        <v>42816</v>
      </c>
      <c r="C56" s="2">
        <v>221.82</v>
      </c>
      <c r="D56" s="2">
        <v>222.61</v>
      </c>
      <c r="E56" s="2">
        <v>221.13</v>
      </c>
      <c r="F56" s="14">
        <v>222.3</v>
      </c>
      <c r="G56" s="1">
        <v>102826864</v>
      </c>
      <c r="H56" s="6" t="s">
        <v>10</v>
      </c>
      <c r="I56" s="6">
        <f>IF(AND(H55="UP",testdataClose[[#This Row],[close]]&gt;I55),testdataClose[[#This Row],[close]],IF(AND(H55="DN",testdataClose[[#This Row],[close]]&lt;I55),testdataClose[[#This Row],[close]],I55))</f>
        <v>226.53</v>
      </c>
      <c r="J56" s="11">
        <f>(testdataClose[[#This Row],[close]]-testdataClose[[#This Row],[hl]])/testdataClose[[#This Row],[hl]]</f>
        <v>-1.8673023440603849E-2</v>
      </c>
      <c r="K56" s="15">
        <f t="shared" ca="1" si="1"/>
        <v>225.53634328345873</v>
      </c>
      <c r="L56" s="6"/>
      <c r="M56" s="19"/>
      <c r="N56" s="19"/>
      <c r="Q56" s="4">
        <v>55</v>
      </c>
      <c r="R56" s="33"/>
      <c r="S56" s="19"/>
      <c r="T56" s="19"/>
    </row>
    <row r="57" spans="1:20" x14ac:dyDescent="0.35">
      <c r="A57" s="7">
        <v>56</v>
      </c>
      <c r="B57" s="3">
        <v>42817</v>
      </c>
      <c r="C57" s="2">
        <v>222.04</v>
      </c>
      <c r="D57" s="2">
        <v>223.31</v>
      </c>
      <c r="E57" s="2">
        <v>221.66</v>
      </c>
      <c r="F57" s="14">
        <v>222.06</v>
      </c>
      <c r="G57" s="1">
        <v>105821032</v>
      </c>
      <c r="H57" s="6" t="s">
        <v>10</v>
      </c>
      <c r="I57" s="6">
        <f>IF(AND(H56="UP",testdataClose[[#This Row],[close]]&gt;I56),testdataClose[[#This Row],[close]],IF(AND(H56="DN",testdataClose[[#This Row],[close]]&lt;I56),testdataClose[[#This Row],[close]],I56))</f>
        <v>226.53</v>
      </c>
      <c r="J57" s="11">
        <f>(testdataClose[[#This Row],[close]]-testdataClose[[#This Row],[hl]])/testdataClose[[#This Row],[hl]]</f>
        <v>-1.9732485763475031E-2</v>
      </c>
      <c r="K57" s="15">
        <f t="shared" ca="1" si="1"/>
        <v>225.77220149241219</v>
      </c>
      <c r="L57" s="6"/>
      <c r="M57" s="19"/>
      <c r="N57" s="19"/>
      <c r="Q57" s="4">
        <v>56</v>
      </c>
      <c r="R57" s="33"/>
      <c r="S57" s="19"/>
      <c r="T57" s="19"/>
    </row>
    <row r="58" spans="1:20" x14ac:dyDescent="0.35">
      <c r="A58" s="7">
        <v>57</v>
      </c>
      <c r="B58" s="3">
        <v>42818</v>
      </c>
      <c r="C58" s="2">
        <v>222.4</v>
      </c>
      <c r="D58" s="2">
        <v>223.02</v>
      </c>
      <c r="E58" s="2">
        <v>221.05</v>
      </c>
      <c r="F58" s="14">
        <v>221.9</v>
      </c>
      <c r="G58" s="1">
        <v>118567344</v>
      </c>
      <c r="H58" s="6" t="s">
        <v>10</v>
      </c>
      <c r="I58" s="6">
        <f>IF(AND(H57="UP",testdataClose[[#This Row],[close]]&gt;I57),testdataClose[[#This Row],[close]],IF(AND(H57="DN",testdataClose[[#This Row],[close]]&lt;I57),testdataClose[[#This Row],[close]],I57))</f>
        <v>226.53</v>
      </c>
      <c r="J58" s="11">
        <f>(testdataClose[[#This Row],[close]]-testdataClose[[#This Row],[hl]])/testdataClose[[#This Row],[hl]]</f>
        <v>-2.0438793978722444E-2</v>
      </c>
      <c r="K58" s="15">
        <f t="shared" ca="1" si="1"/>
        <v>226.00805970136568</v>
      </c>
      <c r="L58" s="6"/>
      <c r="M58" s="19"/>
      <c r="N58" s="19"/>
      <c r="Q58" s="4">
        <v>57</v>
      </c>
      <c r="R58" s="33"/>
      <c r="S58" s="19"/>
      <c r="T58" s="19"/>
    </row>
    <row r="59" spans="1:20" x14ac:dyDescent="0.35">
      <c r="A59" s="7">
        <v>58</v>
      </c>
      <c r="B59" s="3">
        <v>42821</v>
      </c>
      <c r="C59" s="2">
        <v>220.07</v>
      </c>
      <c r="D59" s="2">
        <v>221.96</v>
      </c>
      <c r="E59" s="2">
        <v>219.77</v>
      </c>
      <c r="F59" s="14">
        <v>221.67</v>
      </c>
      <c r="G59" s="1">
        <v>92167056</v>
      </c>
      <c r="H59" s="6" t="s">
        <v>10</v>
      </c>
      <c r="I59" s="6">
        <f>IF(AND(H58="UP",testdataClose[[#This Row],[close]]&gt;I58),testdataClose[[#This Row],[close]],IF(AND(H58="DN",testdataClose[[#This Row],[close]]&lt;I58),testdataClose[[#This Row],[close]],I58))</f>
        <v>226.53</v>
      </c>
      <c r="J59" s="11">
        <f>(testdataClose[[#This Row],[close]]-testdataClose[[#This Row],[hl]])/testdataClose[[#This Row],[hl]]</f>
        <v>-2.1454112038140703E-2</v>
      </c>
      <c r="K59" s="15">
        <f t="shared" ca="1" si="1"/>
        <v>226.24391791031917</v>
      </c>
      <c r="L59" s="6"/>
      <c r="M59" s="19"/>
      <c r="N59" s="19"/>
      <c r="Q59" s="4">
        <v>58</v>
      </c>
      <c r="R59" s="33"/>
      <c r="S59" s="19"/>
      <c r="T59" s="19"/>
    </row>
    <row r="60" spans="1:20" x14ac:dyDescent="0.35">
      <c r="A60" s="7">
        <v>59</v>
      </c>
      <c r="B60" s="3">
        <v>42822</v>
      </c>
      <c r="C60" s="2">
        <v>221.34</v>
      </c>
      <c r="D60" s="2">
        <v>223.75</v>
      </c>
      <c r="E60" s="2">
        <v>221.22</v>
      </c>
      <c r="F60" s="14">
        <v>223.29</v>
      </c>
      <c r="G60" s="1">
        <v>98521432</v>
      </c>
      <c r="H60" s="6" t="s">
        <v>10</v>
      </c>
      <c r="I60" s="6">
        <f>IF(AND(H59="UP",testdataClose[[#This Row],[close]]&gt;I59),testdataClose[[#This Row],[close]],IF(AND(H59="DN",testdataClose[[#This Row],[close]]&lt;I59),testdataClose[[#This Row],[close]],I59))</f>
        <v>226.53</v>
      </c>
      <c r="J60" s="11">
        <f>(testdataClose[[#This Row],[close]]-testdataClose[[#This Row],[hl]])/testdataClose[[#This Row],[hl]]</f>
        <v>-1.430274135876047E-2</v>
      </c>
      <c r="K60" s="15">
        <f t="shared" ca="1" si="1"/>
        <v>226.47977611927269</v>
      </c>
      <c r="L60" s="6"/>
      <c r="M60" s="19"/>
      <c r="N60" s="19"/>
      <c r="Q60" s="4">
        <v>59</v>
      </c>
      <c r="R60" s="33"/>
      <c r="S60" s="19"/>
      <c r="T60" s="19"/>
    </row>
    <row r="61" spans="1:20" x14ac:dyDescent="0.35">
      <c r="A61" s="7">
        <v>60</v>
      </c>
      <c r="B61" s="3">
        <v>42823</v>
      </c>
      <c r="C61" s="2">
        <v>222.97</v>
      </c>
      <c r="D61" s="2">
        <v>223.75</v>
      </c>
      <c r="E61" s="2">
        <v>222.72</v>
      </c>
      <c r="F61" s="14">
        <v>223.5</v>
      </c>
      <c r="G61" s="1">
        <v>65288636</v>
      </c>
      <c r="H61" s="6" t="s">
        <v>10</v>
      </c>
      <c r="I61" s="6">
        <f>IF(AND(H60="UP",testdataClose[[#This Row],[close]]&gt;I60),testdataClose[[#This Row],[close]],IF(AND(H60="DN",testdataClose[[#This Row],[close]]&lt;I60),testdataClose[[#This Row],[close]],I60))</f>
        <v>226.53</v>
      </c>
      <c r="J61" s="11">
        <f>(testdataClose[[#This Row],[close]]-testdataClose[[#This Row],[hl]])/testdataClose[[#This Row],[hl]]</f>
        <v>-1.3375711826248185E-2</v>
      </c>
      <c r="K61" s="15">
        <f t="shared" ca="1" si="1"/>
        <v>226.71563432822623</v>
      </c>
      <c r="L61" s="6"/>
      <c r="M61" s="19"/>
      <c r="N61" s="19"/>
      <c r="Q61" s="4">
        <v>60</v>
      </c>
      <c r="R61" s="33"/>
      <c r="S61" s="19"/>
      <c r="T61" s="19"/>
    </row>
    <row r="62" spans="1:20" x14ac:dyDescent="0.35">
      <c r="A62" s="7">
        <v>61</v>
      </c>
      <c r="B62" s="3">
        <v>42824</v>
      </c>
      <c r="C62" s="2">
        <v>223.43</v>
      </c>
      <c r="D62" s="2">
        <v>224.43</v>
      </c>
      <c r="E62" s="2">
        <v>223.24</v>
      </c>
      <c r="F62" s="14">
        <v>224.21</v>
      </c>
      <c r="G62" s="1">
        <v>59795288</v>
      </c>
      <c r="H62" s="6" t="s">
        <v>10</v>
      </c>
      <c r="I62" s="6">
        <f>IF(AND(H61="UP",testdataClose[[#This Row],[close]]&gt;I61),testdataClose[[#This Row],[close]],IF(AND(H61="DN",testdataClose[[#This Row],[close]]&lt;I61),testdataClose[[#This Row],[close]],I61))</f>
        <v>226.53</v>
      </c>
      <c r="J62" s="11">
        <f>(testdataClose[[#This Row],[close]]-testdataClose[[#This Row],[hl]])/testdataClose[[#This Row],[hl]]</f>
        <v>-1.0241469121087685E-2</v>
      </c>
      <c r="K62" s="15">
        <f t="shared" ca="1" si="1"/>
        <v>226.95149253717977</v>
      </c>
      <c r="L62" s="6"/>
      <c r="M62" s="19"/>
      <c r="N62" s="19"/>
      <c r="Q62" s="4">
        <v>61</v>
      </c>
      <c r="R62" s="33"/>
      <c r="S62" s="19"/>
      <c r="T62" s="19"/>
    </row>
    <row r="63" spans="1:20" x14ac:dyDescent="0.35">
      <c r="A63" s="7">
        <v>62</v>
      </c>
      <c r="B63" s="3">
        <v>42825</v>
      </c>
      <c r="C63" s="2">
        <v>223.84</v>
      </c>
      <c r="D63" s="2">
        <v>224.42</v>
      </c>
      <c r="E63" s="2">
        <v>223.63</v>
      </c>
      <c r="F63" s="14">
        <v>223.69</v>
      </c>
      <c r="G63" s="1">
        <v>77706304</v>
      </c>
      <c r="H63" s="6" t="s">
        <v>10</v>
      </c>
      <c r="I63" s="6">
        <f>IF(AND(H62="UP",testdataClose[[#This Row],[close]]&gt;I62),testdataClose[[#This Row],[close]],IF(AND(H62="DN",testdataClose[[#This Row],[close]]&lt;I62),testdataClose[[#This Row],[close]],I62))</f>
        <v>226.53</v>
      </c>
      <c r="J63" s="11">
        <f>(testdataClose[[#This Row],[close]]-testdataClose[[#This Row],[hl]])/testdataClose[[#This Row],[hl]]</f>
        <v>-1.2536970820641872E-2</v>
      </c>
      <c r="K63" s="15">
        <f t="shared" ca="1" si="1"/>
        <v>227.18735074613335</v>
      </c>
      <c r="L63" s="6"/>
      <c r="M63" s="19"/>
      <c r="N63" s="19"/>
      <c r="Q63" s="4">
        <v>62</v>
      </c>
      <c r="R63" s="33"/>
      <c r="S63" s="19"/>
      <c r="T63" s="19"/>
    </row>
    <row r="64" spans="1:20" x14ac:dyDescent="0.35">
      <c r="A64" s="7">
        <v>63</v>
      </c>
      <c r="B64" s="3">
        <v>42828</v>
      </c>
      <c r="C64" s="2">
        <v>223.74</v>
      </c>
      <c r="D64" s="2">
        <v>223.96</v>
      </c>
      <c r="E64" s="2">
        <v>221.95</v>
      </c>
      <c r="F64" s="14">
        <v>223.3</v>
      </c>
      <c r="G64" s="1">
        <v>90156280</v>
      </c>
      <c r="H64" s="6" t="s">
        <v>10</v>
      </c>
      <c r="I64" s="6">
        <f>IF(AND(H63="UP",testdataClose[[#This Row],[close]]&gt;I63),testdataClose[[#This Row],[close]],IF(AND(H63="DN",testdataClose[[#This Row],[close]]&lt;I63),testdataClose[[#This Row],[close]],I63))</f>
        <v>226.53</v>
      </c>
      <c r="J64" s="11">
        <f>(testdataClose[[#This Row],[close]]-testdataClose[[#This Row],[hl]])/testdataClose[[#This Row],[hl]]</f>
        <v>-1.425859709530742E-2</v>
      </c>
      <c r="K64" s="15">
        <f t="shared" ca="1" si="1"/>
        <v>227.42320895508695</v>
      </c>
      <c r="L64" s="6"/>
      <c r="M64" s="19"/>
      <c r="N64" s="19"/>
      <c r="Q64" s="4">
        <v>63</v>
      </c>
      <c r="R64" s="33"/>
      <c r="S64" s="19"/>
      <c r="T64" s="19"/>
    </row>
    <row r="65" spans="1:20" x14ac:dyDescent="0.35">
      <c r="A65" s="7">
        <v>64</v>
      </c>
      <c r="B65" s="3">
        <v>42829</v>
      </c>
      <c r="C65" s="2">
        <v>222.98</v>
      </c>
      <c r="D65" s="2">
        <v>223.53</v>
      </c>
      <c r="E65" s="2">
        <v>222.56</v>
      </c>
      <c r="F65" s="14">
        <v>223.44</v>
      </c>
      <c r="G65" s="1">
        <v>59508952</v>
      </c>
      <c r="H65" s="6" t="s">
        <v>10</v>
      </c>
      <c r="I65" s="6">
        <f>IF(AND(H64="UP",testdataClose[[#This Row],[close]]&gt;I64),testdataClose[[#This Row],[close]],IF(AND(H64="DN",testdataClose[[#This Row],[close]]&lt;I64),testdataClose[[#This Row],[close]],I64))</f>
        <v>226.53</v>
      </c>
      <c r="J65" s="11">
        <f>(testdataClose[[#This Row],[close]]-testdataClose[[#This Row],[hl]])/testdataClose[[#This Row],[hl]]</f>
        <v>-1.3640577406965979E-2</v>
      </c>
      <c r="K65" s="15">
        <f t="shared" ca="1" si="1"/>
        <v>227.65906716404055</v>
      </c>
      <c r="L65" s="6"/>
      <c r="M65" s="19"/>
      <c r="N65" s="19"/>
      <c r="Q65" s="4">
        <v>64</v>
      </c>
      <c r="R65" s="33"/>
      <c r="S65" s="19"/>
      <c r="T65" s="19"/>
    </row>
    <row r="66" spans="1:20" x14ac:dyDescent="0.35">
      <c r="A66" s="7">
        <v>65</v>
      </c>
      <c r="B66" s="3">
        <v>42830</v>
      </c>
      <c r="C66" s="2">
        <v>224.18</v>
      </c>
      <c r="D66" s="2">
        <v>225.25</v>
      </c>
      <c r="E66" s="2">
        <v>222.55</v>
      </c>
      <c r="F66" s="14">
        <v>222.78</v>
      </c>
      <c r="G66" s="1">
        <v>114663488</v>
      </c>
      <c r="H66" s="6" t="s">
        <v>10</v>
      </c>
      <c r="I66" s="6">
        <f>IF(AND(H65="UP",testdataClose[[#This Row],[close]]&gt;I65),testdataClose[[#This Row],[close]],IF(AND(H65="DN",testdataClose[[#This Row],[close]]&lt;I65),testdataClose[[#This Row],[close]],I65))</f>
        <v>226.53</v>
      </c>
      <c r="J66" s="11">
        <f>(testdataClose[[#This Row],[close]]-testdataClose[[#This Row],[hl]])/testdataClose[[#This Row],[hl]]</f>
        <v>-1.6554098794861607E-2</v>
      </c>
      <c r="K66" s="15">
        <f t="shared" ca="1" si="1"/>
        <v>227.89492537299418</v>
      </c>
      <c r="L66" s="6"/>
      <c r="M66" s="19"/>
      <c r="N66" s="19"/>
      <c r="Q66" s="4">
        <v>65</v>
      </c>
      <c r="R66" s="33"/>
      <c r="S66" s="19"/>
      <c r="T66" s="19"/>
    </row>
    <row r="67" spans="1:20" x14ac:dyDescent="0.35">
      <c r="A67" s="7">
        <v>66</v>
      </c>
      <c r="B67" s="3">
        <v>42831</v>
      </c>
      <c r="C67" s="2">
        <v>222.93</v>
      </c>
      <c r="D67" s="2">
        <v>223.97</v>
      </c>
      <c r="E67" s="2">
        <v>222.44</v>
      </c>
      <c r="F67" s="14">
        <v>223.4</v>
      </c>
      <c r="G67" s="1">
        <v>72861232</v>
      </c>
      <c r="H67" s="6" t="s">
        <v>10</v>
      </c>
      <c r="I67" s="6">
        <f>IF(AND(H66="UP",testdataClose[[#This Row],[close]]&gt;I66),testdataClose[[#This Row],[close]],IF(AND(H66="DN",testdataClose[[#This Row],[close]]&lt;I66),testdataClose[[#This Row],[close]],I66))</f>
        <v>226.53</v>
      </c>
      <c r="J67" s="11">
        <f>(testdataClose[[#This Row],[close]]-testdataClose[[#This Row],[hl]])/testdataClose[[#This Row],[hl]]</f>
        <v>-1.3817154460777801E-2</v>
      </c>
      <c r="K67" s="15">
        <f t="shared" ca="1" si="1"/>
        <v>228.13078358194784</v>
      </c>
      <c r="L67" s="6"/>
      <c r="M67" s="19"/>
      <c r="N67" s="19"/>
      <c r="Q67" s="4">
        <v>66</v>
      </c>
      <c r="R67" s="33"/>
      <c r="S67" s="19"/>
      <c r="T67" s="19"/>
    </row>
    <row r="68" spans="1:20" x14ac:dyDescent="0.35">
      <c r="A68" s="7">
        <v>67</v>
      </c>
      <c r="B68" s="3">
        <v>42832</v>
      </c>
      <c r="C68" s="2">
        <v>223.13</v>
      </c>
      <c r="D68" s="2">
        <v>223.93</v>
      </c>
      <c r="E68" s="2">
        <v>222.64</v>
      </c>
      <c r="F68" s="14">
        <v>223.17</v>
      </c>
      <c r="G68" s="1">
        <v>78422128</v>
      </c>
      <c r="H68" s="6" t="s">
        <v>10</v>
      </c>
      <c r="I68" s="6">
        <f>IF(AND(H67="UP",testdataClose[[#This Row],[close]]&gt;I67),testdataClose[[#This Row],[close]],IF(AND(H67="DN",testdataClose[[#This Row],[close]]&lt;I67),testdataClose[[#This Row],[close]],I67))</f>
        <v>226.53</v>
      </c>
      <c r="J68" s="11">
        <f>(testdataClose[[#This Row],[close]]-testdataClose[[#This Row],[hl]])/testdataClose[[#This Row],[hl]]</f>
        <v>-1.4832472520196061E-2</v>
      </c>
      <c r="K68" s="15">
        <f t="shared" ref="K68:K131" ca="1" si="2">AVERAGE(K67,K69)</f>
        <v>228.3666417909015</v>
      </c>
      <c r="L68" s="6"/>
      <c r="M68" s="19"/>
      <c r="N68" s="19"/>
      <c r="Q68" s="4">
        <v>67</v>
      </c>
      <c r="R68" s="33"/>
      <c r="S68" s="19"/>
      <c r="T68" s="19"/>
    </row>
    <row r="69" spans="1:20" x14ac:dyDescent="0.35">
      <c r="A69" s="7">
        <v>68</v>
      </c>
      <c r="B69" s="3">
        <v>42835</v>
      </c>
      <c r="C69" s="2">
        <v>223.33</v>
      </c>
      <c r="D69" s="2">
        <v>224.18</v>
      </c>
      <c r="E69" s="2">
        <v>222.73</v>
      </c>
      <c r="F69" s="14">
        <v>223.31</v>
      </c>
      <c r="G69" s="1">
        <v>71258848</v>
      </c>
      <c r="H69" s="6" t="s">
        <v>10</v>
      </c>
      <c r="I69" s="6">
        <f>IF(AND(H68="UP",testdataClose[[#This Row],[close]]&gt;I68),testdataClose[[#This Row],[close]],IF(AND(H68="DN",testdataClose[[#This Row],[close]]&lt;I68),testdataClose[[#This Row],[close]],I68))</f>
        <v>226.53</v>
      </c>
      <c r="J69" s="11">
        <f>(testdataClose[[#This Row],[close]]-testdataClose[[#This Row],[hl]])/testdataClose[[#This Row],[hl]]</f>
        <v>-1.4214452831854496E-2</v>
      </c>
      <c r="K69" s="15">
        <f t="shared" ca="1" si="2"/>
        <v>228.60249999985518</v>
      </c>
      <c r="L69" s="6"/>
      <c r="M69" s="19"/>
      <c r="N69" s="19"/>
      <c r="Q69" s="4">
        <v>68</v>
      </c>
      <c r="R69" s="33"/>
      <c r="S69" s="19"/>
      <c r="T69" s="19"/>
    </row>
    <row r="70" spans="1:20" x14ac:dyDescent="0.35">
      <c r="A70" s="7">
        <v>69</v>
      </c>
      <c r="B70" s="3">
        <v>42836</v>
      </c>
      <c r="C70" s="2">
        <v>222.89</v>
      </c>
      <c r="D70" s="2">
        <v>223.15</v>
      </c>
      <c r="E70" s="2">
        <v>221.41</v>
      </c>
      <c r="F70" s="14">
        <v>223.04</v>
      </c>
      <c r="G70" s="1">
        <v>92789720</v>
      </c>
      <c r="H70" s="6" t="s">
        <v>10</v>
      </c>
      <c r="I70" s="6">
        <f>IF(AND(H69="UP",testdataClose[[#This Row],[close]]&gt;I69),testdataClose[[#This Row],[close]],IF(AND(H69="DN",testdataClose[[#This Row],[close]]&lt;I69),testdataClose[[#This Row],[close]],I69))</f>
        <v>226.53</v>
      </c>
      <c r="J70" s="11">
        <f>(testdataClose[[#This Row],[close]]-testdataClose[[#This Row],[hl]])/testdataClose[[#This Row],[hl]]</f>
        <v>-1.5406347945084576E-2</v>
      </c>
      <c r="K70" s="15">
        <f t="shared" ca="1" si="2"/>
        <v>228.8383582088089</v>
      </c>
      <c r="L70" s="6"/>
      <c r="M70" s="19"/>
      <c r="N70" s="19"/>
      <c r="Q70" s="4">
        <v>69</v>
      </c>
      <c r="R70" s="33"/>
      <c r="S70" s="19"/>
      <c r="T70" s="19"/>
    </row>
    <row r="71" spans="1:20" x14ac:dyDescent="0.35">
      <c r="A71" s="7">
        <v>70</v>
      </c>
      <c r="B71" s="3">
        <v>42837</v>
      </c>
      <c r="C71" s="2">
        <v>222.74</v>
      </c>
      <c r="D71" s="2">
        <v>222.95</v>
      </c>
      <c r="E71" s="2">
        <v>221.82</v>
      </c>
      <c r="F71" s="14">
        <v>222.06</v>
      </c>
      <c r="G71" s="1">
        <v>86275816</v>
      </c>
      <c r="H71" s="6" t="s">
        <v>10</v>
      </c>
      <c r="I71" s="6">
        <f>IF(AND(H70="UP",testdataClose[[#This Row],[close]]&gt;I70),testdataClose[[#This Row],[close]],IF(AND(H70="DN",testdataClose[[#This Row],[close]]&lt;I70),testdataClose[[#This Row],[close]],I70))</f>
        <v>226.53</v>
      </c>
      <c r="J71" s="11">
        <f>(testdataClose[[#This Row],[close]]-testdataClose[[#This Row],[hl]])/testdataClose[[#This Row],[hl]]</f>
        <v>-1.9732485763475031E-2</v>
      </c>
      <c r="K71" s="15">
        <f t="shared" ca="1" si="2"/>
        <v>229.07421641776261</v>
      </c>
      <c r="L71" s="6"/>
      <c r="M71" s="19"/>
      <c r="N71" s="19"/>
      <c r="Q71" s="4">
        <v>70</v>
      </c>
      <c r="R71" s="33"/>
      <c r="S71" s="19"/>
      <c r="T71" s="19"/>
    </row>
    <row r="72" spans="1:20" x14ac:dyDescent="0.35">
      <c r="A72" s="7">
        <v>71</v>
      </c>
      <c r="B72" s="3">
        <v>42838</v>
      </c>
      <c r="C72" s="2">
        <v>221.69</v>
      </c>
      <c r="D72" s="2">
        <v>222.5</v>
      </c>
      <c r="E72" s="2">
        <v>220.62</v>
      </c>
      <c r="F72" s="14">
        <v>220.62</v>
      </c>
      <c r="G72" s="1">
        <v>97885392</v>
      </c>
      <c r="H72" s="6" t="s">
        <v>10</v>
      </c>
      <c r="I72" s="6">
        <f>IF(AND(H71="UP",testdataClose[[#This Row],[close]]&gt;I71),testdataClose[[#This Row],[close]],IF(AND(H71="DN",testdataClose[[#This Row],[close]]&lt;I71),testdataClose[[#This Row],[close]],I71))</f>
        <v>226.53</v>
      </c>
      <c r="J72" s="11">
        <f>(testdataClose[[#This Row],[close]]-testdataClose[[#This Row],[hl]])/testdataClose[[#This Row],[hl]]</f>
        <v>-2.6089259700701879E-2</v>
      </c>
      <c r="K72" s="15">
        <f t="shared" ca="1" si="2"/>
        <v>229.31007462671636</v>
      </c>
      <c r="L72" s="6"/>
      <c r="M72" s="19"/>
      <c r="N72" s="19"/>
      <c r="Q72" s="4">
        <v>71</v>
      </c>
      <c r="R72" s="33"/>
      <c r="S72" s="19"/>
      <c r="T72" s="19"/>
    </row>
    <row r="73" spans="1:20" x14ac:dyDescent="0.35">
      <c r="A73" s="7">
        <v>72</v>
      </c>
      <c r="B73" s="3">
        <v>42842</v>
      </c>
      <c r="C73" s="2">
        <v>221.19</v>
      </c>
      <c r="D73" s="2">
        <v>222.58</v>
      </c>
      <c r="E73" s="2">
        <v>220.97</v>
      </c>
      <c r="F73" s="14">
        <v>222.58</v>
      </c>
      <c r="G73" s="1">
        <v>72091488</v>
      </c>
      <c r="H73" s="6" t="s">
        <v>10</v>
      </c>
      <c r="I73" s="6">
        <f>IF(AND(H72="UP",testdataClose[[#This Row],[close]]&gt;I72),testdataClose[[#This Row],[close]],IF(AND(H72="DN",testdataClose[[#This Row],[close]]&lt;I72),testdataClose[[#This Row],[close]],I72))</f>
        <v>226.53</v>
      </c>
      <c r="J73" s="11">
        <f>(testdataClose[[#This Row],[close]]-testdataClose[[#This Row],[hl]])/testdataClose[[#This Row],[hl]]</f>
        <v>-1.7436984063920843E-2</v>
      </c>
      <c r="K73" s="15">
        <f t="shared" ca="1" si="2"/>
        <v>229.54593283567013</v>
      </c>
      <c r="L73" s="6"/>
      <c r="M73" s="19"/>
      <c r="N73" s="19"/>
      <c r="Q73" s="4">
        <v>72</v>
      </c>
      <c r="R73" s="33"/>
      <c r="S73" s="19"/>
      <c r="T73" s="19"/>
    </row>
    <row r="74" spans="1:20" x14ac:dyDescent="0.35">
      <c r="A74" s="7">
        <v>73</v>
      </c>
      <c r="B74" s="3">
        <v>42843</v>
      </c>
      <c r="C74" s="2">
        <v>221.77</v>
      </c>
      <c r="D74" s="2">
        <v>222.5</v>
      </c>
      <c r="E74" s="2">
        <v>221.16</v>
      </c>
      <c r="F74" s="14">
        <v>221.91</v>
      </c>
      <c r="G74" s="1">
        <v>87710560</v>
      </c>
      <c r="H74" s="6" t="s">
        <v>10</v>
      </c>
      <c r="I74" s="6">
        <f>IF(AND(H73="UP",testdataClose[[#This Row],[close]]&gt;I73),testdataClose[[#This Row],[close]],IF(AND(H73="DN",testdataClose[[#This Row],[close]]&lt;I73),testdataClose[[#This Row],[close]],I73))</f>
        <v>226.53</v>
      </c>
      <c r="J74" s="11">
        <f>(testdataClose[[#This Row],[close]]-testdataClose[[#This Row],[hl]])/testdataClose[[#This Row],[hl]]</f>
        <v>-2.0394649715269522E-2</v>
      </c>
      <c r="K74" s="15">
        <f t="shared" ca="1" si="2"/>
        <v>229.7817910446239</v>
      </c>
      <c r="L74" s="6"/>
      <c r="M74" s="19"/>
      <c r="N74" s="19"/>
      <c r="Q74" s="4">
        <v>73</v>
      </c>
      <c r="R74" s="33"/>
      <c r="S74" s="19"/>
      <c r="T74" s="19"/>
    </row>
    <row r="75" spans="1:20" x14ac:dyDescent="0.35">
      <c r="A75" s="7">
        <v>74</v>
      </c>
      <c r="B75" s="3">
        <v>42844</v>
      </c>
      <c r="C75" s="2">
        <v>222.53</v>
      </c>
      <c r="D75" s="2">
        <v>222.94</v>
      </c>
      <c r="E75" s="2">
        <v>221.26</v>
      </c>
      <c r="F75" s="14">
        <v>221.5</v>
      </c>
      <c r="G75" s="1">
        <v>72401856</v>
      </c>
      <c r="H75" s="6" t="s">
        <v>10</v>
      </c>
      <c r="I75" s="6">
        <f>IF(AND(H74="UP",testdataClose[[#This Row],[close]]&gt;I74),testdataClose[[#This Row],[close]],IF(AND(H74="DN",testdataClose[[#This Row],[close]]&lt;I74),testdataClose[[#This Row],[close]],I74))</f>
        <v>226.53</v>
      </c>
      <c r="J75" s="11">
        <f>(testdataClose[[#This Row],[close]]-testdataClose[[#This Row],[hl]])/testdataClose[[#This Row],[hl]]</f>
        <v>-2.2204564516841042E-2</v>
      </c>
      <c r="K75" s="15">
        <f t="shared" ca="1" si="2"/>
        <v>230.0176492535777</v>
      </c>
      <c r="L75" s="6"/>
      <c r="M75" s="19"/>
      <c r="N75" s="19"/>
      <c r="Q75" s="4">
        <v>74</v>
      </c>
      <c r="R75" s="33"/>
      <c r="S75" s="19"/>
      <c r="T75" s="19"/>
    </row>
    <row r="76" spans="1:20" x14ac:dyDescent="0.35">
      <c r="A76" s="7">
        <v>75</v>
      </c>
      <c r="B76" s="3">
        <v>42845</v>
      </c>
      <c r="C76" s="2">
        <v>222.18</v>
      </c>
      <c r="D76" s="2">
        <v>223.79</v>
      </c>
      <c r="E76" s="2">
        <v>221.83</v>
      </c>
      <c r="F76" s="14">
        <v>223.31</v>
      </c>
      <c r="G76" s="1">
        <v>97560568</v>
      </c>
      <c r="H76" s="6" t="s">
        <v>10</v>
      </c>
      <c r="I76" s="6">
        <f>IF(AND(H75="UP",testdataClose[[#This Row],[close]]&gt;I75),testdataClose[[#This Row],[close]],IF(AND(H75="DN",testdataClose[[#This Row],[close]]&lt;I75),testdataClose[[#This Row],[close]],I75))</f>
        <v>226.53</v>
      </c>
      <c r="J76" s="11">
        <f>(testdataClose[[#This Row],[close]]-testdataClose[[#This Row],[hl]])/testdataClose[[#This Row],[hl]]</f>
        <v>-1.4214452831854496E-2</v>
      </c>
      <c r="K76" s="15">
        <f t="shared" ca="1" si="2"/>
        <v>230.25350746253153</v>
      </c>
      <c r="L76" s="6"/>
      <c r="M76" s="19"/>
      <c r="N76" s="19"/>
      <c r="Q76" s="4">
        <v>75</v>
      </c>
      <c r="R76" s="33"/>
      <c r="S76" s="19"/>
      <c r="T76" s="19"/>
    </row>
    <row r="77" spans="1:20" x14ac:dyDescent="0.35">
      <c r="A77" s="7">
        <v>76</v>
      </c>
      <c r="B77" s="3">
        <v>42846</v>
      </c>
      <c r="C77" s="2">
        <v>223.22</v>
      </c>
      <c r="D77" s="2">
        <v>223.28</v>
      </c>
      <c r="E77" s="2">
        <v>222.16</v>
      </c>
      <c r="F77" s="14">
        <v>222.6</v>
      </c>
      <c r="G77" s="1">
        <v>116338368</v>
      </c>
      <c r="H77" s="6" t="s">
        <v>10</v>
      </c>
      <c r="I77" s="6">
        <f>IF(AND(H76="UP",testdataClose[[#This Row],[close]]&gt;I76),testdataClose[[#This Row],[close]],IF(AND(H76="DN",testdataClose[[#This Row],[close]]&lt;I76),testdataClose[[#This Row],[close]],I76))</f>
        <v>226.53</v>
      </c>
      <c r="J77" s="11">
        <f>(testdataClose[[#This Row],[close]]-testdataClose[[#This Row],[hl]])/testdataClose[[#This Row],[hl]]</f>
        <v>-1.7348695537014996E-2</v>
      </c>
      <c r="K77" s="15">
        <f t="shared" ca="1" si="2"/>
        <v>230.48936567148536</v>
      </c>
      <c r="L77" s="6"/>
      <c r="M77" s="19"/>
      <c r="N77" s="19"/>
      <c r="Q77" s="4">
        <v>76</v>
      </c>
      <c r="R77" s="33"/>
      <c r="S77" s="19"/>
      <c r="T77" s="19"/>
    </row>
    <row r="78" spans="1:20" x14ac:dyDescent="0.35">
      <c r="A78" s="7">
        <v>77</v>
      </c>
      <c r="B78" s="3">
        <v>42849</v>
      </c>
      <c r="C78" s="2">
        <v>225.05</v>
      </c>
      <c r="D78" s="2">
        <v>225.27</v>
      </c>
      <c r="E78" s="2">
        <v>222.57</v>
      </c>
      <c r="F78" s="14">
        <v>225.04</v>
      </c>
      <c r="G78" s="1">
        <v>125633672</v>
      </c>
      <c r="H78" s="6" t="s">
        <v>10</v>
      </c>
      <c r="I78" s="6">
        <f>IF(AND(H77="UP",testdataClose[[#This Row],[close]]&gt;I77),testdataClose[[#This Row],[close]],IF(AND(H77="DN",testdataClose[[#This Row],[close]]&lt;I77),testdataClose[[#This Row],[close]],I77))</f>
        <v>226.53</v>
      </c>
      <c r="J78" s="11">
        <f>(testdataClose[[#This Row],[close]]-testdataClose[[#This Row],[hl]])/testdataClose[[#This Row],[hl]]</f>
        <v>-6.5774952544917185E-3</v>
      </c>
      <c r="K78" s="15">
        <f t="shared" ca="1" si="2"/>
        <v>230.72522388043922</v>
      </c>
      <c r="L78" s="6"/>
      <c r="M78" s="19"/>
      <c r="N78" s="19"/>
      <c r="Q78" s="4">
        <v>77</v>
      </c>
      <c r="R78" s="33"/>
      <c r="S78" s="19"/>
      <c r="T78" s="19"/>
    </row>
    <row r="79" spans="1:20" x14ac:dyDescent="0.35">
      <c r="A79" s="7">
        <v>78</v>
      </c>
      <c r="B79" s="3">
        <v>42850</v>
      </c>
      <c r="C79" s="2">
        <v>225.75</v>
      </c>
      <c r="D79" s="2">
        <v>226.73</v>
      </c>
      <c r="E79" s="2">
        <v>225.65</v>
      </c>
      <c r="F79" s="14">
        <v>226.35</v>
      </c>
      <c r="G79" s="1">
        <v>80831256</v>
      </c>
      <c r="H79" s="6" t="s">
        <v>10</v>
      </c>
      <c r="I79" s="6">
        <f>IF(AND(H78="UP",testdataClose[[#This Row],[close]]&gt;I78),testdataClose[[#This Row],[close]],IF(AND(H78="DN",testdataClose[[#This Row],[close]]&lt;I78),testdataClose[[#This Row],[close]],I78))</f>
        <v>226.53</v>
      </c>
      <c r="J79" s="11">
        <f>(testdataClose[[#This Row],[close]]-testdataClose[[#This Row],[hl]])/testdataClose[[#This Row],[hl]]</f>
        <v>-7.9459674215338731E-4</v>
      </c>
      <c r="K79" s="15">
        <f t="shared" ca="1" si="2"/>
        <v>230.9610820893931</v>
      </c>
      <c r="L79" s="6"/>
      <c r="M79" s="19"/>
      <c r="N79" s="19"/>
      <c r="Q79" s="4">
        <v>78</v>
      </c>
      <c r="R79" s="33"/>
      <c r="S79" s="19"/>
      <c r="T79" s="19"/>
    </row>
    <row r="80" spans="1:20" x14ac:dyDescent="0.35">
      <c r="A80" s="7">
        <v>79</v>
      </c>
      <c r="B80" s="3">
        <v>42851</v>
      </c>
      <c r="C80" s="2">
        <v>226.31</v>
      </c>
      <c r="D80" s="2">
        <v>227.28</v>
      </c>
      <c r="E80" s="2">
        <v>226.16</v>
      </c>
      <c r="F80" s="14">
        <v>226.21</v>
      </c>
      <c r="G80" s="1">
        <v>89266768</v>
      </c>
      <c r="H80" s="6" t="s">
        <v>10</v>
      </c>
      <c r="I80" s="6">
        <f>IF(AND(H79="UP",testdataClose[[#This Row],[close]]&gt;I79),testdataClose[[#This Row],[close]],IF(AND(H79="DN",testdataClose[[#This Row],[close]]&lt;I79),testdataClose[[#This Row],[close]],I79))</f>
        <v>226.53</v>
      </c>
      <c r="J80" s="11">
        <f>(testdataClose[[#This Row],[close]]-testdataClose[[#This Row],[hl]])/testdataClose[[#This Row],[hl]]</f>
        <v>-1.4126164304948271E-3</v>
      </c>
      <c r="K80" s="15">
        <f t="shared" ca="1" si="2"/>
        <v>231.19694029834699</v>
      </c>
      <c r="L80" s="6"/>
      <c r="M80" s="19"/>
      <c r="N80" s="19"/>
      <c r="Q80" s="4">
        <v>79</v>
      </c>
      <c r="R80" s="33"/>
      <c r="S80" s="19"/>
      <c r="T80" s="19"/>
    </row>
    <row r="81" spans="1:20" x14ac:dyDescent="0.35">
      <c r="A81" s="7">
        <v>80</v>
      </c>
      <c r="B81" s="3">
        <v>42852</v>
      </c>
      <c r="C81" s="2">
        <v>226.56</v>
      </c>
      <c r="D81" s="2">
        <v>226.73</v>
      </c>
      <c r="E81" s="2">
        <v>225.81</v>
      </c>
      <c r="F81" s="14">
        <v>226.4</v>
      </c>
      <c r="G81" s="1">
        <v>60503960</v>
      </c>
      <c r="H81" s="6" t="s">
        <v>10</v>
      </c>
      <c r="I81" s="6">
        <f>IF(AND(H80="UP",testdataClose[[#This Row],[close]]&gt;I80),testdataClose[[#This Row],[close]],IF(AND(H80="DN",testdataClose[[#This Row],[close]]&lt;I80),testdataClose[[#This Row],[close]],I80))</f>
        <v>226.53</v>
      </c>
      <c r="J81" s="11">
        <f>(testdataClose[[#This Row],[close]]-testdataClose[[#This Row],[hl]])/testdataClose[[#This Row],[hl]]</f>
        <v>-5.738754248885157E-4</v>
      </c>
      <c r="K81" s="15">
        <f t="shared" ca="1" si="2"/>
        <v>231.4327985073009</v>
      </c>
      <c r="L81" s="6"/>
      <c r="M81" s="19"/>
      <c r="N81" s="19"/>
      <c r="Q81" s="4">
        <v>80</v>
      </c>
      <c r="R81" s="33"/>
      <c r="S81" s="19"/>
      <c r="T81" s="19"/>
    </row>
    <row r="82" spans="1:20" x14ac:dyDescent="0.35">
      <c r="A82" s="7">
        <v>81</v>
      </c>
      <c r="B82" s="3">
        <v>42853</v>
      </c>
      <c r="C82" s="2">
        <v>226.68</v>
      </c>
      <c r="D82" s="2">
        <v>226.71</v>
      </c>
      <c r="E82" s="2">
        <v>225.76</v>
      </c>
      <c r="F82" s="14">
        <v>225.91</v>
      </c>
      <c r="G82" s="1">
        <v>66956400</v>
      </c>
      <c r="H82" s="6" t="s">
        <v>10</v>
      </c>
      <c r="I82" s="6">
        <f>IF(AND(H81="UP",testdataClose[[#This Row],[close]]&gt;I81),testdataClose[[#This Row],[close]],IF(AND(H81="DN",testdataClose[[#This Row],[close]]&lt;I81),testdataClose[[#This Row],[close]],I81))</f>
        <v>226.53</v>
      </c>
      <c r="J82" s="11">
        <f>(testdataClose[[#This Row],[close]]-testdataClose[[#This Row],[hl]])/testdataClose[[#This Row],[hl]]</f>
        <v>-2.736944334083806E-3</v>
      </c>
      <c r="K82" s="15">
        <f t="shared" ca="1" si="2"/>
        <v>231.66865671625484</v>
      </c>
      <c r="L82" s="6"/>
      <c r="M82" s="19"/>
      <c r="N82" s="19"/>
      <c r="Q82" s="4">
        <v>81</v>
      </c>
      <c r="R82" s="33"/>
      <c r="S82" s="19"/>
      <c r="T82" s="19"/>
    </row>
    <row r="83" spans="1:20" x14ac:dyDescent="0.35">
      <c r="A83" s="7">
        <v>82</v>
      </c>
      <c r="B83" s="3">
        <v>42856</v>
      </c>
      <c r="C83" s="2">
        <v>226.48</v>
      </c>
      <c r="D83" s="2">
        <v>226.94</v>
      </c>
      <c r="E83" s="2">
        <v>226.02</v>
      </c>
      <c r="F83" s="14">
        <v>226.48</v>
      </c>
      <c r="G83" s="1">
        <v>70486576</v>
      </c>
      <c r="H83" s="6" t="s">
        <v>10</v>
      </c>
      <c r="I83" s="6">
        <f>IF(AND(H82="UP",testdataClose[[#This Row],[close]]&gt;I82),testdataClose[[#This Row],[close]],IF(AND(H82="DN",testdataClose[[#This Row],[close]]&lt;I82),testdataClose[[#This Row],[close]],I82))</f>
        <v>226.53</v>
      </c>
      <c r="J83" s="11">
        <f>(testdataClose[[#This Row],[close]]-testdataClose[[#This Row],[hl]])/testdataClose[[#This Row],[hl]]</f>
        <v>-2.2072131726487163E-4</v>
      </c>
      <c r="K83" s="15">
        <f t="shared" ca="1" si="2"/>
        <v>231.90451492520879</v>
      </c>
      <c r="L83" s="6"/>
      <c r="M83" s="19"/>
      <c r="N83" s="19"/>
      <c r="Q83" s="4">
        <v>82</v>
      </c>
      <c r="R83" s="33"/>
      <c r="S83" s="19"/>
      <c r="T83" s="19"/>
    </row>
    <row r="84" spans="1:20" x14ac:dyDescent="0.35">
      <c r="A84" s="7">
        <v>83</v>
      </c>
      <c r="B84" s="3">
        <v>42857</v>
      </c>
      <c r="C84" s="2">
        <v>226.63</v>
      </c>
      <c r="D84" s="2">
        <v>226.76</v>
      </c>
      <c r="E84" s="2">
        <v>226.12</v>
      </c>
      <c r="F84" s="14">
        <v>226.56</v>
      </c>
      <c r="G84" s="1">
        <v>60467504</v>
      </c>
      <c r="H84" s="6" t="s">
        <v>10</v>
      </c>
      <c r="I84" s="6">
        <f>IF(AND(H83="UP",testdataClose[[#This Row],[close]]&gt;I83),testdataClose[[#This Row],[close]],IF(AND(H83="DN",testdataClose[[#This Row],[close]]&lt;I83),testdataClose[[#This Row],[close]],I83))</f>
        <v>226.56</v>
      </c>
      <c r="J84" s="11">
        <f>(testdataClose[[#This Row],[close]]-testdataClose[[#This Row],[hl]])/testdataClose[[#This Row],[hl]]</f>
        <v>0</v>
      </c>
      <c r="K84" s="15">
        <f t="shared" ca="1" si="2"/>
        <v>232.14037313416276</v>
      </c>
      <c r="L84" s="6"/>
      <c r="M84" s="19"/>
      <c r="N84" s="19"/>
      <c r="Q84" s="4">
        <v>83</v>
      </c>
      <c r="R84" s="33"/>
      <c r="S84" s="19"/>
      <c r="T84" s="19"/>
    </row>
    <row r="85" spans="1:20" x14ac:dyDescent="0.35">
      <c r="A85" s="7">
        <v>84</v>
      </c>
      <c r="B85" s="3">
        <v>42858</v>
      </c>
      <c r="C85" s="2">
        <v>226.11</v>
      </c>
      <c r="D85" s="2">
        <v>226.66</v>
      </c>
      <c r="E85" s="2">
        <v>225.55</v>
      </c>
      <c r="F85" s="14">
        <v>226.29</v>
      </c>
      <c r="G85" s="1">
        <v>77078864</v>
      </c>
      <c r="H85" s="6" t="s">
        <v>10</v>
      </c>
      <c r="I85" s="6">
        <f>IF(AND(H84="UP",testdataClose[[#This Row],[close]]&gt;I84),testdataClose[[#This Row],[close]],IF(AND(H84="DN",testdataClose[[#This Row],[close]]&lt;I84),testdataClose[[#This Row],[close]],I84))</f>
        <v>226.56</v>
      </c>
      <c r="J85" s="11">
        <f>(testdataClose[[#This Row],[close]]-testdataClose[[#This Row],[hl]])/testdataClose[[#This Row],[hl]]</f>
        <v>-1.1917372881356384E-3</v>
      </c>
      <c r="K85" s="15">
        <f t="shared" ca="1" si="2"/>
        <v>232.37623134311676</v>
      </c>
      <c r="L85" s="6"/>
      <c r="M85" s="19"/>
      <c r="N85" s="19"/>
      <c r="Q85" s="4">
        <v>84</v>
      </c>
      <c r="R85" s="33"/>
      <c r="S85" s="19"/>
      <c r="T85" s="19"/>
    </row>
    <row r="86" spans="1:20" x14ac:dyDescent="0.35">
      <c r="A86" s="7">
        <v>85</v>
      </c>
      <c r="B86" s="3">
        <v>42859</v>
      </c>
      <c r="C86" s="2">
        <v>226.62</v>
      </c>
      <c r="D86" s="2">
        <v>226.71</v>
      </c>
      <c r="E86" s="2">
        <v>225.62</v>
      </c>
      <c r="F86" s="14">
        <v>226.55</v>
      </c>
      <c r="G86" s="1">
        <v>64774736</v>
      </c>
      <c r="H86" s="6" t="s">
        <v>10</v>
      </c>
      <c r="I86" s="6">
        <f>IF(AND(H85="UP",testdataClose[[#This Row],[close]]&gt;I85),testdataClose[[#This Row],[close]],IF(AND(H85="DN",testdataClose[[#This Row],[close]]&lt;I85),testdataClose[[#This Row],[close]],I85))</f>
        <v>226.56</v>
      </c>
      <c r="J86" s="11">
        <f>(testdataClose[[#This Row],[close]]-testdataClose[[#This Row],[hl]])/testdataClose[[#This Row],[hl]]</f>
        <v>-4.4138418079055902E-5</v>
      </c>
      <c r="K86" s="15">
        <f t="shared" ca="1" si="2"/>
        <v>232.61208955207076</v>
      </c>
      <c r="L86" s="6"/>
      <c r="M86" s="19"/>
      <c r="N86" s="19"/>
      <c r="Q86" s="4">
        <v>85</v>
      </c>
      <c r="R86" s="33"/>
      <c r="S86" s="19"/>
      <c r="T86" s="19"/>
    </row>
    <row r="87" spans="1:20" x14ac:dyDescent="0.35">
      <c r="A87" s="7">
        <v>86</v>
      </c>
      <c r="B87" s="3">
        <v>42860</v>
      </c>
      <c r="C87" s="2">
        <v>226.96</v>
      </c>
      <c r="D87" s="2">
        <v>227.46</v>
      </c>
      <c r="E87" s="2">
        <v>226.48</v>
      </c>
      <c r="F87" s="14">
        <v>227.44</v>
      </c>
      <c r="G87" s="1">
        <v>65342296</v>
      </c>
      <c r="H87" s="6" t="s">
        <v>10</v>
      </c>
      <c r="I87" s="6">
        <f>IF(AND(H86="UP",testdataClose[[#This Row],[close]]&gt;I86),testdataClose[[#This Row],[close]],IF(AND(H86="DN",testdataClose[[#This Row],[close]]&lt;I86),testdataClose[[#This Row],[close]],I86))</f>
        <v>227.44</v>
      </c>
      <c r="J87" s="11">
        <f>(testdataClose[[#This Row],[close]]-testdataClose[[#This Row],[hl]])/testdataClose[[#This Row],[hl]]</f>
        <v>0</v>
      </c>
      <c r="K87" s="15">
        <f t="shared" ca="1" si="2"/>
        <v>232.84794776102478</v>
      </c>
      <c r="L87" s="6"/>
      <c r="M87" s="19"/>
      <c r="N87" s="19"/>
      <c r="Q87" s="4">
        <v>86</v>
      </c>
      <c r="R87" s="33"/>
      <c r="S87" s="19"/>
      <c r="T87" s="19"/>
    </row>
    <row r="88" spans="1:20" x14ac:dyDescent="0.35">
      <c r="A88" s="7">
        <v>87</v>
      </c>
      <c r="B88" s="3">
        <v>42863</v>
      </c>
      <c r="C88" s="2">
        <v>227.49</v>
      </c>
      <c r="D88" s="2">
        <v>227.65</v>
      </c>
      <c r="E88" s="2">
        <v>226.94</v>
      </c>
      <c r="F88" s="14">
        <v>227.41</v>
      </c>
      <c r="G88" s="1">
        <v>50993060</v>
      </c>
      <c r="H88" s="6" t="s">
        <v>10</v>
      </c>
      <c r="I88" s="6">
        <f>IF(AND(H87="UP",testdataClose[[#This Row],[close]]&gt;I87),testdataClose[[#This Row],[close]],IF(AND(H87="DN",testdataClose[[#This Row],[close]]&lt;I87),testdataClose[[#This Row],[close]],I87))</f>
        <v>227.44</v>
      </c>
      <c r="J88" s="11">
        <f>(testdataClose[[#This Row],[close]]-testdataClose[[#This Row],[hl]])/testdataClose[[#This Row],[hl]]</f>
        <v>-1.3190291945128885E-4</v>
      </c>
      <c r="K88" s="15">
        <f t="shared" ca="1" si="2"/>
        <v>233.08380596997884</v>
      </c>
      <c r="L88" s="6"/>
      <c r="M88" s="19"/>
      <c r="N88" s="19"/>
      <c r="Q88" s="4">
        <v>87</v>
      </c>
      <c r="R88" s="33"/>
      <c r="S88" s="19"/>
      <c r="T88" s="19"/>
    </row>
    <row r="89" spans="1:20" x14ac:dyDescent="0.35">
      <c r="A89" s="7">
        <v>88</v>
      </c>
      <c r="B89" s="3">
        <v>42864</v>
      </c>
      <c r="C89" s="2">
        <v>227.69</v>
      </c>
      <c r="D89" s="2">
        <v>227.91</v>
      </c>
      <c r="E89" s="2">
        <v>226.82</v>
      </c>
      <c r="F89" s="14">
        <v>227.2</v>
      </c>
      <c r="G89" s="1">
        <v>54130976</v>
      </c>
      <c r="H89" s="6" t="s">
        <v>10</v>
      </c>
      <c r="I89" s="6">
        <f>IF(AND(H88="UP",testdataClose[[#This Row],[close]]&gt;I88),testdataClose[[#This Row],[close]],IF(AND(H88="DN",testdataClose[[#This Row],[close]]&lt;I88),testdataClose[[#This Row],[close]],I88))</f>
        <v>227.44</v>
      </c>
      <c r="J89" s="11">
        <f>(testdataClose[[#This Row],[close]]-testdataClose[[#This Row],[hl]])/testdataClose[[#This Row],[hl]]</f>
        <v>-1.0552233556103108E-3</v>
      </c>
      <c r="K89" s="15">
        <f t="shared" ca="1" si="2"/>
        <v>233.3196641789329</v>
      </c>
      <c r="L89" s="6"/>
      <c r="M89" s="19"/>
      <c r="N89" s="19"/>
      <c r="Q89" s="4">
        <v>88</v>
      </c>
      <c r="R89" s="33"/>
      <c r="S89" s="19"/>
      <c r="T89" s="19"/>
    </row>
    <row r="90" spans="1:20" x14ac:dyDescent="0.35">
      <c r="A90" s="7">
        <v>89</v>
      </c>
      <c r="B90" s="3">
        <v>42865</v>
      </c>
      <c r="C90" s="2">
        <v>227.15</v>
      </c>
      <c r="D90" s="2">
        <v>227.61</v>
      </c>
      <c r="E90" s="2">
        <v>226.92</v>
      </c>
      <c r="F90" s="14">
        <v>227.61</v>
      </c>
      <c r="G90" s="1">
        <v>57219496</v>
      </c>
      <c r="H90" s="6" t="s">
        <v>10</v>
      </c>
      <c r="I90" s="6">
        <f>IF(AND(H89="UP",testdataClose[[#This Row],[close]]&gt;I89),testdataClose[[#This Row],[close]],IF(AND(H89="DN",testdataClose[[#This Row],[close]]&lt;I89),testdataClose[[#This Row],[close]],I89))</f>
        <v>227.61</v>
      </c>
      <c r="J90" s="11">
        <f>(testdataClose[[#This Row],[close]]-testdataClose[[#This Row],[hl]])/testdataClose[[#This Row],[hl]]</f>
        <v>0</v>
      </c>
      <c r="K90" s="15">
        <f t="shared" ca="1" si="2"/>
        <v>233.55552238788698</v>
      </c>
      <c r="L90" s="6"/>
      <c r="M90" s="19"/>
      <c r="N90" s="19"/>
      <c r="Q90" s="4">
        <v>89</v>
      </c>
      <c r="R90" s="33"/>
      <c r="S90" s="19"/>
      <c r="T90" s="19"/>
    </row>
    <row r="91" spans="1:20" x14ac:dyDescent="0.35">
      <c r="A91" s="7">
        <v>90</v>
      </c>
      <c r="B91" s="3">
        <v>42866</v>
      </c>
      <c r="C91" s="2">
        <v>227.11</v>
      </c>
      <c r="D91" s="2">
        <v>227.32</v>
      </c>
      <c r="E91" s="2">
        <v>225.95</v>
      </c>
      <c r="F91" s="14">
        <v>227.14</v>
      </c>
      <c r="G91" s="1">
        <v>65718612</v>
      </c>
      <c r="H91" s="6" t="s">
        <v>10</v>
      </c>
      <c r="I91" s="6">
        <f>IF(AND(H90="UP",testdataClose[[#This Row],[close]]&gt;I90),testdataClose[[#This Row],[close]],IF(AND(H90="DN",testdataClose[[#This Row],[close]]&lt;I90),testdataClose[[#This Row],[close]],I90))</f>
        <v>227.61</v>
      </c>
      <c r="J91" s="11">
        <f>(testdataClose[[#This Row],[close]]-testdataClose[[#This Row],[hl]])/testdataClose[[#This Row],[hl]]</f>
        <v>-2.0649356355170127E-3</v>
      </c>
      <c r="K91" s="15">
        <f t="shared" ca="1" si="2"/>
        <v>233.79138059684109</v>
      </c>
      <c r="L91" s="6"/>
      <c r="M91" s="19"/>
      <c r="N91" s="19"/>
      <c r="Q91" s="4">
        <v>90</v>
      </c>
      <c r="R91" s="33"/>
      <c r="S91" s="19"/>
      <c r="T91" s="19"/>
    </row>
    <row r="92" spans="1:20" x14ac:dyDescent="0.35">
      <c r="A92" s="7">
        <v>91</v>
      </c>
      <c r="B92" s="3">
        <v>42867</v>
      </c>
      <c r="C92" s="2">
        <v>226.87</v>
      </c>
      <c r="D92" s="2">
        <v>227.19</v>
      </c>
      <c r="E92" s="2">
        <v>226.47</v>
      </c>
      <c r="F92" s="14">
        <v>226.76</v>
      </c>
      <c r="G92" s="1">
        <v>56817892</v>
      </c>
      <c r="H92" s="6" t="s">
        <v>10</v>
      </c>
      <c r="I92" s="6">
        <f>IF(AND(H91="UP",testdataClose[[#This Row],[close]]&gt;I91),testdataClose[[#This Row],[close]],IF(AND(H91="DN",testdataClose[[#This Row],[close]]&lt;I91),testdataClose[[#This Row],[close]],I91))</f>
        <v>227.61</v>
      </c>
      <c r="J92" s="11">
        <f>(testdataClose[[#This Row],[close]]-testdataClose[[#This Row],[hl]])/testdataClose[[#This Row],[hl]]</f>
        <v>-3.7344580642327783E-3</v>
      </c>
      <c r="K92" s="15">
        <f t="shared" ca="1" si="2"/>
        <v>234.02723880579521</v>
      </c>
      <c r="L92" s="6"/>
      <c r="M92" s="19"/>
      <c r="N92" s="19"/>
      <c r="Q92" s="4">
        <v>91</v>
      </c>
      <c r="R92" s="33"/>
      <c r="S92" s="19"/>
      <c r="T92" s="19"/>
    </row>
    <row r="93" spans="1:20" x14ac:dyDescent="0.35">
      <c r="A93" s="7">
        <v>92</v>
      </c>
      <c r="B93" s="3">
        <v>42870</v>
      </c>
      <c r="C93" s="2">
        <v>227.23</v>
      </c>
      <c r="D93" s="2">
        <v>228.15</v>
      </c>
      <c r="E93" s="2">
        <v>227.21</v>
      </c>
      <c r="F93" s="14">
        <v>228.01</v>
      </c>
      <c r="G93" s="1">
        <v>65255528</v>
      </c>
      <c r="H93" s="6" t="s">
        <v>10</v>
      </c>
      <c r="I93" s="6">
        <f>IF(AND(H92="UP",testdataClose[[#This Row],[close]]&gt;I92),testdataClose[[#This Row],[close]],IF(AND(H92="DN",testdataClose[[#This Row],[close]]&lt;I92),testdataClose[[#This Row],[close]],I92))</f>
        <v>228.01</v>
      </c>
      <c r="J93" s="11">
        <f>(testdataClose[[#This Row],[close]]-testdataClose[[#This Row],[hl]])/testdataClose[[#This Row],[hl]]</f>
        <v>0</v>
      </c>
      <c r="K93" s="15">
        <f t="shared" ca="1" si="2"/>
        <v>234.26309701474935</v>
      </c>
      <c r="L93" s="6"/>
      <c r="M93" s="19"/>
      <c r="N93" s="19"/>
      <c r="Q93" s="4">
        <v>92</v>
      </c>
      <c r="R93" s="33"/>
      <c r="S93" s="19"/>
      <c r="T93" s="19"/>
    </row>
    <row r="94" spans="1:20" x14ac:dyDescent="0.35">
      <c r="A94" s="7">
        <v>93</v>
      </c>
      <c r="B94" s="3">
        <v>42871</v>
      </c>
      <c r="C94" s="2">
        <v>228.34</v>
      </c>
      <c r="D94" s="2">
        <v>228.36</v>
      </c>
      <c r="E94" s="2">
        <v>227.38</v>
      </c>
      <c r="F94" s="14">
        <v>227.8</v>
      </c>
      <c r="G94" s="1">
        <v>54003024</v>
      </c>
      <c r="H94" s="6" t="s">
        <v>10</v>
      </c>
      <c r="I94" s="6">
        <f>IF(AND(H93="UP",testdataClose[[#This Row],[close]]&gt;I93),testdataClose[[#This Row],[close]],IF(AND(H93="DN",testdataClose[[#This Row],[close]]&lt;I93),testdataClose[[#This Row],[close]],I93))</f>
        <v>228.01</v>
      </c>
      <c r="J94" s="11">
        <f>(testdataClose[[#This Row],[close]]-testdataClose[[#This Row],[hl]])/testdataClose[[#This Row],[hl]]</f>
        <v>-9.2101223630533546E-4</v>
      </c>
      <c r="K94" s="15">
        <f t="shared" ca="1" si="2"/>
        <v>234.49895522370352</v>
      </c>
      <c r="L94" s="6"/>
      <c r="M94" s="19"/>
      <c r="N94" s="19"/>
      <c r="Q94" s="4">
        <v>93</v>
      </c>
      <c r="R94" s="33"/>
      <c r="S94" s="19"/>
      <c r="T94" s="19"/>
    </row>
    <row r="95" spans="1:20" x14ac:dyDescent="0.35">
      <c r="A95" s="7">
        <v>94</v>
      </c>
      <c r="B95" s="3">
        <v>42872</v>
      </c>
      <c r="C95" s="2">
        <v>225.93</v>
      </c>
      <c r="D95" s="2">
        <v>226.44</v>
      </c>
      <c r="E95" s="2">
        <v>223.7</v>
      </c>
      <c r="F95" s="14">
        <v>223.76</v>
      </c>
      <c r="G95" s="1">
        <v>181451968</v>
      </c>
      <c r="H95" s="6" t="s">
        <v>10</v>
      </c>
      <c r="I95" s="6">
        <f>IF(AND(H94="UP",testdataClose[[#This Row],[close]]&gt;I94),testdataClose[[#This Row],[close]],IF(AND(H94="DN",testdataClose[[#This Row],[close]]&lt;I94),testdataClose[[#This Row],[close]],I94))</f>
        <v>228.01</v>
      </c>
      <c r="J95" s="11">
        <f>(testdataClose[[#This Row],[close]]-testdataClose[[#This Row],[hl]])/testdataClose[[#This Row],[hl]]</f>
        <v>-1.8639533353800274E-2</v>
      </c>
      <c r="K95" s="15">
        <f t="shared" ca="1" si="2"/>
        <v>234.73481343265769</v>
      </c>
      <c r="L95" s="6"/>
      <c r="M95" s="19"/>
      <c r="N95" s="19"/>
      <c r="Q95" s="4">
        <v>94</v>
      </c>
      <c r="R95" s="33"/>
      <c r="S95" s="19"/>
      <c r="T95" s="19"/>
    </row>
    <row r="96" spans="1:20" x14ac:dyDescent="0.35">
      <c r="A96" s="7">
        <v>95</v>
      </c>
      <c r="B96" s="3">
        <v>42873</v>
      </c>
      <c r="C96" s="2">
        <v>223.68</v>
      </c>
      <c r="D96" s="2">
        <v>225.59</v>
      </c>
      <c r="E96" s="2">
        <v>223.39</v>
      </c>
      <c r="F96" s="14">
        <v>224.66</v>
      </c>
      <c r="G96" s="1">
        <v>112816072</v>
      </c>
      <c r="H96" s="6" t="s">
        <v>10</v>
      </c>
      <c r="I96" s="6">
        <f>IF(AND(H95="UP",testdataClose[[#This Row],[close]]&gt;I95),testdataClose[[#This Row],[close]],IF(AND(H95="DN",testdataClose[[#This Row],[close]]&lt;I95),testdataClose[[#This Row],[close]],I95))</f>
        <v>228.01</v>
      </c>
      <c r="J96" s="11">
        <f>(testdataClose[[#This Row],[close]]-testdataClose[[#This Row],[hl]])/testdataClose[[#This Row],[hl]]</f>
        <v>-1.4692338055348425E-2</v>
      </c>
      <c r="K96" s="15">
        <f t="shared" ca="1" si="2"/>
        <v>234.97067164161189</v>
      </c>
      <c r="L96" s="6"/>
      <c r="M96" s="19"/>
      <c r="N96" s="19"/>
      <c r="Q96" s="4">
        <v>95</v>
      </c>
      <c r="R96" s="33"/>
      <c r="S96" s="19"/>
      <c r="T96" s="19"/>
    </row>
    <row r="97" spans="1:20" x14ac:dyDescent="0.35">
      <c r="A97" s="7">
        <v>96</v>
      </c>
      <c r="B97" s="3">
        <v>42874</v>
      </c>
      <c r="C97" s="2">
        <v>225.2</v>
      </c>
      <c r="D97" s="2">
        <v>226.86</v>
      </c>
      <c r="E97" s="2">
        <v>225.14</v>
      </c>
      <c r="F97" s="14">
        <v>226.12</v>
      </c>
      <c r="G97" s="1">
        <v>121208928</v>
      </c>
      <c r="H97" s="6" t="s">
        <v>10</v>
      </c>
      <c r="I97" s="6">
        <f>IF(AND(H96="UP",testdataClose[[#This Row],[close]]&gt;I96),testdataClose[[#This Row],[close]],IF(AND(H96="DN",testdataClose[[#This Row],[close]]&lt;I96),testdataClose[[#This Row],[close]],I96))</f>
        <v>228.01</v>
      </c>
      <c r="J97" s="11">
        <f>(testdataClose[[#This Row],[close]]-testdataClose[[#This Row],[hl]])/testdataClose[[#This Row],[hl]]</f>
        <v>-8.2891101267487666E-3</v>
      </c>
      <c r="K97" s="15">
        <f t="shared" ca="1" si="2"/>
        <v>235.20652985056611</v>
      </c>
      <c r="L97" s="6"/>
      <c r="M97" s="19"/>
      <c r="N97" s="19"/>
      <c r="Q97" s="4">
        <v>96</v>
      </c>
      <c r="R97" s="33"/>
      <c r="S97" s="19"/>
      <c r="T97" s="19"/>
    </row>
    <row r="98" spans="1:20" x14ac:dyDescent="0.35">
      <c r="A98" s="7">
        <v>97</v>
      </c>
      <c r="B98" s="3">
        <v>42877</v>
      </c>
      <c r="C98" s="2">
        <v>226.68</v>
      </c>
      <c r="D98" s="2">
        <v>227.45</v>
      </c>
      <c r="E98" s="2">
        <v>226.61</v>
      </c>
      <c r="F98" s="14">
        <v>227.27</v>
      </c>
      <c r="G98" s="1">
        <v>64298244</v>
      </c>
      <c r="H98" s="6" t="s">
        <v>10</v>
      </c>
      <c r="I98" s="6">
        <f>IF(AND(H97="UP",testdataClose[[#This Row],[close]]&gt;I97),testdataClose[[#This Row],[close]],IF(AND(H97="DN",testdataClose[[#This Row],[close]]&lt;I97),testdataClose[[#This Row],[close]],I97))</f>
        <v>228.01</v>
      </c>
      <c r="J98" s="11">
        <f>(testdataClose[[#This Row],[close]]-testdataClose[[#This Row],[hl]])/testdataClose[[#This Row],[hl]]</f>
        <v>-3.2454716898380805E-3</v>
      </c>
      <c r="K98" s="15">
        <f t="shared" ca="1" si="2"/>
        <v>235.44238805952034</v>
      </c>
      <c r="L98" s="6"/>
      <c r="M98" s="19"/>
      <c r="N98" s="19"/>
      <c r="Q98" s="4">
        <v>97</v>
      </c>
      <c r="R98" s="33"/>
      <c r="S98" s="19"/>
      <c r="T98" s="19"/>
    </row>
    <row r="99" spans="1:20" x14ac:dyDescent="0.35">
      <c r="A99" s="7">
        <v>98</v>
      </c>
      <c r="B99" s="3">
        <v>42878</v>
      </c>
      <c r="C99" s="2">
        <v>227.68</v>
      </c>
      <c r="D99" s="2">
        <v>227.96</v>
      </c>
      <c r="E99" s="2">
        <v>227.26</v>
      </c>
      <c r="F99" s="14">
        <v>227.78</v>
      </c>
      <c r="G99" s="1">
        <v>50946640</v>
      </c>
      <c r="H99" s="6" t="s">
        <v>10</v>
      </c>
      <c r="I99" s="6">
        <f>IF(AND(H98="UP",testdataClose[[#This Row],[close]]&gt;I98),testdataClose[[#This Row],[close]],IF(AND(H98="DN",testdataClose[[#This Row],[close]]&lt;I98),testdataClose[[#This Row],[close]],I98))</f>
        <v>228.01</v>
      </c>
      <c r="J99" s="11">
        <f>(testdataClose[[#This Row],[close]]-testdataClose[[#This Row],[hl]])/testdataClose[[#This Row],[hl]]</f>
        <v>-1.0087276873820875E-3</v>
      </c>
      <c r="K99" s="15">
        <f t="shared" ca="1" si="2"/>
        <v>235.6782462684746</v>
      </c>
      <c r="L99" s="6"/>
      <c r="M99" s="19"/>
      <c r="N99" s="19"/>
      <c r="Q99" s="4">
        <v>98</v>
      </c>
      <c r="R99" s="33"/>
      <c r="S99" s="19"/>
      <c r="T99" s="19"/>
    </row>
    <row r="100" spans="1:20" x14ac:dyDescent="0.35">
      <c r="A100" s="7">
        <v>99</v>
      </c>
      <c r="B100" s="3">
        <v>42879</v>
      </c>
      <c r="C100" s="2">
        <v>228.03</v>
      </c>
      <c r="D100" s="2">
        <v>228.42</v>
      </c>
      <c r="E100" s="2">
        <v>227.66</v>
      </c>
      <c r="F100" s="14">
        <v>228.31</v>
      </c>
      <c r="G100" s="1">
        <v>51831288</v>
      </c>
      <c r="H100" s="6" t="s">
        <v>10</v>
      </c>
      <c r="I100" s="6">
        <f>IF(AND(H99="UP",testdataClose[[#This Row],[close]]&gt;I99),testdataClose[[#This Row],[close]],IF(AND(H99="DN",testdataClose[[#This Row],[close]]&lt;I99),testdataClose[[#This Row],[close]],I99))</f>
        <v>228.31</v>
      </c>
      <c r="J100" s="11">
        <f>(testdataClose[[#This Row],[close]]-testdataClose[[#This Row],[hl]])/testdataClose[[#This Row],[hl]]</f>
        <v>0</v>
      </c>
      <c r="K100" s="15">
        <f t="shared" ca="1" si="2"/>
        <v>235.91410447742888</v>
      </c>
      <c r="L100" s="6"/>
      <c r="M100" s="19"/>
      <c r="N100" s="19"/>
      <c r="Q100" s="4">
        <v>99</v>
      </c>
      <c r="R100" s="33"/>
      <c r="S100" s="19"/>
      <c r="T100" s="19"/>
    </row>
    <row r="101" spans="1:20" x14ac:dyDescent="0.35">
      <c r="A101" s="7">
        <v>100</v>
      </c>
      <c r="B101" s="3">
        <v>42880</v>
      </c>
      <c r="C101" s="2">
        <v>228.87</v>
      </c>
      <c r="D101" s="2">
        <v>229.7</v>
      </c>
      <c r="E101" s="2">
        <v>228.64</v>
      </c>
      <c r="F101" s="14">
        <v>229.4</v>
      </c>
      <c r="G101" s="1">
        <v>67524256</v>
      </c>
      <c r="H101" s="6" t="s">
        <v>10</v>
      </c>
      <c r="I101" s="6">
        <f>IF(AND(H100="UP",testdataClose[[#This Row],[close]]&gt;I100),testdataClose[[#This Row],[close]],IF(AND(H100="DN",testdataClose[[#This Row],[close]]&lt;I100),testdataClose[[#This Row],[close]],I100))</f>
        <v>229.4</v>
      </c>
      <c r="J101" s="11">
        <f>(testdataClose[[#This Row],[close]]-testdataClose[[#This Row],[hl]])/testdataClose[[#This Row],[hl]]</f>
        <v>0</v>
      </c>
      <c r="K101" s="15">
        <f t="shared" ca="1" si="2"/>
        <v>236.14996268638316</v>
      </c>
      <c r="L101" s="6"/>
      <c r="M101" s="19"/>
      <c r="N101" s="19"/>
      <c r="Q101" s="4">
        <v>100</v>
      </c>
      <c r="R101" s="33"/>
      <c r="S101" s="19"/>
      <c r="T101" s="19"/>
    </row>
    <row r="102" spans="1:20" x14ac:dyDescent="0.35">
      <c r="A102" s="7">
        <v>101</v>
      </c>
      <c r="B102" s="3">
        <v>42881</v>
      </c>
      <c r="C102" s="2">
        <v>229.19</v>
      </c>
      <c r="D102" s="2">
        <v>229.53</v>
      </c>
      <c r="E102" s="2">
        <v>229.1</v>
      </c>
      <c r="F102" s="14">
        <v>229.35</v>
      </c>
      <c r="G102" s="1">
        <v>49142620</v>
      </c>
      <c r="H102" s="6" t="s">
        <v>10</v>
      </c>
      <c r="I102" s="6">
        <f>IF(AND(H101="UP",testdataClose[[#This Row],[close]]&gt;I101),testdataClose[[#This Row],[close]],IF(AND(H101="DN",testdataClose[[#This Row],[close]]&lt;I101),testdataClose[[#This Row],[close]],I101))</f>
        <v>229.4</v>
      </c>
      <c r="J102" s="11">
        <f>(testdataClose[[#This Row],[close]]-testdataClose[[#This Row],[hl]])/testdataClose[[#This Row],[hl]]</f>
        <v>-2.1795989537929977E-4</v>
      </c>
      <c r="K102" s="15">
        <f t="shared" ca="1" si="2"/>
        <v>236.38582089533747</v>
      </c>
      <c r="L102" s="6"/>
      <c r="M102" s="19"/>
      <c r="N102" s="19"/>
      <c r="Q102" s="4">
        <v>101</v>
      </c>
      <c r="R102" s="33"/>
      <c r="S102" s="19"/>
      <c r="T102" s="19"/>
    </row>
    <row r="103" spans="1:20" x14ac:dyDescent="0.35">
      <c r="A103" s="7">
        <v>102</v>
      </c>
      <c r="B103" s="3">
        <v>42885</v>
      </c>
      <c r="C103" s="2">
        <v>229</v>
      </c>
      <c r="D103" s="2">
        <v>229.43</v>
      </c>
      <c r="E103" s="2">
        <v>228.83</v>
      </c>
      <c r="F103" s="14">
        <v>229.15</v>
      </c>
      <c r="G103" s="1">
        <v>37098796</v>
      </c>
      <c r="H103" s="6" t="s">
        <v>10</v>
      </c>
      <c r="I103" s="6">
        <f>IF(AND(H102="UP",testdataClose[[#This Row],[close]]&gt;I102),testdataClose[[#This Row],[close]],IF(AND(H102="DN",testdataClose[[#This Row],[close]]&lt;I102),testdataClose[[#This Row],[close]],I102))</f>
        <v>229.4</v>
      </c>
      <c r="J103" s="11">
        <f>(testdataClose[[#This Row],[close]]-testdataClose[[#This Row],[hl]])/testdataClose[[#This Row],[hl]]</f>
        <v>-1.089799476896251E-3</v>
      </c>
      <c r="K103" s="15">
        <f t="shared" ca="1" si="2"/>
        <v>236.62167910429181</v>
      </c>
      <c r="L103" s="6"/>
      <c r="M103" s="19"/>
      <c r="N103" s="19"/>
      <c r="Q103" s="4">
        <v>102</v>
      </c>
      <c r="R103" s="33"/>
      <c r="S103" s="19"/>
      <c r="T103" s="19"/>
    </row>
    <row r="104" spans="1:20" x14ac:dyDescent="0.35">
      <c r="A104" s="7">
        <v>103</v>
      </c>
      <c r="B104" s="3">
        <v>42886</v>
      </c>
      <c r="C104" s="2">
        <v>229.47</v>
      </c>
      <c r="D104" s="2">
        <v>229.51</v>
      </c>
      <c r="E104" s="2">
        <v>228.34</v>
      </c>
      <c r="F104" s="14">
        <v>229.09</v>
      </c>
      <c r="G104" s="1">
        <v>96742576</v>
      </c>
      <c r="H104" s="6" t="s">
        <v>10</v>
      </c>
      <c r="I104" s="6">
        <f>IF(AND(H103="UP",testdataClose[[#This Row],[close]]&gt;I103),testdataClose[[#This Row],[close]],IF(AND(H103="DN",testdataClose[[#This Row],[close]]&lt;I103),testdataClose[[#This Row],[close]],I103))</f>
        <v>229.4</v>
      </c>
      <c r="J104" s="11">
        <f>(testdataClose[[#This Row],[close]]-testdataClose[[#This Row],[hl]])/testdataClose[[#This Row],[hl]]</f>
        <v>-1.3513513513513612E-3</v>
      </c>
      <c r="K104" s="15">
        <f t="shared" ca="1" si="2"/>
        <v>236.85753731324616</v>
      </c>
      <c r="L104" s="6"/>
      <c r="M104" s="19"/>
      <c r="N104" s="19"/>
      <c r="Q104" s="4">
        <v>103</v>
      </c>
      <c r="R104" s="33"/>
      <c r="S104" s="19"/>
      <c r="T104" s="19"/>
    </row>
    <row r="105" spans="1:20" x14ac:dyDescent="0.35">
      <c r="A105" s="7">
        <v>104</v>
      </c>
      <c r="B105" s="3">
        <v>42887</v>
      </c>
      <c r="C105" s="2">
        <v>229.6</v>
      </c>
      <c r="D105" s="2">
        <v>230.94</v>
      </c>
      <c r="E105" s="2">
        <v>229.28</v>
      </c>
      <c r="F105" s="14">
        <v>230.92</v>
      </c>
      <c r="G105" s="1">
        <v>72678144</v>
      </c>
      <c r="H105" s="6" t="s">
        <v>10</v>
      </c>
      <c r="I105" s="6">
        <f>IF(AND(H104="UP",testdataClose[[#This Row],[close]]&gt;I104),testdataClose[[#This Row],[close]],IF(AND(H104="DN",testdataClose[[#This Row],[close]]&lt;I104),testdataClose[[#This Row],[close]],I104))</f>
        <v>230.92</v>
      </c>
      <c r="J105" s="11">
        <f>(testdataClose[[#This Row],[close]]-testdataClose[[#This Row],[hl]])/testdataClose[[#This Row],[hl]]</f>
        <v>0</v>
      </c>
      <c r="K105" s="15">
        <f t="shared" ca="1" si="2"/>
        <v>237.09339552220052</v>
      </c>
      <c r="L105" s="6"/>
      <c r="M105" s="19"/>
      <c r="N105" s="19"/>
      <c r="Q105" s="4">
        <v>104</v>
      </c>
      <c r="R105" s="33"/>
      <c r="S105" s="19"/>
      <c r="T105" s="19"/>
    </row>
    <row r="106" spans="1:20" x14ac:dyDescent="0.35">
      <c r="A106" s="7">
        <v>105</v>
      </c>
      <c r="B106" s="3">
        <v>42888</v>
      </c>
      <c r="C106" s="2">
        <v>230.97</v>
      </c>
      <c r="D106" s="2">
        <v>231.86</v>
      </c>
      <c r="E106" s="2">
        <v>230.65</v>
      </c>
      <c r="F106" s="14">
        <v>231.69</v>
      </c>
      <c r="G106" s="1">
        <v>93444032</v>
      </c>
      <c r="H106" s="6" t="s">
        <v>10</v>
      </c>
      <c r="I106" s="6">
        <f>IF(AND(H105="UP",testdataClose[[#This Row],[close]]&gt;I105),testdataClose[[#This Row],[close]],IF(AND(H105="DN",testdataClose[[#This Row],[close]]&lt;I105),testdataClose[[#This Row],[close]],I105))</f>
        <v>231.69</v>
      </c>
      <c r="J106" s="11">
        <f>(testdataClose[[#This Row],[close]]-testdataClose[[#This Row],[hl]])/testdataClose[[#This Row],[hl]]</f>
        <v>0</v>
      </c>
      <c r="K106" s="15">
        <f t="shared" ca="1" si="2"/>
        <v>237.32925373115492</v>
      </c>
      <c r="L106" s="6"/>
      <c r="M106" s="19"/>
      <c r="N106" s="19"/>
      <c r="Q106" s="4">
        <v>105</v>
      </c>
      <c r="R106" s="33"/>
      <c r="S106" s="19"/>
      <c r="T106" s="19"/>
    </row>
    <row r="107" spans="1:20" x14ac:dyDescent="0.35">
      <c r="A107" s="7">
        <v>106</v>
      </c>
      <c r="B107" s="3">
        <v>42891</v>
      </c>
      <c r="C107" s="2">
        <v>231.5</v>
      </c>
      <c r="D107" s="2">
        <v>231.81</v>
      </c>
      <c r="E107" s="2">
        <v>231.3</v>
      </c>
      <c r="F107" s="14">
        <v>231.51</v>
      </c>
      <c r="G107" s="1">
        <v>47107480</v>
      </c>
      <c r="H107" s="6" t="s">
        <v>10</v>
      </c>
      <c r="I107" s="6">
        <f>IF(AND(H106="UP",testdataClose[[#This Row],[close]]&gt;I106),testdataClose[[#This Row],[close]],IF(AND(H106="DN",testdataClose[[#This Row],[close]]&lt;I106),testdataClose[[#This Row],[close]],I106))</f>
        <v>231.69</v>
      </c>
      <c r="J107" s="11">
        <f>(testdataClose[[#This Row],[close]]-testdataClose[[#This Row],[hl]])/testdataClose[[#This Row],[hl]]</f>
        <v>-7.7690016832839925E-4</v>
      </c>
      <c r="K107" s="15">
        <f t="shared" ca="1" si="2"/>
        <v>237.56511194010932</v>
      </c>
      <c r="L107" s="6"/>
      <c r="M107" s="19"/>
      <c r="N107" s="19"/>
      <c r="Q107" s="4">
        <v>106</v>
      </c>
      <c r="R107" s="33"/>
      <c r="S107" s="19"/>
      <c r="T107" s="19"/>
    </row>
    <row r="108" spans="1:20" x14ac:dyDescent="0.35">
      <c r="A108" s="7">
        <v>107</v>
      </c>
      <c r="B108" s="3">
        <v>42892</v>
      </c>
      <c r="C108" s="2">
        <v>230.9</v>
      </c>
      <c r="D108" s="2">
        <v>231.51</v>
      </c>
      <c r="E108" s="2">
        <v>230.69</v>
      </c>
      <c r="F108" s="14">
        <v>230.77</v>
      </c>
      <c r="G108" s="1">
        <v>53089976</v>
      </c>
      <c r="H108" s="6" t="s">
        <v>10</v>
      </c>
      <c r="I108" s="6">
        <f>IF(AND(H107="UP",testdataClose[[#This Row],[close]]&gt;I107),testdataClose[[#This Row],[close]],IF(AND(H107="DN",testdataClose[[#This Row],[close]]&lt;I107),testdataClose[[#This Row],[close]],I107))</f>
        <v>231.69</v>
      </c>
      <c r="J108" s="11">
        <f>(testdataClose[[#This Row],[close]]-testdataClose[[#This Row],[hl]])/testdataClose[[#This Row],[hl]]</f>
        <v>-3.9708230825671693E-3</v>
      </c>
      <c r="K108" s="15">
        <f t="shared" ca="1" si="2"/>
        <v>237.80097014906374</v>
      </c>
      <c r="L108" s="6"/>
      <c r="M108" s="19"/>
      <c r="N108" s="19"/>
      <c r="Q108" s="4">
        <v>107</v>
      </c>
      <c r="R108" s="33"/>
      <c r="S108" s="19"/>
      <c r="T108" s="19"/>
    </row>
    <row r="109" spans="1:20" x14ac:dyDescent="0.35">
      <c r="A109" s="7">
        <v>108</v>
      </c>
      <c r="B109" s="3">
        <v>42893</v>
      </c>
      <c r="C109" s="2">
        <v>231.14</v>
      </c>
      <c r="D109" s="2">
        <v>231.45</v>
      </c>
      <c r="E109" s="2">
        <v>230.41</v>
      </c>
      <c r="F109" s="14">
        <v>231.2</v>
      </c>
      <c r="G109" s="1">
        <v>57061952</v>
      </c>
      <c r="H109" s="6" t="s">
        <v>10</v>
      </c>
      <c r="I109" s="6">
        <f>IF(AND(H108="UP",testdataClose[[#This Row],[close]]&gt;I108),testdataClose[[#This Row],[close]],IF(AND(H108="DN",testdataClose[[#This Row],[close]]&lt;I108),testdataClose[[#This Row],[close]],I108))</f>
        <v>231.69</v>
      </c>
      <c r="J109" s="11">
        <f>(testdataClose[[#This Row],[close]]-testdataClose[[#This Row],[hl]])/testdataClose[[#This Row],[hl]]</f>
        <v>-2.1148949026717125E-3</v>
      </c>
      <c r="K109" s="15">
        <f t="shared" ca="1" si="2"/>
        <v>238.0368283580182</v>
      </c>
      <c r="L109" s="6"/>
      <c r="M109" s="19"/>
      <c r="N109" s="19"/>
      <c r="Q109" s="4">
        <v>108</v>
      </c>
      <c r="R109" s="33"/>
      <c r="S109" s="19"/>
      <c r="T109" s="19"/>
    </row>
    <row r="110" spans="1:20" x14ac:dyDescent="0.35">
      <c r="A110" s="7">
        <v>109</v>
      </c>
      <c r="B110" s="3">
        <v>42894</v>
      </c>
      <c r="C110" s="2">
        <v>231.31</v>
      </c>
      <c r="D110" s="2">
        <v>231.84</v>
      </c>
      <c r="E110" s="2">
        <v>230.74</v>
      </c>
      <c r="F110" s="14">
        <v>231.32</v>
      </c>
      <c r="G110" s="1">
        <v>69504536</v>
      </c>
      <c r="H110" s="6" t="s">
        <v>10</v>
      </c>
      <c r="I110" s="6">
        <f>IF(AND(H109="UP",testdataClose[[#This Row],[close]]&gt;I109),testdataClose[[#This Row],[close]],IF(AND(H109="DN",testdataClose[[#This Row],[close]]&lt;I109),testdataClose[[#This Row],[close]],I109))</f>
        <v>231.69</v>
      </c>
      <c r="J110" s="11">
        <f>(testdataClose[[#This Row],[close]]-testdataClose[[#This Row],[hl]])/testdataClose[[#This Row],[hl]]</f>
        <v>-1.5969614571194465E-3</v>
      </c>
      <c r="K110" s="15">
        <f t="shared" ca="1" si="2"/>
        <v>238.27268656697265</v>
      </c>
      <c r="L110" s="6"/>
      <c r="M110" s="19"/>
      <c r="N110" s="19"/>
      <c r="Q110" s="4">
        <v>109</v>
      </c>
      <c r="R110" s="33"/>
      <c r="S110" s="19"/>
      <c r="T110" s="19"/>
    </row>
    <row r="111" spans="1:20" x14ac:dyDescent="0.35">
      <c r="A111" s="7">
        <v>110</v>
      </c>
      <c r="B111" s="3">
        <v>42895</v>
      </c>
      <c r="C111" s="2">
        <v>231.61</v>
      </c>
      <c r="D111" s="2">
        <v>232.48</v>
      </c>
      <c r="E111" s="2">
        <v>229.58</v>
      </c>
      <c r="F111" s="14">
        <v>230.96</v>
      </c>
      <c r="G111" s="1">
        <v>139383184</v>
      </c>
      <c r="H111" s="6" t="s">
        <v>10</v>
      </c>
      <c r="I111" s="6">
        <f>IF(AND(H110="UP",testdataClose[[#This Row],[close]]&gt;I110),testdataClose[[#This Row],[close]],IF(AND(H110="DN",testdataClose[[#This Row],[close]]&lt;I110),testdataClose[[#This Row],[close]],I110))</f>
        <v>231.69</v>
      </c>
      <c r="J111" s="11">
        <f>(testdataClose[[#This Row],[close]]-testdataClose[[#This Row],[hl]])/testdataClose[[#This Row],[hl]]</f>
        <v>-3.1507617937761223E-3</v>
      </c>
      <c r="K111" s="15">
        <f t="shared" ca="1" si="2"/>
        <v>238.50854477592713</v>
      </c>
      <c r="L111" s="6"/>
      <c r="M111" s="19"/>
      <c r="N111" s="19"/>
      <c r="Q111" s="4">
        <v>110</v>
      </c>
      <c r="R111" s="33"/>
      <c r="S111" s="19"/>
      <c r="T111" s="19"/>
    </row>
    <row r="112" spans="1:20" x14ac:dyDescent="0.35">
      <c r="A112" s="7">
        <v>111</v>
      </c>
      <c r="B112" s="3">
        <v>42898</v>
      </c>
      <c r="C112" s="2">
        <v>230.7</v>
      </c>
      <c r="D112" s="2">
        <v>230.97</v>
      </c>
      <c r="E112" s="2">
        <v>229.99</v>
      </c>
      <c r="F112" s="14">
        <v>230.92</v>
      </c>
      <c r="G112" s="1">
        <v>90748160</v>
      </c>
      <c r="H112" s="6" t="s">
        <v>10</v>
      </c>
      <c r="I112" s="6">
        <f>IF(AND(H111="UP",testdataClose[[#This Row],[close]]&gt;I111),testdataClose[[#This Row],[close]],IF(AND(H111="DN",testdataClose[[#This Row],[close]]&lt;I111),testdataClose[[#This Row],[close]],I111))</f>
        <v>231.69</v>
      </c>
      <c r="J112" s="11">
        <f>(testdataClose[[#This Row],[close]]-testdataClose[[#This Row],[hl]])/testdataClose[[#This Row],[hl]]</f>
        <v>-3.3234062756269593E-3</v>
      </c>
      <c r="K112" s="15">
        <f t="shared" ca="1" si="2"/>
        <v>238.74440298488165</v>
      </c>
      <c r="L112" s="6"/>
      <c r="M112" s="19"/>
      <c r="N112" s="19"/>
      <c r="Q112" s="4">
        <v>111</v>
      </c>
      <c r="R112" s="33"/>
      <c r="S112" s="19"/>
      <c r="T112" s="19"/>
    </row>
    <row r="113" spans="1:20" x14ac:dyDescent="0.35">
      <c r="A113" s="7">
        <v>112</v>
      </c>
      <c r="B113" s="3">
        <v>42899</v>
      </c>
      <c r="C113" s="2">
        <v>231.51</v>
      </c>
      <c r="D113" s="2">
        <v>232.1</v>
      </c>
      <c r="E113" s="2">
        <v>231.13</v>
      </c>
      <c r="F113" s="14">
        <v>232.05</v>
      </c>
      <c r="G113" s="1">
        <v>63303744</v>
      </c>
      <c r="H113" s="6" t="s">
        <v>10</v>
      </c>
      <c r="I113" s="6">
        <f>IF(AND(H112="UP",testdataClose[[#This Row],[close]]&gt;I112),testdataClose[[#This Row],[close]],IF(AND(H112="DN",testdataClose[[#This Row],[close]]&lt;I112),testdataClose[[#This Row],[close]],I112))</f>
        <v>232.05</v>
      </c>
      <c r="J113" s="11">
        <f>(testdataClose[[#This Row],[close]]-testdataClose[[#This Row],[hl]])/testdataClose[[#This Row],[hl]]</f>
        <v>0</v>
      </c>
      <c r="K113" s="15">
        <f t="shared" ca="1" si="2"/>
        <v>238.98026119383616</v>
      </c>
      <c r="L113" s="6"/>
      <c r="M113" s="19"/>
      <c r="N113" s="19"/>
      <c r="Q113" s="4">
        <v>112</v>
      </c>
      <c r="R113" s="33"/>
      <c r="S113" s="19"/>
      <c r="T113" s="19"/>
    </row>
    <row r="114" spans="1:20" x14ac:dyDescent="0.35">
      <c r="A114" s="7">
        <v>113</v>
      </c>
      <c r="B114" s="3">
        <v>42900</v>
      </c>
      <c r="C114" s="2">
        <v>232.34</v>
      </c>
      <c r="D114" s="2">
        <v>232.35</v>
      </c>
      <c r="E114" s="2">
        <v>230.85</v>
      </c>
      <c r="F114" s="14">
        <v>231.75</v>
      </c>
      <c r="G114" s="1">
        <v>82837904</v>
      </c>
      <c r="H114" s="6" t="s">
        <v>10</v>
      </c>
      <c r="I114" s="6">
        <f>IF(AND(H113="UP",testdataClose[[#This Row],[close]]&gt;I113),testdataClose[[#This Row],[close]],IF(AND(H113="DN",testdataClose[[#This Row],[close]]&lt;I113),testdataClose[[#This Row],[close]],I113))</f>
        <v>232.05</v>
      </c>
      <c r="J114" s="11">
        <f>(testdataClose[[#This Row],[close]]-testdataClose[[#This Row],[hl]])/testdataClose[[#This Row],[hl]]</f>
        <v>-1.2928248222366359E-3</v>
      </c>
      <c r="K114" s="15">
        <f t="shared" ca="1" si="2"/>
        <v>239.2161194027907</v>
      </c>
      <c r="L114" s="6"/>
      <c r="M114" s="19"/>
      <c r="N114" s="19"/>
      <c r="Q114" s="4">
        <v>113</v>
      </c>
      <c r="R114" s="33"/>
      <c r="S114" s="19"/>
      <c r="T114" s="19"/>
    </row>
    <row r="115" spans="1:20" x14ac:dyDescent="0.35">
      <c r="A115" s="7">
        <v>114</v>
      </c>
      <c r="B115" s="3">
        <v>42901</v>
      </c>
      <c r="C115" s="2">
        <v>230.27</v>
      </c>
      <c r="D115" s="2">
        <v>231.44</v>
      </c>
      <c r="E115" s="2">
        <v>229.97</v>
      </c>
      <c r="F115" s="14">
        <v>231.31</v>
      </c>
      <c r="G115" s="1">
        <v>70046440</v>
      </c>
      <c r="H115" s="6" t="s">
        <v>10</v>
      </c>
      <c r="I115" s="6">
        <f>IF(AND(H114="UP",testdataClose[[#This Row],[close]]&gt;I114),testdataClose[[#This Row],[close]],IF(AND(H114="DN",testdataClose[[#This Row],[close]]&lt;I114),testdataClose[[#This Row],[close]],I114))</f>
        <v>232.05</v>
      </c>
      <c r="J115" s="11">
        <f>(testdataClose[[#This Row],[close]]-testdataClose[[#This Row],[hl]])/testdataClose[[#This Row],[hl]]</f>
        <v>-3.1889678948502868E-3</v>
      </c>
      <c r="K115" s="15">
        <f t="shared" ca="1" si="2"/>
        <v>239.45197761174526</v>
      </c>
      <c r="L115" s="6"/>
      <c r="M115" s="19"/>
      <c r="N115" s="19"/>
      <c r="Q115" s="4">
        <v>114</v>
      </c>
      <c r="R115" s="33"/>
      <c r="S115" s="19"/>
      <c r="T115" s="19"/>
    </row>
    <row r="116" spans="1:20" x14ac:dyDescent="0.35">
      <c r="A116" s="7">
        <v>115</v>
      </c>
      <c r="B116" s="3">
        <v>42902</v>
      </c>
      <c r="C116" s="2">
        <v>231.48</v>
      </c>
      <c r="D116" s="2">
        <v>231.54</v>
      </c>
      <c r="E116" s="2">
        <v>230.4</v>
      </c>
      <c r="F116" s="14">
        <v>231.36</v>
      </c>
      <c r="G116" s="1">
        <v>88676880</v>
      </c>
      <c r="H116" s="6" t="s">
        <v>10</v>
      </c>
      <c r="I116" s="6">
        <f>IF(AND(H115="UP",testdataClose[[#This Row],[close]]&gt;I115),testdataClose[[#This Row],[close]],IF(AND(H115="DN",testdataClose[[#This Row],[close]]&lt;I115),testdataClose[[#This Row],[close]],I115))</f>
        <v>232.05</v>
      </c>
      <c r="J116" s="11">
        <f>(testdataClose[[#This Row],[close]]-testdataClose[[#This Row],[hl]])/testdataClose[[#This Row],[hl]]</f>
        <v>-2.9734970911441398E-3</v>
      </c>
      <c r="K116" s="15">
        <f t="shared" ca="1" si="2"/>
        <v>239.68783582069983</v>
      </c>
      <c r="L116" s="6"/>
      <c r="M116" s="19"/>
      <c r="N116" s="19"/>
      <c r="Q116" s="4">
        <v>115</v>
      </c>
      <c r="R116" s="33"/>
      <c r="S116" s="19"/>
      <c r="T116" s="19"/>
    </row>
    <row r="117" spans="1:20" x14ac:dyDescent="0.35">
      <c r="A117" s="7">
        <v>116</v>
      </c>
      <c r="B117" s="3">
        <v>42905</v>
      </c>
      <c r="C117" s="2">
        <v>232.26</v>
      </c>
      <c r="D117" s="2">
        <v>233.35</v>
      </c>
      <c r="E117" s="2">
        <v>232.16</v>
      </c>
      <c r="F117" s="14">
        <v>233.28</v>
      </c>
      <c r="G117" s="1">
        <v>68299992</v>
      </c>
      <c r="H117" s="6" t="s">
        <v>10</v>
      </c>
      <c r="I117" s="6">
        <f>IF(AND(H116="UP",testdataClose[[#This Row],[close]]&gt;I116),testdataClose[[#This Row],[close]],IF(AND(H116="DN",testdataClose[[#This Row],[close]]&lt;I116),testdataClose[[#This Row],[close]],I116))</f>
        <v>233.28</v>
      </c>
      <c r="J117" s="11">
        <f>(testdataClose[[#This Row],[close]]-testdataClose[[#This Row],[hl]])/testdataClose[[#This Row],[hl]]</f>
        <v>0</v>
      </c>
      <c r="K117" s="15">
        <f t="shared" ca="1" si="2"/>
        <v>239.92369402965443</v>
      </c>
      <c r="L117" s="6"/>
      <c r="M117" s="19"/>
      <c r="N117" s="19"/>
      <c r="Q117" s="4">
        <v>116</v>
      </c>
      <c r="R117" s="33"/>
      <c r="S117" s="19"/>
      <c r="T117" s="19"/>
    </row>
    <row r="118" spans="1:20" x14ac:dyDescent="0.35">
      <c r="A118" s="7">
        <v>117</v>
      </c>
      <c r="B118" s="3">
        <v>42906</v>
      </c>
      <c r="C118" s="2">
        <v>232.89</v>
      </c>
      <c r="D118" s="2">
        <v>232.9</v>
      </c>
      <c r="E118" s="2">
        <v>231.69</v>
      </c>
      <c r="F118" s="14">
        <v>231.71</v>
      </c>
      <c r="G118" s="1">
        <v>59681776</v>
      </c>
      <c r="H118" s="6" t="s">
        <v>10</v>
      </c>
      <c r="I118" s="6">
        <f>IF(AND(H117="UP",testdataClose[[#This Row],[close]]&gt;I117),testdataClose[[#This Row],[close]],IF(AND(H117="DN",testdataClose[[#This Row],[close]]&lt;I117),testdataClose[[#This Row],[close]],I117))</f>
        <v>233.28</v>
      </c>
      <c r="J118" s="11">
        <f>(testdataClose[[#This Row],[close]]-testdataClose[[#This Row],[hl]])/testdataClose[[#This Row],[hl]]</f>
        <v>-6.7301097393689694E-3</v>
      </c>
      <c r="K118" s="15">
        <f t="shared" ca="1" si="2"/>
        <v>240.15955223860905</v>
      </c>
      <c r="L118" s="6"/>
      <c r="M118" s="19"/>
      <c r="N118" s="19"/>
      <c r="Q118" s="4">
        <v>117</v>
      </c>
      <c r="R118" s="33"/>
      <c r="S118" s="19"/>
      <c r="T118" s="19"/>
    </row>
    <row r="119" spans="1:20" x14ac:dyDescent="0.35">
      <c r="A119" s="7">
        <v>118</v>
      </c>
      <c r="B119" s="3">
        <v>42907</v>
      </c>
      <c r="C119" s="2">
        <v>232.1</v>
      </c>
      <c r="D119" s="2">
        <v>232.26</v>
      </c>
      <c r="E119" s="2">
        <v>231.14</v>
      </c>
      <c r="F119" s="14">
        <v>231.65</v>
      </c>
      <c r="G119" s="1">
        <v>58707680</v>
      </c>
      <c r="H119" s="6" t="s">
        <v>10</v>
      </c>
      <c r="I119" s="6">
        <f>IF(AND(H118="UP",testdataClose[[#This Row],[close]]&gt;I118),testdataClose[[#This Row],[close]],IF(AND(H118="DN",testdataClose[[#This Row],[close]]&lt;I118),testdataClose[[#This Row],[close]],I118))</f>
        <v>233.28</v>
      </c>
      <c r="J119" s="11">
        <f>(testdataClose[[#This Row],[close]]-testdataClose[[#This Row],[hl]])/testdataClose[[#This Row],[hl]]</f>
        <v>-6.9873113854595137E-3</v>
      </c>
      <c r="K119" s="15">
        <f t="shared" ca="1" si="2"/>
        <v>240.39541044756368</v>
      </c>
      <c r="L119" s="6"/>
      <c r="M119" s="19"/>
      <c r="N119" s="19"/>
      <c r="Q119" s="4">
        <v>118</v>
      </c>
      <c r="R119" s="33"/>
      <c r="S119" s="19"/>
      <c r="T119" s="19"/>
    </row>
    <row r="120" spans="1:20" x14ac:dyDescent="0.35">
      <c r="A120" s="7">
        <v>119</v>
      </c>
      <c r="B120" s="3">
        <v>42908</v>
      </c>
      <c r="C120" s="2">
        <v>231.66</v>
      </c>
      <c r="D120" s="2">
        <v>232.21</v>
      </c>
      <c r="E120" s="2">
        <v>231.36</v>
      </c>
      <c r="F120" s="14">
        <v>231.55</v>
      </c>
      <c r="G120" s="1">
        <v>46301224</v>
      </c>
      <c r="H120" s="6" t="s">
        <v>10</v>
      </c>
      <c r="I120" s="6">
        <f>IF(AND(H119="UP",testdataClose[[#This Row],[close]]&gt;I119),testdataClose[[#This Row],[close]],IF(AND(H119="DN",testdataClose[[#This Row],[close]]&lt;I119),testdataClose[[#This Row],[close]],I119))</f>
        <v>233.28</v>
      </c>
      <c r="J120" s="11">
        <f>(testdataClose[[#This Row],[close]]-testdataClose[[#This Row],[hl]])/testdataClose[[#This Row],[hl]]</f>
        <v>-7.4159807956103814E-3</v>
      </c>
      <c r="K120" s="15">
        <f t="shared" ca="1" si="2"/>
        <v>240.63126865651833</v>
      </c>
      <c r="L120" s="6"/>
      <c r="M120" s="19"/>
      <c r="N120" s="19"/>
      <c r="Q120" s="4">
        <v>119</v>
      </c>
      <c r="R120" s="33"/>
      <c r="S120" s="19"/>
      <c r="T120" s="19"/>
    </row>
    <row r="121" spans="1:20" x14ac:dyDescent="0.35">
      <c r="A121" s="7">
        <v>120</v>
      </c>
      <c r="B121" s="3">
        <v>42909</v>
      </c>
      <c r="C121" s="2">
        <v>231.61</v>
      </c>
      <c r="D121" s="2">
        <v>232.19</v>
      </c>
      <c r="E121" s="2">
        <v>231.19</v>
      </c>
      <c r="F121" s="14">
        <v>231.82</v>
      </c>
      <c r="G121" s="1">
        <v>70253848</v>
      </c>
      <c r="H121" s="6" t="s">
        <v>10</v>
      </c>
      <c r="I121" s="6">
        <f>IF(AND(H120="UP",testdataClose[[#This Row],[close]]&gt;I120),testdataClose[[#This Row],[close]],IF(AND(H120="DN",testdataClose[[#This Row],[close]]&lt;I120),testdataClose[[#This Row],[close]],I120))</f>
        <v>233.28</v>
      </c>
      <c r="J121" s="11">
        <f>(testdataClose[[#This Row],[close]]-testdataClose[[#This Row],[hl]])/testdataClose[[#This Row],[hl]]</f>
        <v>-6.2585733882030521E-3</v>
      </c>
      <c r="K121" s="15">
        <f t="shared" ca="1" si="2"/>
        <v>240.86712686547301</v>
      </c>
      <c r="L121" s="6"/>
      <c r="M121" s="19"/>
      <c r="N121" s="19"/>
      <c r="Q121" s="4">
        <v>120</v>
      </c>
      <c r="R121" s="33"/>
      <c r="S121" s="19"/>
      <c r="T121" s="19"/>
    </row>
    <row r="122" spans="1:20" x14ac:dyDescent="0.35">
      <c r="A122" s="7">
        <v>121</v>
      </c>
      <c r="B122" s="3">
        <v>42912</v>
      </c>
      <c r="C122" s="2">
        <v>232.56</v>
      </c>
      <c r="D122" s="2">
        <v>233.02</v>
      </c>
      <c r="E122" s="2">
        <v>231.74</v>
      </c>
      <c r="F122" s="14">
        <v>231.98</v>
      </c>
      <c r="G122" s="1">
        <v>59465848</v>
      </c>
      <c r="H122" s="6" t="s">
        <v>10</v>
      </c>
      <c r="I122" s="6">
        <f>IF(AND(H121="UP",testdataClose[[#This Row],[close]]&gt;I121),testdataClose[[#This Row],[close]],IF(AND(H121="DN",testdataClose[[#This Row],[close]]&lt;I121),testdataClose[[#This Row],[close]],I121))</f>
        <v>233.28</v>
      </c>
      <c r="J122" s="11">
        <f>(testdataClose[[#This Row],[close]]-testdataClose[[#This Row],[hl]])/testdataClose[[#This Row],[hl]]</f>
        <v>-5.5727023319616402E-3</v>
      </c>
      <c r="K122" s="15">
        <f t="shared" ca="1" si="2"/>
        <v>241.10298507442769</v>
      </c>
      <c r="L122" s="6"/>
      <c r="M122" s="19"/>
      <c r="N122" s="19"/>
      <c r="Q122" s="4">
        <v>121</v>
      </c>
      <c r="R122" s="33"/>
      <c r="S122" s="19"/>
      <c r="T122" s="19"/>
    </row>
    <row r="123" spans="1:20" x14ac:dyDescent="0.35">
      <c r="A123" s="7">
        <v>122</v>
      </c>
      <c r="B123" s="3">
        <v>42913</v>
      </c>
      <c r="C123" s="2">
        <v>231.74</v>
      </c>
      <c r="D123" s="2">
        <v>232.06</v>
      </c>
      <c r="E123" s="2">
        <v>230.09</v>
      </c>
      <c r="F123" s="14">
        <v>230.11</v>
      </c>
      <c r="G123" s="1">
        <v>86259016</v>
      </c>
      <c r="H123" s="6" t="s">
        <v>10</v>
      </c>
      <c r="I123" s="6">
        <f>IF(AND(H122="UP",testdataClose[[#This Row],[close]]&gt;I122),testdataClose[[#This Row],[close]],IF(AND(H122="DN",testdataClose[[#This Row],[close]]&lt;I122),testdataClose[[#This Row],[close]],I122))</f>
        <v>233.28</v>
      </c>
      <c r="J123" s="11">
        <f>(testdataClose[[#This Row],[close]]-testdataClose[[#This Row],[hl]])/testdataClose[[#This Row],[hl]]</f>
        <v>-1.3588820301783211E-2</v>
      </c>
      <c r="K123" s="15">
        <f t="shared" ca="1" si="2"/>
        <v>241.3388432833824</v>
      </c>
      <c r="L123" s="6"/>
      <c r="M123" s="19"/>
      <c r="N123" s="19"/>
      <c r="Q123" s="4">
        <v>122</v>
      </c>
      <c r="R123" s="33"/>
      <c r="S123" s="19"/>
      <c r="T123" s="19"/>
    </row>
    <row r="124" spans="1:20" x14ac:dyDescent="0.35">
      <c r="A124" s="7">
        <v>123</v>
      </c>
      <c r="B124" s="3">
        <v>42914</v>
      </c>
      <c r="C124" s="2">
        <v>231.22</v>
      </c>
      <c r="D124" s="2">
        <v>232.38</v>
      </c>
      <c r="E124" s="2">
        <v>230.97</v>
      </c>
      <c r="F124" s="14">
        <v>232.17</v>
      </c>
      <c r="G124" s="1">
        <v>73458688</v>
      </c>
      <c r="H124" s="6" t="s">
        <v>10</v>
      </c>
      <c r="I124" s="6">
        <f>IF(AND(H123="UP",testdataClose[[#This Row],[close]]&gt;I123),testdataClose[[#This Row],[close]],IF(AND(H123="DN",testdataClose[[#This Row],[close]]&lt;I123),testdataClose[[#This Row],[close]],I123))</f>
        <v>233.28</v>
      </c>
      <c r="J124" s="11">
        <f>(testdataClose[[#This Row],[close]]-testdataClose[[#This Row],[hl]])/testdataClose[[#This Row],[hl]]</f>
        <v>-4.7582304526749553E-3</v>
      </c>
      <c r="K124" s="15">
        <f t="shared" ca="1" si="2"/>
        <v>241.57470149233714</v>
      </c>
      <c r="L124" s="6"/>
      <c r="M124" s="19"/>
      <c r="N124" s="19"/>
      <c r="Q124" s="4">
        <v>123</v>
      </c>
      <c r="R124" s="33"/>
      <c r="S124" s="19"/>
      <c r="T124" s="19"/>
    </row>
    <row r="125" spans="1:20" x14ac:dyDescent="0.35">
      <c r="A125" s="7">
        <v>124</v>
      </c>
      <c r="B125" s="3">
        <v>42915</v>
      </c>
      <c r="C125" s="2">
        <v>232.33</v>
      </c>
      <c r="D125" s="2">
        <v>232.39</v>
      </c>
      <c r="E125" s="2">
        <v>228.8</v>
      </c>
      <c r="F125" s="14">
        <v>230.13</v>
      </c>
      <c r="G125" s="1">
        <v>112165824</v>
      </c>
      <c r="H125" s="6" t="s">
        <v>10</v>
      </c>
      <c r="I125" s="6">
        <f>IF(AND(H124="UP",testdataClose[[#This Row],[close]]&gt;I124),testdataClose[[#This Row],[close]],IF(AND(H124="DN",testdataClose[[#This Row],[close]]&lt;I124),testdataClose[[#This Row],[close]],I124))</f>
        <v>233.28</v>
      </c>
      <c r="J125" s="11">
        <f>(testdataClose[[#This Row],[close]]-testdataClose[[#This Row],[hl]])/testdataClose[[#This Row],[hl]]</f>
        <v>-1.350308641975311E-2</v>
      </c>
      <c r="K125" s="15">
        <f t="shared" ca="1" si="2"/>
        <v>241.81055970129188</v>
      </c>
      <c r="L125" s="6"/>
      <c r="M125" s="19"/>
      <c r="N125" s="19"/>
      <c r="Q125" s="4">
        <v>124</v>
      </c>
      <c r="R125" s="33"/>
      <c r="S125" s="19"/>
      <c r="T125" s="19"/>
    </row>
    <row r="126" spans="1:20" x14ac:dyDescent="0.35">
      <c r="A126" s="7">
        <v>125</v>
      </c>
      <c r="B126" s="3">
        <v>42916</v>
      </c>
      <c r="C126" s="2">
        <v>231.01</v>
      </c>
      <c r="D126" s="2">
        <v>231.42</v>
      </c>
      <c r="E126" s="2">
        <v>230.34</v>
      </c>
      <c r="F126" s="14">
        <v>230.56</v>
      </c>
      <c r="G126" s="1">
        <v>91055080</v>
      </c>
      <c r="H126" s="6" t="s">
        <v>10</v>
      </c>
      <c r="I126" s="6">
        <f>IF(AND(H125="UP",testdataClose[[#This Row],[close]]&gt;I125),testdataClose[[#This Row],[close]],IF(AND(H125="DN",testdataClose[[#This Row],[close]]&lt;I125),testdataClose[[#This Row],[close]],I125))</f>
        <v>233.28</v>
      </c>
      <c r="J126" s="11">
        <f>(testdataClose[[#This Row],[close]]-testdataClose[[#This Row],[hl]])/testdataClose[[#This Row],[hl]]</f>
        <v>-1.1659807956104247E-2</v>
      </c>
      <c r="K126" s="15">
        <f t="shared" ca="1" si="2"/>
        <v>242.04641791024665</v>
      </c>
      <c r="L126" s="6"/>
      <c r="M126" s="19"/>
      <c r="N126" s="19"/>
      <c r="Q126" s="4">
        <v>125</v>
      </c>
      <c r="R126" s="33"/>
      <c r="S126" s="19"/>
      <c r="T126" s="19"/>
    </row>
    <row r="127" spans="1:20" x14ac:dyDescent="0.35">
      <c r="A127" s="7">
        <v>126</v>
      </c>
      <c r="B127" s="3">
        <v>42919</v>
      </c>
      <c r="C127" s="2">
        <v>231.59</v>
      </c>
      <c r="D127" s="2">
        <v>232.06</v>
      </c>
      <c r="E127" s="2">
        <v>230.95</v>
      </c>
      <c r="F127" s="14">
        <v>230.95</v>
      </c>
      <c r="G127" s="1">
        <v>41063396</v>
      </c>
      <c r="H127" s="6" t="s">
        <v>10</v>
      </c>
      <c r="I127" s="6">
        <f>IF(AND(H126="UP",testdataClose[[#This Row],[close]]&gt;I126),testdataClose[[#This Row],[close]],IF(AND(H126="DN",testdataClose[[#This Row],[close]]&lt;I126),testdataClose[[#This Row],[close]],I126))</f>
        <v>233.28</v>
      </c>
      <c r="J127" s="11">
        <f>(testdataClose[[#This Row],[close]]-testdataClose[[#This Row],[hl]])/testdataClose[[#This Row],[hl]]</f>
        <v>-9.9879972565158279E-3</v>
      </c>
      <c r="K127" s="15">
        <f t="shared" ca="1" si="2"/>
        <v>242.28227611920144</v>
      </c>
      <c r="L127" s="6"/>
      <c r="M127" s="19"/>
      <c r="N127" s="19"/>
      <c r="Q127" s="4">
        <v>126</v>
      </c>
      <c r="R127" s="33"/>
      <c r="S127" s="19"/>
      <c r="T127" s="19"/>
    </row>
    <row r="128" spans="1:20" x14ac:dyDescent="0.35">
      <c r="A128" s="7">
        <v>127</v>
      </c>
      <c r="B128" s="3">
        <v>42921</v>
      </c>
      <c r="C128" s="2">
        <v>231.35</v>
      </c>
      <c r="D128" s="2">
        <v>231.71</v>
      </c>
      <c r="E128" s="2">
        <v>230.46</v>
      </c>
      <c r="F128" s="14">
        <v>231.48</v>
      </c>
      <c r="G128" s="1">
        <v>57082112</v>
      </c>
      <c r="H128" s="6" t="s">
        <v>10</v>
      </c>
      <c r="I128" s="6">
        <f>IF(AND(H127="UP",testdataClose[[#This Row],[close]]&gt;I127),testdataClose[[#This Row],[close]],IF(AND(H127="DN",testdataClose[[#This Row],[close]]&lt;I127),testdataClose[[#This Row],[close]],I127))</f>
        <v>233.28</v>
      </c>
      <c r="J128" s="11">
        <f>(testdataClose[[#This Row],[close]]-testdataClose[[#This Row],[hl]])/testdataClose[[#This Row],[hl]]</f>
        <v>-7.7160493827160984E-3</v>
      </c>
      <c r="K128" s="15">
        <f t="shared" ca="1" si="2"/>
        <v>242.51813432815624</v>
      </c>
      <c r="L128" s="6"/>
      <c r="M128" s="19"/>
      <c r="N128" s="19"/>
      <c r="Q128" s="4">
        <v>127</v>
      </c>
      <c r="R128" s="33"/>
      <c r="S128" s="19"/>
      <c r="T128" s="19"/>
    </row>
    <row r="129" spans="1:20" x14ac:dyDescent="0.35">
      <c r="A129" s="7">
        <v>128</v>
      </c>
      <c r="B129" s="3">
        <v>42922</v>
      </c>
      <c r="C129" s="2">
        <v>230.64</v>
      </c>
      <c r="D129" s="2">
        <v>230.77</v>
      </c>
      <c r="E129" s="2">
        <v>229.16</v>
      </c>
      <c r="F129" s="14">
        <v>229.36</v>
      </c>
      <c r="G129" s="1">
        <v>69339864</v>
      </c>
      <c r="H129" s="6" t="s">
        <v>10</v>
      </c>
      <c r="I129" s="6">
        <f>IF(AND(H128="UP",testdataClose[[#This Row],[close]]&gt;I128),testdataClose[[#This Row],[close]],IF(AND(H128="DN",testdataClose[[#This Row],[close]]&lt;I128),testdataClose[[#This Row],[close]],I128))</f>
        <v>233.28</v>
      </c>
      <c r="J129" s="11">
        <f>(testdataClose[[#This Row],[close]]-testdataClose[[#This Row],[hl]])/testdataClose[[#This Row],[hl]]</f>
        <v>-1.6803840877914897E-2</v>
      </c>
      <c r="K129" s="15">
        <f t="shared" ca="1" si="2"/>
        <v>242.75399253711106</v>
      </c>
      <c r="L129" s="6"/>
      <c r="M129" s="19"/>
      <c r="N129" s="19"/>
      <c r="Q129" s="4">
        <v>128</v>
      </c>
      <c r="R129" s="33"/>
      <c r="S129" s="19"/>
      <c r="T129" s="19"/>
    </row>
    <row r="130" spans="1:20" x14ac:dyDescent="0.35">
      <c r="A130" s="7">
        <v>129</v>
      </c>
      <c r="B130" s="3">
        <v>42923</v>
      </c>
      <c r="C130" s="2">
        <v>229.99</v>
      </c>
      <c r="D130" s="2">
        <v>231.01</v>
      </c>
      <c r="E130" s="2">
        <v>229.38</v>
      </c>
      <c r="F130" s="14">
        <v>230.85</v>
      </c>
      <c r="G130" s="1">
        <v>60799664</v>
      </c>
      <c r="H130" s="6" t="s">
        <v>10</v>
      </c>
      <c r="I130" s="6">
        <f>IF(AND(H129="UP",testdataClose[[#This Row],[close]]&gt;I129),testdataClose[[#This Row],[close]],IF(AND(H129="DN",testdataClose[[#This Row],[close]]&lt;I129),testdataClose[[#This Row],[close]],I129))</f>
        <v>233.28</v>
      </c>
      <c r="J130" s="11">
        <f>(testdataClose[[#This Row],[close]]-testdataClose[[#This Row],[hl]])/testdataClose[[#This Row],[hl]]</f>
        <v>-1.0416666666666696E-2</v>
      </c>
      <c r="K130" s="15">
        <f t="shared" ca="1" si="2"/>
        <v>242.98985074606591</v>
      </c>
      <c r="L130" s="6"/>
      <c r="M130" s="19"/>
      <c r="N130" s="19"/>
      <c r="Q130" s="4">
        <v>129</v>
      </c>
      <c r="R130" s="33"/>
      <c r="S130" s="19"/>
      <c r="T130" s="19"/>
    </row>
    <row r="131" spans="1:20" x14ac:dyDescent="0.35">
      <c r="A131" s="7">
        <v>130</v>
      </c>
      <c r="B131" s="3">
        <v>42926</v>
      </c>
      <c r="C131" s="2">
        <v>230.7</v>
      </c>
      <c r="D131" s="2">
        <v>231.51</v>
      </c>
      <c r="E131" s="2">
        <v>230.52</v>
      </c>
      <c r="F131" s="14">
        <v>231.1</v>
      </c>
      <c r="G131" s="1">
        <v>38451396</v>
      </c>
      <c r="H131" s="6" t="s">
        <v>10</v>
      </c>
      <c r="I131" s="6">
        <f>IF(AND(H130="UP",testdataClose[[#This Row],[close]]&gt;I130),testdataClose[[#This Row],[close]],IF(AND(H130="DN",testdataClose[[#This Row],[close]]&lt;I130),testdataClose[[#This Row],[close]],I130))</f>
        <v>233.28</v>
      </c>
      <c r="J131" s="11">
        <f>(testdataClose[[#This Row],[close]]-testdataClose[[#This Row],[hl]])/testdataClose[[#This Row],[hl]]</f>
        <v>-9.3449931412894673E-3</v>
      </c>
      <c r="K131" s="15">
        <f t="shared" ca="1" si="2"/>
        <v>243.22570895502076</v>
      </c>
      <c r="L131" s="6"/>
      <c r="M131" s="19"/>
      <c r="N131" s="19"/>
      <c r="Q131" s="4">
        <v>130</v>
      </c>
      <c r="R131" s="33"/>
      <c r="S131" s="19"/>
      <c r="T131" s="19"/>
    </row>
    <row r="132" spans="1:20" x14ac:dyDescent="0.35">
      <c r="A132" s="7">
        <v>131</v>
      </c>
      <c r="B132" s="3">
        <v>42927</v>
      </c>
      <c r="C132" s="2">
        <v>230.9</v>
      </c>
      <c r="D132" s="2">
        <v>231.27</v>
      </c>
      <c r="E132" s="2">
        <v>229.65</v>
      </c>
      <c r="F132" s="14">
        <v>230.93</v>
      </c>
      <c r="G132" s="1">
        <v>52810484</v>
      </c>
      <c r="H132" s="6" t="s">
        <v>10</v>
      </c>
      <c r="I132" s="6">
        <f>IF(AND(H131="UP",testdataClose[[#This Row],[close]]&gt;I131),testdataClose[[#This Row],[close]],IF(AND(H131="DN",testdataClose[[#This Row],[close]]&lt;I131),testdataClose[[#This Row],[close]],I131))</f>
        <v>233.28</v>
      </c>
      <c r="J132" s="11">
        <f>(testdataClose[[#This Row],[close]]-testdataClose[[#This Row],[hl]])/testdataClose[[#This Row],[hl]]</f>
        <v>-1.0073731138545929E-2</v>
      </c>
      <c r="K132" s="15">
        <f t="shared" ref="K132:K195" ca="1" si="3">AVERAGE(K131,K133)</f>
        <v>243.46156716397564</v>
      </c>
      <c r="L132" s="6"/>
      <c r="M132" s="19"/>
      <c r="N132" s="19"/>
      <c r="Q132" s="4">
        <v>131</v>
      </c>
      <c r="R132" s="33"/>
      <c r="S132" s="19"/>
      <c r="T132" s="19"/>
    </row>
    <row r="133" spans="1:20" x14ac:dyDescent="0.35">
      <c r="A133" s="7">
        <v>132</v>
      </c>
      <c r="B133" s="3">
        <v>42928</v>
      </c>
      <c r="C133" s="2">
        <v>231.99</v>
      </c>
      <c r="D133" s="2">
        <v>232.84</v>
      </c>
      <c r="E133" s="2">
        <v>231.99</v>
      </c>
      <c r="F133" s="14">
        <v>232.66</v>
      </c>
      <c r="G133" s="1">
        <v>62517696</v>
      </c>
      <c r="H133" s="6" t="s">
        <v>10</v>
      </c>
      <c r="I133" s="6">
        <f>IF(AND(H132="UP",testdataClose[[#This Row],[close]]&gt;I132),testdataClose[[#This Row],[close]],IF(AND(H132="DN",testdataClose[[#This Row],[close]]&lt;I132),testdataClose[[#This Row],[close]],I132))</f>
        <v>233.28</v>
      </c>
      <c r="J133" s="11">
        <f>(testdataClose[[#This Row],[close]]-testdataClose[[#This Row],[hl]])/testdataClose[[#This Row],[hl]]</f>
        <v>-2.6577503429355475E-3</v>
      </c>
      <c r="K133" s="15">
        <f t="shared" ca="1" si="3"/>
        <v>243.69742537293055</v>
      </c>
      <c r="L133" s="6"/>
      <c r="M133" s="19"/>
      <c r="N133" s="19"/>
      <c r="Q133" s="4">
        <v>132</v>
      </c>
      <c r="R133" s="33"/>
      <c r="S133" s="19"/>
      <c r="T133" s="19"/>
    </row>
    <row r="134" spans="1:20" x14ac:dyDescent="0.35">
      <c r="A134" s="7">
        <v>133</v>
      </c>
      <c r="B134" s="3">
        <v>42929</v>
      </c>
      <c r="C134" s="2">
        <v>232.67</v>
      </c>
      <c r="D134" s="2">
        <v>233.18</v>
      </c>
      <c r="E134" s="2">
        <v>232.42</v>
      </c>
      <c r="F134" s="14">
        <v>233.05</v>
      </c>
      <c r="G134" s="1">
        <v>41396728</v>
      </c>
      <c r="H134" s="6" t="s">
        <v>10</v>
      </c>
      <c r="I134" s="6">
        <f>IF(AND(H133="UP",testdataClose[[#This Row],[close]]&gt;I133),testdataClose[[#This Row],[close]],IF(AND(H133="DN",testdataClose[[#This Row],[close]]&lt;I133),testdataClose[[#This Row],[close]],I133))</f>
        <v>233.28</v>
      </c>
      <c r="J134" s="11">
        <f>(testdataClose[[#This Row],[close]]-testdataClose[[#This Row],[hl]])/testdataClose[[#This Row],[hl]]</f>
        <v>-9.8593964334700687E-4</v>
      </c>
      <c r="K134" s="15">
        <f t="shared" ca="1" si="3"/>
        <v>243.93328358188546</v>
      </c>
      <c r="L134" s="6"/>
      <c r="M134" s="19"/>
      <c r="N134" s="19"/>
      <c r="Q134" s="4">
        <v>133</v>
      </c>
      <c r="R134" s="33"/>
      <c r="S134" s="19"/>
      <c r="T134" s="19"/>
    </row>
    <row r="135" spans="1:20" x14ac:dyDescent="0.35">
      <c r="A135" s="7">
        <v>134</v>
      </c>
      <c r="B135" s="3">
        <v>42930</v>
      </c>
      <c r="C135" s="2">
        <v>233.06</v>
      </c>
      <c r="D135" s="2">
        <v>234.53</v>
      </c>
      <c r="E135" s="2">
        <v>232.95</v>
      </c>
      <c r="F135" s="14">
        <v>234.14</v>
      </c>
      <c r="G135" s="1">
        <v>63201796</v>
      </c>
      <c r="H135" s="6" t="s">
        <v>10</v>
      </c>
      <c r="I135" s="6">
        <f>IF(AND(H134="UP",testdataClose[[#This Row],[close]]&gt;I134),testdataClose[[#This Row],[close]],IF(AND(H134="DN",testdataClose[[#This Row],[close]]&lt;I134),testdataClose[[#This Row],[close]],I134))</f>
        <v>234.14</v>
      </c>
      <c r="J135" s="11">
        <f>(testdataClose[[#This Row],[close]]-testdataClose[[#This Row],[hl]])/testdataClose[[#This Row],[hl]]</f>
        <v>0</v>
      </c>
      <c r="K135" s="15">
        <f t="shared" ca="1" si="3"/>
        <v>244.1691417908404</v>
      </c>
      <c r="L135" s="6"/>
      <c r="M135" s="19"/>
      <c r="N135" s="19"/>
      <c r="Q135" s="4">
        <v>134</v>
      </c>
      <c r="R135" s="33"/>
      <c r="S135" s="19"/>
      <c r="T135" s="19"/>
    </row>
    <row r="136" spans="1:20" x14ac:dyDescent="0.35">
      <c r="A136" s="7">
        <v>135</v>
      </c>
      <c r="B136" s="3">
        <v>42933</v>
      </c>
      <c r="C136" s="2">
        <v>234.05</v>
      </c>
      <c r="D136" s="2">
        <v>234.47</v>
      </c>
      <c r="E136" s="2">
        <v>233.92</v>
      </c>
      <c r="F136" s="14">
        <v>234.11</v>
      </c>
      <c r="G136" s="1">
        <v>35167316</v>
      </c>
      <c r="H136" s="6" t="s">
        <v>10</v>
      </c>
      <c r="I136" s="6">
        <f>IF(AND(H135="UP",testdataClose[[#This Row],[close]]&gt;I135),testdataClose[[#This Row],[close]],IF(AND(H135="DN",testdataClose[[#This Row],[close]]&lt;I135),testdataClose[[#This Row],[close]],I135))</f>
        <v>234.14</v>
      </c>
      <c r="J136" s="11">
        <f>(testdataClose[[#This Row],[close]]-testdataClose[[#This Row],[hl]])/testdataClose[[#This Row],[hl]]</f>
        <v>-1.2812847014594993E-4</v>
      </c>
      <c r="K136" s="15">
        <f t="shared" ca="1" si="3"/>
        <v>244.40499999979536</v>
      </c>
      <c r="L136" s="6"/>
      <c r="M136" s="19"/>
      <c r="N136" s="19"/>
      <c r="Q136" s="4">
        <v>135</v>
      </c>
      <c r="R136" s="33"/>
      <c r="S136" s="19"/>
      <c r="T136" s="19"/>
    </row>
    <row r="137" spans="1:20" x14ac:dyDescent="0.35">
      <c r="A137" s="7">
        <v>136</v>
      </c>
      <c r="B137" s="3">
        <v>42934</v>
      </c>
      <c r="C137" s="2">
        <v>233.66</v>
      </c>
      <c r="D137" s="2">
        <v>234.29</v>
      </c>
      <c r="E137" s="2">
        <v>233.29</v>
      </c>
      <c r="F137" s="14">
        <v>234.24</v>
      </c>
      <c r="G137" s="1">
        <v>44827112</v>
      </c>
      <c r="H137" s="6" t="s">
        <v>10</v>
      </c>
      <c r="I137" s="6">
        <f>IF(AND(H136="UP",testdataClose[[#This Row],[close]]&gt;I136),testdataClose[[#This Row],[close]],IF(AND(H136="DN",testdataClose[[#This Row],[close]]&lt;I136),testdataClose[[#This Row],[close]],I136))</f>
        <v>234.24</v>
      </c>
      <c r="J137" s="11">
        <f>(testdataClose[[#This Row],[close]]-testdataClose[[#This Row],[hl]])/testdataClose[[#This Row],[hl]]</f>
        <v>0</v>
      </c>
      <c r="K137" s="15">
        <f t="shared" ca="1" si="3"/>
        <v>244.64085820875033</v>
      </c>
      <c r="L137" s="6"/>
      <c r="M137" s="19"/>
      <c r="N137" s="19"/>
      <c r="Q137" s="4">
        <v>136</v>
      </c>
      <c r="R137" s="33"/>
      <c r="S137" s="19"/>
      <c r="T137" s="19"/>
    </row>
    <row r="138" spans="1:20" x14ac:dyDescent="0.35">
      <c r="A138" s="7">
        <v>137</v>
      </c>
      <c r="B138" s="3">
        <v>42935</v>
      </c>
      <c r="C138" s="2">
        <v>234.58</v>
      </c>
      <c r="D138" s="2">
        <v>235.51</v>
      </c>
      <c r="E138" s="2">
        <v>234.57</v>
      </c>
      <c r="F138" s="14">
        <v>235.5</v>
      </c>
      <c r="G138" s="1">
        <v>53523280</v>
      </c>
      <c r="H138" s="6" t="s">
        <v>10</v>
      </c>
      <c r="I138" s="6">
        <f>IF(AND(H137="UP",testdataClose[[#This Row],[close]]&gt;I137),testdataClose[[#This Row],[close]],IF(AND(H137="DN",testdataClose[[#This Row],[close]]&lt;I137),testdataClose[[#This Row],[close]],I137))</f>
        <v>235.5</v>
      </c>
      <c r="J138" s="11">
        <f>(testdataClose[[#This Row],[close]]-testdataClose[[#This Row],[hl]])/testdataClose[[#This Row],[hl]]</f>
        <v>0</v>
      </c>
      <c r="K138" s="15">
        <f t="shared" ca="1" si="3"/>
        <v>244.87671641770532</v>
      </c>
      <c r="L138" s="6"/>
      <c r="M138" s="19"/>
      <c r="N138" s="19"/>
      <c r="Q138" s="4">
        <v>137</v>
      </c>
      <c r="R138" s="33"/>
      <c r="S138" s="19"/>
      <c r="T138" s="19"/>
    </row>
    <row r="139" spans="1:20" x14ac:dyDescent="0.35">
      <c r="A139" s="7">
        <v>138</v>
      </c>
      <c r="B139" s="3">
        <v>42936</v>
      </c>
      <c r="C139" s="2">
        <v>235.78</v>
      </c>
      <c r="D139" s="2">
        <v>235.91</v>
      </c>
      <c r="E139" s="2">
        <v>235.01</v>
      </c>
      <c r="F139" s="14">
        <v>235.61</v>
      </c>
      <c r="G139" s="1">
        <v>49434036</v>
      </c>
      <c r="H139" s="6" t="s">
        <v>10</v>
      </c>
      <c r="I139" s="6">
        <f>IF(AND(H138="UP",testdataClose[[#This Row],[close]]&gt;I138),testdataClose[[#This Row],[close]],IF(AND(H138="DN",testdataClose[[#This Row],[close]]&lt;I138),testdataClose[[#This Row],[close]],I138))</f>
        <v>235.61</v>
      </c>
      <c r="J139" s="11">
        <f>(testdataClose[[#This Row],[close]]-testdataClose[[#This Row],[hl]])/testdataClose[[#This Row],[hl]]</f>
        <v>0</v>
      </c>
      <c r="K139" s="15">
        <f t="shared" ca="1" si="3"/>
        <v>245.11257462666035</v>
      </c>
      <c r="L139" s="6"/>
      <c r="M139" s="19"/>
      <c r="N139" s="19"/>
      <c r="Q139" s="4">
        <v>138</v>
      </c>
      <c r="R139" s="33"/>
      <c r="S139" s="19"/>
      <c r="T139" s="19"/>
    </row>
    <row r="140" spans="1:20" x14ac:dyDescent="0.35">
      <c r="A140" s="7">
        <v>139</v>
      </c>
      <c r="B140" s="3">
        <v>42937</v>
      </c>
      <c r="C140" s="2">
        <v>234.98</v>
      </c>
      <c r="D140" s="2">
        <v>235.43</v>
      </c>
      <c r="E140" s="2">
        <v>234.73</v>
      </c>
      <c r="F140" s="14">
        <v>235.4</v>
      </c>
      <c r="G140" s="1">
        <v>93037592</v>
      </c>
      <c r="H140" s="6" t="s">
        <v>10</v>
      </c>
      <c r="I140" s="6">
        <f>IF(AND(H139="UP",testdataClose[[#This Row],[close]]&gt;I139),testdataClose[[#This Row],[close]],IF(AND(H139="DN",testdataClose[[#This Row],[close]]&lt;I139),testdataClose[[#This Row],[close]],I139))</f>
        <v>235.61</v>
      </c>
      <c r="J140" s="11">
        <f>(testdataClose[[#This Row],[close]]-testdataClose[[#This Row],[hl]])/testdataClose[[#This Row],[hl]]</f>
        <v>-8.913034251517675E-4</v>
      </c>
      <c r="K140" s="15">
        <f t="shared" ca="1" si="3"/>
        <v>245.34843283561537</v>
      </c>
      <c r="L140" s="6"/>
      <c r="M140" s="19"/>
      <c r="N140" s="19"/>
      <c r="Q140" s="4">
        <v>139</v>
      </c>
      <c r="R140" s="33"/>
      <c r="S140" s="19"/>
      <c r="T140" s="19"/>
    </row>
    <row r="141" spans="1:20" x14ac:dyDescent="0.35">
      <c r="A141" s="7">
        <v>140</v>
      </c>
      <c r="B141" s="3">
        <v>42940</v>
      </c>
      <c r="C141" s="2">
        <v>235.31</v>
      </c>
      <c r="D141" s="2">
        <v>235.49</v>
      </c>
      <c r="E141" s="2">
        <v>234.83</v>
      </c>
      <c r="F141" s="14">
        <v>235.34</v>
      </c>
      <c r="G141" s="1">
        <v>48896096</v>
      </c>
      <c r="H141" s="6" t="s">
        <v>10</v>
      </c>
      <c r="I141" s="6">
        <f>IF(AND(H140="UP",testdataClose[[#This Row],[close]]&gt;I140),testdataClose[[#This Row],[close]],IF(AND(H140="DN",testdataClose[[#This Row],[close]]&lt;I140),testdataClose[[#This Row],[close]],I140))</f>
        <v>235.61</v>
      </c>
      <c r="J141" s="11">
        <f>(testdataClose[[#This Row],[close]]-testdataClose[[#This Row],[hl]])/testdataClose[[#This Row],[hl]]</f>
        <v>-1.1459615466237012E-3</v>
      </c>
      <c r="K141" s="15">
        <f t="shared" ca="1" si="3"/>
        <v>245.58429104457042</v>
      </c>
      <c r="L141" s="6"/>
      <c r="M141" s="19"/>
      <c r="N141" s="19"/>
      <c r="Q141" s="4">
        <v>140</v>
      </c>
      <c r="R141" s="33"/>
      <c r="S141" s="19"/>
      <c r="T141" s="19"/>
    </row>
    <row r="142" spans="1:20" x14ac:dyDescent="0.35">
      <c r="A142" s="7">
        <v>141</v>
      </c>
      <c r="B142" s="3">
        <v>42941</v>
      </c>
      <c r="C142" s="2">
        <v>236.16</v>
      </c>
      <c r="D142" s="2">
        <v>236.28</v>
      </c>
      <c r="E142" s="2">
        <v>235.67</v>
      </c>
      <c r="F142" s="14">
        <v>235.91</v>
      </c>
      <c r="G142" s="1">
        <v>57593908</v>
      </c>
      <c r="H142" s="6" t="s">
        <v>10</v>
      </c>
      <c r="I142" s="6">
        <f>IF(AND(H141="UP",testdataClose[[#This Row],[close]]&gt;I141),testdataClose[[#This Row],[close]],IF(AND(H141="DN",testdataClose[[#This Row],[close]]&lt;I141),testdataClose[[#This Row],[close]],I141))</f>
        <v>235.91</v>
      </c>
      <c r="J142" s="11">
        <f>(testdataClose[[#This Row],[close]]-testdataClose[[#This Row],[hl]])/testdataClose[[#This Row],[hl]]</f>
        <v>0</v>
      </c>
      <c r="K142" s="15">
        <f t="shared" ca="1" si="3"/>
        <v>245.8201492535255</v>
      </c>
      <c r="L142" s="6"/>
      <c r="M142" s="19"/>
      <c r="N142" s="19"/>
      <c r="Q142" s="4">
        <v>141</v>
      </c>
      <c r="R142" s="33"/>
      <c r="S142" s="19"/>
      <c r="T142" s="19"/>
    </row>
    <row r="143" spans="1:20" x14ac:dyDescent="0.35">
      <c r="A143" s="7">
        <v>142</v>
      </c>
      <c r="B143" s="3">
        <v>42942</v>
      </c>
      <c r="C143" s="2">
        <v>236.23</v>
      </c>
      <c r="D143" s="2">
        <v>236.27</v>
      </c>
      <c r="E143" s="2">
        <v>235.64</v>
      </c>
      <c r="F143" s="14">
        <v>235.92</v>
      </c>
      <c r="G143" s="1">
        <v>49895744</v>
      </c>
      <c r="H143" s="6" t="s">
        <v>10</v>
      </c>
      <c r="I143" s="6">
        <f>IF(AND(H142="UP",testdataClose[[#This Row],[close]]&gt;I142),testdataClose[[#This Row],[close]],IF(AND(H142="DN",testdataClose[[#This Row],[close]]&lt;I142),testdataClose[[#This Row],[close]],I142))</f>
        <v>235.92</v>
      </c>
      <c r="J143" s="11">
        <f>(testdataClose[[#This Row],[close]]-testdataClose[[#This Row],[hl]])/testdataClose[[#This Row],[hl]]</f>
        <v>0</v>
      </c>
      <c r="K143" s="15">
        <f t="shared" ca="1" si="3"/>
        <v>246.05600746248058</v>
      </c>
      <c r="L143" s="6"/>
      <c r="M143" s="19"/>
      <c r="N143" s="19"/>
      <c r="Q143" s="4">
        <v>142</v>
      </c>
      <c r="R143" s="33"/>
      <c r="S143" s="19"/>
      <c r="T143" s="19"/>
    </row>
    <row r="144" spans="1:20" x14ac:dyDescent="0.35">
      <c r="A144" s="7">
        <v>143</v>
      </c>
      <c r="B144" s="3">
        <v>42943</v>
      </c>
      <c r="C144" s="2">
        <v>236.43</v>
      </c>
      <c r="D144" s="2">
        <v>236.47</v>
      </c>
      <c r="E144" s="2">
        <v>234.26</v>
      </c>
      <c r="F144" s="14">
        <v>235.7</v>
      </c>
      <c r="G144" s="1">
        <v>74217968</v>
      </c>
      <c r="H144" s="6" t="s">
        <v>10</v>
      </c>
      <c r="I144" s="6">
        <f>IF(AND(H143="UP",testdataClose[[#This Row],[close]]&gt;I143),testdataClose[[#This Row],[close]],IF(AND(H143="DN",testdataClose[[#This Row],[close]]&lt;I143),testdataClose[[#This Row],[close]],I143))</f>
        <v>235.92</v>
      </c>
      <c r="J144" s="11">
        <f>(testdataClose[[#This Row],[close]]-testdataClose[[#This Row],[hl]])/testdataClose[[#This Row],[hl]]</f>
        <v>-9.3251949813495628E-4</v>
      </c>
      <c r="K144" s="15">
        <f t="shared" ca="1" si="3"/>
        <v>246.29186567143569</v>
      </c>
      <c r="L144" s="6"/>
      <c r="M144" s="19"/>
      <c r="N144" s="19"/>
      <c r="Q144" s="4">
        <v>143</v>
      </c>
      <c r="R144" s="33"/>
      <c r="S144" s="19"/>
      <c r="T144" s="19"/>
    </row>
    <row r="145" spans="1:20" x14ac:dyDescent="0.35">
      <c r="A145" s="7">
        <v>144</v>
      </c>
      <c r="B145" s="3">
        <v>42944</v>
      </c>
      <c r="C145" s="2">
        <v>235.18</v>
      </c>
      <c r="D145" s="2">
        <v>235.57</v>
      </c>
      <c r="E145" s="2">
        <v>234.68</v>
      </c>
      <c r="F145" s="14">
        <v>235.43</v>
      </c>
      <c r="G145" s="1">
        <v>52531244</v>
      </c>
      <c r="H145" s="6" t="s">
        <v>10</v>
      </c>
      <c r="I145" s="6">
        <f>IF(AND(H144="UP",testdataClose[[#This Row],[close]]&gt;I144),testdataClose[[#This Row],[close]],IF(AND(H144="DN",testdataClose[[#This Row],[close]]&lt;I144),testdataClose[[#This Row],[close]],I144))</f>
        <v>235.92</v>
      </c>
      <c r="J145" s="11">
        <f>(testdataClose[[#This Row],[close]]-testdataClose[[#This Row],[hl]])/testdataClose[[#This Row],[hl]]</f>
        <v>-2.0769752458459677E-3</v>
      </c>
      <c r="K145" s="15">
        <f t="shared" ca="1" si="3"/>
        <v>246.52772388039082</v>
      </c>
      <c r="L145" s="6"/>
      <c r="M145" s="19"/>
      <c r="N145" s="19"/>
      <c r="Q145" s="4">
        <v>144</v>
      </c>
      <c r="R145" s="33"/>
      <c r="S145" s="19"/>
      <c r="T145" s="19"/>
    </row>
    <row r="146" spans="1:20" x14ac:dyDescent="0.35">
      <c r="A146" s="7">
        <v>145</v>
      </c>
      <c r="B146" s="3">
        <v>42947</v>
      </c>
      <c r="C146" s="2">
        <v>235.87</v>
      </c>
      <c r="D146" s="2">
        <v>235.97</v>
      </c>
      <c r="E146" s="2">
        <v>235.07</v>
      </c>
      <c r="F146" s="14">
        <v>235.29</v>
      </c>
      <c r="G146" s="1">
        <v>69049712</v>
      </c>
      <c r="H146" s="6" t="s">
        <v>10</v>
      </c>
      <c r="I146" s="6">
        <f>IF(AND(H145="UP",testdataClose[[#This Row],[close]]&gt;I145),testdataClose[[#This Row],[close]],IF(AND(H145="DN",testdataClose[[#This Row],[close]]&lt;I145),testdataClose[[#This Row],[close]],I145))</f>
        <v>235.92</v>
      </c>
      <c r="J146" s="11">
        <f>(testdataClose[[#This Row],[close]]-testdataClose[[#This Row],[hl]])/testdataClose[[#This Row],[hl]]</f>
        <v>-2.6703967446591874E-3</v>
      </c>
      <c r="K146" s="15">
        <f t="shared" ca="1" si="3"/>
        <v>246.76358208934596</v>
      </c>
      <c r="L146" s="6"/>
      <c r="M146" s="19"/>
      <c r="N146" s="19"/>
      <c r="Q146" s="4">
        <v>145</v>
      </c>
      <c r="R146" s="33"/>
      <c r="S146" s="19"/>
      <c r="T146" s="19"/>
    </row>
    <row r="147" spans="1:20" x14ac:dyDescent="0.35">
      <c r="A147" s="7">
        <v>146</v>
      </c>
      <c r="B147" s="3">
        <v>42948</v>
      </c>
      <c r="C147" s="2">
        <v>235.95</v>
      </c>
      <c r="D147" s="2">
        <v>235.99</v>
      </c>
      <c r="E147" s="2">
        <v>235.24</v>
      </c>
      <c r="F147" s="14">
        <v>235.82</v>
      </c>
      <c r="G147" s="1">
        <v>57735292</v>
      </c>
      <c r="H147" s="6" t="s">
        <v>10</v>
      </c>
      <c r="I147" s="6">
        <f>IF(AND(H146="UP",testdataClose[[#This Row],[close]]&gt;I146),testdataClose[[#This Row],[close]],IF(AND(H146="DN",testdataClose[[#This Row],[close]]&lt;I146),testdataClose[[#This Row],[close]],I146))</f>
        <v>235.92</v>
      </c>
      <c r="J147" s="11">
        <f>(testdataClose[[#This Row],[close]]-testdataClose[[#This Row],[hl]])/testdataClose[[#This Row],[hl]]</f>
        <v>-4.2387249915223094E-4</v>
      </c>
      <c r="K147" s="15">
        <f t="shared" ca="1" si="3"/>
        <v>246.99944029830112</v>
      </c>
      <c r="L147" s="6"/>
      <c r="M147" s="19"/>
      <c r="N147" s="19"/>
      <c r="Q147" s="4">
        <v>146</v>
      </c>
      <c r="R147" s="33"/>
      <c r="S147" s="19"/>
      <c r="T147" s="19"/>
    </row>
    <row r="148" spans="1:20" x14ac:dyDescent="0.35">
      <c r="A148" s="7">
        <v>147</v>
      </c>
      <c r="B148" s="3">
        <v>42949</v>
      </c>
      <c r="C148" s="2">
        <v>235.96</v>
      </c>
      <c r="D148" s="2">
        <v>236.09</v>
      </c>
      <c r="E148" s="2">
        <v>234.91</v>
      </c>
      <c r="F148" s="14">
        <v>235.93</v>
      </c>
      <c r="G148" s="1">
        <v>49513776</v>
      </c>
      <c r="H148" s="6" t="s">
        <v>10</v>
      </c>
      <c r="I148" s="6">
        <f>IF(AND(H147="UP",testdataClose[[#This Row],[close]]&gt;I147),testdataClose[[#This Row],[close]],IF(AND(H147="DN",testdataClose[[#This Row],[close]]&lt;I147),testdataClose[[#This Row],[close]],I147))</f>
        <v>235.93</v>
      </c>
      <c r="J148" s="11">
        <f>(testdataClose[[#This Row],[close]]-testdataClose[[#This Row],[hl]])/testdataClose[[#This Row],[hl]]</f>
        <v>0</v>
      </c>
      <c r="K148" s="15">
        <f t="shared" ca="1" si="3"/>
        <v>247.23529850725632</v>
      </c>
      <c r="L148" s="6"/>
      <c r="M148" s="19"/>
      <c r="N148" s="19"/>
      <c r="Q148" s="4">
        <v>147</v>
      </c>
      <c r="R148" s="33"/>
      <c r="S148" s="19"/>
      <c r="T148" s="19"/>
    </row>
    <row r="149" spans="1:20" x14ac:dyDescent="0.35">
      <c r="A149" s="7">
        <v>148</v>
      </c>
      <c r="B149" s="3">
        <v>42950</v>
      </c>
      <c r="C149" s="2">
        <v>235.81</v>
      </c>
      <c r="D149" s="2">
        <v>235.84</v>
      </c>
      <c r="E149" s="2">
        <v>235.17</v>
      </c>
      <c r="F149" s="14">
        <v>235.48</v>
      </c>
      <c r="G149" s="1">
        <v>42848608</v>
      </c>
      <c r="H149" s="6" t="s">
        <v>10</v>
      </c>
      <c r="I149" s="6">
        <f>IF(AND(H148="UP",testdataClose[[#This Row],[close]]&gt;I148),testdataClose[[#This Row],[close]],IF(AND(H148="DN",testdataClose[[#This Row],[close]]&lt;I148),testdataClose[[#This Row],[close]],I148))</f>
        <v>235.93</v>
      </c>
      <c r="J149" s="11">
        <f>(testdataClose[[#This Row],[close]]-testdataClose[[#This Row],[hl]])/testdataClose[[#This Row],[hl]]</f>
        <v>-1.9073453990591151E-3</v>
      </c>
      <c r="K149" s="15">
        <f t="shared" ca="1" si="3"/>
        <v>247.47115671621151</v>
      </c>
      <c r="L149" s="6"/>
      <c r="M149" s="19"/>
      <c r="N149" s="19"/>
      <c r="Q149" s="4">
        <v>148</v>
      </c>
      <c r="R149" s="33"/>
      <c r="S149" s="19"/>
      <c r="T149" s="19"/>
    </row>
    <row r="150" spans="1:20" x14ac:dyDescent="0.35">
      <c r="A150" s="7">
        <v>149</v>
      </c>
      <c r="B150" s="3">
        <v>42951</v>
      </c>
      <c r="C150" s="2">
        <v>236.01</v>
      </c>
      <c r="D150" s="2">
        <v>236.27</v>
      </c>
      <c r="E150" s="2">
        <v>235.49</v>
      </c>
      <c r="F150" s="14">
        <v>235.9</v>
      </c>
      <c r="G150" s="1">
        <v>63127488</v>
      </c>
      <c r="H150" s="6" t="s">
        <v>10</v>
      </c>
      <c r="I150" s="6">
        <f>IF(AND(H149="UP",testdataClose[[#This Row],[close]]&gt;I149),testdataClose[[#This Row],[close]],IF(AND(H149="DN",testdataClose[[#This Row],[close]]&lt;I149),testdataClose[[#This Row],[close]],I149))</f>
        <v>235.93</v>
      </c>
      <c r="J150" s="11">
        <f>(testdataClose[[#This Row],[close]]-testdataClose[[#This Row],[hl]])/testdataClose[[#This Row],[hl]]</f>
        <v>-1.2715635993727434E-4</v>
      </c>
      <c r="K150" s="15">
        <f t="shared" ca="1" si="3"/>
        <v>247.70701492516673</v>
      </c>
      <c r="L150" s="6"/>
      <c r="M150" s="19"/>
      <c r="N150" s="19"/>
      <c r="Q150" s="4">
        <v>149</v>
      </c>
      <c r="R150" s="33"/>
      <c r="S150" s="19"/>
      <c r="T150" s="19"/>
    </row>
    <row r="151" spans="1:20" x14ac:dyDescent="0.35">
      <c r="A151" s="7">
        <v>150</v>
      </c>
      <c r="B151" s="3">
        <v>42954</v>
      </c>
      <c r="C151" s="2">
        <v>235.98</v>
      </c>
      <c r="D151" s="2">
        <v>236.34</v>
      </c>
      <c r="E151" s="2">
        <v>235.87</v>
      </c>
      <c r="F151" s="14">
        <v>236.34</v>
      </c>
      <c r="G151" s="1">
        <v>33555464</v>
      </c>
      <c r="H151" s="6" t="s">
        <v>10</v>
      </c>
      <c r="I151" s="6">
        <f>IF(AND(H150="UP",testdataClose[[#This Row],[close]]&gt;I150),testdataClose[[#This Row],[close]],IF(AND(H150="DN",testdataClose[[#This Row],[close]]&lt;I150),testdataClose[[#This Row],[close]],I150))</f>
        <v>236.34</v>
      </c>
      <c r="J151" s="11">
        <f>(testdataClose[[#This Row],[close]]-testdataClose[[#This Row],[hl]])/testdataClose[[#This Row],[hl]]</f>
        <v>0</v>
      </c>
      <c r="K151" s="15">
        <f t="shared" ca="1" si="3"/>
        <v>247.94287313412198</v>
      </c>
      <c r="L151" s="6"/>
      <c r="M151" s="19"/>
      <c r="N151" s="19"/>
      <c r="Q151" s="4">
        <v>150</v>
      </c>
      <c r="R151" s="33"/>
      <c r="S151" s="19"/>
      <c r="T151" s="19"/>
    </row>
    <row r="152" spans="1:20" x14ac:dyDescent="0.35">
      <c r="A152" s="7">
        <v>151</v>
      </c>
      <c r="B152" s="3">
        <v>42955</v>
      </c>
      <c r="C152" s="2">
        <v>236</v>
      </c>
      <c r="D152" s="2">
        <v>237.33</v>
      </c>
      <c r="E152" s="2">
        <v>235.35</v>
      </c>
      <c r="F152" s="14">
        <v>235.76</v>
      </c>
      <c r="G152" s="1">
        <v>64729500</v>
      </c>
      <c r="H152" s="6" t="s">
        <v>10</v>
      </c>
      <c r="I152" s="6">
        <f>IF(AND(H151="UP",testdataClose[[#This Row],[close]]&gt;I151),testdataClose[[#This Row],[close]],IF(AND(H151="DN",testdataClose[[#This Row],[close]]&lt;I151),testdataClose[[#This Row],[close]],I151))</f>
        <v>236.34</v>
      </c>
      <c r="J152" s="11">
        <f>(testdataClose[[#This Row],[close]]-testdataClose[[#This Row],[hl]])/testdataClose[[#This Row],[hl]]</f>
        <v>-2.4540915630025069E-3</v>
      </c>
      <c r="K152" s="15">
        <f t="shared" ca="1" si="3"/>
        <v>248.17873134307723</v>
      </c>
      <c r="L152" s="6"/>
      <c r="M152" s="19"/>
      <c r="N152" s="19"/>
      <c r="Q152" s="4">
        <v>151</v>
      </c>
      <c r="R152" s="33"/>
      <c r="S152" s="19"/>
      <c r="T152" s="19"/>
    </row>
    <row r="153" spans="1:20" x14ac:dyDescent="0.35">
      <c r="A153" s="7">
        <v>152</v>
      </c>
      <c r="B153" s="3">
        <v>42956</v>
      </c>
      <c r="C153" s="2">
        <v>235.01</v>
      </c>
      <c r="D153" s="2">
        <v>235.81</v>
      </c>
      <c r="E153" s="2">
        <v>234.62</v>
      </c>
      <c r="F153" s="14">
        <v>235.75</v>
      </c>
      <c r="G153" s="1">
        <v>65687312</v>
      </c>
      <c r="H153" s="6" t="s">
        <v>10</v>
      </c>
      <c r="I153" s="6">
        <f>IF(AND(H152="UP",testdataClose[[#This Row],[close]]&gt;I152),testdataClose[[#This Row],[close]],IF(AND(H152="DN",testdataClose[[#This Row],[close]]&lt;I152),testdataClose[[#This Row],[close]],I152))</f>
        <v>236.34</v>
      </c>
      <c r="J153" s="11">
        <f>(testdataClose[[#This Row],[close]]-testdataClose[[#This Row],[hl]])/testdataClose[[#This Row],[hl]]</f>
        <v>-2.4964034865025109E-3</v>
      </c>
      <c r="K153" s="15">
        <f t="shared" ca="1" si="3"/>
        <v>248.41458955203251</v>
      </c>
      <c r="L153" s="6"/>
      <c r="M153" s="19"/>
      <c r="N153" s="19"/>
      <c r="Q153" s="4">
        <v>152</v>
      </c>
      <c r="R153" s="33"/>
      <c r="S153" s="19"/>
      <c r="T153" s="19"/>
    </row>
    <row r="154" spans="1:20" x14ac:dyDescent="0.35">
      <c r="A154" s="7">
        <v>153</v>
      </c>
      <c r="B154" s="3">
        <v>42957</v>
      </c>
      <c r="C154" s="2">
        <v>234.84</v>
      </c>
      <c r="D154" s="2">
        <v>234.98</v>
      </c>
      <c r="E154" s="2">
        <v>232.37</v>
      </c>
      <c r="F154" s="14">
        <v>232.42</v>
      </c>
      <c r="G154" s="1">
        <v>126355448</v>
      </c>
      <c r="H154" s="6" t="s">
        <v>10</v>
      </c>
      <c r="I154" s="6">
        <f>IF(AND(H153="UP",testdataClose[[#This Row],[close]]&gt;I153),testdataClose[[#This Row],[close]],IF(AND(H153="DN",testdataClose[[#This Row],[close]]&lt;I153),testdataClose[[#This Row],[close]],I153))</f>
        <v>236.34</v>
      </c>
      <c r="J154" s="11">
        <f>(testdataClose[[#This Row],[close]]-testdataClose[[#This Row],[hl]])/testdataClose[[#This Row],[hl]]</f>
        <v>-1.6586274012016653E-2</v>
      </c>
      <c r="K154" s="15">
        <f t="shared" ca="1" si="3"/>
        <v>248.65044776098782</v>
      </c>
      <c r="L154" s="6"/>
      <c r="M154" s="19"/>
      <c r="N154" s="19"/>
      <c r="Q154" s="4">
        <v>153</v>
      </c>
      <c r="R154" s="33"/>
      <c r="S154" s="19"/>
      <c r="T154" s="19"/>
    </row>
    <row r="155" spans="1:20" x14ac:dyDescent="0.35">
      <c r="A155" s="7">
        <v>154</v>
      </c>
      <c r="B155" s="3">
        <v>42958</v>
      </c>
      <c r="C155" s="2">
        <v>232.67</v>
      </c>
      <c r="D155" s="2">
        <v>233.42</v>
      </c>
      <c r="E155" s="2">
        <v>232.41</v>
      </c>
      <c r="F155" s="14">
        <v>232.77</v>
      </c>
      <c r="G155" s="1">
        <v>78521472</v>
      </c>
      <c r="H155" s="6" t="s">
        <v>10</v>
      </c>
      <c r="I155" s="6">
        <f>IF(AND(H154="UP",testdataClose[[#This Row],[close]]&gt;I154),testdataClose[[#This Row],[close]],IF(AND(H154="DN",testdataClose[[#This Row],[close]]&lt;I154),testdataClose[[#This Row],[close]],I154))</f>
        <v>236.34</v>
      </c>
      <c r="J155" s="11">
        <f>(testdataClose[[#This Row],[close]]-testdataClose[[#This Row],[hl]])/testdataClose[[#This Row],[hl]]</f>
        <v>-1.5105356689515076E-2</v>
      </c>
      <c r="K155" s="15">
        <f t="shared" ca="1" si="3"/>
        <v>248.88630596994312</v>
      </c>
      <c r="L155" s="6"/>
      <c r="M155" s="19"/>
      <c r="N155" s="19"/>
      <c r="Q155" s="4">
        <v>154</v>
      </c>
      <c r="R155" s="33"/>
      <c r="S155" s="19"/>
      <c r="T155" s="19"/>
    </row>
    <row r="156" spans="1:20" x14ac:dyDescent="0.35">
      <c r="A156" s="7">
        <v>155</v>
      </c>
      <c r="B156" s="3">
        <v>42961</v>
      </c>
      <c r="C156" s="2">
        <v>234.17</v>
      </c>
      <c r="D156" s="2">
        <v>235.31</v>
      </c>
      <c r="E156" s="2">
        <v>234.13</v>
      </c>
      <c r="F156" s="14">
        <v>235.07</v>
      </c>
      <c r="G156" s="1">
        <v>76866480</v>
      </c>
      <c r="H156" s="6" t="s">
        <v>10</v>
      </c>
      <c r="I156" s="6">
        <f>IF(AND(H155="UP",testdataClose[[#This Row],[close]]&gt;I155),testdataClose[[#This Row],[close]],IF(AND(H155="DN",testdataClose[[#This Row],[close]]&lt;I155),testdataClose[[#This Row],[close]],I155))</f>
        <v>236.34</v>
      </c>
      <c r="J156" s="11">
        <f>(testdataClose[[#This Row],[close]]-testdataClose[[#This Row],[hl]])/testdataClose[[#This Row],[hl]]</f>
        <v>-5.3736142845054171E-3</v>
      </c>
      <c r="K156" s="15">
        <f t="shared" ca="1" si="3"/>
        <v>249.12216417889846</v>
      </c>
      <c r="L156" s="6"/>
      <c r="M156" s="19"/>
      <c r="N156" s="19"/>
      <c r="Q156" s="4">
        <v>155</v>
      </c>
      <c r="R156" s="33"/>
      <c r="S156" s="19"/>
      <c r="T156" s="19"/>
    </row>
    <row r="157" spans="1:20" x14ac:dyDescent="0.35">
      <c r="A157" s="7">
        <v>156</v>
      </c>
      <c r="B157" s="3">
        <v>42962</v>
      </c>
      <c r="C157" s="2">
        <v>235.49</v>
      </c>
      <c r="D157" s="2">
        <v>235.51</v>
      </c>
      <c r="E157" s="2">
        <v>234.71</v>
      </c>
      <c r="F157" s="14">
        <v>235.05</v>
      </c>
      <c r="G157" s="1">
        <v>57937020</v>
      </c>
      <c r="H157" s="6" t="s">
        <v>10</v>
      </c>
      <c r="I157" s="6">
        <f>IF(AND(H156="UP",testdataClose[[#This Row],[close]]&gt;I156),testdataClose[[#This Row],[close]],IF(AND(H156="DN",testdataClose[[#This Row],[close]]&lt;I156),testdataClose[[#This Row],[close]],I156))</f>
        <v>236.34</v>
      </c>
      <c r="J157" s="11">
        <f>(testdataClose[[#This Row],[close]]-testdataClose[[#This Row],[hl]])/testdataClose[[#This Row],[hl]]</f>
        <v>-5.4582381315054244E-3</v>
      </c>
      <c r="K157" s="15">
        <f t="shared" ca="1" si="3"/>
        <v>249.35802238785382</v>
      </c>
      <c r="L157" s="6"/>
      <c r="M157" s="19"/>
      <c r="N157" s="19"/>
      <c r="Q157" s="4">
        <v>156</v>
      </c>
      <c r="R157" s="33"/>
      <c r="S157" s="19"/>
      <c r="T157" s="19"/>
    </row>
    <row r="158" spans="1:20" x14ac:dyDescent="0.35">
      <c r="A158" s="7">
        <v>157</v>
      </c>
      <c r="B158" s="3">
        <v>42963</v>
      </c>
      <c r="C158" s="2">
        <v>235.62</v>
      </c>
      <c r="D158" s="2">
        <v>236.06</v>
      </c>
      <c r="E158" s="2">
        <v>234.99</v>
      </c>
      <c r="F158" s="14">
        <v>235.46</v>
      </c>
      <c r="G158" s="1">
        <v>59481648</v>
      </c>
      <c r="H158" s="6" t="s">
        <v>10</v>
      </c>
      <c r="I158" s="6">
        <f>IF(AND(H157="UP",testdataClose[[#This Row],[close]]&gt;I157),testdataClose[[#This Row],[close]],IF(AND(H157="DN",testdataClose[[#This Row],[close]]&lt;I157),testdataClose[[#This Row],[close]],I157))</f>
        <v>236.34</v>
      </c>
      <c r="J158" s="11">
        <f>(testdataClose[[#This Row],[close]]-testdataClose[[#This Row],[hl]])/testdataClose[[#This Row],[hl]]</f>
        <v>-3.7234492680037041E-3</v>
      </c>
      <c r="K158" s="15">
        <f t="shared" ca="1" si="3"/>
        <v>249.59388059680919</v>
      </c>
      <c r="L158" s="6"/>
      <c r="M158" s="19"/>
      <c r="N158" s="19"/>
      <c r="Q158" s="4">
        <v>157</v>
      </c>
      <c r="R158" s="33"/>
      <c r="S158" s="19"/>
      <c r="T158" s="19"/>
    </row>
    <row r="159" spans="1:20" x14ac:dyDescent="0.35">
      <c r="A159" s="7">
        <v>158</v>
      </c>
      <c r="B159" s="3">
        <v>42964</v>
      </c>
      <c r="C159" s="2">
        <v>234.79</v>
      </c>
      <c r="D159" s="2">
        <v>235.13</v>
      </c>
      <c r="E159" s="2">
        <v>231.79</v>
      </c>
      <c r="F159" s="14">
        <v>231.79</v>
      </c>
      <c r="G159" s="1">
        <v>134757072</v>
      </c>
      <c r="H159" s="6" t="s">
        <v>10</v>
      </c>
      <c r="I159" s="6">
        <f>IF(AND(H158="UP",testdataClose[[#This Row],[close]]&gt;I158),testdataClose[[#This Row],[close]],IF(AND(H158="DN",testdataClose[[#This Row],[close]]&lt;I158),testdataClose[[#This Row],[close]],I158))</f>
        <v>236.34</v>
      </c>
      <c r="J159" s="11">
        <f>(testdataClose[[#This Row],[close]]-testdataClose[[#This Row],[hl]])/testdataClose[[#This Row],[hl]]</f>
        <v>-1.9251925192519299E-2</v>
      </c>
      <c r="K159" s="15">
        <f t="shared" ca="1" si="3"/>
        <v>249.82973880576458</v>
      </c>
      <c r="L159" s="6"/>
      <c r="M159" s="19"/>
      <c r="N159" s="19"/>
      <c r="Q159" s="4">
        <v>158</v>
      </c>
      <c r="R159" s="33"/>
      <c r="S159" s="19"/>
      <c r="T159" s="19"/>
    </row>
    <row r="160" spans="1:20" x14ac:dyDescent="0.35">
      <c r="A160" s="7">
        <v>159</v>
      </c>
      <c r="B160" s="3">
        <v>42965</v>
      </c>
      <c r="C160" s="2">
        <v>231.6</v>
      </c>
      <c r="D160" s="2">
        <v>232.83</v>
      </c>
      <c r="E160" s="2">
        <v>230.94</v>
      </c>
      <c r="F160" s="14">
        <v>231.42</v>
      </c>
      <c r="G160" s="1">
        <v>143417408</v>
      </c>
      <c r="H160" s="6" t="s">
        <v>10</v>
      </c>
      <c r="I160" s="6">
        <f>IF(AND(H159="UP",testdataClose[[#This Row],[close]]&gt;I159),testdataClose[[#This Row],[close]],IF(AND(H159="DN",testdataClose[[#This Row],[close]]&lt;I159),testdataClose[[#This Row],[close]],I159))</f>
        <v>236.34</v>
      </c>
      <c r="J160" s="11">
        <f>(testdataClose[[#This Row],[close]]-testdataClose[[#This Row],[hl]])/testdataClose[[#This Row],[hl]]</f>
        <v>-2.0817466362020885E-2</v>
      </c>
      <c r="K160" s="15">
        <f t="shared" ca="1" si="3"/>
        <v>250.06559701472</v>
      </c>
      <c r="L160" s="6"/>
      <c r="M160" s="19"/>
      <c r="N160" s="19"/>
      <c r="Q160" s="4">
        <v>159</v>
      </c>
      <c r="R160" s="33"/>
      <c r="S160" s="19"/>
      <c r="T160" s="19"/>
    </row>
    <row r="161" spans="1:20" x14ac:dyDescent="0.35">
      <c r="A161" s="7">
        <v>160</v>
      </c>
      <c r="B161" s="3">
        <v>42968</v>
      </c>
      <c r="C161" s="2">
        <v>231.36</v>
      </c>
      <c r="D161" s="2">
        <v>231.89</v>
      </c>
      <c r="E161" s="2">
        <v>230.58</v>
      </c>
      <c r="F161" s="14">
        <v>231.6</v>
      </c>
      <c r="G161" s="1">
        <v>68662792</v>
      </c>
      <c r="H161" s="6" t="s">
        <v>10</v>
      </c>
      <c r="I161" s="6">
        <f>IF(AND(H160="UP",testdataClose[[#This Row],[close]]&gt;I160),testdataClose[[#This Row],[close]],IF(AND(H160="DN",testdataClose[[#This Row],[close]]&lt;I160),testdataClose[[#This Row],[close]],I160))</f>
        <v>236.34</v>
      </c>
      <c r="J161" s="11">
        <f>(testdataClose[[#This Row],[close]]-testdataClose[[#This Row],[hl]])/testdataClose[[#This Row],[hl]]</f>
        <v>-2.0055851739020095E-2</v>
      </c>
      <c r="K161" s="15">
        <f t="shared" ca="1" si="3"/>
        <v>250.30145522367542</v>
      </c>
      <c r="L161" s="6"/>
      <c r="M161" s="19"/>
      <c r="N161" s="19"/>
      <c r="Q161" s="4">
        <v>160</v>
      </c>
      <c r="R161" s="33"/>
      <c r="S161" s="19"/>
      <c r="T161" s="19"/>
    </row>
    <row r="162" spans="1:20" x14ac:dyDescent="0.35">
      <c r="A162" s="7">
        <v>161</v>
      </c>
      <c r="B162" s="3">
        <v>42969</v>
      </c>
      <c r="C162" s="2">
        <v>232.24</v>
      </c>
      <c r="D162" s="2">
        <v>234.2</v>
      </c>
      <c r="E162" s="2">
        <v>232.22</v>
      </c>
      <c r="F162" s="14">
        <v>234.03</v>
      </c>
      <c r="G162" s="1">
        <v>66219544</v>
      </c>
      <c r="H162" s="6" t="s">
        <v>10</v>
      </c>
      <c r="I162" s="6">
        <f>IF(AND(H161="UP",testdataClose[[#This Row],[close]]&gt;I161),testdataClose[[#This Row],[close]],IF(AND(H161="DN",testdataClose[[#This Row],[close]]&lt;I161),testdataClose[[#This Row],[close]],I161))</f>
        <v>236.34</v>
      </c>
      <c r="J162" s="11">
        <f>(testdataClose[[#This Row],[close]]-testdataClose[[#This Row],[hl]])/testdataClose[[#This Row],[hl]]</f>
        <v>-9.7740543285097844E-3</v>
      </c>
      <c r="K162" s="15">
        <f t="shared" ca="1" si="3"/>
        <v>250.53731343263087</v>
      </c>
      <c r="L162" s="6"/>
      <c r="M162" s="19"/>
      <c r="N162" s="19"/>
      <c r="Q162" s="4">
        <v>161</v>
      </c>
      <c r="R162" s="33"/>
      <c r="S162" s="19"/>
      <c r="T162" s="19"/>
    </row>
    <row r="163" spans="1:20" x14ac:dyDescent="0.35">
      <c r="A163" s="7">
        <v>162</v>
      </c>
      <c r="B163" s="3">
        <v>42970</v>
      </c>
      <c r="C163" s="2">
        <v>232.97</v>
      </c>
      <c r="D163" s="2">
        <v>233.65</v>
      </c>
      <c r="E163" s="2">
        <v>232.81</v>
      </c>
      <c r="F163" s="14">
        <v>233.19</v>
      </c>
      <c r="G163" s="1">
        <v>52652352</v>
      </c>
      <c r="H163" s="6" t="s">
        <v>10</v>
      </c>
      <c r="I163" s="6">
        <f>IF(AND(H162="UP",testdataClose[[#This Row],[close]]&gt;I162),testdataClose[[#This Row],[close]],IF(AND(H162="DN",testdataClose[[#This Row],[close]]&lt;I162),testdataClose[[#This Row],[close]],I162))</f>
        <v>236.34</v>
      </c>
      <c r="J163" s="11">
        <f>(testdataClose[[#This Row],[close]]-testdataClose[[#This Row],[hl]])/testdataClose[[#This Row],[hl]]</f>
        <v>-1.3328255902513353E-2</v>
      </c>
      <c r="K163" s="15">
        <f t="shared" ca="1" si="3"/>
        <v>250.77317164158634</v>
      </c>
      <c r="L163" s="6"/>
      <c r="M163" s="19"/>
      <c r="N163" s="19"/>
      <c r="Q163" s="4">
        <v>162</v>
      </c>
      <c r="R163" s="33"/>
      <c r="S163" s="19"/>
      <c r="T163" s="19"/>
    </row>
    <row r="164" spans="1:20" x14ac:dyDescent="0.35">
      <c r="A164" s="7">
        <v>163</v>
      </c>
      <c r="B164" s="3">
        <v>42971</v>
      </c>
      <c r="C164" s="2">
        <v>233.61</v>
      </c>
      <c r="D164" s="2">
        <v>233.78</v>
      </c>
      <c r="E164" s="2">
        <v>232.41</v>
      </c>
      <c r="F164" s="14">
        <v>232.64</v>
      </c>
      <c r="G164" s="1">
        <v>53216420</v>
      </c>
      <c r="H164" s="6" t="s">
        <v>10</v>
      </c>
      <c r="I164" s="6">
        <f>IF(AND(H163="UP",testdataClose[[#This Row],[close]]&gt;I163),testdataClose[[#This Row],[close]],IF(AND(H163="DN",testdataClose[[#This Row],[close]]&lt;I163),testdataClose[[#This Row],[close]],I163))</f>
        <v>236.34</v>
      </c>
      <c r="J164" s="11">
        <f>(testdataClose[[#This Row],[close]]-testdataClose[[#This Row],[hl]])/testdataClose[[#This Row],[hl]]</f>
        <v>-1.5655411695015727E-2</v>
      </c>
      <c r="K164" s="15">
        <f t="shared" ca="1" si="3"/>
        <v>251.00902985054182</v>
      </c>
      <c r="L164" s="6"/>
      <c r="M164" s="19"/>
      <c r="N164" s="19"/>
      <c r="Q164" s="4">
        <v>163</v>
      </c>
      <c r="R164" s="33"/>
      <c r="S164" s="19"/>
      <c r="T164" s="19"/>
    </row>
    <row r="165" spans="1:20" x14ac:dyDescent="0.35">
      <c r="A165" s="7">
        <v>164</v>
      </c>
      <c r="B165" s="3">
        <v>42972</v>
      </c>
      <c r="C165" s="2">
        <v>233.51</v>
      </c>
      <c r="D165" s="2">
        <v>234.19</v>
      </c>
      <c r="E165" s="2">
        <v>233.02</v>
      </c>
      <c r="F165" s="14">
        <v>233.19</v>
      </c>
      <c r="G165" s="1">
        <v>67589040</v>
      </c>
      <c r="H165" s="6" t="s">
        <v>10</v>
      </c>
      <c r="I165" s="6">
        <f>IF(AND(H164="UP",testdataClose[[#This Row],[close]]&gt;I164),testdataClose[[#This Row],[close]],IF(AND(H164="DN",testdataClose[[#This Row],[close]]&lt;I164),testdataClose[[#This Row],[close]],I164))</f>
        <v>236.34</v>
      </c>
      <c r="J165" s="11">
        <f>(testdataClose[[#This Row],[close]]-testdataClose[[#This Row],[hl]])/testdataClose[[#This Row],[hl]]</f>
        <v>-1.3328255902513353E-2</v>
      </c>
      <c r="K165" s="15">
        <f t="shared" ca="1" si="3"/>
        <v>251.24488805949733</v>
      </c>
      <c r="L165" s="6"/>
      <c r="M165" s="19"/>
      <c r="N165" s="19"/>
      <c r="Q165" s="4">
        <v>164</v>
      </c>
      <c r="R165" s="33"/>
      <c r="S165" s="19"/>
      <c r="T165" s="19"/>
    </row>
    <row r="166" spans="1:20" x14ac:dyDescent="0.35">
      <c r="A166" s="7">
        <v>165</v>
      </c>
      <c r="B166" s="3">
        <v>42975</v>
      </c>
      <c r="C166" s="2">
        <v>233.77</v>
      </c>
      <c r="D166" s="2">
        <v>233.8</v>
      </c>
      <c r="E166" s="2">
        <v>232.74</v>
      </c>
      <c r="F166" s="14">
        <v>233.2</v>
      </c>
      <c r="G166" s="1">
        <v>42544052</v>
      </c>
      <c r="H166" s="6" t="s">
        <v>10</v>
      </c>
      <c r="I166" s="6">
        <f>IF(AND(H165="UP",testdataClose[[#This Row],[close]]&gt;I165),testdataClose[[#This Row],[close]],IF(AND(H165="DN",testdataClose[[#This Row],[close]]&lt;I165),testdataClose[[#This Row],[close]],I165))</f>
        <v>236.34</v>
      </c>
      <c r="J166" s="11">
        <f>(testdataClose[[#This Row],[close]]-testdataClose[[#This Row],[hl]])/testdataClose[[#This Row],[hl]]</f>
        <v>-1.3285943979013348E-2</v>
      </c>
      <c r="K166" s="15">
        <f t="shared" ca="1" si="3"/>
        <v>251.48074626845286</v>
      </c>
      <c r="L166" s="6"/>
      <c r="M166" s="19"/>
      <c r="N166" s="19"/>
      <c r="Q166" s="4">
        <v>165</v>
      </c>
      <c r="R166" s="33"/>
      <c r="S166" s="19"/>
      <c r="T166" s="19"/>
    </row>
    <row r="167" spans="1:20" x14ac:dyDescent="0.35">
      <c r="A167" s="7">
        <v>166</v>
      </c>
      <c r="B167" s="3">
        <v>42976</v>
      </c>
      <c r="C167" s="2">
        <v>231.76</v>
      </c>
      <c r="D167" s="2">
        <v>233.75</v>
      </c>
      <c r="E167" s="2">
        <v>231.63</v>
      </c>
      <c r="F167" s="14">
        <v>233.46</v>
      </c>
      <c r="G167" s="1">
        <v>53629680</v>
      </c>
      <c r="H167" s="6" t="s">
        <v>10</v>
      </c>
      <c r="I167" s="6">
        <f>IF(AND(H166="UP",testdataClose[[#This Row],[close]]&gt;I166),testdataClose[[#This Row],[close]],IF(AND(H166="DN",testdataClose[[#This Row],[close]]&lt;I166),testdataClose[[#This Row],[close]],I166))</f>
        <v>236.34</v>
      </c>
      <c r="J167" s="11">
        <f>(testdataClose[[#This Row],[close]]-testdataClose[[#This Row],[hl]])/testdataClose[[#This Row],[hl]]</f>
        <v>-1.2185833968012167E-2</v>
      </c>
      <c r="K167" s="15">
        <f t="shared" ca="1" si="3"/>
        <v>251.7166044774084</v>
      </c>
      <c r="L167" s="6"/>
      <c r="M167" s="19"/>
      <c r="N167" s="19"/>
      <c r="Q167" s="4">
        <v>166</v>
      </c>
      <c r="R167" s="33"/>
      <c r="S167" s="19"/>
      <c r="T167" s="19"/>
    </row>
    <row r="168" spans="1:20" x14ac:dyDescent="0.35">
      <c r="A168" s="7">
        <v>167</v>
      </c>
      <c r="B168" s="3">
        <v>42977</v>
      </c>
      <c r="C168" s="2">
        <v>233.44</v>
      </c>
      <c r="D168" s="2">
        <v>234.87</v>
      </c>
      <c r="E168" s="2">
        <v>233.24</v>
      </c>
      <c r="F168" s="14">
        <v>234.57</v>
      </c>
      <c r="G168" s="1">
        <v>65056144</v>
      </c>
      <c r="H168" s="6" t="s">
        <v>10</v>
      </c>
      <c r="I168" s="6">
        <f>IF(AND(H167="UP",testdataClose[[#This Row],[close]]&gt;I167),testdataClose[[#This Row],[close]],IF(AND(H167="DN",testdataClose[[#This Row],[close]]&lt;I167),testdataClose[[#This Row],[close]],I167))</f>
        <v>236.34</v>
      </c>
      <c r="J168" s="11">
        <f>(testdataClose[[#This Row],[close]]-testdataClose[[#This Row],[hl]])/testdataClose[[#This Row],[hl]]</f>
        <v>-7.4892104595075323E-3</v>
      </c>
      <c r="K168" s="15">
        <f t="shared" ca="1" si="3"/>
        <v>251.95246268636396</v>
      </c>
      <c r="L168" s="6"/>
      <c r="M168" s="19"/>
      <c r="N168" s="19"/>
      <c r="Q168" s="4">
        <v>167</v>
      </c>
      <c r="R168" s="33"/>
      <c r="S168" s="19"/>
      <c r="T168" s="19"/>
    </row>
    <row r="169" spans="1:20" x14ac:dyDescent="0.35">
      <c r="A169" s="7">
        <v>168</v>
      </c>
      <c r="B169" s="3">
        <v>42978</v>
      </c>
      <c r="C169" s="2">
        <v>235.25</v>
      </c>
      <c r="D169" s="2">
        <v>236.25</v>
      </c>
      <c r="E169" s="2">
        <v>234.61</v>
      </c>
      <c r="F169" s="14">
        <v>235.98</v>
      </c>
      <c r="G169" s="1">
        <v>108866560</v>
      </c>
      <c r="H169" s="6" t="s">
        <v>10</v>
      </c>
      <c r="I169" s="6">
        <f>IF(AND(H168="UP",testdataClose[[#This Row],[close]]&gt;I168),testdataClose[[#This Row],[close]],IF(AND(H168="DN",testdataClose[[#This Row],[close]]&lt;I168),testdataClose[[#This Row],[close]],I168))</f>
        <v>236.34</v>
      </c>
      <c r="J169" s="11">
        <f>(testdataClose[[#This Row],[close]]-testdataClose[[#This Row],[hl]])/testdataClose[[#This Row],[hl]]</f>
        <v>-1.5232292460015809E-3</v>
      </c>
      <c r="K169" s="15">
        <f t="shared" ca="1" si="3"/>
        <v>252.18832089531955</v>
      </c>
      <c r="L169" s="6"/>
      <c r="M169" s="19"/>
      <c r="N169" s="19"/>
      <c r="Q169" s="4">
        <v>168</v>
      </c>
      <c r="R169" s="33"/>
      <c r="S169" s="19"/>
      <c r="T169" s="19"/>
    </row>
    <row r="170" spans="1:20" x14ac:dyDescent="0.35">
      <c r="A170" s="7">
        <v>169</v>
      </c>
      <c r="B170" s="3">
        <v>42979</v>
      </c>
      <c r="C170" s="2">
        <v>236.39</v>
      </c>
      <c r="D170" s="2">
        <v>236.78</v>
      </c>
      <c r="E170" s="2">
        <v>236.15</v>
      </c>
      <c r="F170" s="14">
        <v>236.31</v>
      </c>
      <c r="G170" s="1">
        <v>65031164</v>
      </c>
      <c r="H170" s="6" t="s">
        <v>10</v>
      </c>
      <c r="I170" s="6">
        <f>IF(AND(H169="UP",testdataClose[[#This Row],[close]]&gt;I169),testdataClose[[#This Row],[close]],IF(AND(H169="DN",testdataClose[[#This Row],[close]]&lt;I169),testdataClose[[#This Row],[close]],I169))</f>
        <v>236.34</v>
      </c>
      <c r="J170" s="11">
        <f>(testdataClose[[#This Row],[close]]-testdataClose[[#This Row],[hl]])/testdataClose[[#This Row],[hl]]</f>
        <v>-1.2693577050013175E-4</v>
      </c>
      <c r="K170" s="15">
        <f t="shared" ca="1" si="3"/>
        <v>252.42417910427514</v>
      </c>
      <c r="L170" s="6"/>
      <c r="M170" s="19"/>
      <c r="N170" s="19"/>
      <c r="Q170" s="4">
        <v>169</v>
      </c>
      <c r="R170" s="33"/>
      <c r="S170" s="19"/>
      <c r="T170" s="19"/>
    </row>
    <row r="171" spans="1:20" x14ac:dyDescent="0.35">
      <c r="A171" s="7">
        <v>170</v>
      </c>
      <c r="B171" s="3">
        <v>42983</v>
      </c>
      <c r="C171" s="2">
        <v>235.76</v>
      </c>
      <c r="D171" s="2">
        <v>236.01</v>
      </c>
      <c r="E171" s="2">
        <v>233.56</v>
      </c>
      <c r="F171" s="14">
        <v>234.62</v>
      </c>
      <c r="G171" s="1">
        <v>95856440</v>
      </c>
      <c r="H171" s="6" t="s">
        <v>10</v>
      </c>
      <c r="I171" s="6">
        <f>IF(AND(H170="UP",testdataClose[[#This Row],[close]]&gt;I170),testdataClose[[#This Row],[close]],IF(AND(H170="DN",testdataClose[[#This Row],[close]]&lt;I170),testdataClose[[#This Row],[close]],I170))</f>
        <v>236.34</v>
      </c>
      <c r="J171" s="11">
        <f>(testdataClose[[#This Row],[close]]-testdataClose[[#This Row],[hl]])/testdataClose[[#This Row],[hl]]</f>
        <v>-7.277650842007273E-3</v>
      </c>
      <c r="K171" s="15">
        <f t="shared" ca="1" si="3"/>
        <v>252.66003731323076</v>
      </c>
      <c r="L171" s="6"/>
      <c r="M171" s="19"/>
      <c r="N171" s="19"/>
      <c r="Q171" s="4">
        <v>170</v>
      </c>
      <c r="R171" s="33"/>
      <c r="S171" s="19"/>
      <c r="T171" s="19"/>
    </row>
    <row r="172" spans="1:20" x14ac:dyDescent="0.35">
      <c r="A172" s="7">
        <v>171</v>
      </c>
      <c r="B172" s="3">
        <v>42984</v>
      </c>
      <c r="C172" s="2">
        <v>235.36</v>
      </c>
      <c r="D172" s="2">
        <v>235.78</v>
      </c>
      <c r="E172" s="2">
        <v>234.78</v>
      </c>
      <c r="F172" s="14">
        <v>235.42</v>
      </c>
      <c r="G172" s="1">
        <v>60741564</v>
      </c>
      <c r="H172" s="6" t="s">
        <v>10</v>
      </c>
      <c r="I172" s="6">
        <f>IF(AND(H171="UP",testdataClose[[#This Row],[close]]&gt;I171),testdataClose[[#This Row],[close]],IF(AND(H171="DN",testdataClose[[#This Row],[close]]&lt;I171),testdataClose[[#This Row],[close]],I171))</f>
        <v>236.34</v>
      </c>
      <c r="J172" s="11">
        <f>(testdataClose[[#This Row],[close]]-testdataClose[[#This Row],[hl]])/testdataClose[[#This Row],[hl]]</f>
        <v>-3.8926969620039602E-3</v>
      </c>
      <c r="K172" s="15">
        <f t="shared" ca="1" si="3"/>
        <v>252.89589552218641</v>
      </c>
      <c r="L172" s="6"/>
      <c r="M172" s="19"/>
      <c r="N172" s="19"/>
      <c r="Q172" s="4">
        <v>171</v>
      </c>
      <c r="R172" s="33"/>
      <c r="S172" s="19"/>
      <c r="T172" s="19"/>
    </row>
    <row r="173" spans="1:20" x14ac:dyDescent="0.35">
      <c r="A173" s="7">
        <v>172</v>
      </c>
      <c r="B173" s="3">
        <v>42985</v>
      </c>
      <c r="C173" s="2">
        <v>235.75</v>
      </c>
      <c r="D173" s="2">
        <v>235.77</v>
      </c>
      <c r="E173" s="2">
        <v>234.94</v>
      </c>
      <c r="F173" s="14">
        <v>235.39</v>
      </c>
      <c r="G173" s="1">
        <v>60865172</v>
      </c>
      <c r="H173" s="6" t="s">
        <v>10</v>
      </c>
      <c r="I173" s="6">
        <f>IF(AND(H172="UP",testdataClose[[#This Row],[close]]&gt;I172),testdataClose[[#This Row],[close]],IF(AND(H172="DN",testdataClose[[#This Row],[close]]&lt;I172),testdataClose[[#This Row],[close]],I172))</f>
        <v>236.34</v>
      </c>
      <c r="J173" s="11">
        <f>(testdataClose[[#This Row],[close]]-testdataClose[[#This Row],[hl]])/testdataClose[[#This Row],[hl]]</f>
        <v>-4.0196327325040917E-3</v>
      </c>
      <c r="K173" s="15">
        <f t="shared" ca="1" si="3"/>
        <v>253.13175373114206</v>
      </c>
      <c r="L173" s="6"/>
      <c r="M173" s="19"/>
      <c r="N173" s="19"/>
      <c r="Q173" s="4">
        <v>172</v>
      </c>
      <c r="R173" s="33"/>
      <c r="S173" s="19"/>
      <c r="T173" s="19"/>
    </row>
    <row r="174" spans="1:20" x14ac:dyDescent="0.35">
      <c r="A174" s="7">
        <v>173</v>
      </c>
      <c r="B174" s="3">
        <v>42986</v>
      </c>
      <c r="C174" s="2">
        <v>235.07</v>
      </c>
      <c r="D174" s="2">
        <v>235.62</v>
      </c>
      <c r="E174" s="2">
        <v>234.85</v>
      </c>
      <c r="F174" s="14">
        <v>235.11</v>
      </c>
      <c r="G174" s="1">
        <v>66946052</v>
      </c>
      <c r="H174" s="6" t="s">
        <v>10</v>
      </c>
      <c r="I174" s="6">
        <f>IF(AND(H173="UP",testdataClose[[#This Row],[close]]&gt;I173),testdataClose[[#This Row],[close]],IF(AND(H173="DN",testdataClose[[#This Row],[close]]&lt;I173),testdataClose[[#This Row],[close]],I173))</f>
        <v>236.34</v>
      </c>
      <c r="J174" s="11">
        <f>(testdataClose[[#This Row],[close]]-testdataClose[[#This Row],[hl]])/testdataClose[[#This Row],[hl]]</f>
        <v>-5.2043665905051606E-3</v>
      </c>
      <c r="K174" s="15">
        <f t="shared" ca="1" si="3"/>
        <v>253.36761194009773</v>
      </c>
      <c r="L174" s="6"/>
      <c r="M174" s="19"/>
      <c r="N174" s="19"/>
      <c r="Q174" s="4">
        <v>173</v>
      </c>
      <c r="R174" s="33"/>
      <c r="S174" s="19"/>
      <c r="T174" s="19"/>
    </row>
    <row r="175" spans="1:20" x14ac:dyDescent="0.35">
      <c r="A175" s="7">
        <v>174</v>
      </c>
      <c r="B175" s="3">
        <v>42989</v>
      </c>
      <c r="C175" s="2">
        <v>236.51</v>
      </c>
      <c r="D175" s="2">
        <v>237.71</v>
      </c>
      <c r="E175" s="2">
        <v>236.49</v>
      </c>
      <c r="F175" s="14">
        <v>237.62</v>
      </c>
      <c r="G175" s="1">
        <v>74845424</v>
      </c>
      <c r="H175" s="6" t="s">
        <v>10</v>
      </c>
      <c r="I175" s="6">
        <f>IF(AND(H174="UP",testdataClose[[#This Row],[close]]&gt;I174),testdataClose[[#This Row],[close]],IF(AND(H174="DN",testdataClose[[#This Row],[close]]&lt;I174),testdataClose[[#This Row],[close]],I174))</f>
        <v>237.62</v>
      </c>
      <c r="J175" s="11">
        <f>(testdataClose[[#This Row],[close]]-testdataClose[[#This Row],[hl]])/testdataClose[[#This Row],[hl]]</f>
        <v>0</v>
      </c>
      <c r="K175" s="15">
        <f t="shared" ca="1" si="3"/>
        <v>253.60347014905344</v>
      </c>
      <c r="L175" s="6"/>
      <c r="M175" s="19"/>
      <c r="N175" s="19"/>
      <c r="Q175" s="4">
        <v>174</v>
      </c>
      <c r="R175" s="33"/>
      <c r="S175" s="19"/>
      <c r="T175" s="19"/>
    </row>
    <row r="176" spans="1:20" x14ac:dyDescent="0.35">
      <c r="A176" s="7">
        <v>175</v>
      </c>
      <c r="B176" s="3">
        <v>42990</v>
      </c>
      <c r="C176" s="2">
        <v>238.02</v>
      </c>
      <c r="D176" s="2">
        <v>238.46</v>
      </c>
      <c r="E176" s="2">
        <v>237.82</v>
      </c>
      <c r="F176" s="14">
        <v>238.42</v>
      </c>
      <c r="G176" s="1">
        <v>59670932</v>
      </c>
      <c r="H176" s="6" t="s">
        <v>10</v>
      </c>
      <c r="I176" s="6">
        <f>IF(AND(H175="UP",testdataClose[[#This Row],[close]]&gt;I175),testdataClose[[#This Row],[close]],IF(AND(H175="DN",testdataClose[[#This Row],[close]]&lt;I175),testdataClose[[#This Row],[close]],I175))</f>
        <v>238.42</v>
      </c>
      <c r="J176" s="11">
        <f>(testdataClose[[#This Row],[close]]-testdataClose[[#This Row],[hl]])/testdataClose[[#This Row],[hl]]</f>
        <v>0</v>
      </c>
      <c r="K176" s="15">
        <f t="shared" ca="1" si="3"/>
        <v>253.83932835800914</v>
      </c>
      <c r="L176" s="6"/>
      <c r="M176" s="19"/>
      <c r="N176" s="19"/>
      <c r="Q176" s="4">
        <v>175</v>
      </c>
      <c r="R176" s="33"/>
      <c r="S176" s="19"/>
      <c r="T176" s="19"/>
    </row>
    <row r="177" spans="1:20" x14ac:dyDescent="0.35">
      <c r="A177" s="7">
        <v>176</v>
      </c>
      <c r="B177" s="3">
        <v>42991</v>
      </c>
      <c r="C177" s="2">
        <v>238.11</v>
      </c>
      <c r="D177" s="2">
        <v>238.57</v>
      </c>
      <c r="E177" s="2">
        <v>237.98</v>
      </c>
      <c r="F177" s="14">
        <v>238.54</v>
      </c>
      <c r="G177" s="1">
        <v>62116640</v>
      </c>
      <c r="H177" s="6" t="s">
        <v>10</v>
      </c>
      <c r="I177" s="6">
        <f>IF(AND(H176="UP",testdataClose[[#This Row],[close]]&gt;I176),testdataClose[[#This Row],[close]],IF(AND(H176="DN",testdataClose[[#This Row],[close]]&lt;I176),testdataClose[[#This Row],[close]],I176))</f>
        <v>238.54</v>
      </c>
      <c r="J177" s="11">
        <f>(testdataClose[[#This Row],[close]]-testdataClose[[#This Row],[hl]])/testdataClose[[#This Row],[hl]]</f>
        <v>0</v>
      </c>
      <c r="K177" s="15">
        <f t="shared" ca="1" si="3"/>
        <v>254.07518656696487</v>
      </c>
      <c r="L177" s="6"/>
      <c r="M177" s="19"/>
      <c r="N177" s="19"/>
      <c r="Q177" s="4">
        <v>176</v>
      </c>
      <c r="R177" s="33"/>
      <c r="S177" s="19"/>
      <c r="T177" s="19"/>
    </row>
    <row r="178" spans="1:20" x14ac:dyDescent="0.35">
      <c r="A178" s="7">
        <v>177</v>
      </c>
      <c r="B178" s="3">
        <v>42992</v>
      </c>
      <c r="C178" s="2">
        <v>238.18</v>
      </c>
      <c r="D178" s="2">
        <v>238.68</v>
      </c>
      <c r="E178" s="2">
        <v>237.99</v>
      </c>
      <c r="F178" s="14">
        <v>238.46</v>
      </c>
      <c r="G178" s="1">
        <v>100101416</v>
      </c>
      <c r="H178" s="6" t="s">
        <v>10</v>
      </c>
      <c r="I178" s="6">
        <f>IF(AND(H177="UP",testdataClose[[#This Row],[close]]&gt;I177),testdataClose[[#This Row],[close]],IF(AND(H177="DN",testdataClose[[#This Row],[close]]&lt;I177),testdataClose[[#This Row],[close]],I177))</f>
        <v>238.54</v>
      </c>
      <c r="J178" s="11">
        <f>(testdataClose[[#This Row],[close]]-testdataClose[[#This Row],[hl]])/testdataClose[[#This Row],[hl]]</f>
        <v>-3.3537352226035083E-4</v>
      </c>
      <c r="K178" s="15">
        <f t="shared" ca="1" si="3"/>
        <v>254.31104477592064</v>
      </c>
      <c r="L178" s="6"/>
      <c r="M178" s="19"/>
      <c r="N178" s="19"/>
      <c r="Q178" s="4">
        <v>177</v>
      </c>
      <c r="R178" s="33"/>
      <c r="S178" s="19"/>
      <c r="T178" s="19"/>
    </row>
    <row r="179" spans="1:20" x14ac:dyDescent="0.35">
      <c r="A179" s="7">
        <v>178</v>
      </c>
      <c r="B179" s="3">
        <v>42993</v>
      </c>
      <c r="C179" s="2">
        <v>238.3</v>
      </c>
      <c r="D179" s="2">
        <v>238.88</v>
      </c>
      <c r="E179" s="2">
        <v>238.19</v>
      </c>
      <c r="F179" s="14">
        <v>238.78</v>
      </c>
      <c r="G179" s="1">
        <v>99592680</v>
      </c>
      <c r="H179" s="6" t="s">
        <v>10</v>
      </c>
      <c r="I179" s="6">
        <f>IF(AND(H178="UP",testdataClose[[#This Row],[close]]&gt;I178),testdataClose[[#This Row],[close]],IF(AND(H178="DN",testdataClose[[#This Row],[close]]&lt;I178),testdataClose[[#This Row],[close]],I178))</f>
        <v>238.78</v>
      </c>
      <c r="J179" s="11">
        <f>(testdataClose[[#This Row],[close]]-testdataClose[[#This Row],[hl]])/testdataClose[[#This Row],[hl]]</f>
        <v>0</v>
      </c>
      <c r="K179" s="15">
        <f t="shared" ca="1" si="3"/>
        <v>254.5469029848764</v>
      </c>
      <c r="L179" s="6"/>
      <c r="M179" s="19"/>
      <c r="N179" s="19"/>
      <c r="Q179" s="4">
        <v>178</v>
      </c>
      <c r="R179" s="33"/>
      <c r="S179" s="19"/>
      <c r="T179" s="19"/>
    </row>
    <row r="180" spans="1:20" x14ac:dyDescent="0.35">
      <c r="A180" s="7">
        <v>179</v>
      </c>
      <c r="B180" s="3">
        <v>42996</v>
      </c>
      <c r="C180" s="2">
        <v>239.18</v>
      </c>
      <c r="D180" s="2">
        <v>239.67</v>
      </c>
      <c r="E180" s="2">
        <v>238.87</v>
      </c>
      <c r="F180" s="14">
        <v>239.29</v>
      </c>
      <c r="G180" s="1">
        <v>48250824</v>
      </c>
      <c r="H180" s="6" t="s">
        <v>10</v>
      </c>
      <c r="I180" s="6">
        <f>IF(AND(H179="UP",testdataClose[[#This Row],[close]]&gt;I179),testdataClose[[#This Row],[close]],IF(AND(H179="DN",testdataClose[[#This Row],[close]]&lt;I179),testdataClose[[#This Row],[close]],I179))</f>
        <v>239.29</v>
      </c>
      <c r="J180" s="11">
        <f>(testdataClose[[#This Row],[close]]-testdataClose[[#This Row],[hl]])/testdataClose[[#This Row],[hl]]</f>
        <v>0</v>
      </c>
      <c r="K180" s="15">
        <f t="shared" ca="1" si="3"/>
        <v>254.78276119383219</v>
      </c>
      <c r="L180" s="6"/>
      <c r="M180" s="19"/>
      <c r="N180" s="19"/>
      <c r="Q180" s="4">
        <v>179</v>
      </c>
      <c r="R180" s="33"/>
      <c r="S180" s="19"/>
      <c r="T180" s="19"/>
    </row>
    <row r="181" spans="1:20" x14ac:dyDescent="0.35">
      <c r="A181" s="7">
        <v>180</v>
      </c>
      <c r="B181" s="3">
        <v>42997</v>
      </c>
      <c r="C181" s="2">
        <v>239.56</v>
      </c>
      <c r="D181" s="2">
        <v>239.62</v>
      </c>
      <c r="E181" s="2">
        <v>239.17</v>
      </c>
      <c r="F181" s="14">
        <v>239.53</v>
      </c>
      <c r="G181" s="1">
        <v>49161788</v>
      </c>
      <c r="H181" s="6" t="s">
        <v>10</v>
      </c>
      <c r="I181" s="6">
        <f>IF(AND(H180="UP",testdataClose[[#This Row],[close]]&gt;I180),testdataClose[[#This Row],[close]],IF(AND(H180="DN",testdataClose[[#This Row],[close]]&lt;I180),testdataClose[[#This Row],[close]],I180))</f>
        <v>239.53</v>
      </c>
      <c r="J181" s="11">
        <f>(testdataClose[[#This Row],[close]]-testdataClose[[#This Row],[hl]])/testdataClose[[#This Row],[hl]]</f>
        <v>0</v>
      </c>
      <c r="K181" s="15">
        <f t="shared" ca="1" si="3"/>
        <v>255.018619402788</v>
      </c>
      <c r="L181" s="6"/>
      <c r="M181" s="19"/>
      <c r="N181" s="19"/>
      <c r="Q181" s="4">
        <v>180</v>
      </c>
      <c r="R181" s="33"/>
      <c r="S181" s="19"/>
      <c r="T181" s="19"/>
    </row>
    <row r="182" spans="1:20" x14ac:dyDescent="0.35">
      <c r="A182" s="7">
        <v>181</v>
      </c>
      <c r="B182" s="3">
        <v>42998</v>
      </c>
      <c r="C182" s="2">
        <v>239.62</v>
      </c>
      <c r="D182" s="2">
        <v>239.74</v>
      </c>
      <c r="E182" s="2">
        <v>238.52</v>
      </c>
      <c r="F182" s="14">
        <v>239.61</v>
      </c>
      <c r="G182" s="1">
        <v>62171164</v>
      </c>
      <c r="H182" s="6" t="s">
        <v>10</v>
      </c>
      <c r="I182" s="6">
        <f>IF(AND(H181="UP",testdataClose[[#This Row],[close]]&gt;I181),testdataClose[[#This Row],[close]],IF(AND(H181="DN",testdataClose[[#This Row],[close]]&lt;I181),testdataClose[[#This Row],[close]],I181))</f>
        <v>239.61</v>
      </c>
      <c r="J182" s="11">
        <f>(testdataClose[[#This Row],[close]]-testdataClose[[#This Row],[hl]])/testdataClose[[#This Row],[hl]]</f>
        <v>0</v>
      </c>
      <c r="K182" s="15">
        <f t="shared" ca="1" si="3"/>
        <v>255.25447761174382</v>
      </c>
      <c r="L182" s="6"/>
      <c r="M182" s="19"/>
      <c r="N182" s="19"/>
      <c r="Q182" s="4">
        <v>181</v>
      </c>
      <c r="R182" s="33"/>
      <c r="S182" s="19"/>
      <c r="T182" s="19"/>
    </row>
    <row r="183" spans="1:20" x14ac:dyDescent="0.35">
      <c r="A183" s="7">
        <v>182</v>
      </c>
      <c r="B183" s="3">
        <v>42999</v>
      </c>
      <c r="C183" s="2">
        <v>239.44</v>
      </c>
      <c r="D183" s="2">
        <v>239.54</v>
      </c>
      <c r="E183" s="2">
        <v>238.78</v>
      </c>
      <c r="F183" s="14">
        <v>238.97</v>
      </c>
      <c r="G183" s="1">
        <v>50313136</v>
      </c>
      <c r="H183" s="6" t="s">
        <v>10</v>
      </c>
      <c r="I183" s="6">
        <f>IF(AND(H182="UP",testdataClose[[#This Row],[close]]&gt;I182),testdataClose[[#This Row],[close]],IF(AND(H182="DN",testdataClose[[#This Row],[close]]&lt;I182),testdataClose[[#This Row],[close]],I182))</f>
        <v>239.61</v>
      </c>
      <c r="J183" s="11">
        <f>(testdataClose[[#This Row],[close]]-testdataClose[[#This Row],[hl]])/testdataClose[[#This Row],[hl]]</f>
        <v>-2.6710070531280614E-3</v>
      </c>
      <c r="K183" s="15">
        <f t="shared" ca="1" si="3"/>
        <v>255.49033582069967</v>
      </c>
      <c r="L183" s="6"/>
      <c r="M183" s="19"/>
      <c r="N183" s="19"/>
      <c r="Q183" s="4">
        <v>182</v>
      </c>
      <c r="R183" s="33"/>
      <c r="S183" s="19"/>
      <c r="T183" s="19"/>
    </row>
    <row r="184" spans="1:20" x14ac:dyDescent="0.35">
      <c r="A184" s="7">
        <v>183</v>
      </c>
      <c r="B184" s="3">
        <v>43000</v>
      </c>
      <c r="C184" s="2">
        <v>238.65</v>
      </c>
      <c r="D184" s="2">
        <v>239.2</v>
      </c>
      <c r="E184" s="2">
        <v>238.62</v>
      </c>
      <c r="F184" s="14">
        <v>239.02</v>
      </c>
      <c r="G184" s="1">
        <v>53446664</v>
      </c>
      <c r="H184" s="6" t="s">
        <v>10</v>
      </c>
      <c r="I184" s="6">
        <f>IF(AND(H183="UP",testdataClose[[#This Row],[close]]&gt;I183),testdataClose[[#This Row],[close]],IF(AND(H183="DN",testdataClose[[#This Row],[close]]&lt;I183),testdataClose[[#This Row],[close]],I183))</f>
        <v>239.61</v>
      </c>
      <c r="J184" s="11">
        <f>(testdataClose[[#This Row],[close]]-testdataClose[[#This Row],[hl]])/testdataClose[[#This Row],[hl]]</f>
        <v>-2.4623346271023887E-3</v>
      </c>
      <c r="K184" s="15">
        <f t="shared" ca="1" si="3"/>
        <v>255.72619402965555</v>
      </c>
      <c r="L184" s="6"/>
      <c r="M184" s="19"/>
      <c r="N184" s="19"/>
      <c r="Q184" s="4">
        <v>183</v>
      </c>
      <c r="R184" s="33"/>
      <c r="S184" s="19"/>
      <c r="T184" s="19"/>
    </row>
    <row r="185" spans="1:20" x14ac:dyDescent="0.35">
      <c r="A185" s="7">
        <v>184</v>
      </c>
      <c r="B185" s="3">
        <v>43003</v>
      </c>
      <c r="C185" s="2">
        <v>238.74</v>
      </c>
      <c r="D185" s="2">
        <v>239.13</v>
      </c>
      <c r="E185" s="2">
        <v>237.72</v>
      </c>
      <c r="F185" s="14">
        <v>238.53</v>
      </c>
      <c r="G185" s="1">
        <v>59552032</v>
      </c>
      <c r="H185" s="6" t="s">
        <v>10</v>
      </c>
      <c r="I185" s="6">
        <f>IF(AND(H184="UP",testdataClose[[#This Row],[close]]&gt;I184),testdataClose[[#This Row],[close]],IF(AND(H184="DN",testdataClose[[#This Row],[close]]&lt;I184),testdataClose[[#This Row],[close]],I184))</f>
        <v>239.61</v>
      </c>
      <c r="J185" s="11">
        <f>(testdataClose[[#This Row],[close]]-testdataClose[[#This Row],[hl]])/testdataClose[[#This Row],[hl]]</f>
        <v>-4.507324402153551E-3</v>
      </c>
      <c r="K185" s="15">
        <f t="shared" ca="1" si="3"/>
        <v>255.96205223861142</v>
      </c>
      <c r="L185" s="6"/>
      <c r="M185" s="19"/>
      <c r="N185" s="19"/>
      <c r="Q185" s="4">
        <v>184</v>
      </c>
      <c r="R185" s="33"/>
      <c r="S185" s="19"/>
      <c r="T185" s="19"/>
    </row>
    <row r="186" spans="1:20" x14ac:dyDescent="0.35">
      <c r="A186" s="7">
        <v>185</v>
      </c>
      <c r="B186" s="3">
        <v>43004</v>
      </c>
      <c r="C186" s="2">
        <v>239</v>
      </c>
      <c r="D186" s="2">
        <v>239.27</v>
      </c>
      <c r="E186" s="2">
        <v>238.41</v>
      </c>
      <c r="F186" s="14">
        <v>238.68</v>
      </c>
      <c r="G186" s="1">
        <v>56439616</v>
      </c>
      <c r="H186" s="6" t="s">
        <v>10</v>
      </c>
      <c r="I186" s="6">
        <f>IF(AND(H185="UP",testdataClose[[#This Row],[close]]&gt;I185),testdataClose[[#This Row],[close]],IF(AND(H185="DN",testdataClose[[#This Row],[close]]&lt;I185),testdataClose[[#This Row],[close]],I185))</f>
        <v>239.61</v>
      </c>
      <c r="J186" s="11">
        <f>(testdataClose[[#This Row],[close]]-testdataClose[[#This Row],[hl]])/testdataClose[[#This Row],[hl]]</f>
        <v>-3.8813071240766527E-3</v>
      </c>
      <c r="K186" s="15">
        <f t="shared" ca="1" si="3"/>
        <v>256.19791044756732</v>
      </c>
      <c r="L186" s="6"/>
      <c r="M186" s="19"/>
      <c r="N186" s="19"/>
      <c r="Q186" s="4">
        <v>185</v>
      </c>
      <c r="R186" s="33"/>
      <c r="S186" s="19"/>
      <c r="T186" s="19"/>
    </row>
    <row r="187" spans="1:20" x14ac:dyDescent="0.35">
      <c r="A187" s="7">
        <v>186</v>
      </c>
      <c r="B187" s="3">
        <v>43005</v>
      </c>
      <c r="C187" s="2">
        <v>239.44</v>
      </c>
      <c r="D187" s="2">
        <v>240.03</v>
      </c>
      <c r="E187" s="2">
        <v>238.47</v>
      </c>
      <c r="F187" s="14">
        <v>239.6</v>
      </c>
      <c r="G187" s="1">
        <v>84532616</v>
      </c>
      <c r="H187" s="6" t="s">
        <v>10</v>
      </c>
      <c r="I187" s="6">
        <f>IF(AND(H186="UP",testdataClose[[#This Row],[close]]&gt;I186),testdataClose[[#This Row],[close]],IF(AND(H186="DN",testdataClose[[#This Row],[close]]&lt;I186),testdataClose[[#This Row],[close]],I186))</f>
        <v>239.61</v>
      </c>
      <c r="J187" s="11">
        <f>(testdataClose[[#This Row],[close]]-testdataClose[[#This Row],[hl]])/testdataClose[[#This Row],[hl]]</f>
        <v>-4.1734485205205655E-5</v>
      </c>
      <c r="K187" s="15">
        <f t="shared" ca="1" si="3"/>
        <v>256.43376865652328</v>
      </c>
      <c r="L187" s="6"/>
      <c r="M187" s="19"/>
      <c r="N187" s="19"/>
      <c r="Q187" s="4">
        <v>186</v>
      </c>
      <c r="R187" s="33"/>
      <c r="S187" s="19"/>
      <c r="T187" s="19"/>
    </row>
    <row r="188" spans="1:20" x14ac:dyDescent="0.35">
      <c r="A188" s="7">
        <v>187</v>
      </c>
      <c r="B188" s="3">
        <v>43006</v>
      </c>
      <c r="C188" s="2">
        <v>239.3</v>
      </c>
      <c r="D188" s="2">
        <v>239.98</v>
      </c>
      <c r="E188" s="2">
        <v>239.2</v>
      </c>
      <c r="F188" s="14">
        <v>239.89</v>
      </c>
      <c r="G188" s="1">
        <v>46730936</v>
      </c>
      <c r="H188" s="6" t="s">
        <v>10</v>
      </c>
      <c r="I188" s="6">
        <f>IF(AND(H187="UP",testdataClose[[#This Row],[close]]&gt;I187),testdataClose[[#This Row],[close]],IF(AND(H187="DN",testdataClose[[#This Row],[close]]&lt;I187),testdataClose[[#This Row],[close]],I187))</f>
        <v>239.89</v>
      </c>
      <c r="J188" s="11">
        <f>(testdataClose[[#This Row],[close]]-testdataClose[[#This Row],[hl]])/testdataClose[[#This Row],[hl]]</f>
        <v>0</v>
      </c>
      <c r="K188" s="15">
        <f t="shared" ca="1" si="3"/>
        <v>256.6696268654793</v>
      </c>
      <c r="L188" s="6"/>
      <c r="M188" s="19"/>
      <c r="N188" s="19"/>
      <c r="Q188" s="4">
        <v>187</v>
      </c>
      <c r="R188" s="33"/>
      <c r="S188" s="19"/>
      <c r="T188" s="19"/>
    </row>
    <row r="189" spans="1:20" x14ac:dyDescent="0.35">
      <c r="A189" s="7">
        <v>188</v>
      </c>
      <c r="B189" s="3">
        <v>43007</v>
      </c>
      <c r="C189" s="2">
        <v>239.88</v>
      </c>
      <c r="D189" s="2">
        <v>240.82</v>
      </c>
      <c r="E189" s="2">
        <v>239.68</v>
      </c>
      <c r="F189" s="14">
        <v>240.74</v>
      </c>
      <c r="G189" s="1">
        <v>89308704</v>
      </c>
      <c r="H189" s="6" t="s">
        <v>10</v>
      </c>
      <c r="I189" s="6">
        <f>IF(AND(H188="UP",testdataClose[[#This Row],[close]]&gt;I188),testdataClose[[#This Row],[close]],IF(AND(H188="DN",testdataClose[[#This Row],[close]]&lt;I188),testdataClose[[#This Row],[close]],I188))</f>
        <v>240.74</v>
      </c>
      <c r="J189" s="11">
        <f>(testdataClose[[#This Row],[close]]-testdataClose[[#This Row],[hl]])/testdataClose[[#This Row],[hl]]</f>
        <v>0</v>
      </c>
      <c r="K189" s="15">
        <f t="shared" ca="1" si="3"/>
        <v>256.90548507443532</v>
      </c>
      <c r="L189" s="6"/>
      <c r="M189" s="19"/>
      <c r="N189" s="19"/>
      <c r="Q189" s="4">
        <v>188</v>
      </c>
      <c r="R189" s="33"/>
      <c r="S189" s="19"/>
      <c r="T189" s="19"/>
    </row>
    <row r="190" spans="1:20" x14ac:dyDescent="0.35">
      <c r="A190" s="7">
        <v>189</v>
      </c>
      <c r="B190" s="3">
        <v>43010</v>
      </c>
      <c r="C190" s="2">
        <v>240.98</v>
      </c>
      <c r="D190" s="2">
        <v>241.78</v>
      </c>
      <c r="E190" s="2">
        <v>240.8</v>
      </c>
      <c r="F190" s="14">
        <v>241.78</v>
      </c>
      <c r="G190" s="1">
        <v>61596044</v>
      </c>
      <c r="H190" s="6" t="s">
        <v>10</v>
      </c>
      <c r="I190" s="6">
        <f>IF(AND(H189="UP",testdataClose[[#This Row],[close]]&gt;I189),testdataClose[[#This Row],[close]],IF(AND(H189="DN",testdataClose[[#This Row],[close]]&lt;I189),testdataClose[[#This Row],[close]],I189))</f>
        <v>241.78</v>
      </c>
      <c r="J190" s="11">
        <f>(testdataClose[[#This Row],[close]]-testdataClose[[#This Row],[hl]])/testdataClose[[#This Row],[hl]]</f>
        <v>0</v>
      </c>
      <c r="K190" s="15">
        <f t="shared" ca="1" si="3"/>
        <v>257.14134328339139</v>
      </c>
      <c r="L190" s="6"/>
      <c r="M190" s="19"/>
      <c r="N190" s="19"/>
      <c r="Q190" s="4">
        <v>189</v>
      </c>
      <c r="R190" s="33"/>
      <c r="S190" s="19"/>
      <c r="T190" s="19"/>
    </row>
    <row r="191" spans="1:20" x14ac:dyDescent="0.35">
      <c r="A191" s="7">
        <v>190</v>
      </c>
      <c r="B191" s="3">
        <v>43011</v>
      </c>
      <c r="C191" s="2">
        <v>241.91</v>
      </c>
      <c r="D191" s="2">
        <v>242.33</v>
      </c>
      <c r="E191" s="2">
        <v>241.69</v>
      </c>
      <c r="F191" s="14">
        <v>242.3</v>
      </c>
      <c r="G191" s="1">
        <v>69722704</v>
      </c>
      <c r="H191" s="6" t="s">
        <v>10</v>
      </c>
      <c r="I191" s="6">
        <f>IF(AND(H190="UP",testdataClose[[#This Row],[close]]&gt;I190),testdataClose[[#This Row],[close]],IF(AND(H190="DN",testdataClose[[#This Row],[close]]&lt;I190),testdataClose[[#This Row],[close]],I190))</f>
        <v>242.3</v>
      </c>
      <c r="J191" s="11">
        <f>(testdataClose[[#This Row],[close]]-testdataClose[[#This Row],[hl]])/testdataClose[[#This Row],[hl]]</f>
        <v>0</v>
      </c>
      <c r="K191" s="15">
        <f t="shared" ca="1" si="3"/>
        <v>257.37720149234752</v>
      </c>
      <c r="L191" s="6"/>
      <c r="M191" s="19"/>
      <c r="N191" s="19"/>
      <c r="Q191" s="4">
        <v>190</v>
      </c>
      <c r="R191" s="33"/>
      <c r="S191" s="19"/>
      <c r="T191" s="19"/>
    </row>
    <row r="192" spans="1:20" x14ac:dyDescent="0.35">
      <c r="A192" s="7">
        <v>191</v>
      </c>
      <c r="B192" s="3">
        <v>43012</v>
      </c>
      <c r="C192" s="2">
        <v>242.13</v>
      </c>
      <c r="D192" s="2">
        <v>242.85</v>
      </c>
      <c r="E192" s="2">
        <v>242.01</v>
      </c>
      <c r="F192" s="14">
        <v>242.58</v>
      </c>
      <c r="G192" s="1">
        <v>58392872</v>
      </c>
      <c r="H192" s="6" t="s">
        <v>10</v>
      </c>
      <c r="I192" s="6">
        <f>IF(AND(H191="UP",testdataClose[[#This Row],[close]]&gt;I191),testdataClose[[#This Row],[close]],IF(AND(H191="DN",testdataClose[[#This Row],[close]]&lt;I191),testdataClose[[#This Row],[close]],I191))</f>
        <v>242.58</v>
      </c>
      <c r="J192" s="11">
        <f>(testdataClose[[#This Row],[close]]-testdataClose[[#This Row],[hl]])/testdataClose[[#This Row],[hl]]</f>
        <v>0</v>
      </c>
      <c r="K192" s="15">
        <f t="shared" ca="1" si="3"/>
        <v>257.61305970130365</v>
      </c>
      <c r="L192" s="6"/>
      <c r="M192" s="19"/>
      <c r="N192" s="19"/>
      <c r="Q192" s="4">
        <v>191</v>
      </c>
      <c r="R192" s="33"/>
      <c r="S192" s="19"/>
      <c r="T192" s="19"/>
    </row>
    <row r="193" spans="1:20" x14ac:dyDescent="0.35">
      <c r="A193" s="7">
        <v>192</v>
      </c>
      <c r="B193" s="3">
        <v>43013</v>
      </c>
      <c r="C193" s="2">
        <v>242.95</v>
      </c>
      <c r="D193" s="2">
        <v>244.04</v>
      </c>
      <c r="E193" s="2">
        <v>242.62</v>
      </c>
      <c r="F193" s="14">
        <v>244.02</v>
      </c>
      <c r="G193" s="1">
        <v>66291980</v>
      </c>
      <c r="H193" s="6" t="s">
        <v>10</v>
      </c>
      <c r="I193" s="6">
        <f>IF(AND(H192="UP",testdataClose[[#This Row],[close]]&gt;I192),testdataClose[[#This Row],[close]],IF(AND(H192="DN",testdataClose[[#This Row],[close]]&lt;I192),testdataClose[[#This Row],[close]],I192))</f>
        <v>244.02</v>
      </c>
      <c r="J193" s="11">
        <f>(testdataClose[[#This Row],[close]]-testdataClose[[#This Row],[hl]])/testdataClose[[#This Row],[hl]]</f>
        <v>0</v>
      </c>
      <c r="K193" s="15">
        <f t="shared" ca="1" si="3"/>
        <v>257.84891791025984</v>
      </c>
      <c r="L193" s="6"/>
      <c r="M193" s="19"/>
      <c r="N193" s="19"/>
      <c r="Q193" s="4">
        <v>192</v>
      </c>
      <c r="R193" s="33"/>
      <c r="S193" s="19"/>
      <c r="T193" s="19"/>
    </row>
    <row r="194" spans="1:20" x14ac:dyDescent="0.35">
      <c r="A194" s="7">
        <v>193</v>
      </c>
      <c r="B194" s="3">
        <v>43014</v>
      </c>
      <c r="C194" s="2">
        <v>243.53</v>
      </c>
      <c r="D194" s="2">
        <v>244.06</v>
      </c>
      <c r="E194" s="2">
        <v>243.25</v>
      </c>
      <c r="F194" s="14">
        <v>243.74</v>
      </c>
      <c r="G194" s="1">
        <v>84161696</v>
      </c>
      <c r="H194" s="6" t="s">
        <v>10</v>
      </c>
      <c r="I194" s="6">
        <f>IF(AND(H193="UP",testdataClose[[#This Row],[close]]&gt;I193),testdataClose[[#This Row],[close]],IF(AND(H193="DN",testdataClose[[#This Row],[close]]&lt;I193),testdataClose[[#This Row],[close]],I193))</f>
        <v>244.02</v>
      </c>
      <c r="J194" s="11">
        <f>(testdataClose[[#This Row],[close]]-testdataClose[[#This Row],[hl]])/testdataClose[[#This Row],[hl]]</f>
        <v>-1.1474469305794654E-3</v>
      </c>
      <c r="K194" s="15">
        <f t="shared" ca="1" si="3"/>
        <v>258.08477611921609</v>
      </c>
      <c r="L194" s="6"/>
      <c r="M194" s="19"/>
      <c r="N194" s="19"/>
      <c r="Q194" s="4">
        <v>193</v>
      </c>
      <c r="R194" s="33"/>
      <c r="S194" s="19"/>
      <c r="T194" s="19"/>
    </row>
    <row r="195" spans="1:20" x14ac:dyDescent="0.35">
      <c r="A195" s="7">
        <v>194</v>
      </c>
      <c r="B195" s="3">
        <v>43017</v>
      </c>
      <c r="C195" s="2">
        <v>243.99</v>
      </c>
      <c r="D195" s="2">
        <v>244.06</v>
      </c>
      <c r="E195" s="2">
        <v>243.05</v>
      </c>
      <c r="F195" s="14">
        <v>243.34</v>
      </c>
      <c r="G195" s="1">
        <v>37363944</v>
      </c>
      <c r="H195" s="6" t="s">
        <v>10</v>
      </c>
      <c r="I195" s="6">
        <f>IF(AND(H194="UP",testdataClose[[#This Row],[close]]&gt;I194),testdataClose[[#This Row],[close]],IF(AND(H194="DN",testdataClose[[#This Row],[close]]&lt;I194),testdataClose[[#This Row],[close]],I194))</f>
        <v>244.02</v>
      </c>
      <c r="J195" s="11">
        <f>(testdataClose[[#This Row],[close]]-testdataClose[[#This Row],[hl]])/testdataClose[[#This Row],[hl]]</f>
        <v>-2.7866568314072896E-3</v>
      </c>
      <c r="K195" s="15">
        <f t="shared" ca="1" si="3"/>
        <v>258.32063432817233</v>
      </c>
      <c r="L195" s="6"/>
      <c r="M195" s="19"/>
      <c r="N195" s="19"/>
      <c r="Q195" s="4">
        <v>194</v>
      </c>
      <c r="R195" s="33"/>
      <c r="S195" s="19"/>
      <c r="T195" s="19"/>
    </row>
    <row r="196" spans="1:20" x14ac:dyDescent="0.35">
      <c r="A196" s="7">
        <v>195</v>
      </c>
      <c r="B196" s="3">
        <v>43018</v>
      </c>
      <c r="C196" s="2">
        <v>243.96</v>
      </c>
      <c r="D196" s="2">
        <v>244.4</v>
      </c>
      <c r="E196" s="2">
        <v>243.37</v>
      </c>
      <c r="F196" s="14">
        <v>243.98</v>
      </c>
      <c r="G196" s="1">
        <v>44934412</v>
      </c>
      <c r="H196" s="6" t="s">
        <v>10</v>
      </c>
      <c r="I196" s="6">
        <f>IF(AND(H195="UP",testdataClose[[#This Row],[close]]&gt;I195),testdataClose[[#This Row],[close]],IF(AND(H195="DN",testdataClose[[#This Row],[close]]&lt;I195),testdataClose[[#This Row],[close]],I195))</f>
        <v>244.02</v>
      </c>
      <c r="J196" s="11">
        <f>(testdataClose[[#This Row],[close]]-testdataClose[[#This Row],[hl]])/testdataClose[[#This Row],[hl]]</f>
        <v>-1.6392099008286396E-4</v>
      </c>
      <c r="K196" s="15">
        <f t="shared" ref="K196:K259" ca="1" si="4">AVERAGE(K195,K197)</f>
        <v>258.55649253712863</v>
      </c>
      <c r="L196" s="6"/>
      <c r="M196" s="19"/>
      <c r="N196" s="19"/>
      <c r="Q196" s="4">
        <v>195</v>
      </c>
      <c r="R196" s="33"/>
      <c r="S196" s="19"/>
      <c r="T196" s="19"/>
    </row>
    <row r="197" spans="1:20" x14ac:dyDescent="0.35">
      <c r="A197" s="7">
        <v>196</v>
      </c>
      <c r="B197" s="3">
        <v>43019</v>
      </c>
      <c r="C197" s="2">
        <v>243.88</v>
      </c>
      <c r="D197" s="2">
        <v>244.37</v>
      </c>
      <c r="E197" s="2">
        <v>243.7</v>
      </c>
      <c r="F197" s="14">
        <v>244.37</v>
      </c>
      <c r="G197" s="1">
        <v>49752644</v>
      </c>
      <c r="H197" s="6" t="s">
        <v>10</v>
      </c>
      <c r="I197" s="6">
        <f>IF(AND(H196="UP",testdataClose[[#This Row],[close]]&gt;I196),testdataClose[[#This Row],[close]],IF(AND(H196="DN",testdataClose[[#This Row],[close]]&lt;I196),testdataClose[[#This Row],[close]],I196))</f>
        <v>244.37</v>
      </c>
      <c r="J197" s="11">
        <f>(testdataClose[[#This Row],[close]]-testdataClose[[#This Row],[hl]])/testdataClose[[#This Row],[hl]]</f>
        <v>0</v>
      </c>
      <c r="K197" s="15">
        <f t="shared" ca="1" si="4"/>
        <v>258.79235074608499</v>
      </c>
      <c r="L197" s="6"/>
      <c r="M197" s="19"/>
      <c r="N197" s="19"/>
      <c r="Q197" s="4">
        <v>196</v>
      </c>
      <c r="R197" s="33"/>
      <c r="S197" s="19"/>
      <c r="T197" s="19"/>
    </row>
    <row r="198" spans="1:20" x14ac:dyDescent="0.35">
      <c r="A198" s="7">
        <v>197</v>
      </c>
      <c r="B198" s="3">
        <v>43020</v>
      </c>
      <c r="C198" s="2">
        <v>244.02</v>
      </c>
      <c r="D198" s="2">
        <v>244.41</v>
      </c>
      <c r="E198" s="2">
        <v>243.74</v>
      </c>
      <c r="F198" s="14">
        <v>244</v>
      </c>
      <c r="G198" s="1">
        <v>49116908</v>
      </c>
      <c r="H198" s="6" t="s">
        <v>10</v>
      </c>
      <c r="I198" s="6">
        <f>IF(AND(H197="UP",testdataClose[[#This Row],[close]]&gt;I197),testdataClose[[#This Row],[close]],IF(AND(H197="DN",testdataClose[[#This Row],[close]]&lt;I197),testdataClose[[#This Row],[close]],I197))</f>
        <v>244.37</v>
      </c>
      <c r="J198" s="11">
        <f>(testdataClose[[#This Row],[close]]-testdataClose[[#This Row],[hl]])/testdataClose[[#This Row],[hl]]</f>
        <v>-1.5140974751401749E-3</v>
      </c>
      <c r="K198" s="15">
        <f t="shared" ca="1" si="4"/>
        <v>259.02820895504135</v>
      </c>
      <c r="L198" s="6"/>
      <c r="M198" s="19"/>
      <c r="N198" s="19"/>
      <c r="Q198" s="4">
        <v>197</v>
      </c>
      <c r="R198" s="33"/>
      <c r="S198" s="19"/>
      <c r="T198" s="19"/>
    </row>
    <row r="199" spans="1:20" x14ac:dyDescent="0.35">
      <c r="A199" s="7">
        <v>198</v>
      </c>
      <c r="B199" s="3">
        <v>43021</v>
      </c>
      <c r="C199" s="2">
        <v>244.48</v>
      </c>
      <c r="D199" s="2">
        <v>244.61</v>
      </c>
      <c r="E199" s="2">
        <v>244</v>
      </c>
      <c r="F199" s="14">
        <v>244.3</v>
      </c>
      <c r="G199" s="1">
        <v>57189416</v>
      </c>
      <c r="H199" s="6" t="s">
        <v>10</v>
      </c>
      <c r="I199" s="6">
        <f>IF(AND(H198="UP",testdataClose[[#This Row],[close]]&gt;I198),testdataClose[[#This Row],[close]],IF(AND(H198="DN",testdataClose[[#This Row],[close]]&lt;I198),testdataClose[[#This Row],[close]],I198))</f>
        <v>244.37</v>
      </c>
      <c r="J199" s="11">
        <f>(testdataClose[[#This Row],[close]]-testdataClose[[#This Row],[hl]])/testdataClose[[#This Row],[hl]]</f>
        <v>-2.8645087367513679E-4</v>
      </c>
      <c r="K199" s="15">
        <f t="shared" ca="1" si="4"/>
        <v>259.26406716399777</v>
      </c>
      <c r="L199" s="6"/>
      <c r="M199" s="19"/>
      <c r="N199" s="19"/>
      <c r="Q199" s="4">
        <v>198</v>
      </c>
      <c r="R199" s="33"/>
      <c r="S199" s="19"/>
      <c r="T199" s="19"/>
    </row>
    <row r="200" spans="1:20" x14ac:dyDescent="0.35">
      <c r="A200" s="7">
        <v>199</v>
      </c>
      <c r="B200" s="3">
        <v>43024</v>
      </c>
      <c r="C200" s="2">
        <v>244.55</v>
      </c>
      <c r="D200" s="2">
        <v>244.84</v>
      </c>
      <c r="E200" s="2">
        <v>244.18</v>
      </c>
      <c r="F200" s="14">
        <v>244.63</v>
      </c>
      <c r="G200" s="1">
        <v>39887916</v>
      </c>
      <c r="H200" s="6" t="s">
        <v>10</v>
      </c>
      <c r="I200" s="6">
        <f>IF(AND(H199="UP",testdataClose[[#This Row],[close]]&gt;I199),testdataClose[[#This Row],[close]],IF(AND(H199="DN",testdataClose[[#This Row],[close]]&lt;I199),testdataClose[[#This Row],[close]],I199))</f>
        <v>244.63</v>
      </c>
      <c r="J200" s="11">
        <f>(testdataClose[[#This Row],[close]]-testdataClose[[#This Row],[hl]])/testdataClose[[#This Row],[hl]]</f>
        <v>0</v>
      </c>
      <c r="K200" s="15">
        <f t="shared" ca="1" si="4"/>
        <v>259.49992537295424</v>
      </c>
      <c r="L200" s="6"/>
      <c r="M200" s="19"/>
      <c r="N200" s="19"/>
      <c r="Q200" s="4">
        <v>199</v>
      </c>
      <c r="R200" s="33"/>
      <c r="S200" s="19"/>
      <c r="T200" s="19"/>
    </row>
    <row r="201" spans="1:20" x14ac:dyDescent="0.35">
      <c r="A201" s="7">
        <v>200</v>
      </c>
      <c r="B201" s="3">
        <v>43025</v>
      </c>
      <c r="C201" s="2">
        <v>244.57</v>
      </c>
      <c r="D201" s="2">
        <v>244.85</v>
      </c>
      <c r="E201" s="2">
        <v>244.33</v>
      </c>
      <c r="F201" s="14">
        <v>244.8</v>
      </c>
      <c r="G201" s="1">
        <v>32936836</v>
      </c>
      <c r="H201" s="6" t="s">
        <v>10</v>
      </c>
      <c r="I201" s="6">
        <f>IF(AND(H200="UP",testdataClose[[#This Row],[close]]&gt;I200),testdataClose[[#This Row],[close]],IF(AND(H200="DN",testdataClose[[#This Row],[close]]&lt;I200),testdataClose[[#This Row],[close]],I200))</f>
        <v>244.8</v>
      </c>
      <c r="J201" s="11">
        <f>(testdataClose[[#This Row],[close]]-testdataClose[[#This Row],[hl]])/testdataClose[[#This Row],[hl]]</f>
        <v>0</v>
      </c>
      <c r="K201" s="15">
        <f t="shared" ca="1" si="4"/>
        <v>259.73578358191071</v>
      </c>
      <c r="L201" s="6"/>
      <c r="M201" s="19"/>
      <c r="N201" s="19"/>
      <c r="Q201" s="4">
        <v>200</v>
      </c>
      <c r="R201" s="33"/>
      <c r="S201" s="19"/>
      <c r="T201" s="19"/>
    </row>
    <row r="202" spans="1:20" x14ac:dyDescent="0.35">
      <c r="A202" s="7">
        <v>201</v>
      </c>
      <c r="B202" s="3">
        <v>43026</v>
      </c>
      <c r="C202" s="2">
        <v>245.21</v>
      </c>
      <c r="D202" s="2">
        <v>245.26</v>
      </c>
      <c r="E202" s="2">
        <v>244.83</v>
      </c>
      <c r="F202" s="14">
        <v>245.04</v>
      </c>
      <c r="G202" s="1">
        <v>42670820</v>
      </c>
      <c r="H202" s="6" t="s">
        <v>10</v>
      </c>
      <c r="I202" s="6">
        <f>IF(AND(H201="UP",testdataClose[[#This Row],[close]]&gt;I201),testdataClose[[#This Row],[close]],IF(AND(H201="DN",testdataClose[[#This Row],[close]]&lt;I201),testdataClose[[#This Row],[close]],I201))</f>
        <v>245.04</v>
      </c>
      <c r="J202" s="11">
        <f>(testdataClose[[#This Row],[close]]-testdataClose[[#This Row],[hl]])/testdataClose[[#This Row],[hl]]</f>
        <v>0</v>
      </c>
      <c r="K202" s="15">
        <f t="shared" ca="1" si="4"/>
        <v>259.97164179086724</v>
      </c>
      <c r="L202" s="6"/>
      <c r="M202" s="19"/>
      <c r="N202" s="19"/>
      <c r="Q202" s="4">
        <v>201</v>
      </c>
      <c r="R202" s="33"/>
      <c r="S202" s="19"/>
      <c r="T202" s="19"/>
    </row>
    <row r="203" spans="1:20" x14ac:dyDescent="0.35">
      <c r="A203" s="7">
        <v>202</v>
      </c>
      <c r="B203" s="3">
        <v>43027</v>
      </c>
      <c r="C203" s="2">
        <v>244.18</v>
      </c>
      <c r="D203" s="2">
        <v>245.14</v>
      </c>
      <c r="E203" s="2">
        <v>243.72</v>
      </c>
      <c r="F203" s="14">
        <v>245.1</v>
      </c>
      <c r="G203" s="1">
        <v>64602432</v>
      </c>
      <c r="H203" s="6" t="s">
        <v>10</v>
      </c>
      <c r="I203" s="6">
        <f>IF(AND(H202="UP",testdataClose[[#This Row],[close]]&gt;I202),testdataClose[[#This Row],[close]],IF(AND(H202="DN",testdataClose[[#This Row],[close]]&lt;I202),testdataClose[[#This Row],[close]],I202))</f>
        <v>245.1</v>
      </c>
      <c r="J203" s="11">
        <f>(testdataClose[[#This Row],[close]]-testdataClose[[#This Row],[hl]])/testdataClose[[#This Row],[hl]]</f>
        <v>0</v>
      </c>
      <c r="K203" s="15">
        <f t="shared" ca="1" si="4"/>
        <v>260.20749999982382</v>
      </c>
      <c r="L203" s="6"/>
      <c r="M203" s="19"/>
      <c r="N203" s="19"/>
      <c r="Q203" s="4">
        <v>202</v>
      </c>
      <c r="R203" s="33"/>
      <c r="S203" s="19"/>
      <c r="T203" s="19"/>
    </row>
    <row r="204" spans="1:20" x14ac:dyDescent="0.35">
      <c r="A204" s="7">
        <v>203</v>
      </c>
      <c r="B204" s="3">
        <v>43028</v>
      </c>
      <c r="C204" s="2">
        <v>245.98</v>
      </c>
      <c r="D204" s="2">
        <v>246.4</v>
      </c>
      <c r="E204" s="2">
        <v>245.09</v>
      </c>
      <c r="F204" s="14">
        <v>246.37</v>
      </c>
      <c r="G204" s="1">
        <v>93063952</v>
      </c>
      <c r="H204" s="6" t="s">
        <v>10</v>
      </c>
      <c r="I204" s="6">
        <f>IF(AND(H203="UP",testdataClose[[#This Row],[close]]&gt;I203),testdataClose[[#This Row],[close]],IF(AND(H203="DN",testdataClose[[#This Row],[close]]&lt;I203),testdataClose[[#This Row],[close]],I203))</f>
        <v>246.37</v>
      </c>
      <c r="J204" s="11">
        <f>(testdataClose[[#This Row],[close]]-testdataClose[[#This Row],[hl]])/testdataClose[[#This Row],[hl]]</f>
        <v>0</v>
      </c>
      <c r="K204" s="15">
        <f t="shared" ca="1" si="4"/>
        <v>260.44335820878041</v>
      </c>
      <c r="L204" s="6"/>
      <c r="M204" s="19"/>
      <c r="N204" s="19"/>
      <c r="Q204" s="4">
        <v>203</v>
      </c>
      <c r="R204" s="33"/>
      <c r="S204" s="19"/>
      <c r="T204" s="19"/>
    </row>
    <row r="205" spans="1:20" x14ac:dyDescent="0.35">
      <c r="A205" s="7">
        <v>204</v>
      </c>
      <c r="B205" s="3">
        <v>43031</v>
      </c>
      <c r="C205" s="2">
        <v>246.72</v>
      </c>
      <c r="D205" s="2">
        <v>246.75</v>
      </c>
      <c r="E205" s="2">
        <v>245.33</v>
      </c>
      <c r="F205" s="14">
        <v>245.41</v>
      </c>
      <c r="G205" s="1">
        <v>66701640</v>
      </c>
      <c r="H205" s="6" t="s">
        <v>10</v>
      </c>
      <c r="I205" s="6">
        <f>IF(AND(H204="UP",testdataClose[[#This Row],[close]]&gt;I204),testdataClose[[#This Row],[close]],IF(AND(H204="DN",testdataClose[[#This Row],[close]]&lt;I204),testdataClose[[#This Row],[close]],I204))</f>
        <v>246.37</v>
      </c>
      <c r="J205" s="11">
        <f>(testdataClose[[#This Row],[close]]-testdataClose[[#This Row],[hl]])/testdataClose[[#This Row],[hl]]</f>
        <v>-3.8965783171652714E-3</v>
      </c>
      <c r="K205" s="15">
        <f t="shared" ca="1" si="4"/>
        <v>260.67921641773705</v>
      </c>
      <c r="L205" s="6"/>
      <c r="M205" s="19"/>
      <c r="N205" s="19"/>
      <c r="Q205" s="4">
        <v>204</v>
      </c>
      <c r="R205" s="33"/>
      <c r="S205" s="19"/>
      <c r="T205" s="19"/>
    </row>
    <row r="206" spans="1:20" x14ac:dyDescent="0.35">
      <c r="A206" s="7">
        <v>205</v>
      </c>
      <c r="B206" s="3">
        <v>43032</v>
      </c>
      <c r="C206" s="2">
        <v>245.88</v>
      </c>
      <c r="D206" s="2">
        <v>246.1</v>
      </c>
      <c r="E206" s="2">
        <v>245.45</v>
      </c>
      <c r="F206" s="14">
        <v>245.84</v>
      </c>
      <c r="G206" s="1">
        <v>69853928</v>
      </c>
      <c r="H206" s="6" t="s">
        <v>10</v>
      </c>
      <c r="I206" s="6">
        <f>IF(AND(H205="UP",testdataClose[[#This Row],[close]]&gt;I205),testdataClose[[#This Row],[close]],IF(AND(H205="DN",testdataClose[[#This Row],[close]]&lt;I205),testdataClose[[#This Row],[close]],I205))</f>
        <v>246.37</v>
      </c>
      <c r="J206" s="11">
        <f>(testdataClose[[#This Row],[close]]-testdataClose[[#This Row],[hl]])/testdataClose[[#This Row],[hl]]</f>
        <v>-2.1512359459349806E-3</v>
      </c>
      <c r="K206" s="15">
        <f t="shared" ca="1" si="4"/>
        <v>260.91507462669375</v>
      </c>
      <c r="L206" s="6"/>
      <c r="M206" s="19"/>
      <c r="N206" s="19"/>
      <c r="Q206" s="4">
        <v>205</v>
      </c>
      <c r="R206" s="33"/>
      <c r="S206" s="19"/>
      <c r="T206" s="19"/>
    </row>
    <row r="207" spans="1:20" x14ac:dyDescent="0.35">
      <c r="A207" s="7">
        <v>206</v>
      </c>
      <c r="B207" s="3">
        <v>43033</v>
      </c>
      <c r="C207" s="2">
        <v>245.48</v>
      </c>
      <c r="D207" s="2">
        <v>245.6</v>
      </c>
      <c r="E207" s="2">
        <v>243.39</v>
      </c>
      <c r="F207" s="14">
        <v>244.63</v>
      </c>
      <c r="G207" s="1">
        <v>108236672</v>
      </c>
      <c r="H207" s="6" t="s">
        <v>10</v>
      </c>
      <c r="I207" s="6">
        <f>IF(AND(H206="UP",testdataClose[[#This Row],[close]]&gt;I206),testdataClose[[#This Row],[close]],IF(AND(H206="DN",testdataClose[[#This Row],[close]]&lt;I206),testdataClose[[#This Row],[close]],I206))</f>
        <v>246.37</v>
      </c>
      <c r="J207" s="11">
        <f>(testdataClose[[#This Row],[close]]-testdataClose[[#This Row],[hl]])/testdataClose[[#This Row],[hl]]</f>
        <v>-7.0625481998620333E-3</v>
      </c>
      <c r="K207" s="15">
        <f t="shared" ca="1" si="4"/>
        <v>261.15093283565045</v>
      </c>
      <c r="L207" s="6"/>
      <c r="M207" s="19"/>
      <c r="N207" s="19"/>
      <c r="Q207" s="4">
        <v>206</v>
      </c>
      <c r="R207" s="33"/>
      <c r="S207" s="19"/>
      <c r="T207" s="19"/>
    </row>
    <row r="208" spans="1:20" x14ac:dyDescent="0.35">
      <c r="A208" s="7">
        <v>207</v>
      </c>
      <c r="B208" s="3">
        <v>43034</v>
      </c>
      <c r="C208" s="2">
        <v>245.3</v>
      </c>
      <c r="D208" s="2">
        <v>245.59</v>
      </c>
      <c r="E208" s="2">
        <v>244.81</v>
      </c>
      <c r="F208" s="14">
        <v>244.94</v>
      </c>
      <c r="G208" s="1">
        <v>72840760</v>
      </c>
      <c r="H208" s="6" t="s">
        <v>10</v>
      </c>
      <c r="I208" s="6">
        <f>IF(AND(H207="UP",testdataClose[[#This Row],[close]]&gt;I207),testdataClose[[#This Row],[close]],IF(AND(H207="DN",testdataClose[[#This Row],[close]]&lt;I207),testdataClose[[#This Row],[close]],I207))</f>
        <v>246.37</v>
      </c>
      <c r="J208" s="11">
        <f>(testdataClose[[#This Row],[close]]-testdataClose[[#This Row],[hl]])/testdataClose[[#This Row],[hl]]</f>
        <v>-5.8042781182774152E-3</v>
      </c>
      <c r="K208" s="15">
        <f t="shared" ca="1" si="4"/>
        <v>261.38679104460721</v>
      </c>
      <c r="L208" s="6"/>
      <c r="M208" s="19"/>
      <c r="N208" s="19"/>
      <c r="Q208" s="4">
        <v>207</v>
      </c>
      <c r="R208" s="33"/>
      <c r="S208" s="19"/>
      <c r="T208" s="19"/>
    </row>
    <row r="209" spans="1:20" x14ac:dyDescent="0.35">
      <c r="A209" s="7">
        <v>208</v>
      </c>
      <c r="B209" s="3">
        <v>43035</v>
      </c>
      <c r="C209" s="2">
        <v>245.76</v>
      </c>
      <c r="D209" s="2">
        <v>247.12</v>
      </c>
      <c r="E209" s="2">
        <v>244.95</v>
      </c>
      <c r="F209" s="14">
        <v>246.94</v>
      </c>
      <c r="G209" s="1">
        <v>89292576</v>
      </c>
      <c r="H209" s="6" t="s">
        <v>10</v>
      </c>
      <c r="I209" s="6">
        <f>IF(AND(H208="UP",testdataClose[[#This Row],[close]]&gt;I208),testdataClose[[#This Row],[close]],IF(AND(H208="DN",testdataClose[[#This Row],[close]]&lt;I208),testdataClose[[#This Row],[close]],I208))</f>
        <v>246.94</v>
      </c>
      <c r="J209" s="11">
        <f>(testdataClose[[#This Row],[close]]-testdataClose[[#This Row],[hl]])/testdataClose[[#This Row],[hl]]</f>
        <v>0</v>
      </c>
      <c r="K209" s="15">
        <f t="shared" ca="1" si="4"/>
        <v>261.62264925356402</v>
      </c>
      <c r="L209" s="6"/>
      <c r="M209" s="19"/>
      <c r="N209" s="19"/>
      <c r="Q209" s="4">
        <v>208</v>
      </c>
      <c r="R209" s="33"/>
      <c r="S209" s="19"/>
      <c r="T209" s="19"/>
    </row>
    <row r="210" spans="1:20" x14ac:dyDescent="0.35">
      <c r="A210" s="7">
        <v>209</v>
      </c>
      <c r="B210" s="3">
        <v>43038</v>
      </c>
      <c r="C210" s="2">
        <v>246.33</v>
      </c>
      <c r="D210" s="2">
        <v>246.84</v>
      </c>
      <c r="E210" s="2">
        <v>245.7</v>
      </c>
      <c r="F210" s="14">
        <v>246.02</v>
      </c>
      <c r="G210" s="1">
        <v>56652224</v>
      </c>
      <c r="H210" s="6" t="s">
        <v>10</v>
      </c>
      <c r="I210" s="6">
        <f>IF(AND(H209="UP",testdataClose[[#This Row],[close]]&gt;I209),testdataClose[[#This Row],[close]],IF(AND(H209="DN",testdataClose[[#This Row],[close]]&lt;I209),testdataClose[[#This Row],[close]],I209))</f>
        <v>246.94</v>
      </c>
      <c r="J210" s="11">
        <f>(testdataClose[[#This Row],[close]]-testdataClose[[#This Row],[hl]])/testdataClose[[#This Row],[hl]]</f>
        <v>-3.7256013606543595E-3</v>
      </c>
      <c r="K210" s="15">
        <f t="shared" ca="1" si="4"/>
        <v>261.85850746252083</v>
      </c>
      <c r="L210" s="6"/>
      <c r="M210" s="19"/>
      <c r="N210" s="19"/>
      <c r="Q210" s="4">
        <v>209</v>
      </c>
      <c r="R210" s="33"/>
      <c r="S210" s="19"/>
      <c r="T210" s="19"/>
    </row>
    <row r="211" spans="1:20" x14ac:dyDescent="0.35">
      <c r="A211" s="7">
        <v>210</v>
      </c>
      <c r="B211" s="3">
        <v>43039</v>
      </c>
      <c r="C211" s="2">
        <v>246.44</v>
      </c>
      <c r="D211" s="2">
        <v>246.69</v>
      </c>
      <c r="E211" s="2">
        <v>246.08</v>
      </c>
      <c r="F211" s="14">
        <v>246.41</v>
      </c>
      <c r="G211" s="1">
        <v>62933720</v>
      </c>
      <c r="H211" s="6" t="s">
        <v>10</v>
      </c>
      <c r="I211" s="6">
        <f>IF(AND(H210="UP",testdataClose[[#This Row],[close]]&gt;I210),testdataClose[[#This Row],[close]],IF(AND(H210="DN",testdataClose[[#This Row],[close]]&lt;I210),testdataClose[[#This Row],[close]],I210))</f>
        <v>246.94</v>
      </c>
      <c r="J211" s="11">
        <f>(testdataClose[[#This Row],[close]]-testdataClose[[#This Row],[hl]])/testdataClose[[#This Row],[hl]]</f>
        <v>-2.1462703490726541E-3</v>
      </c>
      <c r="K211" s="15">
        <f t="shared" ca="1" si="4"/>
        <v>262.0943656714777</v>
      </c>
      <c r="L211" s="6"/>
      <c r="M211" s="19"/>
      <c r="N211" s="19"/>
      <c r="Q211" s="4">
        <v>210</v>
      </c>
      <c r="R211" s="33"/>
      <c r="S211" s="19"/>
      <c r="T211" s="19"/>
    </row>
    <row r="212" spans="1:20" x14ac:dyDescent="0.35">
      <c r="A212" s="7">
        <v>211</v>
      </c>
      <c r="B212" s="3">
        <v>43040</v>
      </c>
      <c r="C212" s="2">
        <v>247.26</v>
      </c>
      <c r="D212" s="2">
        <v>247.63</v>
      </c>
      <c r="E212" s="2">
        <v>246.33</v>
      </c>
      <c r="F212" s="14">
        <v>246.73</v>
      </c>
      <c r="G212" s="1">
        <v>56565660</v>
      </c>
      <c r="H212" s="6" t="s">
        <v>10</v>
      </c>
      <c r="I212" s="6">
        <f>IF(AND(H211="UP",testdataClose[[#This Row],[close]]&gt;I211),testdataClose[[#This Row],[close]],IF(AND(H211="DN",testdataClose[[#This Row],[close]]&lt;I211),testdataClose[[#This Row],[close]],I211))</f>
        <v>246.94</v>
      </c>
      <c r="J212" s="11">
        <f>(testdataClose[[#This Row],[close]]-testdataClose[[#This Row],[hl]])/testdataClose[[#This Row],[hl]]</f>
        <v>-8.5040900623636494E-4</v>
      </c>
      <c r="K212" s="15">
        <f t="shared" ca="1" si="4"/>
        <v>262.33022388043463</v>
      </c>
      <c r="L212" s="6"/>
      <c r="M212" s="19"/>
      <c r="N212" s="19"/>
      <c r="Q212" s="4">
        <v>211</v>
      </c>
      <c r="R212" s="33"/>
      <c r="S212" s="19"/>
      <c r="T212" s="19"/>
    </row>
    <row r="213" spans="1:20" x14ac:dyDescent="0.35">
      <c r="A213" s="7">
        <v>212</v>
      </c>
      <c r="B213" s="3">
        <v>43041</v>
      </c>
      <c r="C213" s="2">
        <v>246.66</v>
      </c>
      <c r="D213" s="2">
        <v>246.98</v>
      </c>
      <c r="E213" s="2">
        <v>245.49</v>
      </c>
      <c r="F213" s="14">
        <v>246.83</v>
      </c>
      <c r="G213" s="1">
        <v>58910404</v>
      </c>
      <c r="H213" s="6" t="s">
        <v>10</v>
      </c>
      <c r="I213" s="6">
        <f>IF(AND(H212="UP",testdataClose[[#This Row],[close]]&gt;I212),testdataClose[[#This Row],[close]],IF(AND(H212="DN",testdataClose[[#This Row],[close]]&lt;I212),testdataClose[[#This Row],[close]],I212))</f>
        <v>246.94</v>
      </c>
      <c r="J213" s="11">
        <f>(testdataClose[[#This Row],[close]]-testdataClose[[#This Row],[hl]])/testdataClose[[#This Row],[hl]]</f>
        <v>-4.4545233659992398E-4</v>
      </c>
      <c r="K213" s="15">
        <f t="shared" ca="1" si="4"/>
        <v>262.56608208939156</v>
      </c>
      <c r="L213" s="6"/>
      <c r="M213" s="19"/>
      <c r="N213" s="19"/>
      <c r="Q213" s="4">
        <v>212</v>
      </c>
      <c r="R213" s="33"/>
      <c r="S213" s="19"/>
      <c r="T213" s="19"/>
    </row>
    <row r="214" spans="1:20" x14ac:dyDescent="0.35">
      <c r="A214" s="7">
        <v>213</v>
      </c>
      <c r="B214" s="3">
        <v>43042</v>
      </c>
      <c r="C214" s="2">
        <v>247</v>
      </c>
      <c r="D214" s="2">
        <v>247.7</v>
      </c>
      <c r="E214" s="2">
        <v>246.55</v>
      </c>
      <c r="F214" s="14">
        <v>247.65</v>
      </c>
      <c r="G214" s="1">
        <v>62187496</v>
      </c>
      <c r="H214" s="6" t="s">
        <v>10</v>
      </c>
      <c r="I214" s="6">
        <f>IF(AND(H213="UP",testdataClose[[#This Row],[close]]&gt;I213),testdataClose[[#This Row],[close]],IF(AND(H213="DN",testdataClose[[#This Row],[close]]&lt;I213),testdataClose[[#This Row],[close]],I213))</f>
        <v>247.65</v>
      </c>
      <c r="J214" s="11">
        <f>(testdataClose[[#This Row],[close]]-testdataClose[[#This Row],[hl]])/testdataClose[[#This Row],[hl]]</f>
        <v>0</v>
      </c>
      <c r="K214" s="15">
        <f t="shared" ca="1" si="4"/>
        <v>262.80194029834854</v>
      </c>
      <c r="L214" s="6"/>
      <c r="M214" s="19"/>
      <c r="N214" s="19"/>
      <c r="Q214" s="4">
        <v>213</v>
      </c>
      <c r="R214" s="33"/>
      <c r="S214" s="19"/>
      <c r="T214" s="19"/>
    </row>
    <row r="215" spans="1:20" x14ac:dyDescent="0.35">
      <c r="A215" s="7">
        <v>214</v>
      </c>
      <c r="B215" s="3">
        <v>43045</v>
      </c>
      <c r="C215" s="2">
        <v>247.51</v>
      </c>
      <c r="D215" s="2">
        <v>248.18</v>
      </c>
      <c r="E215" s="2">
        <v>247.43</v>
      </c>
      <c r="F215" s="14">
        <v>248.04</v>
      </c>
      <c r="G215" s="1">
        <v>51817160</v>
      </c>
      <c r="H215" s="6" t="s">
        <v>10</v>
      </c>
      <c r="I215" s="6">
        <f>IF(AND(H214="UP",testdataClose[[#This Row],[close]]&gt;I214),testdataClose[[#This Row],[close]],IF(AND(H214="DN",testdataClose[[#This Row],[close]]&lt;I214),testdataClose[[#This Row],[close]],I214))</f>
        <v>248.04</v>
      </c>
      <c r="J215" s="11">
        <f>(testdataClose[[#This Row],[close]]-testdataClose[[#This Row],[hl]])/testdataClose[[#This Row],[hl]]</f>
        <v>0</v>
      </c>
      <c r="K215" s="15">
        <f t="shared" ca="1" si="4"/>
        <v>263.03779850730558</v>
      </c>
      <c r="L215" s="6"/>
      <c r="M215" s="19"/>
      <c r="N215" s="19"/>
      <c r="Q215" s="4">
        <v>214</v>
      </c>
      <c r="R215" s="33"/>
      <c r="S215" s="19"/>
      <c r="T215" s="19"/>
    </row>
    <row r="216" spans="1:20" x14ac:dyDescent="0.35">
      <c r="A216" s="7">
        <v>215</v>
      </c>
      <c r="B216" s="3">
        <v>43046</v>
      </c>
      <c r="C216" s="2">
        <v>248.15</v>
      </c>
      <c r="D216" s="2">
        <v>248.52</v>
      </c>
      <c r="E216" s="2">
        <v>247.31</v>
      </c>
      <c r="F216" s="14">
        <v>247.86</v>
      </c>
      <c r="G216" s="1">
        <v>60008920</v>
      </c>
      <c r="H216" s="6" t="s">
        <v>10</v>
      </c>
      <c r="I216" s="6">
        <f>IF(AND(H215="UP",testdataClose[[#This Row],[close]]&gt;I215),testdataClose[[#This Row],[close]],IF(AND(H215="DN",testdataClose[[#This Row],[close]]&lt;I215),testdataClose[[#This Row],[close]],I215))</f>
        <v>248.04</v>
      </c>
      <c r="J216" s="11">
        <f>(testdataClose[[#This Row],[close]]-testdataClose[[#This Row],[hl]])/testdataClose[[#This Row],[hl]]</f>
        <v>-7.2568940493460089E-4</v>
      </c>
      <c r="K216" s="15">
        <f t="shared" ca="1" si="4"/>
        <v>263.27365671626262</v>
      </c>
      <c r="L216" s="6"/>
      <c r="M216" s="19"/>
      <c r="N216" s="19"/>
      <c r="Q216" s="4">
        <v>215</v>
      </c>
      <c r="R216" s="33"/>
      <c r="S216" s="19"/>
      <c r="T216" s="19"/>
    </row>
    <row r="217" spans="1:20" x14ac:dyDescent="0.35">
      <c r="A217" s="7">
        <v>216</v>
      </c>
      <c r="B217" s="3">
        <v>43047</v>
      </c>
      <c r="C217" s="2">
        <v>247.67</v>
      </c>
      <c r="D217" s="2">
        <v>248.39</v>
      </c>
      <c r="E217" s="2">
        <v>247.37</v>
      </c>
      <c r="F217" s="14">
        <v>248.29</v>
      </c>
      <c r="G217" s="1">
        <v>52669760</v>
      </c>
      <c r="H217" s="6" t="s">
        <v>10</v>
      </c>
      <c r="I217" s="6">
        <f>IF(AND(H216="UP",testdataClose[[#This Row],[close]]&gt;I216),testdataClose[[#This Row],[close]],IF(AND(H216="DN",testdataClose[[#This Row],[close]]&lt;I216),testdataClose[[#This Row],[close]],I216))</f>
        <v>248.29</v>
      </c>
      <c r="J217" s="11">
        <f>(testdataClose[[#This Row],[close]]-testdataClose[[#This Row],[hl]])/testdataClose[[#This Row],[hl]]</f>
        <v>0</v>
      </c>
      <c r="K217" s="15">
        <f t="shared" ca="1" si="4"/>
        <v>263.50951492521972</v>
      </c>
      <c r="L217" s="6"/>
      <c r="M217" s="19"/>
      <c r="N217" s="19"/>
      <c r="Q217" s="4">
        <v>216</v>
      </c>
      <c r="R217" s="33"/>
      <c r="S217" s="19"/>
      <c r="T217" s="19"/>
    </row>
    <row r="218" spans="1:20" x14ac:dyDescent="0.35">
      <c r="A218" s="7">
        <v>217</v>
      </c>
      <c r="B218" s="3">
        <v>43048</v>
      </c>
      <c r="C218" s="2">
        <v>246.96</v>
      </c>
      <c r="D218" s="2">
        <v>247.6</v>
      </c>
      <c r="E218" s="2">
        <v>245.65</v>
      </c>
      <c r="F218" s="14">
        <v>247.39</v>
      </c>
      <c r="G218" s="1">
        <v>99230672</v>
      </c>
      <c r="H218" s="6" t="s">
        <v>10</v>
      </c>
      <c r="I218" s="6">
        <f>IF(AND(H217="UP",testdataClose[[#This Row],[close]]&gt;I217),testdataClose[[#This Row],[close]],IF(AND(H217="DN",testdataClose[[#This Row],[close]]&lt;I217),testdataClose[[#This Row],[close]],I217))</f>
        <v>248.29</v>
      </c>
      <c r="J218" s="11">
        <f>(testdataClose[[#This Row],[close]]-testdataClose[[#This Row],[hl]])/testdataClose[[#This Row],[hl]]</f>
        <v>-3.6247935881429205E-3</v>
      </c>
      <c r="K218" s="15">
        <f t="shared" ca="1" si="4"/>
        <v>263.74537313417687</v>
      </c>
      <c r="L218" s="6"/>
      <c r="M218" s="19"/>
      <c r="N218" s="19"/>
      <c r="Q218" s="4">
        <v>217</v>
      </c>
      <c r="R218" s="33"/>
      <c r="S218" s="19"/>
      <c r="T218" s="19"/>
    </row>
    <row r="219" spans="1:20" x14ac:dyDescent="0.35">
      <c r="A219" s="7">
        <v>218</v>
      </c>
      <c r="B219" s="3">
        <v>43049</v>
      </c>
      <c r="C219" s="2">
        <v>246.96</v>
      </c>
      <c r="D219" s="2">
        <v>247.5</v>
      </c>
      <c r="E219" s="2">
        <v>246.62</v>
      </c>
      <c r="F219" s="14">
        <v>247.31</v>
      </c>
      <c r="G219" s="1">
        <v>62599644</v>
      </c>
      <c r="H219" s="6" t="s">
        <v>10</v>
      </c>
      <c r="I219" s="6">
        <f>IF(AND(H218="UP",testdataClose[[#This Row],[close]]&gt;I218),testdataClose[[#This Row],[close]],IF(AND(H218="DN",testdataClose[[#This Row],[close]]&lt;I218),testdataClose[[#This Row],[close]],I218))</f>
        <v>248.29</v>
      </c>
      <c r="J219" s="11">
        <f>(testdataClose[[#This Row],[close]]-testdataClose[[#This Row],[hl]])/testdataClose[[#This Row],[hl]]</f>
        <v>-3.9469974626444469E-3</v>
      </c>
      <c r="K219" s="15">
        <f t="shared" ca="1" si="4"/>
        <v>263.98123134313403</v>
      </c>
      <c r="L219" s="6"/>
      <c r="M219" s="19"/>
      <c r="N219" s="19"/>
      <c r="Q219" s="4">
        <v>218</v>
      </c>
      <c r="R219" s="33"/>
      <c r="S219" s="19"/>
      <c r="T219" s="19"/>
    </row>
    <row r="220" spans="1:20" x14ac:dyDescent="0.35">
      <c r="A220" s="7">
        <v>219</v>
      </c>
      <c r="B220" s="3">
        <v>43052</v>
      </c>
      <c r="C220" s="2">
        <v>246.56</v>
      </c>
      <c r="D220" s="2">
        <v>247.79</v>
      </c>
      <c r="E220" s="2">
        <v>246.52</v>
      </c>
      <c r="F220" s="14">
        <v>247.54</v>
      </c>
      <c r="G220" s="1">
        <v>52418324</v>
      </c>
      <c r="H220" s="6" t="s">
        <v>10</v>
      </c>
      <c r="I220" s="6">
        <f>IF(AND(H219="UP",testdataClose[[#This Row],[close]]&gt;I219),testdataClose[[#This Row],[close]],IF(AND(H219="DN",testdataClose[[#This Row],[close]]&lt;I219),testdataClose[[#This Row],[close]],I219))</f>
        <v>248.29</v>
      </c>
      <c r="J220" s="11">
        <f>(testdataClose[[#This Row],[close]]-testdataClose[[#This Row],[hl]])/testdataClose[[#This Row],[hl]]</f>
        <v>-3.0206613234524146E-3</v>
      </c>
      <c r="K220" s="15">
        <f t="shared" ca="1" si="4"/>
        <v>264.21708955209124</v>
      </c>
      <c r="L220" s="6"/>
      <c r="M220" s="19"/>
      <c r="N220" s="19"/>
      <c r="Q220" s="4">
        <v>219</v>
      </c>
      <c r="R220" s="33"/>
      <c r="S220" s="19"/>
      <c r="T220" s="19"/>
    </row>
    <row r="221" spans="1:20" x14ac:dyDescent="0.35">
      <c r="A221" s="7">
        <v>220</v>
      </c>
      <c r="B221" s="3">
        <v>43053</v>
      </c>
      <c r="C221" s="2">
        <v>246.66</v>
      </c>
      <c r="D221" s="2">
        <v>247.08</v>
      </c>
      <c r="E221" s="2">
        <v>245.8</v>
      </c>
      <c r="F221" s="14">
        <v>246.96</v>
      </c>
      <c r="G221" s="1">
        <v>63988136</v>
      </c>
      <c r="H221" s="6" t="s">
        <v>10</v>
      </c>
      <c r="I221" s="6">
        <f>IF(AND(H220="UP",testdataClose[[#This Row],[close]]&gt;I220),testdataClose[[#This Row],[close]],IF(AND(H220="DN",testdataClose[[#This Row],[close]]&lt;I220),testdataClose[[#This Row],[close]],I220))</f>
        <v>248.29</v>
      </c>
      <c r="J221" s="11">
        <f>(testdataClose[[#This Row],[close]]-testdataClose[[#This Row],[hl]])/testdataClose[[#This Row],[hl]]</f>
        <v>-5.3566394135888843E-3</v>
      </c>
      <c r="K221" s="15">
        <f t="shared" ca="1" si="4"/>
        <v>264.45294776104851</v>
      </c>
      <c r="L221" s="6"/>
      <c r="M221" s="19"/>
      <c r="N221" s="19"/>
      <c r="Q221" s="4">
        <v>220</v>
      </c>
      <c r="R221" s="33"/>
      <c r="S221" s="19"/>
      <c r="T221" s="19"/>
    </row>
    <row r="222" spans="1:20" x14ac:dyDescent="0.35">
      <c r="A222" s="7">
        <v>221</v>
      </c>
      <c r="B222" s="3">
        <v>43054</v>
      </c>
      <c r="C222" s="2">
        <v>245.9</v>
      </c>
      <c r="D222" s="2">
        <v>246.48</v>
      </c>
      <c r="E222" s="2">
        <v>244.95</v>
      </c>
      <c r="F222" s="14">
        <v>245.73</v>
      </c>
      <c r="G222" s="1">
        <v>84334432</v>
      </c>
      <c r="H222" s="6" t="s">
        <v>10</v>
      </c>
      <c r="I222" s="6">
        <f>IF(AND(H221="UP",testdataClose[[#This Row],[close]]&gt;I221),testdataClose[[#This Row],[close]],IF(AND(H221="DN",testdataClose[[#This Row],[close]]&lt;I221),testdataClose[[#This Row],[close]],I221))</f>
        <v>248.29</v>
      </c>
      <c r="J222" s="11">
        <f>(testdataClose[[#This Row],[close]]-testdataClose[[#This Row],[hl]])/testdataClose[[#This Row],[hl]]</f>
        <v>-1.0310523984050917E-2</v>
      </c>
      <c r="K222" s="15">
        <f t="shared" ca="1" si="4"/>
        <v>264.68880597000577</v>
      </c>
      <c r="L222" s="6"/>
      <c r="M222" s="19"/>
      <c r="N222" s="19"/>
      <c r="Q222" s="4">
        <v>221</v>
      </c>
      <c r="R222" s="33"/>
      <c r="S222" s="19"/>
      <c r="T222" s="19"/>
    </row>
    <row r="223" spans="1:20" x14ac:dyDescent="0.35">
      <c r="A223" s="7">
        <v>222</v>
      </c>
      <c r="B223" s="3">
        <v>43055</v>
      </c>
      <c r="C223" s="2">
        <v>246.76</v>
      </c>
      <c r="D223" s="2">
        <v>248.22</v>
      </c>
      <c r="E223" s="2">
        <v>246.72</v>
      </c>
      <c r="F223" s="14">
        <v>247.82</v>
      </c>
      <c r="G223" s="1">
        <v>70731712</v>
      </c>
      <c r="H223" s="6" t="s">
        <v>10</v>
      </c>
      <c r="I223" s="6">
        <f>IF(AND(H222="UP",testdataClose[[#This Row],[close]]&gt;I222),testdataClose[[#This Row],[close]],IF(AND(H222="DN",testdataClose[[#This Row],[close]]&lt;I222),testdataClose[[#This Row],[close]],I222))</f>
        <v>248.29</v>
      </c>
      <c r="J223" s="11">
        <f>(testdataClose[[#This Row],[close]]-testdataClose[[#This Row],[hl]])/testdataClose[[#This Row],[hl]]</f>
        <v>-1.892947762696842E-3</v>
      </c>
      <c r="K223" s="15">
        <f t="shared" ca="1" si="4"/>
        <v>264.9246641789631</v>
      </c>
      <c r="L223" s="6"/>
      <c r="M223" s="19"/>
      <c r="N223" s="19"/>
      <c r="Q223" s="4">
        <v>222</v>
      </c>
      <c r="R223" s="33"/>
      <c r="S223" s="19"/>
      <c r="T223" s="19"/>
    </row>
    <row r="224" spans="1:20" x14ac:dyDescent="0.35">
      <c r="A224" s="7">
        <v>223</v>
      </c>
      <c r="B224" s="3">
        <v>43056</v>
      </c>
      <c r="C224" s="2">
        <v>247.43</v>
      </c>
      <c r="D224" s="2">
        <v>247.79</v>
      </c>
      <c r="E224" s="2">
        <v>247</v>
      </c>
      <c r="F224" s="14">
        <v>247.09</v>
      </c>
      <c r="G224" s="1">
        <v>79059392</v>
      </c>
      <c r="H224" s="6" t="s">
        <v>10</v>
      </c>
      <c r="I224" s="6">
        <f>IF(AND(H223="UP",testdataClose[[#This Row],[close]]&gt;I223),testdataClose[[#This Row],[close]],IF(AND(H223="DN",testdataClose[[#This Row],[close]]&lt;I223),testdataClose[[#This Row],[close]],I223))</f>
        <v>248.29</v>
      </c>
      <c r="J224" s="11">
        <f>(testdataClose[[#This Row],[close]]-testdataClose[[#This Row],[hl]])/testdataClose[[#This Row],[hl]]</f>
        <v>-4.8330581175238174E-3</v>
      </c>
      <c r="K224" s="15">
        <f t="shared" ca="1" si="4"/>
        <v>265.16052238792048</v>
      </c>
      <c r="L224" s="6"/>
      <c r="M224" s="19"/>
      <c r="N224" s="19"/>
      <c r="Q224" s="4">
        <v>223</v>
      </c>
      <c r="R224" s="33"/>
      <c r="S224" s="19"/>
      <c r="T224" s="19"/>
    </row>
    <row r="225" spans="1:20" x14ac:dyDescent="0.35">
      <c r="A225" s="7">
        <v>224</v>
      </c>
      <c r="B225" s="3">
        <v>43059</v>
      </c>
      <c r="C225" s="2">
        <v>247.36</v>
      </c>
      <c r="D225" s="2">
        <v>247.73</v>
      </c>
      <c r="E225" s="2">
        <v>247.09</v>
      </c>
      <c r="F225" s="14">
        <v>247.51</v>
      </c>
      <c r="G225" s="1">
        <v>50171324</v>
      </c>
      <c r="H225" s="6" t="s">
        <v>10</v>
      </c>
      <c r="I225" s="6">
        <f>IF(AND(H224="UP",testdataClose[[#This Row],[close]]&gt;I224),testdataClose[[#This Row],[close]],IF(AND(H224="DN",testdataClose[[#This Row],[close]]&lt;I224),testdataClose[[#This Row],[close]],I224))</f>
        <v>248.29</v>
      </c>
      <c r="J225" s="11">
        <f>(testdataClose[[#This Row],[close]]-testdataClose[[#This Row],[hl]])/testdataClose[[#This Row],[hl]]</f>
        <v>-3.1414877763905158E-3</v>
      </c>
      <c r="K225" s="15">
        <f t="shared" ca="1" si="4"/>
        <v>265.39638059687786</v>
      </c>
      <c r="L225" s="6"/>
      <c r="M225" s="19"/>
      <c r="N225" s="19"/>
      <c r="Q225" s="4">
        <v>224</v>
      </c>
      <c r="R225" s="33"/>
      <c r="S225" s="19"/>
      <c r="T225" s="19"/>
    </row>
    <row r="226" spans="1:20" x14ac:dyDescent="0.35">
      <c r="A226" s="7">
        <v>225</v>
      </c>
      <c r="B226" s="3">
        <v>43060</v>
      </c>
      <c r="C226" s="2">
        <v>248.35</v>
      </c>
      <c r="D226" s="2">
        <v>249.33</v>
      </c>
      <c r="E226" s="2">
        <v>247.47</v>
      </c>
      <c r="F226" s="14">
        <v>249.13</v>
      </c>
      <c r="G226" s="1">
        <v>72192504</v>
      </c>
      <c r="H226" s="6" t="s">
        <v>10</v>
      </c>
      <c r="I226" s="6">
        <f>IF(AND(H225="UP",testdataClose[[#This Row],[close]]&gt;I225),testdataClose[[#This Row],[close]],IF(AND(H225="DN",testdataClose[[#This Row],[close]]&lt;I225),testdataClose[[#This Row],[close]],I225))</f>
        <v>249.13</v>
      </c>
      <c r="J226" s="11">
        <f>(testdataClose[[#This Row],[close]]-testdataClose[[#This Row],[hl]])/testdataClose[[#This Row],[hl]]</f>
        <v>0</v>
      </c>
      <c r="K226" s="15">
        <f t="shared" ca="1" si="4"/>
        <v>265.6322388058353</v>
      </c>
      <c r="L226" s="6"/>
      <c r="M226" s="19"/>
      <c r="N226" s="19"/>
      <c r="Q226" s="4">
        <v>225</v>
      </c>
      <c r="R226" s="33"/>
      <c r="S226" s="19"/>
      <c r="T226" s="19"/>
    </row>
    <row r="227" spans="1:20" x14ac:dyDescent="0.35">
      <c r="A227" s="7">
        <v>226</v>
      </c>
      <c r="B227" s="3">
        <v>43061</v>
      </c>
      <c r="C227" s="2">
        <v>249.14</v>
      </c>
      <c r="D227" s="2">
        <v>249.28</v>
      </c>
      <c r="E227" s="2">
        <v>248.73</v>
      </c>
      <c r="F227" s="14">
        <v>248.91</v>
      </c>
      <c r="G227" s="1">
        <v>46996584</v>
      </c>
      <c r="H227" s="6" t="s">
        <v>10</v>
      </c>
      <c r="I227" s="6">
        <f>IF(AND(H226="UP",testdataClose[[#This Row],[close]]&gt;I226),testdataClose[[#This Row],[close]],IF(AND(H226="DN",testdataClose[[#This Row],[close]]&lt;I226),testdataClose[[#This Row],[close]],I226))</f>
        <v>249.13</v>
      </c>
      <c r="J227" s="11">
        <f>(testdataClose[[#This Row],[close]]-testdataClose[[#This Row],[hl]])/testdataClose[[#This Row],[hl]]</f>
        <v>-8.8307309436839749E-4</v>
      </c>
      <c r="K227" s="15">
        <f t="shared" ca="1" si="4"/>
        <v>265.8680970147928</v>
      </c>
      <c r="L227" s="6"/>
      <c r="M227" s="19"/>
      <c r="N227" s="19"/>
      <c r="Q227" s="4">
        <v>226</v>
      </c>
      <c r="R227" s="33"/>
      <c r="S227" s="19"/>
      <c r="T227" s="19"/>
    </row>
    <row r="228" spans="1:20" x14ac:dyDescent="0.35">
      <c r="A228" s="7">
        <v>227</v>
      </c>
      <c r="B228" s="3">
        <v>43063</v>
      </c>
      <c r="C228" s="2">
        <v>249.45</v>
      </c>
      <c r="D228" s="2">
        <v>249.6</v>
      </c>
      <c r="E228" s="2">
        <v>249.29</v>
      </c>
      <c r="F228" s="14">
        <v>249.48</v>
      </c>
      <c r="G228" s="1">
        <v>29070892</v>
      </c>
      <c r="H228" s="6" t="s">
        <v>10</v>
      </c>
      <c r="I228" s="6">
        <f>IF(AND(H227="UP",testdataClose[[#This Row],[close]]&gt;I227),testdataClose[[#This Row],[close]],IF(AND(H227="DN",testdataClose[[#This Row],[close]]&lt;I227),testdataClose[[#This Row],[close]],I227))</f>
        <v>249.48</v>
      </c>
      <c r="J228" s="11">
        <f>(testdataClose[[#This Row],[close]]-testdataClose[[#This Row],[hl]])/testdataClose[[#This Row],[hl]]</f>
        <v>0</v>
      </c>
      <c r="K228" s="15">
        <f t="shared" ca="1" si="4"/>
        <v>266.10395522375029</v>
      </c>
      <c r="L228" s="6"/>
      <c r="M228" s="19"/>
      <c r="N228" s="19"/>
      <c r="Q228" s="4">
        <v>227</v>
      </c>
      <c r="R228" s="33"/>
      <c r="S228" s="19"/>
      <c r="T228" s="19"/>
    </row>
    <row r="229" spans="1:20" x14ac:dyDescent="0.35">
      <c r="A229" s="7">
        <v>228</v>
      </c>
      <c r="B229" s="3">
        <v>43066</v>
      </c>
      <c r="C229" s="2">
        <v>249.53</v>
      </c>
      <c r="D229" s="2">
        <v>249.86</v>
      </c>
      <c r="E229" s="2">
        <v>249.14</v>
      </c>
      <c r="F229" s="14">
        <v>249.36</v>
      </c>
      <c r="G229" s="1">
        <v>54553804</v>
      </c>
      <c r="H229" s="6" t="s">
        <v>10</v>
      </c>
      <c r="I229" s="6">
        <f>IF(AND(H228="UP",testdataClose[[#This Row],[close]]&gt;I228),testdataClose[[#This Row],[close]],IF(AND(H228="DN",testdataClose[[#This Row],[close]]&lt;I228),testdataClose[[#This Row],[close]],I228))</f>
        <v>249.48</v>
      </c>
      <c r="J229" s="11">
        <f>(testdataClose[[#This Row],[close]]-testdataClose[[#This Row],[hl]])/testdataClose[[#This Row],[hl]]</f>
        <v>-4.8100048100038534E-4</v>
      </c>
      <c r="K229" s="15">
        <f t="shared" ca="1" si="4"/>
        <v>266.33981343270784</v>
      </c>
      <c r="L229" s="6"/>
      <c r="M229" s="19"/>
      <c r="N229" s="19"/>
      <c r="Q229" s="4">
        <v>228</v>
      </c>
      <c r="R229" s="33"/>
      <c r="S229" s="19"/>
      <c r="T229" s="19"/>
    </row>
    <row r="230" spans="1:20" x14ac:dyDescent="0.35">
      <c r="A230" s="7">
        <v>229</v>
      </c>
      <c r="B230" s="3">
        <v>43067</v>
      </c>
      <c r="C230" s="2">
        <v>249.87</v>
      </c>
      <c r="D230" s="2">
        <v>251.92</v>
      </c>
      <c r="E230" s="2">
        <v>249.77</v>
      </c>
      <c r="F230" s="14">
        <v>251.89</v>
      </c>
      <c r="G230" s="1">
        <v>103286312</v>
      </c>
      <c r="H230" s="6" t="s">
        <v>10</v>
      </c>
      <c r="I230" s="6">
        <f>IF(AND(H229="UP",testdataClose[[#This Row],[close]]&gt;I229),testdataClose[[#This Row],[close]],IF(AND(H229="DN",testdataClose[[#This Row],[close]]&lt;I229),testdataClose[[#This Row],[close]],I229))</f>
        <v>251.89</v>
      </c>
      <c r="J230" s="11">
        <f>(testdataClose[[#This Row],[close]]-testdataClose[[#This Row],[hl]])/testdataClose[[#This Row],[hl]]</f>
        <v>0</v>
      </c>
      <c r="K230" s="15">
        <f t="shared" ca="1" si="4"/>
        <v>266.57567164166545</v>
      </c>
      <c r="L230" s="6"/>
      <c r="M230" s="19"/>
      <c r="N230" s="19"/>
      <c r="Q230" s="4">
        <v>229</v>
      </c>
      <c r="R230" s="33"/>
      <c r="S230" s="19"/>
      <c r="T230" s="19"/>
    </row>
    <row r="231" spans="1:20" x14ac:dyDescent="0.35">
      <c r="A231" s="7">
        <v>230</v>
      </c>
      <c r="B231" s="3">
        <v>43068</v>
      </c>
      <c r="C231" s="2">
        <v>252.03</v>
      </c>
      <c r="D231" s="2">
        <v>252.62</v>
      </c>
      <c r="E231" s="2">
        <v>251.25</v>
      </c>
      <c r="F231" s="14">
        <v>251.74</v>
      </c>
      <c r="G231" s="1">
        <v>80891176</v>
      </c>
      <c r="H231" s="6" t="s">
        <v>10</v>
      </c>
      <c r="I231" s="6">
        <f>IF(AND(H230="UP",testdataClose[[#This Row],[close]]&gt;I230),testdataClose[[#This Row],[close]],IF(AND(H230="DN",testdataClose[[#This Row],[close]]&lt;I230),testdataClose[[#This Row],[close]],I230))</f>
        <v>251.89</v>
      </c>
      <c r="J231" s="11">
        <f>(testdataClose[[#This Row],[close]]-testdataClose[[#This Row],[hl]])/testdataClose[[#This Row],[hl]]</f>
        <v>-5.9549803485639476E-4</v>
      </c>
      <c r="K231" s="15">
        <f t="shared" ca="1" si="4"/>
        <v>266.81152985062306</v>
      </c>
      <c r="L231" s="6"/>
      <c r="M231" s="19"/>
      <c r="N231" s="19"/>
      <c r="Q231" s="4">
        <v>230</v>
      </c>
      <c r="R231" s="33"/>
      <c r="S231" s="19"/>
      <c r="T231" s="19"/>
    </row>
    <row r="232" spans="1:20" x14ac:dyDescent="0.35">
      <c r="A232" s="7">
        <v>231</v>
      </c>
      <c r="B232" s="3">
        <v>43069</v>
      </c>
      <c r="C232" s="2">
        <v>252.74</v>
      </c>
      <c r="D232" s="2">
        <v>254.94</v>
      </c>
      <c r="E232" s="2">
        <v>252.66</v>
      </c>
      <c r="F232" s="14">
        <v>253.94</v>
      </c>
      <c r="G232" s="1">
        <v>133469840</v>
      </c>
      <c r="H232" s="6" t="s">
        <v>10</v>
      </c>
      <c r="I232" s="6">
        <f>IF(AND(H231="UP",testdataClose[[#This Row],[close]]&gt;I231),testdataClose[[#This Row],[close]],IF(AND(H231="DN",testdataClose[[#This Row],[close]]&lt;I231),testdataClose[[#This Row],[close]],I231))</f>
        <v>253.94</v>
      </c>
      <c r="J232" s="11">
        <f>(testdataClose[[#This Row],[close]]-testdataClose[[#This Row],[hl]])/testdataClose[[#This Row],[hl]]</f>
        <v>0</v>
      </c>
      <c r="K232" s="15">
        <f t="shared" ca="1" si="4"/>
        <v>267.04738805958073</v>
      </c>
      <c r="L232" s="6"/>
      <c r="M232" s="19"/>
      <c r="N232" s="19"/>
      <c r="Q232" s="4">
        <v>231</v>
      </c>
      <c r="R232" s="33"/>
      <c r="S232" s="19"/>
      <c r="T232" s="19"/>
    </row>
    <row r="233" spans="1:20" x14ac:dyDescent="0.35">
      <c r="A233" s="7">
        <v>232</v>
      </c>
      <c r="B233" s="3">
        <v>43070</v>
      </c>
      <c r="C233" s="2">
        <v>253.7</v>
      </c>
      <c r="D233" s="2">
        <v>254.23</v>
      </c>
      <c r="E233" s="2">
        <v>249.87</v>
      </c>
      <c r="F233" s="14">
        <v>253.41</v>
      </c>
      <c r="G233" s="1">
        <v>171557392</v>
      </c>
      <c r="H233" s="6" t="s">
        <v>10</v>
      </c>
      <c r="I233" s="6">
        <f>IF(AND(H232="UP",testdataClose[[#This Row],[close]]&gt;I232),testdataClose[[#This Row],[close]],IF(AND(H232="DN",testdataClose[[#This Row],[close]]&lt;I232),testdataClose[[#This Row],[close]],I232))</f>
        <v>253.94</v>
      </c>
      <c r="J233" s="11">
        <f>(testdataClose[[#This Row],[close]]-testdataClose[[#This Row],[hl]])/testdataClose[[#This Row],[hl]]</f>
        <v>-2.0871071906749671E-3</v>
      </c>
      <c r="K233" s="15">
        <f t="shared" ca="1" si="4"/>
        <v>267.28324626853845</v>
      </c>
      <c r="L233" s="6"/>
      <c r="M233" s="19"/>
      <c r="N233" s="19"/>
      <c r="Q233" s="4">
        <v>232</v>
      </c>
      <c r="R233" s="33"/>
      <c r="S233" s="19"/>
      <c r="T233" s="19"/>
    </row>
    <row r="234" spans="1:20" x14ac:dyDescent="0.35">
      <c r="A234" s="7">
        <v>233</v>
      </c>
      <c r="B234" s="3">
        <v>43073</v>
      </c>
      <c r="C234" s="2">
        <v>255.19</v>
      </c>
      <c r="D234" s="2">
        <v>255.65</v>
      </c>
      <c r="E234" s="2">
        <v>253.05</v>
      </c>
      <c r="F234" s="14">
        <v>253.11</v>
      </c>
      <c r="G234" s="1">
        <v>98140184</v>
      </c>
      <c r="H234" s="6" t="s">
        <v>10</v>
      </c>
      <c r="I234" s="6">
        <f>IF(AND(H233="UP",testdataClose[[#This Row],[close]]&gt;I233),testdataClose[[#This Row],[close]],IF(AND(H233="DN",testdataClose[[#This Row],[close]]&lt;I233),testdataClose[[#This Row],[close]],I233))</f>
        <v>253.94</v>
      </c>
      <c r="J234" s="11">
        <f>(testdataClose[[#This Row],[close]]-testdataClose[[#This Row],[hl]])/testdataClose[[#This Row],[hl]]</f>
        <v>-3.2684886193588411E-3</v>
      </c>
      <c r="K234" s="15">
        <f t="shared" ca="1" si="4"/>
        <v>267.51910447749617</v>
      </c>
      <c r="L234" s="6"/>
      <c r="M234" s="19"/>
      <c r="N234" s="19"/>
      <c r="Q234" s="4">
        <v>233</v>
      </c>
      <c r="R234" s="33"/>
      <c r="S234" s="19"/>
      <c r="T234" s="19"/>
    </row>
    <row r="235" spans="1:20" x14ac:dyDescent="0.35">
      <c r="A235" s="7">
        <v>234</v>
      </c>
      <c r="B235" s="3">
        <v>43074</v>
      </c>
      <c r="C235" s="2">
        <v>253.38</v>
      </c>
      <c r="D235" s="2">
        <v>254.07</v>
      </c>
      <c r="E235" s="2">
        <v>252.05</v>
      </c>
      <c r="F235" s="14">
        <v>252.2</v>
      </c>
      <c r="G235" s="1">
        <v>81394656</v>
      </c>
      <c r="H235" s="6" t="s">
        <v>10</v>
      </c>
      <c r="I235" s="6">
        <f>IF(AND(H234="UP",testdataClose[[#This Row],[close]]&gt;I234),testdataClose[[#This Row],[close]],IF(AND(H234="DN",testdataClose[[#This Row],[close]]&lt;I234),testdataClose[[#This Row],[close]],I234))</f>
        <v>253.94</v>
      </c>
      <c r="J235" s="11">
        <f>(testdataClose[[#This Row],[close]]-testdataClose[[#This Row],[hl]])/testdataClose[[#This Row],[hl]]</f>
        <v>-6.8520122863668939E-3</v>
      </c>
      <c r="K235" s="15">
        <f t="shared" ca="1" si="4"/>
        <v>267.75496268645395</v>
      </c>
      <c r="L235" s="6"/>
      <c r="M235" s="19"/>
      <c r="N235" s="19"/>
      <c r="Q235" s="4">
        <v>234</v>
      </c>
      <c r="R235" s="33"/>
      <c r="S235" s="19"/>
      <c r="T235" s="19"/>
    </row>
    <row r="236" spans="1:20" x14ac:dyDescent="0.35">
      <c r="A236" s="7">
        <v>235</v>
      </c>
      <c r="B236" s="3">
        <v>43075</v>
      </c>
      <c r="C236" s="2">
        <v>251.89</v>
      </c>
      <c r="D236" s="2">
        <v>252.71</v>
      </c>
      <c r="E236" s="2">
        <v>251.74</v>
      </c>
      <c r="F236" s="14">
        <v>252.24</v>
      </c>
      <c r="G236" s="1">
        <v>79207304</v>
      </c>
      <c r="H236" s="6" t="s">
        <v>10</v>
      </c>
      <c r="I236" s="6">
        <f>IF(AND(H235="UP",testdataClose[[#This Row],[close]]&gt;I235),testdataClose[[#This Row],[close]],IF(AND(H235="DN",testdataClose[[#This Row],[close]]&lt;I235),testdataClose[[#This Row],[close]],I235))</f>
        <v>253.94</v>
      </c>
      <c r="J236" s="11">
        <f>(testdataClose[[#This Row],[close]]-testdataClose[[#This Row],[hl]])/testdataClose[[#This Row],[hl]]</f>
        <v>-6.6944947625422885E-3</v>
      </c>
      <c r="K236" s="15">
        <f t="shared" ca="1" si="4"/>
        <v>267.99082089541179</v>
      </c>
      <c r="L236" s="6"/>
      <c r="M236" s="19"/>
      <c r="N236" s="19"/>
      <c r="Q236" s="4">
        <v>235</v>
      </c>
      <c r="R236" s="33"/>
      <c r="S236" s="19"/>
      <c r="T236" s="19"/>
    </row>
    <row r="237" spans="1:20" x14ac:dyDescent="0.35">
      <c r="A237" s="7">
        <v>236</v>
      </c>
      <c r="B237" s="3">
        <v>43076</v>
      </c>
      <c r="C237" s="2">
        <v>252.1</v>
      </c>
      <c r="D237" s="2">
        <v>253.38</v>
      </c>
      <c r="E237" s="2">
        <v>251.96</v>
      </c>
      <c r="F237" s="14">
        <v>253.04</v>
      </c>
      <c r="G237" s="1">
        <v>80584848</v>
      </c>
      <c r="H237" s="6" t="s">
        <v>10</v>
      </c>
      <c r="I237" s="6">
        <f>IF(AND(H236="UP",testdataClose[[#This Row],[close]]&gt;I236),testdataClose[[#This Row],[close]],IF(AND(H236="DN",testdataClose[[#This Row],[close]]&lt;I236),testdataClose[[#This Row],[close]],I236))</f>
        <v>253.94</v>
      </c>
      <c r="J237" s="11">
        <f>(testdataClose[[#This Row],[close]]-testdataClose[[#This Row],[hl]])/testdataClose[[#This Row],[hl]]</f>
        <v>-3.5441442860518458E-3</v>
      </c>
      <c r="K237" s="15">
        <f t="shared" ca="1" si="4"/>
        <v>268.22667910436962</v>
      </c>
      <c r="L237" s="6"/>
      <c r="M237" s="19"/>
      <c r="N237" s="19"/>
      <c r="Q237" s="4">
        <v>236</v>
      </c>
      <c r="R237" s="33"/>
      <c r="S237" s="19"/>
      <c r="T237" s="19"/>
    </row>
    <row r="238" spans="1:20" x14ac:dyDescent="0.35">
      <c r="A238" s="7">
        <v>237</v>
      </c>
      <c r="B238" s="3">
        <v>43077</v>
      </c>
      <c r="C238" s="2">
        <v>253.92</v>
      </c>
      <c r="D238" s="2">
        <v>254.43</v>
      </c>
      <c r="E238" s="2">
        <v>253</v>
      </c>
      <c r="F238" s="14">
        <v>254.42</v>
      </c>
      <c r="G238" s="1">
        <v>79901608</v>
      </c>
      <c r="H238" s="6" t="s">
        <v>10</v>
      </c>
      <c r="I238" s="6">
        <f>IF(AND(H237="UP",testdataClose[[#This Row],[close]]&gt;I237),testdataClose[[#This Row],[close]],IF(AND(H237="DN",testdataClose[[#This Row],[close]]&lt;I237),testdataClose[[#This Row],[close]],I237))</f>
        <v>254.42</v>
      </c>
      <c r="J238" s="11">
        <f>(testdataClose[[#This Row],[close]]-testdataClose[[#This Row],[hl]])/testdataClose[[#This Row],[hl]]</f>
        <v>0</v>
      </c>
      <c r="K238" s="15">
        <f t="shared" ca="1" si="4"/>
        <v>268.46253731332752</v>
      </c>
      <c r="L238" s="6"/>
      <c r="M238" s="19"/>
      <c r="N238" s="19"/>
      <c r="Q238" s="4">
        <v>237</v>
      </c>
      <c r="R238" s="33"/>
      <c r="S238" s="19"/>
      <c r="T238" s="19"/>
    </row>
    <row r="239" spans="1:20" x14ac:dyDescent="0.35">
      <c r="A239" s="7">
        <v>238</v>
      </c>
      <c r="B239" s="3">
        <v>43080</v>
      </c>
      <c r="C239" s="2">
        <v>254.49</v>
      </c>
      <c r="D239" s="2">
        <v>255.25</v>
      </c>
      <c r="E239" s="2">
        <v>254.39</v>
      </c>
      <c r="F239" s="14">
        <v>255.19</v>
      </c>
      <c r="G239" s="1">
        <v>86699232</v>
      </c>
      <c r="H239" s="6" t="s">
        <v>10</v>
      </c>
      <c r="I239" s="6">
        <f>IF(AND(H238="UP",testdataClose[[#This Row],[close]]&gt;I238),testdataClose[[#This Row],[close]],IF(AND(H238="DN",testdataClose[[#This Row],[close]]&lt;I238),testdataClose[[#This Row],[close]],I238))</f>
        <v>255.19</v>
      </c>
      <c r="J239" s="11">
        <f>(testdataClose[[#This Row],[close]]-testdataClose[[#This Row],[hl]])/testdataClose[[#This Row],[hl]]</f>
        <v>0</v>
      </c>
      <c r="K239" s="15">
        <f t="shared" ca="1" si="4"/>
        <v>268.69839552228547</v>
      </c>
      <c r="L239" s="6"/>
      <c r="M239" s="19"/>
      <c r="N239" s="19"/>
      <c r="Q239" s="4">
        <v>238</v>
      </c>
      <c r="R239" s="33"/>
      <c r="S239" s="19"/>
      <c r="T239" s="19"/>
    </row>
    <row r="240" spans="1:20" x14ac:dyDescent="0.35">
      <c r="A240" s="7">
        <v>239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14">
        <v>255.64</v>
      </c>
      <c r="G240" s="1">
        <v>88909792</v>
      </c>
      <c r="H240" s="6" t="s">
        <v>10</v>
      </c>
      <c r="I240" s="6">
        <f>IF(AND(H239="UP",testdataClose[[#This Row],[close]]&gt;I239),testdataClose[[#This Row],[close]],IF(AND(H239="DN",testdataClose[[#This Row],[close]]&lt;I239),testdataClose[[#This Row],[close]],I239))</f>
        <v>255.64</v>
      </c>
      <c r="J240" s="11">
        <f>(testdataClose[[#This Row],[close]]-testdataClose[[#This Row],[hl]])/testdataClose[[#This Row],[hl]]</f>
        <v>0</v>
      </c>
      <c r="K240" s="15">
        <f t="shared" ca="1" si="4"/>
        <v>268.93425373124342</v>
      </c>
      <c r="L240" s="6"/>
      <c r="M240" s="19"/>
      <c r="N240" s="19"/>
      <c r="Q240" s="4">
        <v>239</v>
      </c>
      <c r="R240" s="33"/>
      <c r="S240" s="19"/>
      <c r="T240" s="19"/>
    </row>
    <row r="241" spans="1:20" x14ac:dyDescent="0.35">
      <c r="A241" s="7">
        <v>240</v>
      </c>
      <c r="B241" s="3">
        <v>43082</v>
      </c>
      <c r="C241" s="2">
        <v>255.9</v>
      </c>
      <c r="D241" s="2">
        <v>256.38</v>
      </c>
      <c r="E241" s="2">
        <v>255.51</v>
      </c>
      <c r="F241" s="14">
        <v>255.61</v>
      </c>
      <c r="G241" s="1">
        <v>107391488</v>
      </c>
      <c r="H241" s="6" t="s">
        <v>10</v>
      </c>
      <c r="I241" s="6">
        <f>IF(AND(H240="UP",testdataClose[[#This Row],[close]]&gt;I240),testdataClose[[#This Row],[close]],IF(AND(H240="DN",testdataClose[[#This Row],[close]]&lt;I240),testdataClose[[#This Row],[close]],I240))</f>
        <v>255.64</v>
      </c>
      <c r="J241" s="11">
        <f>(testdataClose[[#This Row],[close]]-testdataClose[[#This Row],[hl]])/testdataClose[[#This Row],[hl]]</f>
        <v>-1.1735252699097448E-4</v>
      </c>
      <c r="K241" s="15">
        <f t="shared" ca="1" si="4"/>
        <v>269.17011194020142</v>
      </c>
      <c r="L241" s="6"/>
      <c r="M241" s="19"/>
      <c r="N241" s="19"/>
      <c r="Q241" s="4">
        <v>240</v>
      </c>
      <c r="R241" s="33"/>
      <c r="S241" s="19"/>
      <c r="T241" s="19"/>
    </row>
    <row r="242" spans="1:20" x14ac:dyDescent="0.35">
      <c r="A242" s="7">
        <v>241</v>
      </c>
      <c r="B242" s="3">
        <v>43083</v>
      </c>
      <c r="C242" s="2">
        <v>255.93</v>
      </c>
      <c r="D242" s="2">
        <v>256.06</v>
      </c>
      <c r="E242" s="2">
        <v>254.51</v>
      </c>
      <c r="F242" s="14">
        <v>254.56</v>
      </c>
      <c r="G242" s="1">
        <v>105055176</v>
      </c>
      <c r="H242" s="6" t="s">
        <v>10</v>
      </c>
      <c r="I242" s="6">
        <f>IF(AND(H241="UP",testdataClose[[#This Row],[close]]&gt;I241),testdataClose[[#This Row],[close]],IF(AND(H241="DN",testdataClose[[#This Row],[close]]&lt;I241),testdataClose[[#This Row],[close]],I241))</f>
        <v>255.64</v>
      </c>
      <c r="J242" s="11">
        <f>(testdataClose[[#This Row],[close]]-testdataClose[[#This Row],[hl]])/testdataClose[[#This Row],[hl]]</f>
        <v>-4.2246909716788612E-3</v>
      </c>
      <c r="K242" s="15">
        <f t="shared" ca="1" si="4"/>
        <v>269.40597014915949</v>
      </c>
      <c r="L242" s="6"/>
      <c r="M242" s="19"/>
      <c r="N242" s="19"/>
      <c r="Q242" s="4">
        <v>241</v>
      </c>
      <c r="R242" s="33"/>
      <c r="S242" s="19"/>
      <c r="T242" s="19"/>
    </row>
    <row r="243" spans="1:20" x14ac:dyDescent="0.35">
      <c r="A243" s="7">
        <v>242</v>
      </c>
      <c r="B243" s="3">
        <v>43084</v>
      </c>
      <c r="C243" s="2">
        <v>255.66</v>
      </c>
      <c r="D243" s="2">
        <v>257.19</v>
      </c>
      <c r="E243" s="2">
        <v>255.6</v>
      </c>
      <c r="F243" s="14">
        <v>256.68</v>
      </c>
      <c r="G243" s="1">
        <v>150146832</v>
      </c>
      <c r="H243" s="6" t="s">
        <v>10</v>
      </c>
      <c r="I243" s="6">
        <f>IF(AND(H242="UP",testdataClose[[#This Row],[close]]&gt;I242),testdataClose[[#This Row],[close]],IF(AND(H242="DN",testdataClose[[#This Row],[close]]&lt;I242),testdataClose[[#This Row],[close]],I242))</f>
        <v>256.68</v>
      </c>
      <c r="J243" s="11">
        <f>(testdataClose[[#This Row],[close]]-testdataClose[[#This Row],[hl]])/testdataClose[[#This Row],[hl]]</f>
        <v>0</v>
      </c>
      <c r="K243" s="15">
        <f t="shared" ca="1" si="4"/>
        <v>269.64182835811755</v>
      </c>
      <c r="L243" s="6"/>
      <c r="M243" s="19"/>
      <c r="N243" s="19"/>
      <c r="Q243" s="4">
        <v>242</v>
      </c>
      <c r="R243" s="33"/>
      <c r="S243" s="19"/>
      <c r="T243" s="19"/>
    </row>
    <row r="244" spans="1:20" x14ac:dyDescent="0.35">
      <c r="A244" s="7">
        <v>243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14">
        <v>258.31</v>
      </c>
      <c r="G244" s="1">
        <v>86856320</v>
      </c>
      <c r="H244" s="6" t="s">
        <v>10</v>
      </c>
      <c r="I244" s="6">
        <f>IF(AND(H243="UP",testdataClose[[#This Row],[close]]&gt;I243),testdataClose[[#This Row],[close]],IF(AND(H243="DN",testdataClose[[#This Row],[close]]&lt;I243),testdataClose[[#This Row],[close]],I243))</f>
        <v>258.31</v>
      </c>
      <c r="J244" s="11">
        <f>(testdataClose[[#This Row],[close]]-testdataClose[[#This Row],[hl]])/testdataClose[[#This Row],[hl]]</f>
        <v>0</v>
      </c>
      <c r="K244" s="15">
        <f t="shared" ca="1" si="4"/>
        <v>269.87768656707567</v>
      </c>
      <c r="L244" s="6"/>
      <c r="M244" s="19"/>
      <c r="N244" s="19"/>
      <c r="Q244" s="4">
        <v>243</v>
      </c>
      <c r="R244" s="33"/>
      <c r="S244" s="19"/>
      <c r="T244" s="19"/>
    </row>
    <row r="245" spans="1:20" x14ac:dyDescent="0.35">
      <c r="A245" s="7">
        <v>244</v>
      </c>
      <c r="B245" s="3">
        <v>43088</v>
      </c>
      <c r="C245" s="2">
        <v>258.58</v>
      </c>
      <c r="D245" s="2">
        <v>258.63</v>
      </c>
      <c r="E245" s="2">
        <v>257.24</v>
      </c>
      <c r="F245" s="14">
        <v>257.32</v>
      </c>
      <c r="G245" s="1">
        <v>85536976</v>
      </c>
      <c r="H245" s="6" t="s">
        <v>10</v>
      </c>
      <c r="I245" s="6">
        <f>IF(AND(H244="UP",testdataClose[[#This Row],[close]]&gt;I244),testdataClose[[#This Row],[close]],IF(AND(H244="DN",testdataClose[[#This Row],[close]]&lt;I244),testdataClose[[#This Row],[close]],I244))</f>
        <v>258.31</v>
      </c>
      <c r="J245" s="11">
        <f>(testdataClose[[#This Row],[close]]-testdataClose[[#This Row],[hl]])/testdataClose[[#This Row],[hl]]</f>
        <v>-3.8326042352212811E-3</v>
      </c>
      <c r="K245" s="15">
        <f t="shared" ca="1" si="4"/>
        <v>270.11354477603385</v>
      </c>
      <c r="L245" s="6"/>
      <c r="M245" s="19"/>
      <c r="N245" s="19"/>
      <c r="Q245" s="4">
        <v>244</v>
      </c>
      <c r="R245" s="33"/>
      <c r="S245" s="19"/>
      <c r="T245" s="19"/>
    </row>
    <row r="246" spans="1:20" x14ac:dyDescent="0.35">
      <c r="A246" s="7">
        <v>245</v>
      </c>
      <c r="B246" s="3">
        <v>43089</v>
      </c>
      <c r="C246" s="2">
        <v>258.38</v>
      </c>
      <c r="D246" s="2">
        <v>258.44</v>
      </c>
      <c r="E246" s="2">
        <v>256.86</v>
      </c>
      <c r="F246" s="14">
        <v>257.18</v>
      </c>
      <c r="G246" s="1">
        <v>79690000</v>
      </c>
      <c r="H246" s="6" t="s">
        <v>10</v>
      </c>
      <c r="I246" s="6">
        <f>IF(AND(H245="UP",testdataClose[[#This Row],[close]]&gt;I245),testdataClose[[#This Row],[close]],IF(AND(H245="DN",testdataClose[[#This Row],[close]]&lt;I245),testdataClose[[#This Row],[close]],I245))</f>
        <v>258.31</v>
      </c>
      <c r="J246" s="11">
        <f>(testdataClose[[#This Row],[close]]-testdataClose[[#This Row],[hl]])/testdataClose[[#This Row],[hl]]</f>
        <v>-4.3745886725252425E-3</v>
      </c>
      <c r="K246" s="15">
        <f t="shared" ca="1" si="4"/>
        <v>270.34940298499203</v>
      </c>
      <c r="L246" s="6"/>
      <c r="M246" s="19"/>
      <c r="N246" s="19"/>
      <c r="Q246" s="4">
        <v>245</v>
      </c>
      <c r="R246" s="33"/>
      <c r="S246" s="19"/>
      <c r="T246" s="19"/>
    </row>
    <row r="247" spans="1:20" x14ac:dyDescent="0.35">
      <c r="A247" s="7">
        <v>246</v>
      </c>
      <c r="B247" s="3">
        <v>43090</v>
      </c>
      <c r="C247" s="2">
        <v>257.87</v>
      </c>
      <c r="D247" s="2">
        <v>258.49</v>
      </c>
      <c r="E247" s="2">
        <v>257.44</v>
      </c>
      <c r="F247" s="14">
        <v>257.70999999999998</v>
      </c>
      <c r="G247" s="1">
        <v>69598728</v>
      </c>
      <c r="H247" s="6" t="s">
        <v>10</v>
      </c>
      <c r="I247" s="6">
        <f>IF(AND(H246="UP",testdataClose[[#This Row],[close]]&gt;I246),testdataClose[[#This Row],[close]],IF(AND(H246="DN",testdataClose[[#This Row],[close]]&lt;I246),testdataClose[[#This Row],[close]],I246))</f>
        <v>258.31</v>
      </c>
      <c r="J247" s="11">
        <f>(testdataClose[[#This Row],[close]]-testdataClose[[#This Row],[hl]])/testdataClose[[#This Row],[hl]]</f>
        <v>-2.3227904455887217E-3</v>
      </c>
      <c r="K247" s="15">
        <f t="shared" ca="1" si="4"/>
        <v>270.58526119395026</v>
      </c>
      <c r="L247" s="6"/>
      <c r="M247" s="19"/>
      <c r="N247" s="19"/>
      <c r="Q247" s="4">
        <v>246</v>
      </c>
      <c r="R247" s="33"/>
      <c r="S247" s="19"/>
      <c r="T247" s="19"/>
    </row>
    <row r="248" spans="1:20" x14ac:dyDescent="0.35">
      <c r="A248" s="7">
        <v>247</v>
      </c>
      <c r="B248" s="3">
        <v>43091</v>
      </c>
      <c r="C248" s="2">
        <v>257.73</v>
      </c>
      <c r="D248" s="2">
        <v>257.77</v>
      </c>
      <c r="E248" s="2">
        <v>257.06</v>
      </c>
      <c r="F248" s="14">
        <v>257.64999999999998</v>
      </c>
      <c r="G248" s="1">
        <v>81734768</v>
      </c>
      <c r="H248" s="6" t="s">
        <v>10</v>
      </c>
      <c r="I248" s="6">
        <f>IF(AND(H247="UP",testdataClose[[#This Row],[close]]&gt;I247),testdataClose[[#This Row],[close]],IF(AND(H247="DN",testdataClose[[#This Row],[close]]&lt;I247),testdataClose[[#This Row],[close]],I247))</f>
        <v>258.31</v>
      </c>
      <c r="J248" s="11">
        <f>(testdataClose[[#This Row],[close]]-testdataClose[[#This Row],[hl]])/testdataClose[[#This Row],[hl]]</f>
        <v>-2.555069490147594E-3</v>
      </c>
      <c r="K248" s="15">
        <f t="shared" ca="1" si="4"/>
        <v>270.82111940290855</v>
      </c>
      <c r="L248" s="6"/>
      <c r="M248" s="19"/>
      <c r="N248" s="19"/>
      <c r="Q248" s="4">
        <v>247</v>
      </c>
      <c r="R248" s="33"/>
      <c r="S248" s="19"/>
      <c r="T248" s="19"/>
    </row>
    <row r="249" spans="1:20" x14ac:dyDescent="0.35">
      <c r="A249" s="7">
        <v>248</v>
      </c>
      <c r="B249" s="3">
        <v>43095</v>
      </c>
      <c r="C249" s="2">
        <v>257.2</v>
      </c>
      <c r="D249" s="2">
        <v>257.58</v>
      </c>
      <c r="E249" s="2">
        <v>257.04000000000002</v>
      </c>
      <c r="F249" s="14">
        <v>257.33999999999997</v>
      </c>
      <c r="G249" s="1">
        <v>46976656</v>
      </c>
      <c r="H249" s="6" t="s">
        <v>10</v>
      </c>
      <c r="I249" s="6">
        <f>IF(AND(H248="UP",testdataClose[[#This Row],[close]]&gt;I248),testdataClose[[#This Row],[close]],IF(AND(H248="DN",testdataClose[[#This Row],[close]]&lt;I248),testdataClose[[#This Row],[close]],I248))</f>
        <v>258.31</v>
      </c>
      <c r="J249" s="11">
        <f>(testdataClose[[#This Row],[close]]-testdataClose[[#This Row],[hl]])/testdataClose[[#This Row],[hl]]</f>
        <v>-3.7551778870350636E-3</v>
      </c>
      <c r="K249" s="15">
        <f t="shared" ca="1" si="4"/>
        <v>271.05697761186684</v>
      </c>
      <c r="L249" s="6"/>
      <c r="M249" s="19"/>
      <c r="N249" s="19"/>
      <c r="Q249" s="4">
        <v>248</v>
      </c>
      <c r="R249" s="33"/>
      <c r="S249" s="19"/>
      <c r="T249" s="19"/>
    </row>
    <row r="250" spans="1:20" x14ac:dyDescent="0.35">
      <c r="A250" s="7">
        <v>249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14">
        <v>257.45999999999998</v>
      </c>
      <c r="G250" s="1">
        <v>59962032</v>
      </c>
      <c r="H250" s="6" t="s">
        <v>10</v>
      </c>
      <c r="I250" s="6">
        <f>IF(AND(H249="UP",testdataClose[[#This Row],[close]]&gt;I249),testdataClose[[#This Row],[close]],IF(AND(H249="DN",testdataClose[[#This Row],[close]]&lt;I249),testdataClose[[#This Row],[close]],I249))</f>
        <v>258.31</v>
      </c>
      <c r="J250" s="11">
        <f>(testdataClose[[#This Row],[close]]-testdataClose[[#This Row],[hl]])/testdataClose[[#This Row],[hl]]</f>
        <v>-3.2906197979173193E-3</v>
      </c>
      <c r="K250" s="15">
        <f t="shared" ca="1" si="4"/>
        <v>271.29283582082519</v>
      </c>
      <c r="L250" s="6"/>
      <c r="M250" s="19"/>
      <c r="N250" s="19"/>
      <c r="Q250" s="4">
        <v>249</v>
      </c>
      <c r="R250" s="33"/>
      <c r="S250" s="19"/>
      <c r="T250" s="19"/>
    </row>
    <row r="251" spans="1:20" x14ac:dyDescent="0.35">
      <c r="A251" s="7">
        <v>250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14">
        <v>257.99</v>
      </c>
      <c r="G251" s="1">
        <v>46843448</v>
      </c>
      <c r="H251" s="6" t="s">
        <v>10</v>
      </c>
      <c r="I251" s="6">
        <f>IF(AND(H250="UP",testdataClose[[#This Row],[close]]&gt;I250),testdataClose[[#This Row],[close]],IF(AND(H250="DN",testdataClose[[#This Row],[close]]&lt;I250),testdataClose[[#This Row],[close]],I250))</f>
        <v>258.31</v>
      </c>
      <c r="J251" s="11">
        <f>(testdataClose[[#This Row],[close]]-testdataClose[[#This Row],[hl]])/testdataClose[[#This Row],[hl]]</f>
        <v>-1.2388215709805783E-3</v>
      </c>
      <c r="K251" s="15">
        <f t="shared" ca="1" si="4"/>
        <v>271.52869402978359</v>
      </c>
      <c r="L251" s="6"/>
      <c r="M251" s="19"/>
      <c r="N251" s="19"/>
      <c r="Q251" s="4">
        <v>250</v>
      </c>
      <c r="R251" s="33"/>
      <c r="S251" s="19"/>
      <c r="T251" s="19"/>
    </row>
    <row r="252" spans="1:20" x14ac:dyDescent="0.35">
      <c r="A252" s="7">
        <v>251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14">
        <v>257.02</v>
      </c>
      <c r="G252" s="1">
        <v>99683152</v>
      </c>
      <c r="H252" s="6" t="s">
        <v>10</v>
      </c>
      <c r="I252" s="6">
        <f>IF(AND(H251="UP",testdataClose[[#This Row],[close]]&gt;I251),testdataClose[[#This Row],[close]],IF(AND(H251="DN",testdataClose[[#This Row],[close]]&lt;I251),testdataClose[[#This Row],[close]],I251))</f>
        <v>258.31</v>
      </c>
      <c r="J252" s="11">
        <f>(testdataClose[[#This Row],[close]]-testdataClose[[#This Row],[hl]])/testdataClose[[#This Row],[hl]]</f>
        <v>-4.9939994580156417E-3</v>
      </c>
      <c r="K252" s="15">
        <f t="shared" ca="1" si="4"/>
        <v>271.764552238742</v>
      </c>
      <c r="L252" s="6"/>
      <c r="M252" s="19"/>
      <c r="N252" s="19"/>
      <c r="Q252" s="4">
        <v>251</v>
      </c>
      <c r="R252" s="33"/>
      <c r="S252" s="19"/>
      <c r="T252" s="19"/>
    </row>
    <row r="253" spans="1:20" x14ac:dyDescent="0.35">
      <c r="A253" s="7">
        <v>252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14">
        <v>258.86</v>
      </c>
      <c r="G253" s="1">
        <v>89973440</v>
      </c>
      <c r="H253" s="6" t="s">
        <v>10</v>
      </c>
      <c r="I253" s="6">
        <f>IF(AND(H252="UP",testdataClose[[#This Row],[close]]&gt;I252),testdataClose[[#This Row],[close]],IF(AND(H252="DN",testdataClose[[#This Row],[close]]&lt;I252),testdataClose[[#This Row],[close]],I252))</f>
        <v>258.86</v>
      </c>
      <c r="J253" s="11">
        <f>(testdataClose[[#This Row],[close]]-testdataClose[[#This Row],[hl]])/testdataClose[[#This Row],[hl]]</f>
        <v>0</v>
      </c>
      <c r="K253" s="15">
        <f t="shared" ca="1" si="4"/>
        <v>272.00041044770046</v>
      </c>
      <c r="L253" s="6"/>
      <c r="M253" s="19"/>
      <c r="N253" s="19"/>
      <c r="Q253" s="4">
        <v>252</v>
      </c>
      <c r="R253" s="33"/>
      <c r="S253" s="19"/>
      <c r="T253" s="19"/>
    </row>
    <row r="254" spans="1:20" x14ac:dyDescent="0.35">
      <c r="A254" s="7">
        <v>253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14">
        <v>260.5</v>
      </c>
      <c r="G254" s="1">
        <v>93518840</v>
      </c>
      <c r="H254" s="6" t="s">
        <v>10</v>
      </c>
      <c r="I254" s="6">
        <f>IF(AND(H253="UP",testdataClose[[#This Row],[close]]&gt;I253),testdataClose[[#This Row],[close]],IF(AND(H253="DN",testdataClose[[#This Row],[close]]&lt;I253),testdataClose[[#This Row],[close]],I253))</f>
        <v>260.5</v>
      </c>
      <c r="J254" s="11">
        <f>(testdataClose[[#This Row],[close]]-testdataClose[[#This Row],[hl]])/testdataClose[[#This Row],[hl]]</f>
        <v>0</v>
      </c>
      <c r="K254" s="15">
        <f t="shared" ca="1" si="4"/>
        <v>272.23626865665898</v>
      </c>
      <c r="L254" s="6"/>
      <c r="M254" s="19"/>
      <c r="N254" s="19"/>
      <c r="Q254" s="4">
        <v>253</v>
      </c>
      <c r="R254" s="33"/>
      <c r="S254" s="19"/>
      <c r="T254" s="19"/>
    </row>
    <row r="255" spans="1:20" x14ac:dyDescent="0.35">
      <c r="A255" s="7">
        <v>254</v>
      </c>
      <c r="B255" s="3">
        <v>43104</v>
      </c>
      <c r="C255" s="2">
        <v>261.2</v>
      </c>
      <c r="D255" s="2">
        <v>262.12</v>
      </c>
      <c r="E255" s="2">
        <v>260.57</v>
      </c>
      <c r="F255" s="14">
        <v>261.58999999999997</v>
      </c>
      <c r="G255" s="1">
        <v>83723648</v>
      </c>
      <c r="H255" s="6" t="s">
        <v>10</v>
      </c>
      <c r="I255" s="6">
        <f>IF(AND(H254="UP",testdataClose[[#This Row],[close]]&gt;I254),testdataClose[[#This Row],[close]],IF(AND(H254="DN",testdataClose[[#This Row],[close]]&lt;I254),testdataClose[[#This Row],[close]],I254))</f>
        <v>261.58999999999997</v>
      </c>
      <c r="J255" s="11">
        <f>(testdataClose[[#This Row],[close]]-testdataClose[[#This Row],[hl]])/testdataClose[[#This Row],[hl]]</f>
        <v>0</v>
      </c>
      <c r="K255" s="15">
        <f t="shared" ca="1" si="4"/>
        <v>272.4721268656175</v>
      </c>
      <c r="L255" s="6"/>
      <c r="M255" s="19"/>
      <c r="N255" s="19"/>
      <c r="Q255" s="4">
        <v>254</v>
      </c>
      <c r="R255" s="33"/>
      <c r="S255" s="19"/>
      <c r="T255" s="19"/>
    </row>
    <row r="256" spans="1:20" x14ac:dyDescent="0.35">
      <c r="A256" s="7">
        <v>255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14">
        <v>263.33999999999997</v>
      </c>
      <c r="G256" s="1">
        <v>86721784</v>
      </c>
      <c r="H256" s="6" t="s">
        <v>10</v>
      </c>
      <c r="I256" s="6">
        <f>IF(AND(H255="UP",testdataClose[[#This Row],[close]]&gt;I255),testdataClose[[#This Row],[close]],IF(AND(H255="DN",testdataClose[[#This Row],[close]]&lt;I255),testdataClose[[#This Row],[close]],I255))</f>
        <v>263.33999999999997</v>
      </c>
      <c r="J256" s="11">
        <f>(testdataClose[[#This Row],[close]]-testdataClose[[#This Row],[hl]])/testdataClose[[#This Row],[hl]]</f>
        <v>0</v>
      </c>
      <c r="K256" s="15">
        <f t="shared" ca="1" si="4"/>
        <v>272.70798507457607</v>
      </c>
      <c r="L256" s="6"/>
      <c r="M256" s="19"/>
      <c r="N256" s="19"/>
      <c r="Q256" s="4">
        <v>255</v>
      </c>
      <c r="R256" s="33"/>
      <c r="S256" s="19"/>
      <c r="T256" s="19"/>
    </row>
    <row r="257" spans="1:21" x14ac:dyDescent="0.35">
      <c r="A257" s="7">
        <v>256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14">
        <v>263.82</v>
      </c>
      <c r="G257" s="1">
        <v>59513708</v>
      </c>
      <c r="H257" s="6" t="s">
        <v>10</v>
      </c>
      <c r="I257" s="6">
        <f>IF(AND(H256="UP",testdataClose[[#This Row],[close]]&gt;I256),testdataClose[[#This Row],[close]],IF(AND(H256="DN",testdataClose[[#This Row],[close]]&lt;I256),testdataClose[[#This Row],[close]],I256))</f>
        <v>263.82</v>
      </c>
      <c r="J257" s="11">
        <f>(testdataClose[[#This Row],[close]]-testdataClose[[#This Row],[hl]])/testdataClose[[#This Row],[hl]]</f>
        <v>0</v>
      </c>
      <c r="K257" s="15">
        <f t="shared" ca="1" si="4"/>
        <v>272.9438432835347</v>
      </c>
      <c r="L257" s="6"/>
      <c r="M257" s="19"/>
      <c r="N257" s="19"/>
      <c r="Q257" s="4">
        <v>256</v>
      </c>
      <c r="R257" s="33"/>
      <c r="S257" s="19"/>
      <c r="T257" s="19"/>
    </row>
    <row r="258" spans="1:21" x14ac:dyDescent="0.35">
      <c r="A258" s="7">
        <v>257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14">
        <v>264.42</v>
      </c>
      <c r="G258" s="1">
        <v>59445976</v>
      </c>
      <c r="H258" s="6" t="s">
        <v>10</v>
      </c>
      <c r="I258" s="6">
        <f>IF(AND(H257="UP",testdataClose[[#This Row],[close]]&gt;I257),testdataClose[[#This Row],[close]],IF(AND(H257="DN",testdataClose[[#This Row],[close]]&lt;I257),testdataClose[[#This Row],[close]],I257))</f>
        <v>264.42</v>
      </c>
      <c r="J258" s="11">
        <f>(testdataClose[[#This Row],[close]]-testdataClose[[#This Row],[hl]])/testdataClose[[#This Row],[hl]]</f>
        <v>0</v>
      </c>
      <c r="K258" s="15">
        <f t="shared" ca="1" si="4"/>
        <v>273.17970149249334</v>
      </c>
      <c r="L258" s="6"/>
      <c r="M258" s="19"/>
      <c r="N258" s="19"/>
      <c r="Q258" s="4">
        <v>257</v>
      </c>
      <c r="R258" s="33"/>
      <c r="S258" s="19"/>
      <c r="T258" s="19"/>
    </row>
    <row r="259" spans="1:21" x14ac:dyDescent="0.35">
      <c r="A259" s="7">
        <v>258</v>
      </c>
      <c r="B259" s="3">
        <v>43110</v>
      </c>
      <c r="C259" s="2">
        <v>263.58999999999997</v>
      </c>
      <c r="D259" s="2">
        <v>264.3</v>
      </c>
      <c r="E259" s="2">
        <v>262.86</v>
      </c>
      <c r="F259" s="14">
        <v>264.01</v>
      </c>
      <c r="G259" s="1">
        <v>72238032</v>
      </c>
      <c r="H259" s="6" t="s">
        <v>10</v>
      </c>
      <c r="I259" s="6">
        <f>IF(AND(H258="UP",testdataClose[[#This Row],[close]]&gt;I258),testdataClose[[#This Row],[close]],IF(AND(H258="DN",testdataClose[[#This Row],[close]]&lt;I258),testdataClose[[#This Row],[close]],I258))</f>
        <v>264.42</v>
      </c>
      <c r="J259" s="11">
        <f>(testdataClose[[#This Row],[close]]-testdataClose[[#This Row],[hl]])/testdataClose[[#This Row],[hl]]</f>
        <v>-1.5505634974662468E-3</v>
      </c>
      <c r="K259" s="15">
        <f t="shared" ca="1" si="4"/>
        <v>273.41555970145203</v>
      </c>
      <c r="L259" s="6"/>
      <c r="M259" s="19"/>
      <c r="N259" s="19"/>
      <c r="Q259" s="4">
        <v>258</v>
      </c>
      <c r="R259" s="33"/>
      <c r="S259" s="19"/>
      <c r="T259" s="19"/>
    </row>
    <row r="260" spans="1:21" x14ac:dyDescent="0.35">
      <c r="A260" s="7">
        <v>259</v>
      </c>
      <c r="B260" s="3">
        <v>43111</v>
      </c>
      <c r="C260" s="2">
        <v>264.62</v>
      </c>
      <c r="D260" s="2">
        <v>265.94</v>
      </c>
      <c r="E260" s="2">
        <v>264.44</v>
      </c>
      <c r="F260" s="14">
        <v>265.94</v>
      </c>
      <c r="G260" s="1">
        <v>64749016</v>
      </c>
      <c r="H260" s="6" t="s">
        <v>10</v>
      </c>
      <c r="I260" s="6">
        <f>IF(AND(H259="UP",testdataClose[[#This Row],[close]]&gt;I259),testdataClose[[#This Row],[close]],IF(AND(H259="DN",testdataClose[[#This Row],[close]]&lt;I259),testdataClose[[#This Row],[close]],I259))</f>
        <v>265.94</v>
      </c>
      <c r="J260" s="11">
        <f>(testdataClose[[#This Row],[close]]-testdataClose[[#This Row],[hl]])/testdataClose[[#This Row],[hl]]</f>
        <v>0</v>
      </c>
      <c r="K260" s="15">
        <f t="shared" ref="K260:K323" ca="1" si="5">AVERAGE(K259,K261)</f>
        <v>273.65141791041077</v>
      </c>
      <c r="L260" s="6"/>
      <c r="M260" s="19"/>
      <c r="N260" s="19"/>
      <c r="Q260" s="4">
        <v>259</v>
      </c>
      <c r="R260" s="33"/>
      <c r="S260" s="19"/>
      <c r="T260" s="19"/>
    </row>
    <row r="261" spans="1:21" x14ac:dyDescent="0.35">
      <c r="A261" s="7">
        <v>260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14">
        <v>267.67</v>
      </c>
      <c r="G261" s="1">
        <v>94293048</v>
      </c>
      <c r="H261" s="6" t="s">
        <v>10</v>
      </c>
      <c r="I261" s="6">
        <f>IF(AND(H260="UP",testdataClose[[#This Row],[close]]&gt;I260),testdataClose[[#This Row],[close]],IF(AND(H260="DN",testdataClose[[#This Row],[close]]&lt;I260),testdataClose[[#This Row],[close]],I260))</f>
        <v>267.67</v>
      </c>
      <c r="J261" s="11">
        <f>(testdataClose[[#This Row],[close]]-testdataClose[[#This Row],[hl]])/testdataClose[[#This Row],[hl]]</f>
        <v>0</v>
      </c>
      <c r="K261" s="15">
        <f t="shared" ca="1" si="5"/>
        <v>273.88727611936952</v>
      </c>
      <c r="L261" s="6"/>
      <c r="M261" s="19"/>
      <c r="N261" s="19"/>
      <c r="Q261" s="4">
        <v>260</v>
      </c>
      <c r="R261" s="33"/>
      <c r="S261" s="19"/>
      <c r="T261" s="19"/>
    </row>
    <row r="262" spans="1:21" x14ac:dyDescent="0.35">
      <c r="A262" s="7">
        <v>261</v>
      </c>
      <c r="B262" s="3">
        <v>43116</v>
      </c>
      <c r="C262" s="2">
        <v>269.05</v>
      </c>
      <c r="D262" s="2">
        <v>269.76</v>
      </c>
      <c r="E262" s="2">
        <v>266</v>
      </c>
      <c r="F262" s="14">
        <v>266.76</v>
      </c>
      <c r="G262" s="1">
        <v>110634704</v>
      </c>
      <c r="H262" s="6" t="s">
        <v>10</v>
      </c>
      <c r="I262" s="6">
        <f>IF(AND(H261="UP",testdataClose[[#This Row],[close]]&gt;I261),testdataClose[[#This Row],[close]],IF(AND(H261="DN",testdataClose[[#This Row],[close]]&lt;I261),testdataClose[[#This Row],[close]],I261))</f>
        <v>267.67</v>
      </c>
      <c r="J262" s="11">
        <f>(testdataClose[[#This Row],[close]]-testdataClose[[#This Row],[hl]])/testdataClose[[#This Row],[hl]]</f>
        <v>-3.3997085964061154E-3</v>
      </c>
      <c r="K262" s="15">
        <f t="shared" ca="1" si="5"/>
        <v>274.12313432832832</v>
      </c>
      <c r="L262" s="6"/>
      <c r="M262" s="19"/>
      <c r="N262" s="19"/>
      <c r="Q262" s="4">
        <v>261</v>
      </c>
      <c r="R262" s="33"/>
      <c r="S262" s="19"/>
      <c r="T262" s="19"/>
    </row>
    <row r="263" spans="1:21" x14ac:dyDescent="0.35">
      <c r="A263" s="7">
        <v>262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14">
        <v>269.3</v>
      </c>
      <c r="G263" s="1">
        <v>117595008</v>
      </c>
      <c r="H263" s="6" t="s">
        <v>10</v>
      </c>
      <c r="I263" s="6">
        <f>IF(AND(H262="UP",testdataClose[[#This Row],[close]]&gt;I262),testdataClose[[#This Row],[close]],IF(AND(H262="DN",testdataClose[[#This Row],[close]]&lt;I262),testdataClose[[#This Row],[close]],I262))</f>
        <v>269.3</v>
      </c>
      <c r="J263" s="11">
        <f>(testdataClose[[#This Row],[close]]-testdataClose[[#This Row],[hl]])/testdataClose[[#This Row],[hl]]</f>
        <v>0</v>
      </c>
      <c r="K263" s="15">
        <f t="shared" ca="1" si="5"/>
        <v>274.35899253728718</v>
      </c>
      <c r="L263" s="6"/>
      <c r="M263" s="19"/>
      <c r="N263" s="19"/>
      <c r="Q263" s="4">
        <v>262</v>
      </c>
      <c r="R263" s="33"/>
      <c r="S263" s="19"/>
      <c r="T263" s="19"/>
    </row>
    <row r="264" spans="1:21" x14ac:dyDescent="0.35">
      <c r="A264" s="7">
        <v>263</v>
      </c>
      <c r="B264" s="3">
        <v>43118</v>
      </c>
      <c r="C264" s="2">
        <v>269.17</v>
      </c>
      <c r="D264" s="2">
        <v>269.64</v>
      </c>
      <c r="E264" s="2">
        <v>268.31</v>
      </c>
      <c r="F264" s="14">
        <v>268.85000000000002</v>
      </c>
      <c r="G264" s="1">
        <v>104584464</v>
      </c>
      <c r="H264" s="6" t="s">
        <v>10</v>
      </c>
      <c r="I264" s="6">
        <f>IF(AND(H263="UP",testdataClose[[#This Row],[close]]&gt;I263),testdataClose[[#This Row],[close]],IF(AND(H263="DN",testdataClose[[#This Row],[close]]&lt;I263),testdataClose[[#This Row],[close]],I263))</f>
        <v>269.3</v>
      </c>
      <c r="J264" s="11">
        <f>(testdataClose[[#This Row],[close]]-testdataClose[[#This Row],[hl]])/testdataClose[[#This Row],[hl]]</f>
        <v>-1.6709988860007005E-3</v>
      </c>
      <c r="K264" s="15">
        <f t="shared" ca="1" si="5"/>
        <v>274.59485074624604</v>
      </c>
      <c r="L264" s="6"/>
      <c r="M264" s="19"/>
      <c r="N264" s="19"/>
      <c r="Q264" s="4">
        <v>263</v>
      </c>
      <c r="R264" s="33"/>
      <c r="S264" s="19"/>
      <c r="T264" s="19"/>
    </row>
    <row r="265" spans="1:21" x14ac:dyDescent="0.35">
      <c r="A265" s="7">
        <v>264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14">
        <v>270.07</v>
      </c>
      <c r="G265" s="1">
        <v>146315344</v>
      </c>
      <c r="H265" s="6" t="s">
        <v>10</v>
      </c>
      <c r="I265" s="6">
        <f>IF(AND(H264="UP",testdataClose[[#This Row],[close]]&gt;I264),testdataClose[[#This Row],[close]],IF(AND(H264="DN",testdataClose[[#This Row],[close]]&lt;I264),testdataClose[[#This Row],[close]],I264))</f>
        <v>270.07</v>
      </c>
      <c r="J265" s="11">
        <f>(testdataClose[[#This Row],[close]]-testdataClose[[#This Row],[hl]])/testdataClose[[#This Row],[hl]]</f>
        <v>0</v>
      </c>
      <c r="K265" s="15">
        <f t="shared" ca="1" si="5"/>
        <v>274.83070895520495</v>
      </c>
      <c r="L265" s="6"/>
      <c r="M265" s="19"/>
      <c r="N265" s="19"/>
      <c r="Q265" s="4">
        <v>264</v>
      </c>
      <c r="R265" s="33"/>
      <c r="S265" s="19"/>
      <c r="T265" s="19"/>
    </row>
    <row r="266" spans="1:21" x14ac:dyDescent="0.35">
      <c r="A266" s="7">
        <v>265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14">
        <v>272.27</v>
      </c>
      <c r="G266" s="1">
        <v>94818768</v>
      </c>
      <c r="H266" s="6" t="s">
        <v>10</v>
      </c>
      <c r="I266" s="6">
        <f>IF(AND(H265="UP",testdataClose[[#This Row],[close]]&gt;I265),testdataClose[[#This Row],[close]],IF(AND(H265="DN",testdataClose[[#This Row],[close]]&lt;I265),testdataClose[[#This Row],[close]],I265))</f>
        <v>272.27</v>
      </c>
      <c r="J266" s="11">
        <f>(testdataClose[[#This Row],[close]]-testdataClose[[#This Row],[hl]])/testdataClose[[#This Row],[hl]]</f>
        <v>0</v>
      </c>
      <c r="K266" s="15">
        <f t="shared" ca="1" si="5"/>
        <v>275.06656716416393</v>
      </c>
      <c r="L266" s="6"/>
      <c r="M266" s="19"/>
      <c r="N266" s="19"/>
      <c r="Q266" s="4">
        <v>265</v>
      </c>
      <c r="R266" s="33"/>
      <c r="S266" s="19"/>
      <c r="T266" s="19"/>
    </row>
    <row r="267" spans="1:21" x14ac:dyDescent="0.35">
      <c r="A267" s="7">
        <v>266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14">
        <v>272.83999999999997</v>
      </c>
      <c r="G267" s="1">
        <v>100801672</v>
      </c>
      <c r="H267" s="6" t="s">
        <v>10</v>
      </c>
      <c r="I267" s="6">
        <f>IF(AND(H266="UP",testdataClose[[#This Row],[close]]&gt;I266),testdataClose[[#This Row],[close]],IF(AND(H266="DN",testdataClose[[#This Row],[close]]&lt;I266),testdataClose[[#This Row],[close]],I266))</f>
        <v>272.83999999999997</v>
      </c>
      <c r="J267" s="11">
        <f>(testdataClose[[#This Row],[close]]-testdataClose[[#This Row],[hl]])/testdataClose[[#This Row],[hl]]</f>
        <v>0</v>
      </c>
      <c r="K267" s="15">
        <f t="shared" ca="1" si="5"/>
        <v>275.3024253731229</v>
      </c>
      <c r="L267" s="6"/>
      <c r="M267" s="19"/>
      <c r="N267" s="19"/>
      <c r="Q267" s="4">
        <v>266</v>
      </c>
      <c r="R267" s="33"/>
      <c r="S267" s="19"/>
      <c r="T267" s="19"/>
    </row>
    <row r="268" spans="1:21" x14ac:dyDescent="0.35">
      <c r="A268" s="7">
        <v>267</v>
      </c>
      <c r="B268" s="3">
        <v>43124</v>
      </c>
      <c r="C268" s="2">
        <v>273.55</v>
      </c>
      <c r="D268" s="2">
        <v>274.2</v>
      </c>
      <c r="E268" s="2">
        <v>271.45</v>
      </c>
      <c r="F268" s="14">
        <v>272.74</v>
      </c>
      <c r="G268" s="1">
        <v>139977680</v>
      </c>
      <c r="H268" s="6" t="s">
        <v>10</v>
      </c>
      <c r="I268" s="6">
        <f>IF(AND(H267="UP",testdataClose[[#This Row],[close]]&gt;I267),testdataClose[[#This Row],[close]],IF(AND(H267="DN",testdataClose[[#This Row],[close]]&lt;I267),testdataClose[[#This Row],[close]],I267))</f>
        <v>272.83999999999997</v>
      </c>
      <c r="J268" s="11">
        <f>(testdataClose[[#This Row],[close]]-testdataClose[[#This Row],[hl]])/testdataClose[[#This Row],[hl]]</f>
        <v>-3.665151737280674E-4</v>
      </c>
      <c r="K268" s="15">
        <f t="shared" ca="1" si="5"/>
        <v>275.53828358208193</v>
      </c>
      <c r="L268" s="6"/>
      <c r="M268" s="19"/>
      <c r="N268" s="19"/>
      <c r="Q268" s="4">
        <v>267</v>
      </c>
      <c r="R268" s="33"/>
      <c r="S268" s="19"/>
      <c r="T268" s="19"/>
    </row>
    <row r="269" spans="1:21" x14ac:dyDescent="0.35">
      <c r="A269" s="7">
        <v>268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14">
        <v>272.85000000000002</v>
      </c>
      <c r="G269" s="1">
        <v>87825816</v>
      </c>
      <c r="H269" s="6" t="s">
        <v>10</v>
      </c>
      <c r="I269" s="6">
        <f>IF(AND(H268="UP",testdataClose[[#This Row],[close]]&gt;I268),testdataClose[[#This Row],[close]],IF(AND(H268="DN",testdataClose[[#This Row],[close]]&lt;I268),testdataClose[[#This Row],[close]],I268))</f>
        <v>272.85000000000002</v>
      </c>
      <c r="J269" s="11">
        <f>(testdataClose[[#This Row],[close]]-testdataClose[[#This Row],[hl]])/testdataClose[[#This Row],[hl]]</f>
        <v>0</v>
      </c>
      <c r="K269" s="15">
        <f t="shared" ca="1" si="5"/>
        <v>275.77414179104096</v>
      </c>
      <c r="L269" s="6"/>
      <c r="M269" s="19"/>
      <c r="N269" s="19"/>
      <c r="Q269" s="4">
        <v>268</v>
      </c>
      <c r="R269" s="33"/>
      <c r="S269" s="19"/>
      <c r="T269" s="19"/>
    </row>
    <row r="270" spans="1:21" x14ac:dyDescent="0.35">
      <c r="A270" s="7">
        <v>269</v>
      </c>
      <c r="B270" s="3">
        <v>43126</v>
      </c>
      <c r="C270" s="2">
        <v>273.77</v>
      </c>
      <c r="D270" s="2">
        <v>276.06</v>
      </c>
      <c r="E270" s="2">
        <v>273.49</v>
      </c>
      <c r="F270" s="14">
        <v>276.01</v>
      </c>
      <c r="G270" s="1">
        <v>111868160</v>
      </c>
      <c r="H270" s="6" t="s">
        <v>10</v>
      </c>
      <c r="I270" s="6">
        <f>IF(AND(H269="UP",testdataClose[[#This Row],[close]]&gt;I269),testdataClose[[#This Row],[close]],IF(AND(H269="DN",testdataClose[[#This Row],[close]]&lt;I269),testdataClose[[#This Row],[close]],I269))</f>
        <v>276.01</v>
      </c>
      <c r="J270" s="11">
        <f>(testdataClose[[#This Row],[close]]-testdataClose[[#This Row],[hl]])/testdataClose[[#This Row],[hl]]</f>
        <v>0</v>
      </c>
      <c r="K270" s="18">
        <f>testdataClose[[#This Row],[close]]</f>
        <v>276.01</v>
      </c>
      <c r="L270" s="6" t="s">
        <v>14</v>
      </c>
      <c r="M270" s="19">
        <f>IF(testdataClose[[#This Row],[type]]="H",testdataClose[[#This Row],[close]],AVERAGE(M269,M271))</f>
        <v>276.01</v>
      </c>
      <c r="N270" s="19"/>
      <c r="Q270" s="4">
        <v>269</v>
      </c>
      <c r="R270" s="33">
        <v>276.01</v>
      </c>
      <c r="S270" s="19">
        <v>276.01</v>
      </c>
      <c r="T270" s="19"/>
      <c r="U270" s="4" t="s">
        <v>14</v>
      </c>
    </row>
    <row r="271" spans="1:21" x14ac:dyDescent="0.35">
      <c r="A271" s="7">
        <v>270</v>
      </c>
      <c r="B271" s="3">
        <v>43129</v>
      </c>
      <c r="C271" s="2">
        <v>275.39</v>
      </c>
      <c r="D271" s="2">
        <v>275.87</v>
      </c>
      <c r="E271" s="2">
        <v>274.01</v>
      </c>
      <c r="F271" s="14">
        <v>274.18</v>
      </c>
      <c r="G271" s="1">
        <v>93568600</v>
      </c>
      <c r="H271" s="6" t="s">
        <v>10</v>
      </c>
      <c r="I271" s="6">
        <f>IF(AND(H270="UP",testdataClose[[#This Row],[close]]&gt;I270),testdataClose[[#This Row],[close]],IF(AND(H270="DN",testdataClose[[#This Row],[close]]&lt;I270),testdataClose[[#This Row],[close]],I270))</f>
        <v>276.01</v>
      </c>
      <c r="J271" s="11">
        <f>(testdataClose[[#This Row],[close]]-testdataClose[[#This Row],[hl]])/testdataClose[[#This Row],[hl]]</f>
        <v>-6.6301945581681253E-3</v>
      </c>
      <c r="K271" s="15">
        <f t="shared" ca="1" si="5"/>
        <v>272.91222222222234</v>
      </c>
      <c r="L271" s="6"/>
      <c r="M271" s="19">
        <f ca="1">IF(testdataClose[[#This Row],[type]]="H",testdataClose[[#This Row],[close]],AVERAGE(M270,M272))</f>
        <v>275.59199999999964</v>
      </c>
      <c r="N271" s="19"/>
      <c r="Q271" s="4">
        <v>270</v>
      </c>
      <c r="R271" s="33">
        <v>272.91219999999998</v>
      </c>
      <c r="S271" s="19">
        <v>275.59199999999998</v>
      </c>
      <c r="T271" s="19"/>
    </row>
    <row r="272" spans="1:21" x14ac:dyDescent="0.35">
      <c r="A272" s="7">
        <v>271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14">
        <v>271.37</v>
      </c>
      <c r="G272" s="1">
        <v>136842368</v>
      </c>
      <c r="H272" s="6" t="s">
        <v>10</v>
      </c>
      <c r="I272" s="6">
        <f>IF(AND(H271="UP",testdataClose[[#This Row],[close]]&gt;I271),testdataClose[[#This Row],[close]],IF(AND(H271="DN",testdataClose[[#This Row],[close]]&lt;I271),testdataClose[[#This Row],[close]],I271))</f>
        <v>276.01</v>
      </c>
      <c r="J272" s="11">
        <f>(testdataClose[[#This Row],[close]]-testdataClose[[#This Row],[hl]])/testdataClose[[#This Row],[hl]]</f>
        <v>-1.6810985109235125E-2</v>
      </c>
      <c r="K272" s="15">
        <f t="shared" ca="1" si="5"/>
        <v>269.81444444444463</v>
      </c>
      <c r="L272" s="6"/>
      <c r="M272" s="19">
        <f ca="1">IF(testdataClose[[#This Row],[type]]="H",testdataClose[[#This Row],[close]],AVERAGE(M271,M273))</f>
        <v>275.17399999999935</v>
      </c>
      <c r="N272" s="19"/>
      <c r="Q272" s="4">
        <v>271</v>
      </c>
      <c r="R272" s="33">
        <v>269.81439999999998</v>
      </c>
      <c r="S272" s="19">
        <v>275.17399999999998</v>
      </c>
      <c r="T272" s="19"/>
    </row>
    <row r="273" spans="1:21" x14ac:dyDescent="0.35">
      <c r="A273" s="7">
        <v>272</v>
      </c>
      <c r="B273" s="3">
        <v>43131</v>
      </c>
      <c r="C273" s="2">
        <v>272.3</v>
      </c>
      <c r="D273" s="2">
        <v>272.85000000000002</v>
      </c>
      <c r="E273" s="2">
        <v>270.33</v>
      </c>
      <c r="F273" s="14">
        <v>271.51</v>
      </c>
      <c r="G273" s="1">
        <v>123502168</v>
      </c>
      <c r="H273" s="6" t="s">
        <v>10</v>
      </c>
      <c r="I273" s="6">
        <f>IF(AND(H272="UP",testdataClose[[#This Row],[close]]&gt;I272),testdataClose[[#This Row],[close]],IF(AND(H272="DN",testdataClose[[#This Row],[close]]&lt;I272),testdataClose[[#This Row],[close]],I272))</f>
        <v>276.01</v>
      </c>
      <c r="J273" s="11">
        <f>(testdataClose[[#This Row],[close]]-testdataClose[[#This Row],[hl]])/testdataClose[[#This Row],[hl]]</f>
        <v>-1.6303757110249627E-2</v>
      </c>
      <c r="K273" s="15">
        <f t="shared" ca="1" si="5"/>
        <v>266.71666666666692</v>
      </c>
      <c r="L273" s="6"/>
      <c r="M273" s="19">
        <f ca="1">IF(testdataClose[[#This Row],[type]]="H",testdataClose[[#This Row],[close]],AVERAGE(M272,M274))</f>
        <v>274.75599999999906</v>
      </c>
      <c r="N273" s="19"/>
      <c r="Q273" s="4">
        <v>272</v>
      </c>
      <c r="R273" s="33">
        <v>266.7167</v>
      </c>
      <c r="S273" s="19">
        <v>274.75599999999997</v>
      </c>
      <c r="T273" s="19"/>
    </row>
    <row r="274" spans="1:21" x14ac:dyDescent="0.35">
      <c r="A274" s="7">
        <v>273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14">
        <v>271.2</v>
      </c>
      <c r="G274" s="1">
        <v>93552120</v>
      </c>
      <c r="H274" s="6" t="s">
        <v>10</v>
      </c>
      <c r="I274" s="6">
        <f>IF(AND(H273="UP",testdataClose[[#This Row],[close]]&gt;I273),testdataClose[[#This Row],[close]],IF(AND(H273="DN",testdataClose[[#This Row],[close]]&lt;I273),testdataClose[[#This Row],[close]],I273))</f>
        <v>276.01</v>
      </c>
      <c r="J274" s="11">
        <f>(testdataClose[[#This Row],[close]]-testdataClose[[#This Row],[hl]])/testdataClose[[#This Row],[hl]]</f>
        <v>-1.7426904822289056E-2</v>
      </c>
      <c r="K274" s="15">
        <f t="shared" ca="1" si="5"/>
        <v>263.61888888888916</v>
      </c>
      <c r="L274" s="6"/>
      <c r="M274" s="19">
        <f ca="1">IF(testdataClose[[#This Row],[type]]="H",testdataClose[[#This Row],[close]],AVERAGE(M273,M275))</f>
        <v>274.33799999999883</v>
      </c>
      <c r="N274" s="19"/>
      <c r="Q274" s="4">
        <v>273</v>
      </c>
      <c r="R274" s="33">
        <v>263.6189</v>
      </c>
      <c r="S274" s="19">
        <v>274.33800000000002</v>
      </c>
      <c r="T274" s="19"/>
    </row>
    <row r="275" spans="1:21" x14ac:dyDescent="0.35">
      <c r="A275" s="7">
        <v>274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14">
        <v>265.29000000000002</v>
      </c>
      <c r="G275" s="1">
        <v>179804944</v>
      </c>
      <c r="H275" s="6" t="s">
        <v>12</v>
      </c>
      <c r="I275" s="6">
        <f>IF(AND(H274="UP",testdataClose[[#This Row],[close]]&gt;I274),testdataClose[[#This Row],[close]],IF(AND(H274="DN",testdataClose[[#This Row],[close]]&lt;I274),testdataClose[[#This Row],[close]],I274))</f>
        <v>276.01</v>
      </c>
      <c r="J275" s="11">
        <f>(testdataClose[[#This Row],[close]]-testdataClose[[#This Row],[hl]])/testdataClose[[#This Row],[hl]]</f>
        <v>-3.8839172493750122E-2</v>
      </c>
      <c r="K275" s="15">
        <f t="shared" ca="1" si="5"/>
        <v>260.5211111111114</v>
      </c>
      <c r="L275" s="6"/>
      <c r="M275" s="19">
        <f ca="1">IF(testdataClose[[#This Row],[type]]="H",testdataClose[[#This Row],[close]],AVERAGE(M274,M276))</f>
        <v>273.91999999999865</v>
      </c>
      <c r="N275" s="19"/>
      <c r="Q275" s="4">
        <v>274</v>
      </c>
      <c r="R275" s="33">
        <v>260.52109999999999</v>
      </c>
      <c r="S275" s="19">
        <v>273.92</v>
      </c>
      <c r="T275" s="19"/>
    </row>
    <row r="276" spans="1:21" x14ac:dyDescent="0.35">
      <c r="A276" s="7">
        <v>275</v>
      </c>
      <c r="B276" s="3">
        <v>43136</v>
      </c>
      <c r="C276" s="2">
        <v>263.37</v>
      </c>
      <c r="D276" s="2">
        <v>265.68</v>
      </c>
      <c r="E276" s="2">
        <v>253.6</v>
      </c>
      <c r="F276" s="14">
        <v>254.2</v>
      </c>
      <c r="G276" s="1">
        <v>305963968</v>
      </c>
      <c r="H276" s="6" t="s">
        <v>12</v>
      </c>
      <c r="I276" s="6">
        <f>IF(AND(H275="UP",testdataClose[[#This Row],[close]]&gt;I275),testdataClose[[#This Row],[close]],IF(AND(H275="DN",testdataClose[[#This Row],[close]]&lt;I275),testdataClose[[#This Row],[close]],I275))</f>
        <v>254.2</v>
      </c>
      <c r="J276" s="11">
        <f>(testdataClose[[#This Row],[close]]-testdataClose[[#This Row],[hl]])/testdataClose[[#This Row],[hl]]</f>
        <v>0</v>
      </c>
      <c r="K276" s="15">
        <f t="shared" ca="1" si="5"/>
        <v>257.42333333333357</v>
      </c>
      <c r="L276" s="6"/>
      <c r="M276" s="19">
        <f ca="1">IF(testdataClose[[#This Row],[type]]="H",testdataClose[[#This Row],[close]],AVERAGE(M275,M277))</f>
        <v>273.50199999999847</v>
      </c>
      <c r="N276" s="19"/>
      <c r="Q276" s="4">
        <v>275</v>
      </c>
      <c r="R276" s="33">
        <v>257.42329999999998</v>
      </c>
      <c r="S276" s="19">
        <v>273.50200000000001</v>
      </c>
      <c r="T276" s="19"/>
    </row>
    <row r="277" spans="1:21" x14ac:dyDescent="0.35">
      <c r="A277" s="7">
        <v>276</v>
      </c>
      <c r="B277" s="3">
        <v>43137</v>
      </c>
      <c r="C277" s="2">
        <v>250.35</v>
      </c>
      <c r="D277" s="2">
        <v>259.76</v>
      </c>
      <c r="E277" s="2">
        <v>249.16</v>
      </c>
      <c r="F277" s="14">
        <v>259.20999999999998</v>
      </c>
      <c r="G277" s="1">
        <v>368619296</v>
      </c>
      <c r="H277" s="6" t="s">
        <v>12</v>
      </c>
      <c r="I277" s="6">
        <f>IF(AND(H276="UP",testdataClose[[#This Row],[close]]&gt;I276),testdataClose[[#This Row],[close]],IF(AND(H276="DN",testdataClose[[#This Row],[close]]&lt;I276),testdataClose[[#This Row],[close]],I276))</f>
        <v>254.2</v>
      </c>
      <c r="J277" s="11">
        <f>(testdataClose[[#This Row],[close]]-testdataClose[[#This Row],[hl]])/testdataClose[[#This Row],[hl]]</f>
        <v>1.9708890637293437E-2</v>
      </c>
      <c r="K277" s="15">
        <f t="shared" ca="1" si="5"/>
        <v>254.32555555555572</v>
      </c>
      <c r="L277" s="6"/>
      <c r="M277" s="19">
        <f ca="1">IF(testdataClose[[#This Row],[type]]="H",testdataClose[[#This Row],[close]],AVERAGE(M276,M278))</f>
        <v>273.08399999999835</v>
      </c>
      <c r="N277" s="19"/>
      <c r="Q277" s="4">
        <v>276</v>
      </c>
      <c r="R277" s="33">
        <v>254.32560000000001</v>
      </c>
      <c r="S277" s="19">
        <v>273.084</v>
      </c>
      <c r="T277" s="19"/>
    </row>
    <row r="278" spans="1:21" x14ac:dyDescent="0.35">
      <c r="A278" s="7">
        <v>277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14">
        <v>257.8</v>
      </c>
      <c r="G278" s="1">
        <v>173784240</v>
      </c>
      <c r="H278" s="6" t="s">
        <v>12</v>
      </c>
      <c r="I278" s="6">
        <f>IF(AND(H277="UP",testdataClose[[#This Row],[close]]&gt;I277),testdataClose[[#This Row],[close]],IF(AND(H277="DN",testdataClose[[#This Row],[close]]&lt;I277),testdataClose[[#This Row],[close]],I277))</f>
        <v>254.2</v>
      </c>
      <c r="J278" s="11">
        <f>(testdataClose[[#This Row],[close]]-testdataClose[[#This Row],[hl]])/testdataClose[[#This Row],[hl]]</f>
        <v>1.4162077104642104E-2</v>
      </c>
      <c r="K278" s="15">
        <f t="shared" ca="1" si="5"/>
        <v>251.22777777777787</v>
      </c>
      <c r="L278" s="6"/>
      <c r="M278" s="19">
        <f ca="1">IF(testdataClose[[#This Row],[type]]="H",testdataClose[[#This Row],[close]],AVERAGE(M277,M279))</f>
        <v>272.66599999999829</v>
      </c>
      <c r="N278" s="19"/>
      <c r="Q278" s="4">
        <v>277</v>
      </c>
      <c r="R278" s="33">
        <v>251.2278</v>
      </c>
      <c r="S278" s="19">
        <v>272.666</v>
      </c>
      <c r="T278" s="19"/>
    </row>
    <row r="279" spans="1:21" x14ac:dyDescent="0.35">
      <c r="A279" s="7">
        <v>278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14">
        <v>248.13</v>
      </c>
      <c r="G279" s="1">
        <v>255885040</v>
      </c>
      <c r="H279" s="6" t="s">
        <v>12</v>
      </c>
      <c r="I279" s="6">
        <f>IF(AND(H278="UP",testdataClose[[#This Row],[close]]&gt;I278),testdataClose[[#This Row],[close]],IF(AND(H278="DN",testdataClose[[#This Row],[close]]&lt;I278),testdataClose[[#This Row],[close]],I278))</f>
        <v>248.13</v>
      </c>
      <c r="J279" s="11">
        <f>(testdataClose[[#This Row],[close]]-testdataClose[[#This Row],[hl]])/testdataClose[[#This Row],[hl]]</f>
        <v>0</v>
      </c>
      <c r="K279" s="21">
        <f>testdataClose[[#This Row],[close]]</f>
        <v>248.13</v>
      </c>
      <c r="L279" s="22" t="s">
        <v>15</v>
      </c>
      <c r="M279" s="23">
        <f ca="1">IF(testdataClose[[#This Row],[type]]="H",testdataClose[[#This Row],[close]],AVERAGE(M278,M280))</f>
        <v>272.24799999999823</v>
      </c>
      <c r="N279" s="23">
        <f>IF(testdataClose[[#This Row],[type]]="L",testdataClose[[#This Row],[close]],AVERAGE(N278,N280))</f>
        <v>248.13</v>
      </c>
      <c r="Q279" s="4">
        <v>278</v>
      </c>
      <c r="R279" s="21">
        <v>248.13</v>
      </c>
      <c r="S279" s="23">
        <v>272.24799999999999</v>
      </c>
      <c r="T279" s="23">
        <v>248.13</v>
      </c>
      <c r="U279" s="4" t="s">
        <v>15</v>
      </c>
    </row>
    <row r="280" spans="1:21" x14ac:dyDescent="0.35">
      <c r="A280" s="7">
        <v>279</v>
      </c>
      <c r="B280" s="3">
        <v>43140</v>
      </c>
      <c r="C280" s="2">
        <v>251.18</v>
      </c>
      <c r="D280" s="2">
        <v>253.89</v>
      </c>
      <c r="E280" s="2">
        <v>243.59</v>
      </c>
      <c r="F280" s="14">
        <v>251.86</v>
      </c>
      <c r="G280" s="1">
        <v>294421856</v>
      </c>
      <c r="H280" s="6" t="s">
        <v>12</v>
      </c>
      <c r="I280" s="6">
        <f>IF(AND(H279="UP",testdataClose[[#This Row],[close]]&gt;I279),testdataClose[[#This Row],[close]],IF(AND(H279="DN",testdataClose[[#This Row],[close]]&lt;I279),testdataClose[[#This Row],[close]],I279))</f>
        <v>248.13</v>
      </c>
      <c r="J280" s="11">
        <f>(testdataClose[[#This Row],[close]]-testdataClose[[#This Row],[hl]])/testdataClose[[#This Row],[hl]]</f>
        <v>1.5032442671180504E-2</v>
      </c>
      <c r="K280" s="15">
        <f t="shared" ca="1" si="5"/>
        <v>249.90454545454534</v>
      </c>
      <c r="L280" s="6"/>
      <c r="M280" s="19">
        <f ca="1">IF(testdataClose[[#This Row],[type]]="H",testdataClose[[#This Row],[close]],AVERAGE(M279,M281))</f>
        <v>271.82999999999822</v>
      </c>
      <c r="N280" s="19">
        <f ca="1">IF(testdataClose[[#This Row],[type]]="L",testdataClose[[#This Row],[close]],AVERAGE(N279,N281))</f>
        <v>248.86533333333321</v>
      </c>
      <c r="Q280" s="4">
        <v>279</v>
      </c>
      <c r="R280" s="33">
        <v>249.90450000000001</v>
      </c>
      <c r="S280" s="19">
        <v>271.83</v>
      </c>
      <c r="T280" s="19">
        <v>248.8229</v>
      </c>
    </row>
    <row r="281" spans="1:21" x14ac:dyDescent="0.35">
      <c r="A281" s="7">
        <v>280</v>
      </c>
      <c r="B281" s="3">
        <v>43143</v>
      </c>
      <c r="C281" s="2">
        <v>254.1</v>
      </c>
      <c r="D281" s="2">
        <v>257.16000000000003</v>
      </c>
      <c r="E281" s="2">
        <v>252.02</v>
      </c>
      <c r="F281" s="14">
        <v>255.56</v>
      </c>
      <c r="G281" s="1">
        <v>149239040</v>
      </c>
      <c r="H281" s="6" t="s">
        <v>12</v>
      </c>
      <c r="I281" s="6">
        <f>IF(AND(H280="UP",testdataClose[[#This Row],[close]]&gt;I280),testdataClose[[#This Row],[close]],IF(AND(H280="DN",testdataClose[[#This Row],[close]]&lt;I280),testdataClose[[#This Row],[close]],I280))</f>
        <v>248.13</v>
      </c>
      <c r="J281" s="11">
        <f>(testdataClose[[#This Row],[close]]-testdataClose[[#This Row],[hl]])/testdataClose[[#This Row],[hl]]</f>
        <v>2.9943980977713322E-2</v>
      </c>
      <c r="K281" s="15">
        <f t="shared" ca="1" si="5"/>
        <v>251.67909090909069</v>
      </c>
      <c r="L281" s="6"/>
      <c r="M281" s="19">
        <f ca="1">IF(testdataClose[[#This Row],[type]]="H",testdataClose[[#This Row],[close]],AVERAGE(M280,M282))</f>
        <v>271.41199999999827</v>
      </c>
      <c r="N281" s="19">
        <f ca="1">IF(testdataClose[[#This Row],[type]]="L",testdataClose[[#This Row],[close]],AVERAGE(N280,N282))</f>
        <v>249.60066666666643</v>
      </c>
      <c r="Q281" s="4">
        <v>280</v>
      </c>
      <c r="R281" s="33">
        <v>251.67910000000001</v>
      </c>
      <c r="S281" s="19">
        <v>271.41199999999998</v>
      </c>
      <c r="T281" s="19">
        <v>249.51570000000001</v>
      </c>
    </row>
    <row r="282" spans="1:21" x14ac:dyDescent="0.35">
      <c r="A282" s="7">
        <v>281</v>
      </c>
      <c r="B282" s="3">
        <v>43144</v>
      </c>
      <c r="C282" s="2">
        <v>254.24</v>
      </c>
      <c r="D282" s="2">
        <v>256.79000000000002</v>
      </c>
      <c r="E282" s="2">
        <v>253.6</v>
      </c>
      <c r="F282" s="14">
        <v>256.19</v>
      </c>
      <c r="G282" s="1">
        <v>84333360</v>
      </c>
      <c r="H282" s="6" t="s">
        <v>10</v>
      </c>
      <c r="I282" s="6">
        <f>IF(AND(H281="UP",testdataClose[[#This Row],[close]]&gt;I281),testdataClose[[#This Row],[close]],IF(AND(H281="DN",testdataClose[[#This Row],[close]]&lt;I281),testdataClose[[#This Row],[close]],I281))</f>
        <v>248.13</v>
      </c>
      <c r="J282" s="11">
        <f>(testdataClose[[#This Row],[close]]-testdataClose[[#This Row],[hl]])/testdataClose[[#This Row],[hl]]</f>
        <v>3.2482972635312142E-2</v>
      </c>
      <c r="K282" s="15">
        <f t="shared" ca="1" si="5"/>
        <v>253.45363636363606</v>
      </c>
      <c r="L282" s="6"/>
      <c r="M282" s="19">
        <f ca="1">IF(testdataClose[[#This Row],[type]]="H",testdataClose[[#This Row],[close]],AVERAGE(M281,M283))</f>
        <v>270.99399999999832</v>
      </c>
      <c r="N282" s="19">
        <f ca="1">IF(testdataClose[[#This Row],[type]]="L",testdataClose[[#This Row],[close]],AVERAGE(N281,N283))</f>
        <v>250.33599999999967</v>
      </c>
      <c r="Q282" s="4">
        <v>281</v>
      </c>
      <c r="R282" s="33">
        <v>253.45359999999999</v>
      </c>
      <c r="S282" s="19">
        <v>270.99400000000003</v>
      </c>
      <c r="T282" s="19">
        <v>250.20859999999999</v>
      </c>
    </row>
    <row r="283" spans="1:21" x14ac:dyDescent="0.35">
      <c r="A283" s="7">
        <v>282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14">
        <v>259.64999999999998</v>
      </c>
      <c r="G283" s="1">
        <v>125358160</v>
      </c>
      <c r="H283" s="6" t="s">
        <v>10</v>
      </c>
      <c r="I283" s="6">
        <f>IF(AND(H282="UP",testdataClose[[#This Row],[close]]&gt;I282),testdataClose[[#This Row],[close]],IF(AND(H282="DN",testdataClose[[#This Row],[close]]&lt;I282),testdataClose[[#This Row],[close]],I282))</f>
        <v>259.64999999999998</v>
      </c>
      <c r="J283" s="11">
        <f>(testdataClose[[#This Row],[close]]-testdataClose[[#This Row],[hl]])/testdataClose[[#This Row],[hl]]</f>
        <v>0</v>
      </c>
      <c r="K283" s="15">
        <f t="shared" ca="1" si="5"/>
        <v>255.22818181818144</v>
      </c>
      <c r="L283" s="6"/>
      <c r="M283" s="19">
        <f ca="1">IF(testdataClose[[#This Row],[type]]="H",testdataClose[[#This Row],[close]],AVERAGE(M282,M284))</f>
        <v>270.57599999999843</v>
      </c>
      <c r="N283" s="19">
        <f ca="1">IF(testdataClose[[#This Row],[type]]="L",testdataClose[[#This Row],[close]],AVERAGE(N282,N284))</f>
        <v>251.07133333333294</v>
      </c>
      <c r="Q283" s="4">
        <v>282</v>
      </c>
      <c r="R283" s="33">
        <v>255.22819999999999</v>
      </c>
      <c r="S283" s="19">
        <v>270.57600000000002</v>
      </c>
      <c r="T283" s="19">
        <v>250.9014</v>
      </c>
    </row>
    <row r="284" spans="1:21" x14ac:dyDescent="0.35">
      <c r="A284" s="7">
        <v>283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14">
        <v>262.95999999999998</v>
      </c>
      <c r="G284" s="1">
        <v>115457688</v>
      </c>
      <c r="H284" s="6" t="s">
        <v>10</v>
      </c>
      <c r="I284" s="6">
        <f>IF(AND(H283="UP",testdataClose[[#This Row],[close]]&gt;I283),testdataClose[[#This Row],[close]],IF(AND(H283="DN",testdataClose[[#This Row],[close]]&lt;I283),testdataClose[[#This Row],[close]],I283))</f>
        <v>262.95999999999998</v>
      </c>
      <c r="J284" s="11">
        <f>(testdataClose[[#This Row],[close]]-testdataClose[[#This Row],[hl]])/testdataClose[[#This Row],[hl]]</f>
        <v>0</v>
      </c>
      <c r="K284" s="15">
        <f t="shared" ca="1" si="5"/>
        <v>257.00272727272682</v>
      </c>
      <c r="L284" s="6"/>
      <c r="M284" s="19">
        <f ca="1">IF(testdataClose[[#This Row],[type]]="H",testdataClose[[#This Row],[close]],AVERAGE(M283,M285))</f>
        <v>270.15799999999854</v>
      </c>
      <c r="N284" s="19">
        <f ca="1">IF(testdataClose[[#This Row],[type]]="L",testdataClose[[#This Row],[close]],AVERAGE(N283,N285))</f>
        <v>251.80666666666622</v>
      </c>
      <c r="Q284" s="4">
        <v>283</v>
      </c>
      <c r="R284" s="33">
        <v>257.0027</v>
      </c>
      <c r="S284" s="19">
        <v>270.15800000000002</v>
      </c>
      <c r="T284" s="19">
        <v>251.5943</v>
      </c>
    </row>
    <row r="285" spans="1:21" x14ac:dyDescent="0.35">
      <c r="A285" s="7">
        <v>284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14">
        <v>263.04000000000002</v>
      </c>
      <c r="G285" s="1">
        <v>166561968</v>
      </c>
      <c r="H285" s="6" t="s">
        <v>10</v>
      </c>
      <c r="I285" s="6">
        <f>IF(AND(H284="UP",testdataClose[[#This Row],[close]]&gt;I284),testdataClose[[#This Row],[close]],IF(AND(H284="DN",testdataClose[[#This Row],[close]]&lt;I284),testdataClose[[#This Row],[close]],I284))</f>
        <v>263.04000000000002</v>
      </c>
      <c r="J285" s="11">
        <f>(testdataClose[[#This Row],[close]]-testdataClose[[#This Row],[hl]])/testdataClose[[#This Row],[hl]]</f>
        <v>0</v>
      </c>
      <c r="K285" s="15">
        <f t="shared" ca="1" si="5"/>
        <v>258.77727272727225</v>
      </c>
      <c r="L285" s="6"/>
      <c r="M285" s="19">
        <f ca="1">IF(testdataClose[[#This Row],[type]]="H",testdataClose[[#This Row],[close]],AVERAGE(M284,M286))</f>
        <v>269.7399999999987</v>
      </c>
      <c r="N285" s="19">
        <f ca="1">IF(testdataClose[[#This Row],[type]]="L",testdataClose[[#This Row],[close]],AVERAGE(N284,N286))</f>
        <v>252.54199999999952</v>
      </c>
      <c r="Q285" s="4">
        <v>284</v>
      </c>
      <c r="R285" s="33">
        <v>258.77730000000003</v>
      </c>
      <c r="S285" s="19">
        <v>269.74</v>
      </c>
      <c r="T285" s="19">
        <v>252.28710000000001</v>
      </c>
    </row>
    <row r="286" spans="1:21" x14ac:dyDescent="0.35">
      <c r="A286" s="7">
        <v>285</v>
      </c>
      <c r="B286" s="3">
        <v>43151</v>
      </c>
      <c r="C286" s="2">
        <v>262</v>
      </c>
      <c r="D286" s="2">
        <v>263.58</v>
      </c>
      <c r="E286" s="2">
        <v>260.52999999999997</v>
      </c>
      <c r="F286" s="14">
        <v>261.39</v>
      </c>
      <c r="G286" s="1">
        <v>89676400</v>
      </c>
      <c r="H286" s="6" t="s">
        <v>10</v>
      </c>
      <c r="I286" s="6">
        <f>IF(AND(H285="UP",testdataClose[[#This Row],[close]]&gt;I285),testdataClose[[#This Row],[close]],IF(AND(H285="DN",testdataClose[[#This Row],[close]]&lt;I285),testdataClose[[#This Row],[close]],I285))</f>
        <v>263.04000000000002</v>
      </c>
      <c r="J286" s="11">
        <f>(testdataClose[[#This Row],[close]]-testdataClose[[#This Row],[hl]])/testdataClose[[#This Row],[hl]]</f>
        <v>-6.2728102189782316E-3</v>
      </c>
      <c r="K286" s="15">
        <f t="shared" ca="1" si="5"/>
        <v>260.55181818181774</v>
      </c>
      <c r="L286" s="6"/>
      <c r="M286" s="19">
        <f ca="1">IF(testdataClose[[#This Row],[type]]="H",testdataClose[[#This Row],[close]],AVERAGE(M285,M287))</f>
        <v>269.32199999999887</v>
      </c>
      <c r="N286" s="19">
        <f ca="1">IF(testdataClose[[#This Row],[type]]="L",testdataClose[[#This Row],[close]],AVERAGE(N285,N287))</f>
        <v>253.27733333333282</v>
      </c>
      <c r="Q286" s="4">
        <v>285</v>
      </c>
      <c r="R286" s="33">
        <v>260.55180000000001</v>
      </c>
      <c r="S286" s="19">
        <v>269.322</v>
      </c>
      <c r="T286" s="19">
        <v>252.98</v>
      </c>
    </row>
    <row r="287" spans="1:21" x14ac:dyDescent="0.35">
      <c r="A287" s="7">
        <v>286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14">
        <v>260.08999999999997</v>
      </c>
      <c r="G287" s="1">
        <v>102669592</v>
      </c>
      <c r="H287" s="6" t="s">
        <v>10</v>
      </c>
      <c r="I287" s="6">
        <f>IF(AND(H286="UP",testdataClose[[#This Row],[close]]&gt;I286),testdataClose[[#This Row],[close]],IF(AND(H286="DN",testdataClose[[#This Row],[close]]&lt;I286),testdataClose[[#This Row],[close]],I286))</f>
        <v>263.04000000000002</v>
      </c>
      <c r="J287" s="11">
        <f>(testdataClose[[#This Row],[close]]-testdataClose[[#This Row],[hl]])/testdataClose[[#This Row],[hl]]</f>
        <v>-1.1215024330900415E-2</v>
      </c>
      <c r="K287" s="15">
        <f t="shared" ca="1" si="5"/>
        <v>262.32636363636323</v>
      </c>
      <c r="L287" s="6"/>
      <c r="M287" s="19">
        <f ca="1">IF(testdataClose[[#This Row],[type]]="H",testdataClose[[#This Row],[close]],AVERAGE(M286,M288))</f>
        <v>268.90399999999909</v>
      </c>
      <c r="N287" s="19">
        <f ca="1">IF(testdataClose[[#This Row],[type]]="L",testdataClose[[#This Row],[close]],AVERAGE(N286,N288))</f>
        <v>254.01266666666615</v>
      </c>
      <c r="Q287" s="4">
        <v>286</v>
      </c>
      <c r="R287" s="33">
        <v>262.32639999999998</v>
      </c>
      <c r="S287" s="19">
        <v>268.904</v>
      </c>
      <c r="T287" s="19">
        <v>253.6729</v>
      </c>
    </row>
    <row r="288" spans="1:21" x14ac:dyDescent="0.35">
      <c r="A288" s="7">
        <v>287</v>
      </c>
      <c r="B288" s="3">
        <v>43153</v>
      </c>
      <c r="C288" s="2">
        <v>261.10000000000002</v>
      </c>
      <c r="D288" s="2">
        <v>262.98</v>
      </c>
      <c r="E288" s="2">
        <v>259.7</v>
      </c>
      <c r="F288" s="14">
        <v>260.43</v>
      </c>
      <c r="G288" s="1">
        <v>114742312</v>
      </c>
      <c r="H288" s="6" t="s">
        <v>10</v>
      </c>
      <c r="I288" s="6">
        <f>IF(AND(H287="UP",testdataClose[[#This Row],[close]]&gt;I287),testdataClose[[#This Row],[close]],IF(AND(H287="DN",testdataClose[[#This Row],[close]]&lt;I287),testdataClose[[#This Row],[close]],I287))</f>
        <v>263.04000000000002</v>
      </c>
      <c r="J288" s="11">
        <f>(testdataClose[[#This Row],[close]]-testdataClose[[#This Row],[hl]])/testdataClose[[#This Row],[hl]]</f>
        <v>-9.9224452554745029E-3</v>
      </c>
      <c r="K288" s="15">
        <f t="shared" ca="1" si="5"/>
        <v>264.10090909090877</v>
      </c>
      <c r="L288" s="6"/>
      <c r="M288" s="19">
        <f ca="1">IF(testdataClose[[#This Row],[type]]="H",testdataClose[[#This Row],[close]],AVERAGE(M287,M289))</f>
        <v>268.48599999999936</v>
      </c>
      <c r="N288" s="19">
        <f ca="1">IF(testdataClose[[#This Row],[type]]="L",testdataClose[[#This Row],[close]],AVERAGE(N287,N289))</f>
        <v>254.74799999999948</v>
      </c>
      <c r="Q288" s="4">
        <v>287</v>
      </c>
      <c r="R288" s="33">
        <v>264.10090000000002</v>
      </c>
      <c r="S288" s="19">
        <v>268.48599999999999</v>
      </c>
      <c r="T288" s="19">
        <v>254.3657</v>
      </c>
    </row>
    <row r="289" spans="1:21" x14ac:dyDescent="0.35">
      <c r="A289" s="7">
        <v>288</v>
      </c>
      <c r="B289" s="3">
        <v>43154</v>
      </c>
      <c r="C289" s="2">
        <v>261.77</v>
      </c>
      <c r="D289" s="2">
        <v>264.58</v>
      </c>
      <c r="E289" s="2">
        <v>261.25</v>
      </c>
      <c r="F289" s="14">
        <v>264.58</v>
      </c>
      <c r="G289" s="1">
        <v>96318072</v>
      </c>
      <c r="H289" s="6" t="s">
        <v>10</v>
      </c>
      <c r="I289" s="6">
        <f>IF(AND(H288="UP",testdataClose[[#This Row],[close]]&gt;I288),testdataClose[[#This Row],[close]],IF(AND(H288="DN",testdataClose[[#This Row],[close]]&lt;I288),testdataClose[[#This Row],[close]],I288))</f>
        <v>264.58</v>
      </c>
      <c r="J289" s="11">
        <f>(testdataClose[[#This Row],[close]]-testdataClose[[#This Row],[hl]])/testdataClose[[#This Row],[hl]]</f>
        <v>0</v>
      </c>
      <c r="K289" s="15">
        <f t="shared" ca="1" si="5"/>
        <v>265.87545454545437</v>
      </c>
      <c r="L289" s="6"/>
      <c r="M289" s="19">
        <f ca="1">IF(testdataClose[[#This Row],[type]]="H",testdataClose[[#This Row],[close]],AVERAGE(M288,M290))</f>
        <v>268.06799999999964</v>
      </c>
      <c r="N289" s="19">
        <f ca="1">IF(testdataClose[[#This Row],[type]]="L",testdataClose[[#This Row],[close]],AVERAGE(N288,N290))</f>
        <v>255.48333333333284</v>
      </c>
      <c r="Q289" s="4">
        <v>288</v>
      </c>
      <c r="R289" s="33">
        <v>265.87549999999999</v>
      </c>
      <c r="S289" s="19">
        <v>268.06799999999998</v>
      </c>
      <c r="T289" s="19">
        <v>255.05860000000001</v>
      </c>
    </row>
    <row r="290" spans="1:21" x14ac:dyDescent="0.35">
      <c r="A290" s="7">
        <v>289</v>
      </c>
      <c r="B290" s="3">
        <v>43157</v>
      </c>
      <c r="C290" s="2">
        <v>265.76</v>
      </c>
      <c r="D290" s="2">
        <v>267.76</v>
      </c>
      <c r="E290" s="2">
        <v>265.11</v>
      </c>
      <c r="F290" s="14">
        <v>267.64999999999998</v>
      </c>
      <c r="G290" s="1">
        <v>89802808</v>
      </c>
      <c r="H290" s="6" t="s">
        <v>10</v>
      </c>
      <c r="I290" s="6">
        <f>IF(AND(H289="UP",testdataClose[[#This Row],[close]]&gt;I289),testdataClose[[#This Row],[close]],IF(AND(H289="DN",testdataClose[[#This Row],[close]]&lt;I289),testdataClose[[#This Row],[close]],I289))</f>
        <v>267.64999999999998</v>
      </c>
      <c r="J290" s="11">
        <f>(testdataClose[[#This Row],[close]]-testdataClose[[#This Row],[hl]])/testdataClose[[#This Row],[hl]]</f>
        <v>0</v>
      </c>
      <c r="K290" s="18">
        <f>testdataClose[[#This Row],[close]]</f>
        <v>267.64999999999998</v>
      </c>
      <c r="L290" s="6" t="s">
        <v>14</v>
      </c>
      <c r="M290" s="19">
        <f>IF(testdataClose[[#This Row],[type]]="H",testdataClose[[#This Row],[close]],AVERAGE(M289,M291))</f>
        <v>267.64999999999998</v>
      </c>
      <c r="N290" s="19">
        <f ca="1">IF(testdataClose[[#This Row],[type]]="L",testdataClose[[#This Row],[close]],AVERAGE(N289,N291))</f>
        <v>256.21866666666619</v>
      </c>
      <c r="Q290" s="4">
        <v>289</v>
      </c>
      <c r="R290" s="33">
        <v>267.64999999999998</v>
      </c>
      <c r="S290" s="19">
        <v>267.64999999999998</v>
      </c>
      <c r="T290" s="19">
        <v>255.75139999999999</v>
      </c>
      <c r="U290" s="4" t="s">
        <v>14</v>
      </c>
    </row>
    <row r="291" spans="1:21" x14ac:dyDescent="0.35">
      <c r="A291" s="7">
        <v>290</v>
      </c>
      <c r="B291" s="3">
        <v>43158</v>
      </c>
      <c r="C291" s="2">
        <v>267.86</v>
      </c>
      <c r="D291" s="2">
        <v>268.63</v>
      </c>
      <c r="E291" s="2">
        <v>264.24</v>
      </c>
      <c r="F291" s="14">
        <v>264.31</v>
      </c>
      <c r="G291" s="1">
        <v>102893264</v>
      </c>
      <c r="H291" s="6" t="s">
        <v>10</v>
      </c>
      <c r="I291" s="6">
        <f>IF(AND(H290="UP",testdataClose[[#This Row],[close]]&gt;I290),testdataClose[[#This Row],[close]],IF(AND(H290="DN",testdataClose[[#This Row],[close]]&lt;I290),testdataClose[[#This Row],[close]],I290))</f>
        <v>267.64999999999998</v>
      </c>
      <c r="J291" s="11">
        <f>(testdataClose[[#This Row],[close]]-testdataClose[[#This Row],[hl]])/testdataClose[[#This Row],[hl]]</f>
        <v>-1.2478983747431255E-2</v>
      </c>
      <c r="K291" s="15">
        <f t="shared" ca="1" si="5"/>
        <v>265.52750000000003</v>
      </c>
      <c r="L291" s="6"/>
      <c r="M291" s="19">
        <f ca="1">IF(testdataClose[[#This Row],[type]]="H",testdataClose[[#This Row],[close]],AVERAGE(M290,M292))</f>
        <v>267.75444444444429</v>
      </c>
      <c r="N291" s="19">
        <f ca="1">IF(testdataClose[[#This Row],[type]]="L",testdataClose[[#This Row],[close]],AVERAGE(N290,N292))</f>
        <v>256.95399999999961</v>
      </c>
      <c r="Q291" s="4">
        <v>290</v>
      </c>
      <c r="R291" s="33">
        <v>264.37670000000003</v>
      </c>
      <c r="S291" s="19">
        <v>267.75439999999998</v>
      </c>
      <c r="T291" s="19">
        <v>256.4443</v>
      </c>
    </row>
    <row r="292" spans="1:21" x14ac:dyDescent="0.35">
      <c r="A292" s="7">
        <v>291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14">
        <v>261.63</v>
      </c>
      <c r="G292" s="1">
        <v>126575120</v>
      </c>
      <c r="H292" s="6" t="s">
        <v>10</v>
      </c>
      <c r="I292" s="6">
        <f>IF(AND(H291="UP",testdataClose[[#This Row],[close]]&gt;I291),testdataClose[[#This Row],[close]],IF(AND(H291="DN",testdataClose[[#This Row],[close]]&lt;I291),testdataClose[[#This Row],[close]],I291))</f>
        <v>267.64999999999998</v>
      </c>
      <c r="J292" s="11">
        <f>(testdataClose[[#This Row],[close]]-testdataClose[[#This Row],[hl]])/testdataClose[[#This Row],[hl]]</f>
        <v>-2.2492060526807332E-2</v>
      </c>
      <c r="K292" s="15">
        <f t="shared" ca="1" si="5"/>
        <v>263.40500000000003</v>
      </c>
      <c r="L292" s="6"/>
      <c r="M292" s="19">
        <f ca="1">IF(testdataClose[[#This Row],[type]]="H",testdataClose[[#This Row],[close]],AVERAGE(M291,M293))</f>
        <v>267.85888888888866</v>
      </c>
      <c r="N292" s="19">
        <f ca="1">IF(testdataClose[[#This Row],[type]]="L",testdataClose[[#This Row],[close]],AVERAGE(N291,N293))</f>
        <v>257.68933333333308</v>
      </c>
      <c r="Q292" s="4">
        <v>291</v>
      </c>
      <c r="R292" s="33">
        <v>261.10329999999999</v>
      </c>
      <c r="S292" s="19">
        <v>267.85890000000001</v>
      </c>
      <c r="T292" s="19">
        <v>257.13709999999998</v>
      </c>
    </row>
    <row r="293" spans="1:21" x14ac:dyDescent="0.35">
      <c r="A293" s="7">
        <v>292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14">
        <v>257.83</v>
      </c>
      <c r="G293" s="1">
        <v>183626128</v>
      </c>
      <c r="H293" s="6" t="s">
        <v>12</v>
      </c>
      <c r="I293" s="6">
        <f>IF(AND(H292="UP",testdataClose[[#This Row],[close]]&gt;I292),testdataClose[[#This Row],[close]],IF(AND(H292="DN",testdataClose[[#This Row],[close]]&lt;I292),testdataClose[[#This Row],[close]],I292))</f>
        <v>267.64999999999998</v>
      </c>
      <c r="J293" s="11">
        <f>(testdataClose[[#This Row],[close]]-testdataClose[[#This Row],[hl]])/testdataClose[[#This Row],[hl]]</f>
        <v>-3.6689706706519686E-2</v>
      </c>
      <c r="K293" s="15">
        <f t="shared" ca="1" si="5"/>
        <v>261.28250000000003</v>
      </c>
      <c r="L293" s="6"/>
      <c r="M293" s="19">
        <f ca="1">IF(testdataClose[[#This Row],[type]]="H",testdataClose[[#This Row],[close]],AVERAGE(M292,M294))</f>
        <v>267.96333333333303</v>
      </c>
      <c r="N293" s="19">
        <f ca="1">IF(testdataClose[[#This Row],[type]]="L",testdataClose[[#This Row],[close]],AVERAGE(N292,N294))</f>
        <v>258.42466666666655</v>
      </c>
      <c r="Q293" s="4">
        <v>292</v>
      </c>
      <c r="R293" s="33">
        <v>257.83</v>
      </c>
      <c r="S293" s="19">
        <v>267.9633</v>
      </c>
      <c r="T293" s="19">
        <v>257.83</v>
      </c>
      <c r="U293" s="4" t="s">
        <v>15</v>
      </c>
    </row>
    <row r="294" spans="1:21" x14ac:dyDescent="0.35">
      <c r="A294" s="7">
        <v>293</v>
      </c>
      <c r="B294" s="3">
        <v>43161</v>
      </c>
      <c r="C294" s="2">
        <v>256</v>
      </c>
      <c r="D294" s="2">
        <v>259.77</v>
      </c>
      <c r="E294" s="2">
        <v>255.05</v>
      </c>
      <c r="F294" s="14">
        <v>259.16000000000003</v>
      </c>
      <c r="G294" s="1">
        <v>144408144</v>
      </c>
      <c r="H294" s="6" t="s">
        <v>12</v>
      </c>
      <c r="I294" s="6">
        <f>IF(AND(H293="UP",testdataClose[[#This Row],[close]]&gt;I293),testdataClose[[#This Row],[close]],IF(AND(H293="DN",testdataClose[[#This Row],[close]]&lt;I293),testdataClose[[#This Row],[close]],I293))</f>
        <v>259.16000000000003</v>
      </c>
      <c r="J294" s="11">
        <f>(testdataClose[[#This Row],[close]]-testdataClose[[#This Row],[hl]])/testdataClose[[#This Row],[hl]]</f>
        <v>0</v>
      </c>
      <c r="K294" s="18">
        <f>testdataClose[[#This Row],[close]]</f>
        <v>259.16000000000003</v>
      </c>
      <c r="L294" s="6" t="s">
        <v>15</v>
      </c>
      <c r="M294" s="19">
        <f ca="1">IF(testdataClose[[#This Row],[type]]="H",testdataClose[[#This Row],[close]],AVERAGE(M293,M295))</f>
        <v>268.06777777777745</v>
      </c>
      <c r="N294" s="19">
        <f>IF(testdataClose[[#This Row],[type]]="L",testdataClose[[#This Row],[close]],AVERAGE(N293,N295))</f>
        <v>259.16000000000003</v>
      </c>
      <c r="Q294" s="4">
        <v>293</v>
      </c>
      <c r="R294" s="33">
        <v>259.62329999999997</v>
      </c>
      <c r="S294" s="19">
        <v>268.06779999999998</v>
      </c>
      <c r="T294" s="19">
        <v>257.40809999999999</v>
      </c>
    </row>
    <row r="295" spans="1:21" x14ac:dyDescent="0.35">
      <c r="A295" s="7">
        <v>294</v>
      </c>
      <c r="B295" s="3">
        <v>43164</v>
      </c>
      <c r="C295" s="2">
        <v>257.86</v>
      </c>
      <c r="D295" s="2">
        <v>262.83</v>
      </c>
      <c r="E295" s="2">
        <v>257.74</v>
      </c>
      <c r="F295" s="14">
        <v>262.14999999999998</v>
      </c>
      <c r="G295" s="1">
        <v>101032888</v>
      </c>
      <c r="H295" s="6" t="s">
        <v>12</v>
      </c>
      <c r="I295" s="6">
        <f>IF(AND(H294="UP",testdataClose[[#This Row],[close]]&gt;I294),testdataClose[[#This Row],[close]],IF(AND(H294="DN",testdataClose[[#This Row],[close]]&lt;I294),testdataClose[[#This Row],[close]],I294))</f>
        <v>259.16000000000003</v>
      </c>
      <c r="J295" s="11">
        <f>(testdataClose[[#This Row],[close]]-testdataClose[[#This Row],[hl]])/testdataClose[[#This Row],[hl]]</f>
        <v>1.1537274270720604E-2</v>
      </c>
      <c r="K295" s="15">
        <f t="shared" ca="1" si="5"/>
        <v>261.04599999999994</v>
      </c>
      <c r="L295" s="6"/>
      <c r="M295" s="19">
        <f ca="1">IF(testdataClose[[#This Row],[type]]="H",testdataClose[[#This Row],[close]],AVERAGE(M294,M296))</f>
        <v>268.17222222222188</v>
      </c>
      <c r="N295" s="19">
        <f ca="1">IF(testdataClose[[#This Row],[type]]="L",testdataClose[[#This Row],[close]],AVERAGE(N294,N296))</f>
        <v>258.65049999999974</v>
      </c>
      <c r="Q295" s="4">
        <v>294</v>
      </c>
      <c r="R295" s="33">
        <v>261.41669999999999</v>
      </c>
      <c r="S295" s="19">
        <v>268.17219999999998</v>
      </c>
      <c r="T295" s="19">
        <v>256.9862</v>
      </c>
    </row>
    <row r="296" spans="1:21" x14ac:dyDescent="0.35">
      <c r="A296" s="7">
        <v>295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14">
        <v>262.82</v>
      </c>
      <c r="G296" s="1">
        <v>82245904</v>
      </c>
      <c r="H296" s="6" t="s">
        <v>12</v>
      </c>
      <c r="I296" s="6">
        <f>IF(AND(H295="UP",testdataClose[[#This Row],[close]]&gt;I295),testdataClose[[#This Row],[close]],IF(AND(H295="DN",testdataClose[[#This Row],[close]]&lt;I295),testdataClose[[#This Row],[close]],I295))</f>
        <v>259.16000000000003</v>
      </c>
      <c r="J296" s="11">
        <f>(testdataClose[[#This Row],[close]]-testdataClose[[#This Row],[hl]])/testdataClose[[#This Row],[hl]]</f>
        <v>1.4122549776199906E-2</v>
      </c>
      <c r="K296" s="15">
        <f t="shared" ca="1" si="5"/>
        <v>262.9319999999999</v>
      </c>
      <c r="L296" s="6"/>
      <c r="M296" s="19">
        <f ca="1">IF(testdataClose[[#This Row],[type]]="H",testdataClose[[#This Row],[close]],AVERAGE(M295,M297))</f>
        <v>268.27666666666636</v>
      </c>
      <c r="N296" s="19">
        <f ca="1">IF(testdataClose[[#This Row],[type]]="L",testdataClose[[#This Row],[close]],AVERAGE(N295,N297))</f>
        <v>258.14099999999951</v>
      </c>
      <c r="Q296" s="4">
        <v>295</v>
      </c>
      <c r="R296" s="33">
        <v>263.20999999999998</v>
      </c>
      <c r="S296" s="19">
        <v>268.27670000000001</v>
      </c>
      <c r="T296" s="19">
        <v>256.5643</v>
      </c>
    </row>
    <row r="297" spans="1:21" x14ac:dyDescent="0.35">
      <c r="A297" s="7">
        <v>296</v>
      </c>
      <c r="B297" s="3">
        <v>43166</v>
      </c>
      <c r="C297" s="2">
        <v>260.45</v>
      </c>
      <c r="D297" s="2">
        <v>263.11</v>
      </c>
      <c r="E297" s="2">
        <v>260.24</v>
      </c>
      <c r="F297" s="14">
        <v>262.72000000000003</v>
      </c>
      <c r="G297" s="1">
        <v>90396808</v>
      </c>
      <c r="H297" s="6" t="s">
        <v>12</v>
      </c>
      <c r="I297" s="6">
        <f>IF(AND(H296="UP",testdataClose[[#This Row],[close]]&gt;I296),testdataClose[[#This Row],[close]],IF(AND(H296="DN",testdataClose[[#This Row],[close]]&lt;I296),testdataClose[[#This Row],[close]],I296))</f>
        <v>259.16000000000003</v>
      </c>
      <c r="J297" s="11">
        <f>(testdataClose[[#This Row],[close]]-testdataClose[[#This Row],[hl]])/testdataClose[[#This Row],[hl]]</f>
        <v>1.3736687760456869E-2</v>
      </c>
      <c r="K297" s="15">
        <f t="shared" ca="1" si="5"/>
        <v>264.81799999999993</v>
      </c>
      <c r="L297" s="6"/>
      <c r="M297" s="19">
        <f ca="1">IF(testdataClose[[#This Row],[type]]="H",testdataClose[[#This Row],[close]],AVERAGE(M296,M298))</f>
        <v>268.38111111111084</v>
      </c>
      <c r="N297" s="19">
        <f ca="1">IF(testdataClose[[#This Row],[type]]="L",testdataClose[[#This Row],[close]],AVERAGE(N296,N298))</f>
        <v>257.63149999999933</v>
      </c>
      <c r="Q297" s="4">
        <v>296</v>
      </c>
      <c r="R297" s="33">
        <v>265.00330000000002</v>
      </c>
      <c r="S297" s="19">
        <v>268.3811</v>
      </c>
      <c r="T297" s="19">
        <v>256.14240000000001</v>
      </c>
    </row>
    <row r="298" spans="1:21" x14ac:dyDescent="0.35">
      <c r="A298" s="7">
        <v>297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14">
        <v>263.99</v>
      </c>
      <c r="G298" s="1">
        <v>69462520</v>
      </c>
      <c r="H298" s="6" t="s">
        <v>12</v>
      </c>
      <c r="I298" s="6">
        <f>IF(AND(H297="UP",testdataClose[[#This Row],[close]]&gt;I297),testdataClose[[#This Row],[close]],IF(AND(H297="DN",testdataClose[[#This Row],[close]]&lt;I297),testdataClose[[#This Row],[close]],I297))</f>
        <v>259.16000000000003</v>
      </c>
      <c r="J298" s="11">
        <f>(testdataClose[[#This Row],[close]]-testdataClose[[#This Row],[hl]])/testdataClose[[#This Row],[hl]]</f>
        <v>1.863713536039506E-2</v>
      </c>
      <c r="K298" s="15">
        <f t="shared" ca="1" si="5"/>
        <v>266.70399999999995</v>
      </c>
      <c r="L298" s="6"/>
      <c r="M298" s="19">
        <f ca="1">IF(testdataClose[[#This Row],[type]]="H",testdataClose[[#This Row],[close]],AVERAGE(M297,M299))</f>
        <v>268.48555555555538</v>
      </c>
      <c r="N298" s="19">
        <f ca="1">IF(testdataClose[[#This Row],[type]]="L",testdataClose[[#This Row],[close]],AVERAGE(N297,N299))</f>
        <v>257.12199999999916</v>
      </c>
      <c r="Q298" s="4">
        <v>297</v>
      </c>
      <c r="R298" s="33">
        <v>266.79669999999999</v>
      </c>
      <c r="S298" s="19">
        <v>268.48559999999998</v>
      </c>
      <c r="T298" s="19">
        <v>255.72049999999999</v>
      </c>
    </row>
    <row r="299" spans="1:21" x14ac:dyDescent="0.35">
      <c r="A299" s="7">
        <v>298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14">
        <v>268.58999999999997</v>
      </c>
      <c r="G299" s="1">
        <v>117975584</v>
      </c>
      <c r="H299" s="6" t="s">
        <v>10</v>
      </c>
      <c r="I299" s="6">
        <f>IF(AND(H298="UP",testdataClose[[#This Row],[close]]&gt;I298),testdataClose[[#This Row],[close]],IF(AND(H298="DN",testdataClose[[#This Row],[close]]&lt;I298),testdataClose[[#This Row],[close]],I298))</f>
        <v>259.16000000000003</v>
      </c>
      <c r="J299" s="11">
        <f>(testdataClose[[#This Row],[close]]-testdataClose[[#This Row],[hl]])/testdataClose[[#This Row],[hl]]</f>
        <v>3.6386788084580755E-2</v>
      </c>
      <c r="K299" s="18">
        <f>testdataClose[[#This Row],[close]]</f>
        <v>268.58999999999997</v>
      </c>
      <c r="L299" s="6" t="s">
        <v>14</v>
      </c>
      <c r="M299" s="19">
        <f>IF(testdataClose[[#This Row],[type]]="H",testdataClose[[#This Row],[close]],AVERAGE(M298,M300))</f>
        <v>268.58999999999997</v>
      </c>
      <c r="N299" s="19">
        <f ca="1">IF(testdataClose[[#This Row],[type]]="L",testdataClose[[#This Row],[close]],AVERAGE(N298,N300))</f>
        <v>256.61249999999905</v>
      </c>
      <c r="Q299" s="4">
        <v>298</v>
      </c>
      <c r="R299" s="33">
        <v>268.58999999999997</v>
      </c>
      <c r="S299" s="19">
        <v>268.58999999999997</v>
      </c>
      <c r="T299" s="19">
        <v>255.29859999999999</v>
      </c>
      <c r="U299" s="4" t="s">
        <v>14</v>
      </c>
    </row>
    <row r="300" spans="1:21" x14ac:dyDescent="0.35">
      <c r="A300" s="7">
        <v>299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14">
        <v>268.25</v>
      </c>
      <c r="G300" s="1">
        <v>74678496</v>
      </c>
      <c r="H300" s="6" t="s">
        <v>10</v>
      </c>
      <c r="I300" s="6">
        <f>IF(AND(H299="UP",testdataClose[[#This Row],[close]]&gt;I299),testdataClose[[#This Row],[close]],IF(AND(H299="DN",testdataClose[[#This Row],[close]]&lt;I299),testdataClose[[#This Row],[close]],I299))</f>
        <v>268.25</v>
      </c>
      <c r="J300" s="11">
        <f>(testdataClose[[#This Row],[close]]-testdataClose[[#This Row],[hl]])/testdataClose[[#This Row],[hl]]</f>
        <v>0</v>
      </c>
      <c r="K300" s="15">
        <f t="shared" ca="1" si="5"/>
        <v>267.28200000000015</v>
      </c>
      <c r="L300" s="6"/>
      <c r="M300" s="19">
        <f ca="1">IF(testdataClose[[#This Row],[type]]="H",testdataClose[[#This Row],[close]],AVERAGE(M299,M301))</f>
        <v>268.71274074073824</v>
      </c>
      <c r="N300" s="19">
        <f ca="1">IF(testdataClose[[#This Row],[type]]="L",testdataClose[[#This Row],[close]],AVERAGE(N299,N301))</f>
        <v>256.10299999999899</v>
      </c>
      <c r="Q300" s="4">
        <v>299</v>
      </c>
      <c r="R300" s="33">
        <v>267.28199999999998</v>
      </c>
      <c r="S300" s="19">
        <v>268.71269999999998</v>
      </c>
      <c r="T300" s="19">
        <v>254.8767</v>
      </c>
    </row>
    <row r="301" spans="1:21" x14ac:dyDescent="0.35">
      <c r="A301" s="7">
        <v>300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14">
        <v>266.52</v>
      </c>
      <c r="G301" s="1">
        <v>95490048</v>
      </c>
      <c r="H301" s="6" t="s">
        <v>10</v>
      </c>
      <c r="I301" s="6">
        <f>IF(AND(H300="UP",testdataClose[[#This Row],[close]]&gt;I300),testdataClose[[#This Row],[close]],IF(AND(H300="DN",testdataClose[[#This Row],[close]]&lt;I300),testdataClose[[#This Row],[close]],I300))</f>
        <v>268.25</v>
      </c>
      <c r="J301" s="11">
        <f>(testdataClose[[#This Row],[close]]-testdataClose[[#This Row],[hl]])/testdataClose[[#This Row],[hl]]</f>
        <v>-6.4492078285182412E-3</v>
      </c>
      <c r="K301" s="15">
        <f t="shared" ca="1" si="5"/>
        <v>265.97400000000033</v>
      </c>
      <c r="L301" s="6"/>
      <c r="M301" s="19">
        <f ca="1">IF(testdataClose[[#This Row],[type]]="H",testdataClose[[#This Row],[close]],AVERAGE(M300,M302))</f>
        <v>268.83548148147651</v>
      </c>
      <c r="N301" s="19">
        <f ca="1">IF(testdataClose[[#This Row],[type]]="L",testdataClose[[#This Row],[close]],AVERAGE(N300,N302))</f>
        <v>255.59349999999895</v>
      </c>
      <c r="Q301" s="4">
        <v>300</v>
      </c>
      <c r="R301" s="33">
        <v>265.97399999999999</v>
      </c>
      <c r="S301" s="19">
        <v>268.83550000000002</v>
      </c>
      <c r="T301" s="19">
        <v>254.45480000000001</v>
      </c>
    </row>
    <row r="302" spans="1:21" x14ac:dyDescent="0.35">
      <c r="A302" s="7">
        <v>301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14">
        <v>265.14999999999998</v>
      </c>
      <c r="G302" s="1">
        <v>109949368</v>
      </c>
      <c r="H302" s="6" t="s">
        <v>10</v>
      </c>
      <c r="I302" s="6">
        <f>IF(AND(H301="UP",testdataClose[[#This Row],[close]]&gt;I301),testdataClose[[#This Row],[close]],IF(AND(H301="DN",testdataClose[[#This Row],[close]]&lt;I301),testdataClose[[#This Row],[close]],I301))</f>
        <v>268.25</v>
      </c>
      <c r="J302" s="11">
        <f>(testdataClose[[#This Row],[close]]-testdataClose[[#This Row],[hl]])/testdataClose[[#This Row],[hl]]</f>
        <v>-1.1556383970177159E-2</v>
      </c>
      <c r="K302" s="15">
        <f t="shared" ca="1" si="5"/>
        <v>264.66600000000051</v>
      </c>
      <c r="L302" s="6"/>
      <c r="M302" s="19">
        <f ca="1">IF(testdataClose[[#This Row],[type]]="H",testdataClose[[#This Row],[close]],AVERAGE(M301,M303))</f>
        <v>268.95822222221477</v>
      </c>
      <c r="N302" s="19">
        <f ca="1">IF(testdataClose[[#This Row],[type]]="L",testdataClose[[#This Row],[close]],AVERAGE(N301,N303))</f>
        <v>255.08399999999892</v>
      </c>
      <c r="Q302" s="4">
        <v>301</v>
      </c>
      <c r="R302" s="33">
        <v>264.666</v>
      </c>
      <c r="S302" s="19">
        <v>268.95819999999998</v>
      </c>
      <c r="T302" s="19">
        <v>254.03290000000001</v>
      </c>
    </row>
    <row r="303" spans="1:21" x14ac:dyDescent="0.35">
      <c r="A303" s="7">
        <v>302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14">
        <v>264.86</v>
      </c>
      <c r="G303" s="1">
        <v>86627344</v>
      </c>
      <c r="H303" s="6" t="s">
        <v>10</v>
      </c>
      <c r="I303" s="6">
        <f>IF(AND(H302="UP",testdataClose[[#This Row],[close]]&gt;I302),testdataClose[[#This Row],[close]],IF(AND(H302="DN",testdataClose[[#This Row],[close]]&lt;I302),testdataClose[[#This Row],[close]],I302))</f>
        <v>268.25</v>
      </c>
      <c r="J303" s="11">
        <f>(testdataClose[[#This Row],[close]]-testdataClose[[#This Row],[hl]])/testdataClose[[#This Row],[hl]]</f>
        <v>-1.2637465051258104E-2</v>
      </c>
      <c r="K303" s="15">
        <f t="shared" ca="1" si="5"/>
        <v>263.35800000000063</v>
      </c>
      <c r="L303" s="6"/>
      <c r="M303" s="19">
        <f ca="1">IF(testdataClose[[#This Row],[type]]="H",testdataClose[[#This Row],[close]],AVERAGE(M302,M304))</f>
        <v>269.08096296295309</v>
      </c>
      <c r="N303" s="19">
        <f ca="1">IF(testdataClose[[#This Row],[type]]="L",testdataClose[[#This Row],[close]],AVERAGE(N302,N304))</f>
        <v>254.57449999999892</v>
      </c>
      <c r="Q303" s="4">
        <v>302</v>
      </c>
      <c r="R303" s="33">
        <v>263.358</v>
      </c>
      <c r="S303" s="19">
        <v>269.08100000000002</v>
      </c>
      <c r="T303" s="19">
        <v>253.61099999999999</v>
      </c>
    </row>
    <row r="304" spans="1:21" x14ac:dyDescent="0.35">
      <c r="A304" s="7">
        <v>303</v>
      </c>
      <c r="B304" s="3">
        <v>43175</v>
      </c>
      <c r="C304" s="2">
        <v>265.44</v>
      </c>
      <c r="D304" s="2">
        <v>266.3</v>
      </c>
      <c r="E304" s="2">
        <v>265.08999999999997</v>
      </c>
      <c r="F304" s="14">
        <v>265.14999999999998</v>
      </c>
      <c r="G304" s="1">
        <v>103769888</v>
      </c>
      <c r="H304" s="6" t="s">
        <v>10</v>
      </c>
      <c r="I304" s="6">
        <f>IF(AND(H303="UP",testdataClose[[#This Row],[close]]&gt;I303),testdataClose[[#This Row],[close]],IF(AND(H303="DN",testdataClose[[#This Row],[close]]&lt;I303),testdataClose[[#This Row],[close]],I303))</f>
        <v>268.25</v>
      </c>
      <c r="J304" s="11">
        <f>(testdataClose[[#This Row],[close]]-testdataClose[[#This Row],[hl]])/testdataClose[[#This Row],[hl]]</f>
        <v>-1.1556383970177159E-2</v>
      </c>
      <c r="K304" s="15">
        <f t="shared" ca="1" si="5"/>
        <v>262.05000000000069</v>
      </c>
      <c r="L304" s="6"/>
      <c r="M304" s="19">
        <f ca="1">IF(testdataClose[[#This Row],[type]]="H",testdataClose[[#This Row],[close]],AVERAGE(M303,M305))</f>
        <v>269.20370370369147</v>
      </c>
      <c r="N304" s="19">
        <f ca="1">IF(testdataClose[[#This Row],[type]]="L",testdataClose[[#This Row],[close]],AVERAGE(N303,N305))</f>
        <v>254.06499999999895</v>
      </c>
      <c r="Q304" s="4">
        <v>303</v>
      </c>
      <c r="R304" s="33">
        <v>262.05</v>
      </c>
      <c r="S304" s="19">
        <v>269.20370000000003</v>
      </c>
      <c r="T304" s="19">
        <v>253.18899999999999</v>
      </c>
    </row>
    <row r="305" spans="1:21" x14ac:dyDescent="0.35">
      <c r="A305" s="7">
        <v>304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14">
        <v>261.56</v>
      </c>
      <c r="G305" s="1">
        <v>112937344</v>
      </c>
      <c r="H305" s="6" t="s">
        <v>10</v>
      </c>
      <c r="I305" s="6">
        <f>IF(AND(H304="UP",testdataClose[[#This Row],[close]]&gt;I304),testdataClose[[#This Row],[close]],IF(AND(H304="DN",testdataClose[[#This Row],[close]]&lt;I304),testdataClose[[#This Row],[close]],I304))</f>
        <v>268.25</v>
      </c>
      <c r="J305" s="11">
        <f>(testdataClose[[#This Row],[close]]-testdataClose[[#This Row],[hl]])/testdataClose[[#This Row],[hl]]</f>
        <v>-2.4939422180801484E-2</v>
      </c>
      <c r="K305" s="15">
        <f t="shared" ca="1" si="5"/>
        <v>260.74200000000076</v>
      </c>
      <c r="L305" s="6"/>
      <c r="M305" s="19">
        <f ca="1">IF(testdataClose[[#This Row],[type]]="H",testdataClose[[#This Row],[close]],AVERAGE(M304,M306))</f>
        <v>269.32644444442985</v>
      </c>
      <c r="N305" s="19">
        <f ca="1">IF(testdataClose[[#This Row],[type]]="L",testdataClose[[#This Row],[close]],AVERAGE(N304,N306))</f>
        <v>253.55549999999897</v>
      </c>
      <c r="Q305" s="4">
        <v>304</v>
      </c>
      <c r="R305" s="33">
        <v>260.74200000000002</v>
      </c>
      <c r="S305" s="19">
        <v>269.32639999999998</v>
      </c>
      <c r="T305" s="19">
        <v>252.7671</v>
      </c>
    </row>
    <row r="306" spans="1:21" x14ac:dyDescent="0.35">
      <c r="A306" s="7">
        <v>305</v>
      </c>
      <c r="B306" s="3">
        <v>43179</v>
      </c>
      <c r="C306" s="2">
        <v>261.99</v>
      </c>
      <c r="D306" s="2">
        <v>262.7</v>
      </c>
      <c r="E306" s="2">
        <v>261.26</v>
      </c>
      <c r="F306" s="14">
        <v>262</v>
      </c>
      <c r="G306" s="1">
        <v>61797672</v>
      </c>
      <c r="H306" s="6" t="s">
        <v>10</v>
      </c>
      <c r="I306" s="6">
        <f>IF(AND(H305="UP",testdataClose[[#This Row],[close]]&gt;I305),testdataClose[[#This Row],[close]],IF(AND(H305="DN",testdataClose[[#This Row],[close]]&lt;I305),testdataClose[[#This Row],[close]],I305))</f>
        <v>268.25</v>
      </c>
      <c r="J306" s="11">
        <f>(testdataClose[[#This Row],[close]]-testdataClose[[#This Row],[hl]])/testdataClose[[#This Row],[hl]]</f>
        <v>-2.3299161230195712E-2</v>
      </c>
      <c r="K306" s="15">
        <f t="shared" ca="1" si="5"/>
        <v>259.43400000000076</v>
      </c>
      <c r="L306" s="6"/>
      <c r="M306" s="19">
        <f ca="1">IF(testdataClose[[#This Row],[type]]="H",testdataClose[[#This Row],[close]],AVERAGE(M305,M307))</f>
        <v>269.44918518516829</v>
      </c>
      <c r="N306" s="19">
        <f ca="1">IF(testdataClose[[#This Row],[type]]="L",testdataClose[[#This Row],[close]],AVERAGE(N305,N307))</f>
        <v>253.04599999999903</v>
      </c>
      <c r="Q306" s="4">
        <v>305</v>
      </c>
      <c r="R306" s="33">
        <v>259.43400000000003</v>
      </c>
      <c r="S306" s="19">
        <v>269.44920000000002</v>
      </c>
      <c r="T306" s="19">
        <v>252.34520000000001</v>
      </c>
    </row>
    <row r="307" spans="1:21" x14ac:dyDescent="0.35">
      <c r="A307" s="7">
        <v>306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14">
        <v>261.5</v>
      </c>
      <c r="G307" s="1">
        <v>81397104</v>
      </c>
      <c r="H307" s="6" t="s">
        <v>10</v>
      </c>
      <c r="I307" s="6">
        <f>IF(AND(H306="UP",testdataClose[[#This Row],[close]]&gt;I306),testdataClose[[#This Row],[close]],IF(AND(H306="DN",testdataClose[[#This Row],[close]]&lt;I306),testdataClose[[#This Row],[close]],I306))</f>
        <v>268.25</v>
      </c>
      <c r="J307" s="11">
        <f>(testdataClose[[#This Row],[close]]-testdataClose[[#This Row],[hl]])/testdataClose[[#This Row],[hl]]</f>
        <v>-2.5163094128611369E-2</v>
      </c>
      <c r="K307" s="15">
        <f t="shared" ca="1" si="5"/>
        <v>258.12600000000072</v>
      </c>
      <c r="L307" s="6"/>
      <c r="M307" s="19">
        <f ca="1">IF(testdataClose[[#This Row],[type]]="H",testdataClose[[#This Row],[close]],AVERAGE(M306,M308))</f>
        <v>269.57192592590678</v>
      </c>
      <c r="N307" s="19">
        <f ca="1">IF(testdataClose[[#This Row],[type]]="L",testdataClose[[#This Row],[close]],AVERAGE(N306,N308))</f>
        <v>252.53649999999908</v>
      </c>
      <c r="Q307" s="4">
        <v>306</v>
      </c>
      <c r="R307" s="33">
        <v>258.12599999999998</v>
      </c>
      <c r="S307" s="19">
        <v>269.57190000000003</v>
      </c>
      <c r="T307" s="19">
        <v>251.92330000000001</v>
      </c>
    </row>
    <row r="308" spans="1:21" x14ac:dyDescent="0.35">
      <c r="A308" s="7">
        <v>307</v>
      </c>
      <c r="B308" s="3">
        <v>43181</v>
      </c>
      <c r="C308" s="2">
        <v>259.06</v>
      </c>
      <c r="D308" s="2">
        <v>259.99</v>
      </c>
      <c r="E308" s="2">
        <v>254.66</v>
      </c>
      <c r="F308" s="14">
        <v>254.96</v>
      </c>
      <c r="G308" s="1">
        <v>153866192</v>
      </c>
      <c r="H308" s="6" t="s">
        <v>12</v>
      </c>
      <c r="I308" s="6">
        <f>IF(AND(H307="UP",testdataClose[[#This Row],[close]]&gt;I307),testdataClose[[#This Row],[close]],IF(AND(H307="DN",testdataClose[[#This Row],[close]]&lt;I307),testdataClose[[#This Row],[close]],I307))</f>
        <v>268.25</v>
      </c>
      <c r="J308" s="11">
        <f>(testdataClose[[#This Row],[close]]-testdataClose[[#This Row],[hl]])/testdataClose[[#This Row],[hl]]</f>
        <v>-4.9543336439888133E-2</v>
      </c>
      <c r="K308" s="15">
        <f t="shared" ca="1" si="5"/>
        <v>256.81800000000067</v>
      </c>
      <c r="L308" s="6"/>
      <c r="M308" s="19">
        <f ca="1">IF(testdataClose[[#This Row],[type]]="H",testdataClose[[#This Row],[close]],AVERAGE(M307,M309))</f>
        <v>269.69466666664528</v>
      </c>
      <c r="N308" s="19">
        <f ca="1">IF(testdataClose[[#This Row],[type]]="L",testdataClose[[#This Row],[close]],AVERAGE(N307,N309))</f>
        <v>252.02699999999916</v>
      </c>
      <c r="Q308" s="4">
        <v>307</v>
      </c>
      <c r="R308" s="33">
        <v>256.81799999999998</v>
      </c>
      <c r="S308" s="19">
        <v>269.69470000000001</v>
      </c>
      <c r="T308" s="19">
        <v>251.50139999999999</v>
      </c>
    </row>
    <row r="309" spans="1:21" x14ac:dyDescent="0.35">
      <c r="A309" s="7">
        <v>308</v>
      </c>
      <c r="B309" s="3">
        <v>43182</v>
      </c>
      <c r="C309" s="2">
        <v>255.45</v>
      </c>
      <c r="D309" s="2">
        <v>256.27</v>
      </c>
      <c r="E309" s="2">
        <v>249.32</v>
      </c>
      <c r="F309" s="14">
        <v>249.53</v>
      </c>
      <c r="G309" s="1">
        <v>189801520</v>
      </c>
      <c r="H309" s="6" t="s">
        <v>12</v>
      </c>
      <c r="I309" s="6">
        <f>IF(AND(H308="UP",testdataClose[[#This Row],[close]]&gt;I308),testdataClose[[#This Row],[close]],IF(AND(H308="DN",testdataClose[[#This Row],[close]]&lt;I308),testdataClose[[#This Row],[close]],I308))</f>
        <v>249.53</v>
      </c>
      <c r="J309" s="11">
        <f>(testdataClose[[#This Row],[close]]-testdataClose[[#This Row],[hl]])/testdataClose[[#This Row],[hl]]</f>
        <v>0</v>
      </c>
      <c r="K309" s="15">
        <f t="shared" ca="1" si="5"/>
        <v>255.51000000000059</v>
      </c>
      <c r="L309" s="6"/>
      <c r="M309" s="19">
        <f ca="1">IF(testdataClose[[#This Row],[type]]="H",testdataClose[[#This Row],[close]],AVERAGE(M308,M310))</f>
        <v>269.81740740738383</v>
      </c>
      <c r="N309" s="19">
        <f ca="1">IF(testdataClose[[#This Row],[type]]="L",testdataClose[[#This Row],[close]],AVERAGE(N308,N310))</f>
        <v>251.51749999999925</v>
      </c>
      <c r="Q309" s="4">
        <v>308</v>
      </c>
      <c r="R309" s="33">
        <v>255.51</v>
      </c>
      <c r="S309" s="19">
        <v>269.81740000000002</v>
      </c>
      <c r="T309" s="19">
        <v>251.0795</v>
      </c>
    </row>
    <row r="310" spans="1:21" x14ac:dyDescent="0.35">
      <c r="A310" s="7">
        <v>309</v>
      </c>
      <c r="B310" s="3">
        <v>43185</v>
      </c>
      <c r="C310" s="2">
        <v>253.48</v>
      </c>
      <c r="D310" s="2">
        <v>256.67</v>
      </c>
      <c r="E310" s="2">
        <v>250.84</v>
      </c>
      <c r="F310" s="14">
        <v>256.36</v>
      </c>
      <c r="G310" s="1">
        <v>146803168</v>
      </c>
      <c r="H310" s="6" t="s">
        <v>12</v>
      </c>
      <c r="I310" s="6">
        <f>IF(AND(H309="UP",testdataClose[[#This Row],[close]]&gt;I309),testdataClose[[#This Row],[close]],IF(AND(H309="DN",testdataClose[[#This Row],[close]]&lt;I309),testdataClose[[#This Row],[close]],I309))</f>
        <v>249.53</v>
      </c>
      <c r="J310" s="11">
        <f>(testdataClose[[#This Row],[close]]-testdataClose[[#This Row],[hl]])/testdataClose[[#This Row],[hl]]</f>
        <v>2.7371458341682413E-2</v>
      </c>
      <c r="K310" s="15">
        <f t="shared" ca="1" si="5"/>
        <v>254.20200000000051</v>
      </c>
      <c r="L310" s="6"/>
      <c r="M310" s="19">
        <f ca="1">IF(testdataClose[[#This Row],[type]]="H",testdataClose[[#This Row],[close]],AVERAGE(M309,M311))</f>
        <v>269.94014814812243</v>
      </c>
      <c r="N310" s="19">
        <f ca="1">IF(testdataClose[[#This Row],[type]]="L",testdataClose[[#This Row],[close]],AVERAGE(N309,N311))</f>
        <v>251.00799999999936</v>
      </c>
      <c r="Q310" s="4">
        <v>309</v>
      </c>
      <c r="R310" s="33">
        <v>254.202</v>
      </c>
      <c r="S310" s="19">
        <v>269.94009999999997</v>
      </c>
      <c r="T310" s="19">
        <v>250.6576</v>
      </c>
    </row>
    <row r="311" spans="1:21" x14ac:dyDescent="0.35">
      <c r="A311" s="7">
        <v>310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14">
        <v>252</v>
      </c>
      <c r="G311" s="1">
        <v>134378272</v>
      </c>
      <c r="H311" s="6" t="s">
        <v>12</v>
      </c>
      <c r="I311" s="6">
        <f>IF(AND(H310="UP",testdataClose[[#This Row],[close]]&gt;I310),testdataClose[[#This Row],[close]],IF(AND(H310="DN",testdataClose[[#This Row],[close]]&lt;I310),testdataClose[[#This Row],[close]],I310))</f>
        <v>249.53</v>
      </c>
      <c r="J311" s="11">
        <f>(testdataClose[[#This Row],[close]]-testdataClose[[#This Row],[hl]])/testdataClose[[#This Row],[hl]]</f>
        <v>9.8986093856450082E-3</v>
      </c>
      <c r="K311" s="15">
        <f t="shared" ca="1" si="5"/>
        <v>252.8940000000004</v>
      </c>
      <c r="L311" s="6"/>
      <c r="M311" s="19">
        <f ca="1">IF(testdataClose[[#This Row],[type]]="H",testdataClose[[#This Row],[close]],AVERAGE(M310,M312))</f>
        <v>270.06288888886104</v>
      </c>
      <c r="N311" s="19">
        <f ca="1">IF(testdataClose[[#This Row],[type]]="L",testdataClose[[#This Row],[close]],AVERAGE(N310,N312))</f>
        <v>250.4984999999995</v>
      </c>
      <c r="Q311" s="4">
        <v>310</v>
      </c>
      <c r="R311" s="33">
        <v>252.89400000000001</v>
      </c>
      <c r="S311" s="19">
        <v>270.06290000000001</v>
      </c>
      <c r="T311" s="19">
        <v>250.23570000000001</v>
      </c>
    </row>
    <row r="312" spans="1:21" x14ac:dyDescent="0.35">
      <c r="A312" s="7">
        <v>311</v>
      </c>
      <c r="B312" s="3">
        <v>43187</v>
      </c>
      <c r="C312" s="2">
        <v>252.14</v>
      </c>
      <c r="D312" s="2">
        <v>253.97</v>
      </c>
      <c r="E312" s="2">
        <v>250.04</v>
      </c>
      <c r="F312" s="14">
        <v>251.25</v>
      </c>
      <c r="G312" s="1">
        <v>151452896</v>
      </c>
      <c r="H312" s="6" t="s">
        <v>12</v>
      </c>
      <c r="I312" s="6">
        <f>IF(AND(H311="UP",testdataClose[[#This Row],[close]]&gt;I311),testdataClose[[#This Row],[close]],IF(AND(H311="DN",testdataClose[[#This Row],[close]]&lt;I311),testdataClose[[#This Row],[close]],I311))</f>
        <v>249.53</v>
      </c>
      <c r="J312" s="11">
        <f>(testdataClose[[#This Row],[close]]-testdataClose[[#This Row],[hl]])/testdataClose[[#This Row],[hl]]</f>
        <v>6.8929587624734457E-3</v>
      </c>
      <c r="K312" s="15">
        <f t="shared" ca="1" si="5"/>
        <v>251.58600000000027</v>
      </c>
      <c r="L312" s="6"/>
      <c r="M312" s="19">
        <f ca="1">IF(testdataClose[[#This Row],[type]]="H",testdataClose[[#This Row],[close]],AVERAGE(M311,M313))</f>
        <v>270.1856296295997</v>
      </c>
      <c r="N312" s="19">
        <f ca="1">IF(testdataClose[[#This Row],[type]]="L",testdataClose[[#This Row],[close]],AVERAGE(N311,N313))</f>
        <v>249.98899999999963</v>
      </c>
      <c r="Q312" s="4">
        <v>311</v>
      </c>
      <c r="R312" s="33">
        <v>251.58600000000001</v>
      </c>
      <c r="S312" s="19">
        <v>270.18560000000002</v>
      </c>
      <c r="T312" s="19">
        <v>249.81379999999999</v>
      </c>
    </row>
    <row r="313" spans="1:21" x14ac:dyDescent="0.35">
      <c r="A313" s="7">
        <v>312</v>
      </c>
      <c r="B313" s="3">
        <v>43188</v>
      </c>
      <c r="C313" s="2">
        <v>252.5</v>
      </c>
      <c r="D313" s="2">
        <v>256.5</v>
      </c>
      <c r="E313" s="2">
        <v>251.26</v>
      </c>
      <c r="F313" s="14">
        <v>254.46</v>
      </c>
      <c r="G313" s="1">
        <v>128487112</v>
      </c>
      <c r="H313" s="6" t="s">
        <v>12</v>
      </c>
      <c r="I313" s="6">
        <f>IF(AND(H312="UP",testdataClose[[#This Row],[close]]&gt;I312),testdataClose[[#This Row],[close]],IF(AND(H312="DN",testdataClose[[#This Row],[close]]&lt;I312),testdataClose[[#This Row],[close]],I312))</f>
        <v>249.53</v>
      </c>
      <c r="J313" s="11">
        <f>(testdataClose[[#This Row],[close]]-testdataClose[[#This Row],[hl]])/testdataClose[[#This Row],[hl]]</f>
        <v>1.9757143429647767E-2</v>
      </c>
      <c r="K313" s="15">
        <f t="shared" ca="1" si="5"/>
        <v>250.27800000000013</v>
      </c>
      <c r="L313" s="6"/>
      <c r="M313" s="19">
        <f ca="1">IF(testdataClose[[#This Row],[type]]="H",testdataClose[[#This Row],[close]],AVERAGE(M312,M314))</f>
        <v>270.30837037033842</v>
      </c>
      <c r="N313" s="19">
        <f ca="1">IF(testdataClose[[#This Row],[type]]="L",testdataClose[[#This Row],[close]],AVERAGE(N312,N314))</f>
        <v>249.4794999999998</v>
      </c>
      <c r="Q313" s="4">
        <v>312</v>
      </c>
      <c r="R313" s="33">
        <v>250.27799999999999</v>
      </c>
      <c r="S313" s="19">
        <v>270.30840000000001</v>
      </c>
      <c r="T313" s="19">
        <v>249.39189999999999</v>
      </c>
    </row>
    <row r="314" spans="1:21" x14ac:dyDescent="0.35">
      <c r="A314" s="7">
        <v>313</v>
      </c>
      <c r="B314" s="3">
        <v>43192</v>
      </c>
      <c r="C314" s="2">
        <v>253.88</v>
      </c>
      <c r="D314" s="2">
        <v>254.44</v>
      </c>
      <c r="E314" s="2">
        <v>246.26</v>
      </c>
      <c r="F314" s="14">
        <v>248.97</v>
      </c>
      <c r="G314" s="1">
        <v>192647056</v>
      </c>
      <c r="H314" s="6" t="s">
        <v>12</v>
      </c>
      <c r="I314" s="6">
        <f>IF(AND(H313="UP",testdataClose[[#This Row],[close]]&gt;I313),testdataClose[[#This Row],[close]],IF(AND(H313="DN",testdataClose[[#This Row],[close]]&lt;I313),testdataClose[[#This Row],[close]],I313))</f>
        <v>248.97</v>
      </c>
      <c r="J314" s="11">
        <f>(testdataClose[[#This Row],[close]]-testdataClose[[#This Row],[hl]])/testdataClose[[#This Row],[hl]]</f>
        <v>0</v>
      </c>
      <c r="K314" s="18">
        <f>testdataClose[[#This Row],[close]]</f>
        <v>248.97</v>
      </c>
      <c r="L314" s="6" t="s">
        <v>15</v>
      </c>
      <c r="M314" s="19">
        <f ca="1">IF(testdataClose[[#This Row],[type]]="H",testdataClose[[#This Row],[close]],AVERAGE(M313,M315))</f>
        <v>270.43111111107714</v>
      </c>
      <c r="N314" s="19">
        <f>IF(testdataClose[[#This Row],[type]]="L",testdataClose[[#This Row],[close]],AVERAGE(N313,N315))</f>
        <v>248.97</v>
      </c>
      <c r="Q314" s="4">
        <v>313</v>
      </c>
      <c r="R314" s="33">
        <v>248.97</v>
      </c>
      <c r="S314" s="19">
        <v>270.43110000000001</v>
      </c>
      <c r="T314" s="19">
        <v>248.97</v>
      </c>
      <c r="U314" s="4" t="s">
        <v>15</v>
      </c>
    </row>
    <row r="315" spans="1:21" x14ac:dyDescent="0.35">
      <c r="A315" s="7">
        <v>314</v>
      </c>
      <c r="B315" s="3">
        <v>43193</v>
      </c>
      <c r="C315" s="2">
        <v>250.32</v>
      </c>
      <c r="D315" s="2">
        <v>252.68</v>
      </c>
      <c r="E315" s="2">
        <v>248.36</v>
      </c>
      <c r="F315" s="14">
        <v>252.16</v>
      </c>
      <c r="G315" s="1">
        <v>124052768</v>
      </c>
      <c r="H315" s="6" t="s">
        <v>12</v>
      </c>
      <c r="I315" s="6">
        <f>IF(AND(H314="UP",testdataClose[[#This Row],[close]]&gt;I314),testdataClose[[#This Row],[close]],IF(AND(H314="DN",testdataClose[[#This Row],[close]]&lt;I314),testdataClose[[#This Row],[close]],I314))</f>
        <v>248.97</v>
      </c>
      <c r="J315" s="11">
        <f>(testdataClose[[#This Row],[close]]-testdataClose[[#This Row],[hl]])/testdataClose[[#This Row],[hl]]</f>
        <v>1.281278868940032E-2</v>
      </c>
      <c r="K315" s="15">
        <f t="shared" ca="1" si="5"/>
        <v>249.27158333333517</v>
      </c>
      <c r="L315" s="6"/>
      <c r="M315" s="19">
        <f ca="1">IF(testdataClose[[#This Row],[type]]="H",testdataClose[[#This Row],[close]],AVERAGE(M314,M316))</f>
        <v>270.55385185181592</v>
      </c>
      <c r="N315" s="19">
        <f ca="1">IF(testdataClose[[#This Row],[type]]="L",testdataClose[[#This Row],[close]],AVERAGE(N314,N316))</f>
        <v>249.09288888888722</v>
      </c>
      <c r="Q315" s="4">
        <v>314</v>
      </c>
      <c r="R315" s="33">
        <v>249.27160000000001</v>
      </c>
      <c r="S315" s="19">
        <v>270.5539</v>
      </c>
      <c r="T315" s="19">
        <v>249.09289999999999</v>
      </c>
    </row>
    <row r="316" spans="1:21" x14ac:dyDescent="0.35">
      <c r="A316" s="7">
        <v>315</v>
      </c>
      <c r="B316" s="3">
        <v>43194</v>
      </c>
      <c r="C316" s="2">
        <v>248.27</v>
      </c>
      <c r="D316" s="2">
        <v>255.63</v>
      </c>
      <c r="E316" s="2">
        <v>248.13</v>
      </c>
      <c r="F316" s="14">
        <v>254.86</v>
      </c>
      <c r="G316" s="1">
        <v>127939576</v>
      </c>
      <c r="H316" s="6" t="s">
        <v>12</v>
      </c>
      <c r="I316" s="6">
        <f>IF(AND(H315="UP",testdataClose[[#This Row],[close]]&gt;I315),testdataClose[[#This Row],[close]],IF(AND(H315="DN",testdataClose[[#This Row],[close]]&lt;I315),testdataClose[[#This Row],[close]],I315))</f>
        <v>248.97</v>
      </c>
      <c r="J316" s="11">
        <f>(testdataClose[[#This Row],[close]]-testdataClose[[#This Row],[hl]])/testdataClose[[#This Row],[hl]]</f>
        <v>2.365746877133797E-2</v>
      </c>
      <c r="K316" s="15">
        <f t="shared" ca="1" si="5"/>
        <v>249.57316666667032</v>
      </c>
      <c r="L316" s="6"/>
      <c r="M316" s="19">
        <f ca="1">IF(testdataClose[[#This Row],[type]]="H",testdataClose[[#This Row],[close]],AVERAGE(M315,M317))</f>
        <v>270.67659259255475</v>
      </c>
      <c r="N316" s="19">
        <f ca="1">IF(testdataClose[[#This Row],[type]]="L",testdataClose[[#This Row],[close]],AVERAGE(N315,N317))</f>
        <v>249.21577777777446</v>
      </c>
      <c r="Q316" s="4">
        <v>315</v>
      </c>
      <c r="R316" s="33">
        <v>249.57320000000001</v>
      </c>
      <c r="S316" s="19">
        <v>270.67660000000001</v>
      </c>
      <c r="T316" s="19">
        <v>249.2158</v>
      </c>
    </row>
    <row r="317" spans="1:21" x14ac:dyDescent="0.35">
      <c r="A317" s="7">
        <v>316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14">
        <v>256.87</v>
      </c>
      <c r="G317" s="1">
        <v>85474776</v>
      </c>
      <c r="H317" s="6" t="s">
        <v>10</v>
      </c>
      <c r="I317" s="6">
        <f>IF(AND(H316="UP",testdataClose[[#This Row],[close]]&gt;I316),testdataClose[[#This Row],[close]],IF(AND(H316="DN",testdataClose[[#This Row],[close]]&lt;I316),testdataClose[[#This Row],[close]],I316))</f>
        <v>248.97</v>
      </c>
      <c r="J317" s="11">
        <f>(testdataClose[[#This Row],[close]]-testdataClose[[#This Row],[hl]])/testdataClose[[#This Row],[hl]]</f>
        <v>3.1730730610113694E-2</v>
      </c>
      <c r="K317" s="15">
        <f t="shared" ca="1" si="5"/>
        <v>249.87475000000543</v>
      </c>
      <c r="L317" s="6"/>
      <c r="M317" s="19">
        <f ca="1">IF(testdataClose[[#This Row],[type]]="H",testdataClose[[#This Row],[close]],AVERAGE(M316,M318))</f>
        <v>270.79933333329359</v>
      </c>
      <c r="N317" s="19">
        <f ca="1">IF(testdataClose[[#This Row],[type]]="L",testdataClose[[#This Row],[close]],AVERAGE(N316,N318))</f>
        <v>249.33866666666174</v>
      </c>
      <c r="Q317" s="4">
        <v>316</v>
      </c>
      <c r="R317" s="33">
        <v>249.87479999999999</v>
      </c>
      <c r="S317" s="19">
        <v>270.79930000000002</v>
      </c>
      <c r="T317" s="19">
        <v>249.33869999999999</v>
      </c>
    </row>
    <row r="318" spans="1:21" x14ac:dyDescent="0.35">
      <c r="A318" s="7">
        <v>317</v>
      </c>
      <c r="B318" s="3">
        <v>43196</v>
      </c>
      <c r="C318" s="2">
        <v>254.72</v>
      </c>
      <c r="D318" s="2">
        <v>256.36</v>
      </c>
      <c r="E318" s="2">
        <v>249.48</v>
      </c>
      <c r="F318" s="14">
        <v>251.14</v>
      </c>
      <c r="G318" s="1">
        <v>185650928</v>
      </c>
      <c r="H318" s="6" t="s">
        <v>10</v>
      </c>
      <c r="I318" s="6">
        <f>IF(AND(H317="UP",testdataClose[[#This Row],[close]]&gt;I317),testdataClose[[#This Row],[close]],IF(AND(H317="DN",testdataClose[[#This Row],[close]]&lt;I317),testdataClose[[#This Row],[close]],I317))</f>
        <v>251.14</v>
      </c>
      <c r="J318" s="11">
        <f>(testdataClose[[#This Row],[close]]-testdataClose[[#This Row],[hl]])/testdataClose[[#This Row],[hl]]</f>
        <v>0</v>
      </c>
      <c r="K318" s="15">
        <f t="shared" ca="1" si="5"/>
        <v>250.17633333334055</v>
      </c>
      <c r="L318" s="6"/>
      <c r="M318" s="19">
        <f ca="1">IF(testdataClose[[#This Row],[type]]="H",testdataClose[[#This Row],[close]],AVERAGE(M317,M319))</f>
        <v>270.92207407403248</v>
      </c>
      <c r="N318" s="19">
        <f ca="1">IF(testdataClose[[#This Row],[type]]="L",testdataClose[[#This Row],[close]],AVERAGE(N317,N319))</f>
        <v>249.46155555554901</v>
      </c>
      <c r="Q318" s="4">
        <v>317</v>
      </c>
      <c r="R318" s="33">
        <v>250.1763</v>
      </c>
      <c r="S318" s="19">
        <v>270.9221</v>
      </c>
      <c r="T318" s="19">
        <v>249.4616</v>
      </c>
    </row>
    <row r="319" spans="1:21" x14ac:dyDescent="0.35">
      <c r="A319" s="7">
        <v>318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14">
        <v>252.38</v>
      </c>
      <c r="G319" s="1">
        <v>109043264</v>
      </c>
      <c r="H319" s="6" t="s">
        <v>10</v>
      </c>
      <c r="I319" s="6">
        <f>IF(AND(H318="UP",testdataClose[[#This Row],[close]]&gt;I318),testdataClose[[#This Row],[close]],IF(AND(H318="DN",testdataClose[[#This Row],[close]]&lt;I318),testdataClose[[#This Row],[close]],I318))</f>
        <v>252.38</v>
      </c>
      <c r="J319" s="11">
        <f>(testdataClose[[#This Row],[close]]-testdataClose[[#This Row],[hl]])/testdataClose[[#This Row],[hl]]</f>
        <v>0</v>
      </c>
      <c r="K319" s="15">
        <f t="shared" ca="1" si="5"/>
        <v>250.47791666667564</v>
      </c>
      <c r="L319" s="6"/>
      <c r="M319" s="19">
        <f ca="1">IF(testdataClose[[#This Row],[type]]="H",testdataClose[[#This Row],[close]],AVERAGE(M318,M320))</f>
        <v>271.04481481477143</v>
      </c>
      <c r="N319" s="19">
        <f ca="1">IF(testdataClose[[#This Row],[type]]="L",testdataClose[[#This Row],[close]],AVERAGE(N318,N320))</f>
        <v>249.58444444443631</v>
      </c>
      <c r="Q319" s="4">
        <v>318</v>
      </c>
      <c r="R319" s="33">
        <v>250.47790000000001</v>
      </c>
      <c r="S319" s="19">
        <v>271.04480000000001</v>
      </c>
      <c r="T319" s="19">
        <v>249.58439999999999</v>
      </c>
    </row>
    <row r="320" spans="1:21" x14ac:dyDescent="0.35">
      <c r="A320" s="7">
        <v>319</v>
      </c>
      <c r="B320" s="3">
        <v>43200</v>
      </c>
      <c r="C320" s="2">
        <v>255.54</v>
      </c>
      <c r="D320" s="2">
        <v>257.26</v>
      </c>
      <c r="E320" s="2">
        <v>254.3</v>
      </c>
      <c r="F320" s="14">
        <v>256.39999999999998</v>
      </c>
      <c r="G320" s="1">
        <v>109178536</v>
      </c>
      <c r="H320" s="6" t="s">
        <v>10</v>
      </c>
      <c r="I320" s="6">
        <f>IF(AND(H319="UP",testdataClose[[#This Row],[close]]&gt;I319),testdataClose[[#This Row],[close]],IF(AND(H319="DN",testdataClose[[#This Row],[close]]&lt;I319),testdataClose[[#This Row],[close]],I319))</f>
        <v>256.39999999999998</v>
      </c>
      <c r="J320" s="11">
        <f>(testdataClose[[#This Row],[close]]-testdataClose[[#This Row],[hl]])/testdataClose[[#This Row],[hl]]</f>
        <v>0</v>
      </c>
      <c r="K320" s="15">
        <f t="shared" ca="1" si="5"/>
        <v>250.77950000001073</v>
      </c>
      <c r="L320" s="6"/>
      <c r="M320" s="19">
        <f ca="1">IF(testdataClose[[#This Row],[type]]="H",testdataClose[[#This Row],[close]],AVERAGE(M319,M321))</f>
        <v>271.16755555551038</v>
      </c>
      <c r="N320" s="19">
        <f ca="1">IF(testdataClose[[#This Row],[type]]="L",testdataClose[[#This Row],[close]],AVERAGE(N319,N321))</f>
        <v>249.70733333332365</v>
      </c>
      <c r="Q320" s="4">
        <v>319</v>
      </c>
      <c r="R320" s="33">
        <v>250.77950000000001</v>
      </c>
      <c r="S320" s="19">
        <v>271.16759999999999</v>
      </c>
      <c r="T320" s="19">
        <v>249.7073</v>
      </c>
    </row>
    <row r="321" spans="1:20" x14ac:dyDescent="0.35">
      <c r="A321" s="7">
        <v>320</v>
      </c>
      <c r="B321" s="3">
        <v>43201</v>
      </c>
      <c r="C321" s="2">
        <v>254.77</v>
      </c>
      <c r="D321" s="2">
        <v>256.87</v>
      </c>
      <c r="E321" s="2">
        <v>254.69</v>
      </c>
      <c r="F321" s="14">
        <v>255.05</v>
      </c>
      <c r="G321" s="1">
        <v>94252208</v>
      </c>
      <c r="H321" s="6" t="s">
        <v>10</v>
      </c>
      <c r="I321" s="6">
        <f>IF(AND(H320="UP",testdataClose[[#This Row],[close]]&gt;I320),testdataClose[[#This Row],[close]],IF(AND(H320="DN",testdataClose[[#This Row],[close]]&lt;I320),testdataClose[[#This Row],[close]],I320))</f>
        <v>256.39999999999998</v>
      </c>
      <c r="J321" s="11">
        <f>(testdataClose[[#This Row],[close]]-testdataClose[[#This Row],[hl]])/testdataClose[[#This Row],[hl]]</f>
        <v>-5.2652106084242044E-3</v>
      </c>
      <c r="K321" s="15">
        <f t="shared" ca="1" si="5"/>
        <v>251.08108333334579</v>
      </c>
      <c r="L321" s="6"/>
      <c r="M321" s="19">
        <f ca="1">IF(testdataClose[[#This Row],[type]]="H",testdataClose[[#This Row],[close]],AVERAGE(M320,M322))</f>
        <v>271.29029629624938</v>
      </c>
      <c r="N321" s="19">
        <f ca="1">IF(testdataClose[[#This Row],[type]]="L",testdataClose[[#This Row],[close]],AVERAGE(N320,N322))</f>
        <v>249.83022222221098</v>
      </c>
      <c r="Q321" s="4">
        <v>320</v>
      </c>
      <c r="R321" s="33">
        <v>251.08109999999999</v>
      </c>
      <c r="S321" s="19">
        <v>271.2903</v>
      </c>
      <c r="T321" s="19">
        <v>249.83019999999999</v>
      </c>
    </row>
    <row r="322" spans="1:20" x14ac:dyDescent="0.35">
      <c r="A322" s="7">
        <v>321</v>
      </c>
      <c r="B322" s="3">
        <v>43202</v>
      </c>
      <c r="C322" s="2">
        <v>256.5</v>
      </c>
      <c r="D322" s="2">
        <v>258.18</v>
      </c>
      <c r="E322" s="2">
        <v>256.31</v>
      </c>
      <c r="F322" s="14">
        <v>257.14999999999998</v>
      </c>
      <c r="G322" s="1">
        <v>71242736</v>
      </c>
      <c r="H322" s="6" t="s">
        <v>10</v>
      </c>
      <c r="I322" s="6">
        <f>IF(AND(H321="UP",testdataClose[[#This Row],[close]]&gt;I321),testdataClose[[#This Row],[close]],IF(AND(H321="DN",testdataClose[[#This Row],[close]]&lt;I321),testdataClose[[#This Row],[close]],I321))</f>
        <v>257.14999999999998</v>
      </c>
      <c r="J322" s="11">
        <f>(testdataClose[[#This Row],[close]]-testdataClose[[#This Row],[hl]])/testdataClose[[#This Row],[hl]]</f>
        <v>0</v>
      </c>
      <c r="K322" s="15">
        <f t="shared" ca="1" si="5"/>
        <v>251.38266666668085</v>
      </c>
      <c r="L322" s="6"/>
      <c r="M322" s="19">
        <f ca="1">IF(testdataClose[[#This Row],[type]]="H",testdataClose[[#This Row],[close]],AVERAGE(M321,M323))</f>
        <v>271.41303703698844</v>
      </c>
      <c r="N322" s="19">
        <f ca="1">IF(testdataClose[[#This Row],[type]]="L",testdataClose[[#This Row],[close]],AVERAGE(N321,N323))</f>
        <v>249.95311111109834</v>
      </c>
      <c r="Q322" s="4">
        <v>321</v>
      </c>
      <c r="R322" s="33">
        <v>251.3827</v>
      </c>
      <c r="S322" s="19">
        <v>271.41300000000001</v>
      </c>
      <c r="T322" s="19">
        <v>249.95310000000001</v>
      </c>
    </row>
    <row r="323" spans="1:20" x14ac:dyDescent="0.35">
      <c r="A323" s="7">
        <v>322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14">
        <v>256.39999999999998</v>
      </c>
      <c r="G323" s="1">
        <v>87984192</v>
      </c>
      <c r="H323" s="6" t="s">
        <v>10</v>
      </c>
      <c r="I323" s="6">
        <f>IF(AND(H322="UP",testdataClose[[#This Row],[close]]&gt;I322),testdataClose[[#This Row],[close]],IF(AND(H322="DN",testdataClose[[#This Row],[close]]&lt;I322),testdataClose[[#This Row],[close]],I322))</f>
        <v>257.14999999999998</v>
      </c>
      <c r="J323" s="11">
        <f>(testdataClose[[#This Row],[close]]-testdataClose[[#This Row],[hl]])/testdataClose[[#This Row],[hl]]</f>
        <v>-2.9165856503986002E-3</v>
      </c>
      <c r="K323" s="15">
        <f t="shared" ca="1" si="5"/>
        <v>251.68425000001588</v>
      </c>
      <c r="L323" s="6"/>
      <c r="M323" s="19">
        <f ca="1">IF(testdataClose[[#This Row],[type]]="H",testdataClose[[#This Row],[close]],AVERAGE(M322,M324))</f>
        <v>271.5357777777275</v>
      </c>
      <c r="N323" s="19">
        <f ca="1">IF(testdataClose[[#This Row],[type]]="L",testdataClose[[#This Row],[close]],AVERAGE(N322,N324))</f>
        <v>250.0759999999857</v>
      </c>
      <c r="Q323" s="4">
        <v>322</v>
      </c>
      <c r="R323" s="33">
        <v>251.68430000000001</v>
      </c>
      <c r="S323" s="19">
        <v>271.53579999999999</v>
      </c>
      <c r="T323" s="19">
        <v>250.07599999999999</v>
      </c>
    </row>
    <row r="324" spans="1:20" x14ac:dyDescent="0.35">
      <c r="A324" s="7">
        <v>323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14">
        <v>258.5</v>
      </c>
      <c r="G324" s="1">
        <v>65570252</v>
      </c>
      <c r="H324" s="6" t="s">
        <v>10</v>
      </c>
      <c r="I324" s="6">
        <f>IF(AND(H323="UP",testdataClose[[#This Row],[close]]&gt;I323),testdataClose[[#This Row],[close]],IF(AND(H323="DN",testdataClose[[#This Row],[close]]&lt;I323),testdataClose[[#This Row],[close]],I323))</f>
        <v>258.5</v>
      </c>
      <c r="J324" s="11">
        <f>(testdataClose[[#This Row],[close]]-testdataClose[[#This Row],[hl]])/testdataClose[[#This Row],[hl]]</f>
        <v>0</v>
      </c>
      <c r="K324" s="15">
        <f t="shared" ref="K324:K387" ca="1" si="6">AVERAGE(K323,K325)</f>
        <v>251.98583333335088</v>
      </c>
      <c r="L324" s="6"/>
      <c r="M324" s="19">
        <f ca="1">IF(testdataClose[[#This Row],[type]]="H",testdataClose[[#This Row],[close]],AVERAGE(M323,M325))</f>
        <v>271.65851851846662</v>
      </c>
      <c r="N324" s="19">
        <f ca="1">IF(testdataClose[[#This Row],[type]]="L",testdataClose[[#This Row],[close]],AVERAGE(N323,N325))</f>
        <v>250.19888888887309</v>
      </c>
      <c r="Q324" s="4">
        <v>323</v>
      </c>
      <c r="R324" s="33">
        <v>251.98580000000001</v>
      </c>
      <c r="S324" s="19">
        <v>271.6585</v>
      </c>
      <c r="T324" s="19">
        <v>250.19890000000001</v>
      </c>
    </row>
    <row r="325" spans="1:20" x14ac:dyDescent="0.35">
      <c r="A325" s="7">
        <v>324</v>
      </c>
      <c r="B325" s="3">
        <v>43207</v>
      </c>
      <c r="C325" s="2">
        <v>260.44</v>
      </c>
      <c r="D325" s="2">
        <v>261.93</v>
      </c>
      <c r="E325" s="2">
        <v>259.88</v>
      </c>
      <c r="F325" s="14">
        <v>261.27</v>
      </c>
      <c r="G325" s="1">
        <v>66890592</v>
      </c>
      <c r="H325" s="6" t="s">
        <v>10</v>
      </c>
      <c r="I325" s="6">
        <f>IF(AND(H324="UP",testdataClose[[#This Row],[close]]&gt;I324),testdataClose[[#This Row],[close]],IF(AND(H324="DN",testdataClose[[#This Row],[close]]&lt;I324),testdataClose[[#This Row],[close]],I324))</f>
        <v>261.27</v>
      </c>
      <c r="J325" s="11">
        <f>(testdataClose[[#This Row],[close]]-testdataClose[[#This Row],[hl]])/testdataClose[[#This Row],[hl]]</f>
        <v>0</v>
      </c>
      <c r="K325" s="15">
        <f t="shared" ca="1" si="6"/>
        <v>252.28741666668589</v>
      </c>
      <c r="L325" s="6"/>
      <c r="M325" s="19">
        <f ca="1">IF(testdataClose[[#This Row],[type]]="H",testdataClose[[#This Row],[close]],AVERAGE(M324,M326))</f>
        <v>271.7812592592058</v>
      </c>
      <c r="N325" s="19">
        <f ca="1">IF(testdataClose[[#This Row],[type]]="L",testdataClose[[#This Row],[close]],AVERAGE(N324,N326))</f>
        <v>250.32177777776047</v>
      </c>
      <c r="Q325" s="4">
        <v>324</v>
      </c>
      <c r="R325" s="33">
        <v>252.28739999999999</v>
      </c>
      <c r="S325" s="19">
        <v>271.78129999999999</v>
      </c>
      <c r="T325" s="19">
        <v>250.3218</v>
      </c>
    </row>
    <row r="326" spans="1:20" x14ac:dyDescent="0.35">
      <c r="A326" s="7">
        <v>325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14">
        <v>261.45999999999998</v>
      </c>
      <c r="G326" s="1">
        <v>59260488</v>
      </c>
      <c r="H326" s="6" t="s">
        <v>10</v>
      </c>
      <c r="I326" s="6">
        <f>IF(AND(H325="UP",testdataClose[[#This Row],[close]]&gt;I325),testdataClose[[#This Row],[close]],IF(AND(H325="DN",testdataClose[[#This Row],[close]]&lt;I325),testdataClose[[#This Row],[close]],I325))</f>
        <v>261.45999999999998</v>
      </c>
      <c r="J326" s="11">
        <f>(testdataClose[[#This Row],[close]]-testdataClose[[#This Row],[hl]])/testdataClose[[#This Row],[hl]]</f>
        <v>0</v>
      </c>
      <c r="K326" s="15">
        <f t="shared" ca="1" si="6"/>
        <v>252.58900000002086</v>
      </c>
      <c r="L326" s="6"/>
      <c r="M326" s="19">
        <f ca="1">IF(testdataClose[[#This Row],[type]]="H",testdataClose[[#This Row],[close]],AVERAGE(M325,M327))</f>
        <v>271.90399999994497</v>
      </c>
      <c r="N326" s="19">
        <f ca="1">IF(testdataClose[[#This Row],[type]]="L",testdataClose[[#This Row],[close]],AVERAGE(N325,N327))</f>
        <v>250.44466666664789</v>
      </c>
      <c r="Q326" s="4">
        <v>325</v>
      </c>
      <c r="R326" s="33">
        <v>252.589</v>
      </c>
      <c r="S326" s="19">
        <v>271.904</v>
      </c>
      <c r="T326" s="19">
        <v>250.44470000000001</v>
      </c>
    </row>
    <row r="327" spans="1:20" x14ac:dyDescent="0.35">
      <c r="A327" s="7">
        <v>326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14">
        <v>260.01</v>
      </c>
      <c r="G327" s="1">
        <v>80307456</v>
      </c>
      <c r="H327" s="6" t="s">
        <v>10</v>
      </c>
      <c r="I327" s="6">
        <f>IF(AND(H326="UP",testdataClose[[#This Row],[close]]&gt;I326),testdataClose[[#This Row],[close]],IF(AND(H326="DN",testdataClose[[#This Row],[close]]&lt;I326),testdataClose[[#This Row],[close]],I326))</f>
        <v>261.45999999999998</v>
      </c>
      <c r="J327" s="11">
        <f>(testdataClose[[#This Row],[close]]-testdataClose[[#This Row],[hl]])/testdataClose[[#This Row],[hl]]</f>
        <v>-5.5457813814732224E-3</v>
      </c>
      <c r="K327" s="15">
        <f t="shared" ca="1" si="6"/>
        <v>252.89058333335581</v>
      </c>
      <c r="L327" s="6"/>
      <c r="M327" s="19">
        <f ca="1">IF(testdataClose[[#This Row],[type]]="H",testdataClose[[#This Row],[close]],AVERAGE(M326,M328))</f>
        <v>272.0267407406842</v>
      </c>
      <c r="N327" s="19">
        <f ca="1">IF(testdataClose[[#This Row],[type]]="L",testdataClose[[#This Row],[close]],AVERAGE(N326,N328))</f>
        <v>250.56755555553534</v>
      </c>
      <c r="Q327" s="4">
        <v>326</v>
      </c>
      <c r="R327" s="33">
        <v>252.89060000000001</v>
      </c>
      <c r="S327" s="19">
        <v>272.02670000000001</v>
      </c>
      <c r="T327" s="19">
        <v>250.5676</v>
      </c>
    </row>
    <row r="328" spans="1:20" x14ac:dyDescent="0.35">
      <c r="A328" s="7">
        <v>327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14">
        <v>257.81</v>
      </c>
      <c r="G328" s="1">
        <v>103366016</v>
      </c>
      <c r="H328" s="6" t="s">
        <v>10</v>
      </c>
      <c r="I328" s="6">
        <f>IF(AND(H327="UP",testdataClose[[#This Row],[close]]&gt;I327),testdataClose[[#This Row],[close]],IF(AND(H327="DN",testdataClose[[#This Row],[close]]&lt;I327),testdataClose[[#This Row],[close]],I327))</f>
        <v>261.45999999999998</v>
      </c>
      <c r="J328" s="11">
        <f>(testdataClose[[#This Row],[close]]-testdataClose[[#This Row],[hl]])/testdataClose[[#This Row],[hl]]</f>
        <v>-1.3960070374053307E-2</v>
      </c>
      <c r="K328" s="15">
        <f t="shared" ca="1" si="6"/>
        <v>253.19216666669075</v>
      </c>
      <c r="L328" s="6"/>
      <c r="M328" s="19">
        <f ca="1">IF(testdataClose[[#This Row],[type]]="H",testdataClose[[#This Row],[close]],AVERAGE(M327,M329))</f>
        <v>272.14948148142349</v>
      </c>
      <c r="N328" s="19">
        <f ca="1">IF(testdataClose[[#This Row],[type]]="L",testdataClose[[#This Row],[close]],AVERAGE(N327,N329))</f>
        <v>250.69044444442278</v>
      </c>
      <c r="Q328" s="4">
        <v>327</v>
      </c>
      <c r="R328" s="33">
        <v>253.19220000000001</v>
      </c>
      <c r="S328" s="19">
        <v>272.14949999999999</v>
      </c>
      <c r="T328" s="19">
        <v>250.69040000000001</v>
      </c>
    </row>
    <row r="329" spans="1:20" x14ac:dyDescent="0.35">
      <c r="A329" s="7">
        <v>328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14">
        <v>257.77</v>
      </c>
      <c r="G329" s="1">
        <v>67796416</v>
      </c>
      <c r="H329" s="6" t="s">
        <v>10</v>
      </c>
      <c r="I329" s="6">
        <f>IF(AND(H328="UP",testdataClose[[#This Row],[close]]&gt;I328),testdataClose[[#This Row],[close]],IF(AND(H328="DN",testdataClose[[#This Row],[close]]&lt;I328),testdataClose[[#This Row],[close]],I328))</f>
        <v>261.45999999999998</v>
      </c>
      <c r="J329" s="11">
        <f>(testdataClose[[#This Row],[close]]-testdataClose[[#This Row],[hl]])/testdataClose[[#This Row],[hl]]</f>
        <v>-1.4113057446645752E-2</v>
      </c>
      <c r="K329" s="15">
        <f t="shared" ca="1" si="6"/>
        <v>253.49375000002567</v>
      </c>
      <c r="L329" s="6"/>
      <c r="M329" s="19">
        <f ca="1">IF(testdataClose[[#This Row],[type]]="H",testdataClose[[#This Row],[close]],AVERAGE(M328,M330))</f>
        <v>272.27222222216278</v>
      </c>
      <c r="N329" s="19">
        <f ca="1">IF(testdataClose[[#This Row],[type]]="L",testdataClose[[#This Row],[close]],AVERAGE(N328,N330))</f>
        <v>250.81333333331025</v>
      </c>
      <c r="Q329" s="4">
        <v>328</v>
      </c>
      <c r="R329" s="33">
        <v>253.49379999999999</v>
      </c>
      <c r="S329" s="19">
        <v>272.2722</v>
      </c>
      <c r="T329" s="19">
        <v>250.8133</v>
      </c>
    </row>
    <row r="330" spans="1:20" x14ac:dyDescent="0.35">
      <c r="A330" s="7">
        <v>329</v>
      </c>
      <c r="B330" s="3">
        <v>43214</v>
      </c>
      <c r="C330" s="2">
        <v>258.89</v>
      </c>
      <c r="D330" s="2">
        <v>259.13</v>
      </c>
      <c r="E330" s="2">
        <v>252.65</v>
      </c>
      <c r="F330" s="14">
        <v>254.3</v>
      </c>
      <c r="G330" s="1">
        <v>116739904</v>
      </c>
      <c r="H330" s="6" t="s">
        <v>10</v>
      </c>
      <c r="I330" s="6">
        <f>IF(AND(H329="UP",testdataClose[[#This Row],[close]]&gt;I329),testdataClose[[#This Row],[close]],IF(AND(H329="DN",testdataClose[[#This Row],[close]]&lt;I329),testdataClose[[#This Row],[close]],I329))</f>
        <v>261.45999999999998</v>
      </c>
      <c r="J330" s="11">
        <f>(testdataClose[[#This Row],[close]]-testdataClose[[#This Row],[hl]])/testdataClose[[#This Row],[hl]]</f>
        <v>-2.7384685994033386E-2</v>
      </c>
      <c r="K330" s="15">
        <f t="shared" ca="1" si="6"/>
        <v>253.79533333336056</v>
      </c>
      <c r="L330" s="6"/>
      <c r="M330" s="19">
        <f ca="1">IF(testdataClose[[#This Row],[type]]="H",testdataClose[[#This Row],[close]],AVERAGE(M329,M331))</f>
        <v>272.39496296290213</v>
      </c>
      <c r="N330" s="19">
        <f ca="1">IF(testdataClose[[#This Row],[type]]="L",testdataClose[[#This Row],[close]],AVERAGE(N329,N331))</f>
        <v>250.93622222219776</v>
      </c>
      <c r="Q330" s="4">
        <v>329</v>
      </c>
      <c r="R330" s="33">
        <v>253.7953</v>
      </c>
      <c r="S330" s="19">
        <v>272.39499999999998</v>
      </c>
      <c r="T330" s="19">
        <v>250.93620000000001</v>
      </c>
    </row>
    <row r="331" spans="1:20" x14ac:dyDescent="0.35">
      <c r="A331" s="7">
        <v>330</v>
      </c>
      <c r="B331" s="3">
        <v>43215</v>
      </c>
      <c r="C331" s="2">
        <v>254.23</v>
      </c>
      <c r="D331" s="2">
        <v>255.41</v>
      </c>
      <c r="E331" s="2">
        <v>252.24</v>
      </c>
      <c r="F331" s="14">
        <v>254.93</v>
      </c>
      <c r="G331" s="1">
        <v>107386584</v>
      </c>
      <c r="H331" s="6" t="s">
        <v>10</v>
      </c>
      <c r="I331" s="6">
        <f>IF(AND(H330="UP",testdataClose[[#This Row],[close]]&gt;I330),testdataClose[[#This Row],[close]],IF(AND(H330="DN",testdataClose[[#This Row],[close]]&lt;I330),testdataClose[[#This Row],[close]],I330))</f>
        <v>261.45999999999998</v>
      </c>
      <c r="J331" s="11">
        <f>(testdataClose[[#This Row],[close]]-testdataClose[[#This Row],[hl]])/testdataClose[[#This Row],[hl]]</f>
        <v>-2.4975139600703637E-2</v>
      </c>
      <c r="K331" s="15">
        <f t="shared" ca="1" si="6"/>
        <v>254.09691666669545</v>
      </c>
      <c r="L331" s="6"/>
      <c r="M331" s="19">
        <f ca="1">IF(testdataClose[[#This Row],[type]]="H",testdataClose[[#This Row],[close]],AVERAGE(M330,M332))</f>
        <v>272.51770370364153</v>
      </c>
      <c r="N331" s="19">
        <f ca="1">IF(testdataClose[[#This Row],[type]]="L",testdataClose[[#This Row],[close]],AVERAGE(N330,N332))</f>
        <v>251.05911111108526</v>
      </c>
      <c r="Q331" s="4">
        <v>330</v>
      </c>
      <c r="R331" s="33">
        <v>254.09690000000001</v>
      </c>
      <c r="S331" s="19">
        <v>272.51769999999999</v>
      </c>
      <c r="T331" s="19">
        <v>251.0591</v>
      </c>
    </row>
    <row r="332" spans="1:20" x14ac:dyDescent="0.35">
      <c r="A332" s="7">
        <v>331</v>
      </c>
      <c r="B332" s="3">
        <v>43216</v>
      </c>
      <c r="C332" s="2">
        <v>256.05</v>
      </c>
      <c r="D332" s="2">
        <v>258.42</v>
      </c>
      <c r="E332" s="2">
        <v>255.56</v>
      </c>
      <c r="F332" s="14">
        <v>257.52</v>
      </c>
      <c r="G332" s="1">
        <v>70044640</v>
      </c>
      <c r="H332" s="6" t="s">
        <v>10</v>
      </c>
      <c r="I332" s="6">
        <f>IF(AND(H331="UP",testdataClose[[#This Row],[close]]&gt;I331),testdataClose[[#This Row],[close]],IF(AND(H331="DN",testdataClose[[#This Row],[close]]&lt;I331),testdataClose[[#This Row],[close]],I331))</f>
        <v>261.45999999999998</v>
      </c>
      <c r="J332" s="11">
        <f>(testdataClose[[#This Row],[close]]-testdataClose[[#This Row],[hl]])/testdataClose[[#This Row],[hl]]</f>
        <v>-1.5069226650348037E-2</v>
      </c>
      <c r="K332" s="15">
        <f t="shared" ca="1" si="6"/>
        <v>254.39850000003031</v>
      </c>
      <c r="L332" s="6"/>
      <c r="M332" s="19">
        <f ca="1">IF(testdataClose[[#This Row],[type]]="H",testdataClose[[#This Row],[close]],AVERAGE(M331,M333))</f>
        <v>272.64044444438093</v>
      </c>
      <c r="N332" s="19">
        <f ca="1">IF(testdataClose[[#This Row],[type]]="L",testdataClose[[#This Row],[close]],AVERAGE(N331,N333))</f>
        <v>251.18199999997279</v>
      </c>
      <c r="Q332" s="4">
        <v>331</v>
      </c>
      <c r="R332" s="33">
        <v>254.39850000000001</v>
      </c>
      <c r="S332" s="19">
        <v>272.6404</v>
      </c>
      <c r="T332" s="19">
        <v>251.18199999999999</v>
      </c>
    </row>
    <row r="333" spans="1:20" x14ac:dyDescent="0.35">
      <c r="A333" s="7">
        <v>332</v>
      </c>
      <c r="B333" s="3">
        <v>43217</v>
      </c>
      <c r="C333" s="2">
        <v>258.18</v>
      </c>
      <c r="D333" s="2">
        <v>258.51</v>
      </c>
      <c r="E333" s="2">
        <v>256.73</v>
      </c>
      <c r="F333" s="14">
        <v>257.76</v>
      </c>
      <c r="G333" s="1">
        <v>59001736</v>
      </c>
      <c r="H333" s="6" t="s">
        <v>10</v>
      </c>
      <c r="I333" s="6">
        <f>IF(AND(H332="UP",testdataClose[[#This Row],[close]]&gt;I332),testdataClose[[#This Row],[close]],IF(AND(H332="DN",testdataClose[[#This Row],[close]]&lt;I332),testdataClose[[#This Row],[close]],I332))</f>
        <v>261.45999999999998</v>
      </c>
      <c r="J333" s="11">
        <f>(testdataClose[[#This Row],[close]]-testdataClose[[#This Row],[hl]])/testdataClose[[#This Row],[hl]]</f>
        <v>-1.4151304214793808E-2</v>
      </c>
      <c r="K333" s="15">
        <f t="shared" ca="1" si="6"/>
        <v>254.70008333336514</v>
      </c>
      <c r="L333" s="6"/>
      <c r="M333" s="19">
        <f ca="1">IF(testdataClose[[#This Row],[type]]="H",testdataClose[[#This Row],[close]],AVERAGE(M332,M334))</f>
        <v>272.76318518512039</v>
      </c>
      <c r="N333" s="19">
        <f ca="1">IF(testdataClose[[#This Row],[type]]="L",testdataClose[[#This Row],[close]],AVERAGE(N332,N334))</f>
        <v>251.30488888886035</v>
      </c>
      <c r="Q333" s="4">
        <v>332</v>
      </c>
      <c r="R333" s="33">
        <v>254.70009999999999</v>
      </c>
      <c r="S333" s="19">
        <v>272.76319999999998</v>
      </c>
      <c r="T333" s="19">
        <v>251.3049</v>
      </c>
    </row>
    <row r="334" spans="1:20" x14ac:dyDescent="0.35">
      <c r="A334" s="7">
        <v>333</v>
      </c>
      <c r="B334" s="3">
        <v>43220</v>
      </c>
      <c r="C334" s="2">
        <v>258.44</v>
      </c>
      <c r="D334" s="2">
        <v>259.04000000000002</v>
      </c>
      <c r="E334" s="2">
        <v>255.7</v>
      </c>
      <c r="F334" s="14">
        <v>255.78</v>
      </c>
      <c r="G334" s="1">
        <v>84988424</v>
      </c>
      <c r="H334" s="6" t="s">
        <v>10</v>
      </c>
      <c r="I334" s="6">
        <f>IF(AND(H333="UP",testdataClose[[#This Row],[close]]&gt;I333),testdataClose[[#This Row],[close]],IF(AND(H333="DN",testdataClose[[#This Row],[close]]&lt;I333),testdataClose[[#This Row],[close]],I333))</f>
        <v>261.45999999999998</v>
      </c>
      <c r="J334" s="11">
        <f>(testdataClose[[#This Row],[close]]-testdataClose[[#This Row],[hl]])/testdataClose[[#This Row],[hl]]</f>
        <v>-2.1724164308115884E-2</v>
      </c>
      <c r="K334" s="15">
        <f t="shared" ca="1" si="6"/>
        <v>255.00166666669998</v>
      </c>
      <c r="L334" s="6"/>
      <c r="M334" s="19">
        <f ca="1">IF(testdataClose[[#This Row],[type]]="H",testdataClose[[#This Row],[close]],AVERAGE(M333,M335))</f>
        <v>272.88592592585991</v>
      </c>
      <c r="N334" s="19">
        <f ca="1">IF(testdataClose[[#This Row],[type]]="L",testdataClose[[#This Row],[close]],AVERAGE(N333,N335))</f>
        <v>251.42777777774791</v>
      </c>
      <c r="Q334" s="4">
        <v>333</v>
      </c>
      <c r="R334" s="33">
        <v>255.0017</v>
      </c>
      <c r="S334" s="19">
        <v>272.88589999999999</v>
      </c>
      <c r="T334" s="19">
        <v>251.42779999999999</v>
      </c>
    </row>
    <row r="335" spans="1:20" x14ac:dyDescent="0.35">
      <c r="A335" s="7">
        <v>334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14">
        <v>256.23</v>
      </c>
      <c r="G335" s="1">
        <v>76737024</v>
      </c>
      <c r="H335" s="6" t="s">
        <v>10</v>
      </c>
      <c r="I335" s="6">
        <f>IF(AND(H334="UP",testdataClose[[#This Row],[close]]&gt;I334),testdataClose[[#This Row],[close]],IF(AND(H334="DN",testdataClose[[#This Row],[close]]&lt;I334),testdataClose[[#This Row],[close]],I334))</f>
        <v>261.45999999999998</v>
      </c>
      <c r="J335" s="11">
        <f>(testdataClose[[#This Row],[close]]-testdataClose[[#This Row],[hl]])/testdataClose[[#This Row],[hl]]</f>
        <v>-2.0003059741451702E-2</v>
      </c>
      <c r="K335" s="15">
        <f t="shared" ca="1" si="6"/>
        <v>255.30325000003478</v>
      </c>
      <c r="L335" s="6"/>
      <c r="M335" s="19">
        <f ca="1">IF(testdataClose[[#This Row],[type]]="H",testdataClose[[#This Row],[close]],AVERAGE(M334,M336))</f>
        <v>273.00866666659942</v>
      </c>
      <c r="N335" s="19">
        <f ca="1">IF(testdataClose[[#This Row],[type]]="L",testdataClose[[#This Row],[close]],AVERAGE(N334,N336))</f>
        <v>251.55066666663549</v>
      </c>
      <c r="Q335" s="4">
        <v>334</v>
      </c>
      <c r="R335" s="33">
        <v>255.30330000000001</v>
      </c>
      <c r="S335" s="19">
        <v>273.00869999999998</v>
      </c>
      <c r="T335" s="19">
        <v>251.55070000000001</v>
      </c>
    </row>
    <row r="336" spans="1:20" x14ac:dyDescent="0.35">
      <c r="A336" s="7">
        <v>335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14">
        <v>254.51</v>
      </c>
      <c r="G336" s="1">
        <v>89317992</v>
      </c>
      <c r="H336" s="6" t="s">
        <v>10</v>
      </c>
      <c r="I336" s="6">
        <f>IF(AND(H335="UP",testdataClose[[#This Row],[close]]&gt;I335),testdataClose[[#This Row],[close]],IF(AND(H335="DN",testdataClose[[#This Row],[close]]&lt;I335),testdataClose[[#This Row],[close]],I335))</f>
        <v>261.45999999999998</v>
      </c>
      <c r="J336" s="11">
        <f>(testdataClose[[#This Row],[close]]-testdataClose[[#This Row],[hl]])/testdataClose[[#This Row],[hl]]</f>
        <v>-2.6581503862923541E-2</v>
      </c>
      <c r="K336" s="15">
        <f t="shared" ca="1" si="6"/>
        <v>255.60483333336956</v>
      </c>
      <c r="L336" s="6"/>
      <c r="M336" s="19">
        <f ca="1">IF(testdataClose[[#This Row],[type]]="H",testdataClose[[#This Row],[close]],AVERAGE(M335,M337))</f>
        <v>273.131407407339</v>
      </c>
      <c r="N336" s="19">
        <f ca="1">IF(testdataClose[[#This Row],[type]]="L",testdataClose[[#This Row],[close]],AVERAGE(N335,N337))</f>
        <v>251.67355555552311</v>
      </c>
      <c r="Q336" s="4">
        <v>335</v>
      </c>
      <c r="R336" s="33">
        <v>255.60480000000001</v>
      </c>
      <c r="S336" s="19">
        <v>273.13139999999999</v>
      </c>
      <c r="T336" s="19">
        <v>251.67359999999999</v>
      </c>
    </row>
    <row r="337" spans="1:20" x14ac:dyDescent="0.35">
      <c r="A337" s="7">
        <v>336</v>
      </c>
      <c r="B337" s="3">
        <v>43223</v>
      </c>
      <c r="C337" s="2">
        <v>253.6</v>
      </c>
      <c r="D337" s="2">
        <v>254.66</v>
      </c>
      <c r="E337" s="2">
        <v>250.5</v>
      </c>
      <c r="F337" s="14">
        <v>253.95</v>
      </c>
      <c r="G337" s="1">
        <v>140965808</v>
      </c>
      <c r="H337" s="6" t="s">
        <v>10</v>
      </c>
      <c r="I337" s="6">
        <f>IF(AND(H336="UP",testdataClose[[#This Row],[close]]&gt;I336),testdataClose[[#This Row],[close]],IF(AND(H336="DN",testdataClose[[#This Row],[close]]&lt;I336),testdataClose[[#This Row],[close]],I336))</f>
        <v>261.45999999999998</v>
      </c>
      <c r="J337" s="11">
        <f>(testdataClose[[#This Row],[close]]-testdataClose[[#This Row],[hl]])/testdataClose[[#This Row],[hl]]</f>
        <v>-2.8723322879216674E-2</v>
      </c>
      <c r="K337" s="15">
        <f t="shared" ca="1" si="6"/>
        <v>255.90641666670433</v>
      </c>
      <c r="L337" s="6"/>
      <c r="M337" s="19">
        <f ca="1">IF(testdataClose[[#This Row],[type]]="H",testdataClose[[#This Row],[close]],AVERAGE(M336,M338))</f>
        <v>273.25414814807863</v>
      </c>
      <c r="N337" s="19">
        <f ca="1">IF(testdataClose[[#This Row],[type]]="L",testdataClose[[#This Row],[close]],AVERAGE(N336,N338))</f>
        <v>251.79644444441072</v>
      </c>
      <c r="Q337" s="4">
        <v>336</v>
      </c>
      <c r="R337" s="33">
        <v>255.90639999999999</v>
      </c>
      <c r="S337" s="19">
        <v>273.25409999999999</v>
      </c>
      <c r="T337" s="19">
        <v>251.79640000000001</v>
      </c>
    </row>
    <row r="338" spans="1:20" x14ac:dyDescent="0.35">
      <c r="A338" s="7">
        <v>337</v>
      </c>
      <c r="B338" s="3">
        <v>43224</v>
      </c>
      <c r="C338" s="2">
        <v>252.89</v>
      </c>
      <c r="D338" s="2">
        <v>257.98</v>
      </c>
      <c r="E338" s="2">
        <v>252.53</v>
      </c>
      <c r="F338" s="14">
        <v>257.24</v>
      </c>
      <c r="G338" s="1">
        <v>94336840</v>
      </c>
      <c r="H338" s="6" t="s">
        <v>10</v>
      </c>
      <c r="I338" s="6">
        <f>IF(AND(H337="UP",testdataClose[[#This Row],[close]]&gt;I337),testdataClose[[#This Row],[close]],IF(AND(H337="DN",testdataClose[[#This Row],[close]]&lt;I337),testdataClose[[#This Row],[close]],I337))</f>
        <v>261.45999999999998</v>
      </c>
      <c r="J338" s="11">
        <f>(testdataClose[[#This Row],[close]]-testdataClose[[#This Row],[hl]])/testdataClose[[#This Row],[hl]]</f>
        <v>-1.6140136158494495E-2</v>
      </c>
      <c r="K338" s="15">
        <f t="shared" ca="1" si="6"/>
        <v>256.20800000003908</v>
      </c>
      <c r="L338" s="6"/>
      <c r="M338" s="19">
        <f ca="1">IF(testdataClose[[#This Row],[type]]="H",testdataClose[[#This Row],[close]],AVERAGE(M337,M339))</f>
        <v>273.37688888881826</v>
      </c>
      <c r="N338" s="19">
        <f ca="1">IF(testdataClose[[#This Row],[type]]="L",testdataClose[[#This Row],[close]],AVERAGE(N337,N339))</f>
        <v>251.91933333329837</v>
      </c>
      <c r="Q338" s="4">
        <v>337</v>
      </c>
      <c r="R338" s="33">
        <v>256.20800000000003</v>
      </c>
      <c r="S338" s="19">
        <v>273.37689999999998</v>
      </c>
      <c r="T338" s="19">
        <v>251.91929999999999</v>
      </c>
    </row>
    <row r="339" spans="1:20" x14ac:dyDescent="0.35">
      <c r="A339" s="7">
        <v>338</v>
      </c>
      <c r="B339" s="3">
        <v>43227</v>
      </c>
      <c r="C339" s="2">
        <v>258.08</v>
      </c>
      <c r="D339" s="2">
        <v>259.17</v>
      </c>
      <c r="E339" s="2">
        <v>257.32</v>
      </c>
      <c r="F339" s="14">
        <v>258.11</v>
      </c>
      <c r="G339" s="1">
        <v>57193284</v>
      </c>
      <c r="H339" s="6" t="s">
        <v>10</v>
      </c>
      <c r="I339" s="6">
        <f>IF(AND(H338="UP",testdataClose[[#This Row],[close]]&gt;I338),testdataClose[[#This Row],[close]],IF(AND(H338="DN",testdataClose[[#This Row],[close]]&lt;I338),testdataClose[[#This Row],[close]],I338))</f>
        <v>261.45999999999998</v>
      </c>
      <c r="J339" s="11">
        <f>(testdataClose[[#This Row],[close]]-testdataClose[[#This Row],[hl]])/testdataClose[[#This Row],[hl]]</f>
        <v>-1.2812667329610519E-2</v>
      </c>
      <c r="K339" s="15">
        <f t="shared" ca="1" si="6"/>
        <v>256.50958333337377</v>
      </c>
      <c r="L339" s="6"/>
      <c r="M339" s="19">
        <f ca="1">IF(testdataClose[[#This Row],[type]]="H",testdataClose[[#This Row],[close]],AVERAGE(M338,M340))</f>
        <v>273.49962962955794</v>
      </c>
      <c r="N339" s="19">
        <f ca="1">IF(testdataClose[[#This Row],[type]]="L",testdataClose[[#This Row],[close]],AVERAGE(N338,N340))</f>
        <v>252.04222222218604</v>
      </c>
      <c r="Q339" s="4">
        <v>338</v>
      </c>
      <c r="R339" s="33">
        <v>256.50959999999998</v>
      </c>
      <c r="S339" s="19">
        <v>273.49959999999999</v>
      </c>
      <c r="T339" s="19">
        <v>252.04220000000001</v>
      </c>
    </row>
    <row r="340" spans="1:20" x14ac:dyDescent="0.35">
      <c r="A340" s="7">
        <v>339</v>
      </c>
      <c r="B340" s="3">
        <v>43228</v>
      </c>
      <c r="C340" s="2">
        <v>257.7</v>
      </c>
      <c r="D340" s="2">
        <v>258.5</v>
      </c>
      <c r="E340" s="2">
        <v>256.39999999999998</v>
      </c>
      <c r="F340" s="14">
        <v>258.11</v>
      </c>
      <c r="G340" s="1">
        <v>69804000</v>
      </c>
      <c r="H340" s="6" t="s">
        <v>10</v>
      </c>
      <c r="I340" s="6">
        <f>IF(AND(H339="UP",testdataClose[[#This Row],[close]]&gt;I339),testdataClose[[#This Row],[close]],IF(AND(H339="DN",testdataClose[[#This Row],[close]]&lt;I339),testdataClose[[#This Row],[close]],I339))</f>
        <v>261.45999999999998</v>
      </c>
      <c r="J340" s="11">
        <f>(testdataClose[[#This Row],[close]]-testdataClose[[#This Row],[hl]])/testdataClose[[#This Row],[hl]]</f>
        <v>-1.2812667329610519E-2</v>
      </c>
      <c r="K340" s="15">
        <f t="shared" ca="1" si="6"/>
        <v>256.81116666670846</v>
      </c>
      <c r="L340" s="6"/>
      <c r="M340" s="19">
        <f ca="1">IF(testdataClose[[#This Row],[type]]="H",testdataClose[[#This Row],[close]],AVERAGE(M339,M341))</f>
        <v>273.62237037029769</v>
      </c>
      <c r="N340" s="19">
        <f ca="1">IF(testdataClose[[#This Row],[type]]="L",testdataClose[[#This Row],[close]],AVERAGE(N339,N341))</f>
        <v>252.16511111107371</v>
      </c>
      <c r="Q340" s="4">
        <v>339</v>
      </c>
      <c r="R340" s="33">
        <v>256.81119999999999</v>
      </c>
      <c r="S340" s="19">
        <v>273.62240000000003</v>
      </c>
      <c r="T340" s="19">
        <v>252.1651</v>
      </c>
    </row>
    <row r="341" spans="1:20" x14ac:dyDescent="0.35">
      <c r="A341" s="7">
        <v>340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14">
        <v>260.60000000000002</v>
      </c>
      <c r="G341" s="1">
        <v>61703432</v>
      </c>
      <c r="H341" s="6" t="s">
        <v>10</v>
      </c>
      <c r="I341" s="6">
        <f>IF(AND(H340="UP",testdataClose[[#This Row],[close]]&gt;I340),testdataClose[[#This Row],[close]],IF(AND(H340="DN",testdataClose[[#This Row],[close]]&lt;I340),testdataClose[[#This Row],[close]],I340))</f>
        <v>261.45999999999998</v>
      </c>
      <c r="J341" s="11">
        <f>(testdataClose[[#This Row],[close]]-testdataClose[[#This Row],[hl]])/testdataClose[[#This Row],[hl]]</f>
        <v>-3.289222060735703E-3</v>
      </c>
      <c r="K341" s="15">
        <f t="shared" ca="1" si="6"/>
        <v>257.11275000004309</v>
      </c>
      <c r="L341" s="6"/>
      <c r="M341" s="19">
        <f ca="1">IF(testdataClose[[#This Row],[type]]="H",testdataClose[[#This Row],[close]],AVERAGE(M340,M342))</f>
        <v>273.74511111103743</v>
      </c>
      <c r="N341" s="19">
        <f ca="1">IF(testdataClose[[#This Row],[type]]="L",testdataClose[[#This Row],[close]],AVERAGE(N340,N342))</f>
        <v>252.28799999996141</v>
      </c>
      <c r="Q341" s="4">
        <v>340</v>
      </c>
      <c r="R341" s="33">
        <v>257.11279999999999</v>
      </c>
      <c r="S341" s="19">
        <v>273.74509999999998</v>
      </c>
      <c r="T341" s="19">
        <v>252.28800000000001</v>
      </c>
    </row>
    <row r="342" spans="1:20" x14ac:dyDescent="0.35">
      <c r="A342" s="7">
        <v>341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14">
        <v>263.04000000000002</v>
      </c>
      <c r="G342" s="1">
        <v>74524544</v>
      </c>
      <c r="H342" s="6" t="s">
        <v>10</v>
      </c>
      <c r="I342" s="6">
        <f>IF(AND(H341="UP",testdataClose[[#This Row],[close]]&gt;I341),testdataClose[[#This Row],[close]],IF(AND(H341="DN",testdataClose[[#This Row],[close]]&lt;I341),testdataClose[[#This Row],[close]],I341))</f>
        <v>263.04000000000002</v>
      </c>
      <c r="J342" s="11">
        <f>(testdataClose[[#This Row],[close]]-testdataClose[[#This Row],[hl]])/testdataClose[[#This Row],[hl]]</f>
        <v>0</v>
      </c>
      <c r="K342" s="15">
        <f t="shared" ca="1" si="6"/>
        <v>257.41433333337767</v>
      </c>
      <c r="L342" s="6"/>
      <c r="M342" s="19">
        <f ca="1">IF(testdataClose[[#This Row],[type]]="H",testdataClose[[#This Row],[close]],AVERAGE(M341,M343))</f>
        <v>273.86785185177723</v>
      </c>
      <c r="N342" s="19">
        <f ca="1">IF(testdataClose[[#This Row],[type]]="L",testdataClose[[#This Row],[close]],AVERAGE(N341,N343))</f>
        <v>252.41088888884914</v>
      </c>
      <c r="Q342" s="4">
        <v>341</v>
      </c>
      <c r="R342" s="33">
        <v>257.41430000000003</v>
      </c>
      <c r="S342" s="19">
        <v>273.86790000000002</v>
      </c>
      <c r="T342" s="19">
        <v>252.4109</v>
      </c>
    </row>
    <row r="343" spans="1:20" x14ac:dyDescent="0.35">
      <c r="A343" s="7">
        <v>342</v>
      </c>
      <c r="B343" s="3">
        <v>43231</v>
      </c>
      <c r="C343" s="2">
        <v>263.17</v>
      </c>
      <c r="D343" s="2">
        <v>264.13</v>
      </c>
      <c r="E343" s="2">
        <v>262.61</v>
      </c>
      <c r="F343" s="14">
        <v>263.83999999999997</v>
      </c>
      <c r="G343" s="1">
        <v>61915812</v>
      </c>
      <c r="H343" s="6" t="s">
        <v>10</v>
      </c>
      <c r="I343" s="6">
        <f>IF(AND(H342="UP",testdataClose[[#This Row],[close]]&gt;I342),testdataClose[[#This Row],[close]],IF(AND(H342="DN",testdataClose[[#This Row],[close]]&lt;I342),testdataClose[[#This Row],[close]],I342))</f>
        <v>263.83999999999997</v>
      </c>
      <c r="J343" s="11">
        <f>(testdataClose[[#This Row],[close]]-testdataClose[[#This Row],[hl]])/testdataClose[[#This Row],[hl]]</f>
        <v>0</v>
      </c>
      <c r="K343" s="15">
        <f t="shared" ca="1" si="6"/>
        <v>257.71591666671225</v>
      </c>
      <c r="L343" s="6"/>
      <c r="M343" s="19">
        <f ca="1">IF(testdataClose[[#This Row],[type]]="H",testdataClose[[#This Row],[close]],AVERAGE(M342,M344))</f>
        <v>273.99059259251709</v>
      </c>
      <c r="N343" s="19">
        <f ca="1">IF(testdataClose[[#This Row],[type]]="L",testdataClose[[#This Row],[close]],AVERAGE(N342,N344))</f>
        <v>252.53377777773687</v>
      </c>
      <c r="Q343" s="4">
        <v>342</v>
      </c>
      <c r="R343" s="33">
        <v>257.71589999999998</v>
      </c>
      <c r="S343" s="19">
        <v>273.99059999999997</v>
      </c>
      <c r="T343" s="19">
        <v>252.53380000000001</v>
      </c>
    </row>
    <row r="344" spans="1:20" x14ac:dyDescent="0.35">
      <c r="A344" s="7">
        <v>343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14">
        <v>263.97000000000003</v>
      </c>
      <c r="G344" s="1">
        <v>56661420</v>
      </c>
      <c r="H344" s="6" t="s">
        <v>10</v>
      </c>
      <c r="I344" s="6">
        <f>IF(AND(H343="UP",testdataClose[[#This Row],[close]]&gt;I343),testdataClose[[#This Row],[close]],IF(AND(H343="DN",testdataClose[[#This Row],[close]]&lt;I343),testdataClose[[#This Row],[close]],I343))</f>
        <v>263.97000000000003</v>
      </c>
      <c r="J344" s="11">
        <f>(testdataClose[[#This Row],[close]]-testdataClose[[#This Row],[hl]])/testdataClose[[#This Row],[hl]]</f>
        <v>0</v>
      </c>
      <c r="K344" s="15">
        <f t="shared" ca="1" si="6"/>
        <v>258.01750000004677</v>
      </c>
      <c r="L344" s="6"/>
      <c r="M344" s="19">
        <f ca="1">IF(testdataClose[[#This Row],[type]]="H",testdataClose[[#This Row],[close]],AVERAGE(M343,M345))</f>
        <v>274.11333333325695</v>
      </c>
      <c r="N344" s="19">
        <f ca="1">IF(testdataClose[[#This Row],[type]]="L",testdataClose[[#This Row],[close]],AVERAGE(N343,N345))</f>
        <v>252.65666666662463</v>
      </c>
      <c r="Q344" s="4">
        <v>343</v>
      </c>
      <c r="R344" s="33">
        <v>258.01749999999998</v>
      </c>
      <c r="S344" s="19">
        <v>274.11329999999998</v>
      </c>
      <c r="T344" s="19">
        <v>252.6567</v>
      </c>
    </row>
    <row r="345" spans="1:20" x14ac:dyDescent="0.35">
      <c r="A345" s="7">
        <v>344</v>
      </c>
      <c r="B345" s="3">
        <v>43235</v>
      </c>
      <c r="C345" s="2">
        <v>262.62</v>
      </c>
      <c r="D345" s="2">
        <v>262.64</v>
      </c>
      <c r="E345" s="2">
        <v>261.11</v>
      </c>
      <c r="F345" s="14">
        <v>262.14999999999998</v>
      </c>
      <c r="G345" s="1">
        <v>90007968</v>
      </c>
      <c r="H345" s="6" t="s">
        <v>10</v>
      </c>
      <c r="I345" s="6">
        <f>IF(AND(H344="UP",testdataClose[[#This Row],[close]]&gt;I344),testdataClose[[#This Row],[close]],IF(AND(H344="DN",testdataClose[[#This Row],[close]]&lt;I344),testdataClose[[#This Row],[close]],I344))</f>
        <v>263.97000000000003</v>
      </c>
      <c r="J345" s="11">
        <f>(testdataClose[[#This Row],[close]]-testdataClose[[#This Row],[hl]])/testdataClose[[#This Row],[hl]]</f>
        <v>-6.8947228851765343E-3</v>
      </c>
      <c r="K345" s="15">
        <f t="shared" ca="1" si="6"/>
        <v>258.31908333338123</v>
      </c>
      <c r="L345" s="6"/>
      <c r="M345" s="19">
        <f ca="1">IF(testdataClose[[#This Row],[type]]="H",testdataClose[[#This Row],[close]],AVERAGE(M344,M346))</f>
        <v>274.23607407399686</v>
      </c>
      <c r="N345" s="19">
        <f ca="1">IF(testdataClose[[#This Row],[type]]="L",testdataClose[[#This Row],[close]],AVERAGE(N344,N346))</f>
        <v>252.77955555551242</v>
      </c>
      <c r="Q345" s="4">
        <v>344</v>
      </c>
      <c r="R345" s="33">
        <v>258.31909999999999</v>
      </c>
      <c r="S345" s="19">
        <v>274.23610000000002</v>
      </c>
      <c r="T345" s="19">
        <v>252.77959999999999</v>
      </c>
    </row>
    <row r="346" spans="1:20" x14ac:dyDescent="0.35">
      <c r="A346" s="7">
        <v>345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14">
        <v>263.25</v>
      </c>
      <c r="G346" s="1">
        <v>55784492</v>
      </c>
      <c r="H346" s="6" t="s">
        <v>10</v>
      </c>
      <c r="I346" s="6">
        <f>IF(AND(H345="UP",testdataClose[[#This Row],[close]]&gt;I345),testdataClose[[#This Row],[close]],IF(AND(H345="DN",testdataClose[[#This Row],[close]]&lt;I345),testdataClose[[#This Row],[close]],I345))</f>
        <v>263.97000000000003</v>
      </c>
      <c r="J346" s="11">
        <f>(testdataClose[[#This Row],[close]]-testdataClose[[#This Row],[hl]])/testdataClose[[#This Row],[hl]]</f>
        <v>-2.727582679850086E-3</v>
      </c>
      <c r="K346" s="15">
        <f t="shared" ca="1" si="6"/>
        <v>258.62066666671569</v>
      </c>
      <c r="L346" s="6"/>
      <c r="M346" s="19">
        <f ca="1">IF(testdataClose[[#This Row],[type]]="H",testdataClose[[#This Row],[close]],AVERAGE(M345,M347))</f>
        <v>274.35881481473683</v>
      </c>
      <c r="N346" s="19">
        <f ca="1">IF(testdataClose[[#This Row],[type]]="L",testdataClose[[#This Row],[close]],AVERAGE(N345,N347))</f>
        <v>252.9024444444002</v>
      </c>
      <c r="Q346" s="4">
        <v>345</v>
      </c>
      <c r="R346" s="33">
        <v>258.6207</v>
      </c>
      <c r="S346" s="19">
        <v>274.35879999999997</v>
      </c>
      <c r="T346" s="19">
        <v>252.9024</v>
      </c>
    </row>
    <row r="347" spans="1:20" x14ac:dyDescent="0.35">
      <c r="A347" s="7">
        <v>346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14">
        <v>263.02999999999997</v>
      </c>
      <c r="G347" s="1">
        <v>58466824</v>
      </c>
      <c r="H347" s="6" t="s">
        <v>10</v>
      </c>
      <c r="I347" s="6">
        <f>IF(AND(H346="UP",testdataClose[[#This Row],[close]]&gt;I346),testdataClose[[#This Row],[close]],IF(AND(H346="DN",testdataClose[[#This Row],[close]]&lt;I346),testdataClose[[#This Row],[close]],I346))</f>
        <v>263.97000000000003</v>
      </c>
      <c r="J347" s="11">
        <f>(testdataClose[[#This Row],[close]]-testdataClose[[#This Row],[hl]])/testdataClose[[#This Row],[hl]]</f>
        <v>-3.5610107209154617E-3</v>
      </c>
      <c r="K347" s="15">
        <f t="shared" ca="1" si="6"/>
        <v>258.9222500000501</v>
      </c>
      <c r="L347" s="6"/>
      <c r="M347" s="19">
        <f ca="1">IF(testdataClose[[#This Row],[type]]="H",testdataClose[[#This Row],[close]],AVERAGE(M346,M348))</f>
        <v>274.4815555554768</v>
      </c>
      <c r="N347" s="19">
        <f ca="1">IF(testdataClose[[#This Row],[type]]="L",testdataClose[[#This Row],[close]],AVERAGE(N346,N348))</f>
        <v>253.02533333328802</v>
      </c>
      <c r="Q347" s="4">
        <v>346</v>
      </c>
      <c r="R347" s="33">
        <v>258.92230000000001</v>
      </c>
      <c r="S347" s="19">
        <v>274.48160000000001</v>
      </c>
      <c r="T347" s="19">
        <v>253.02529999999999</v>
      </c>
    </row>
    <row r="348" spans="1:20" x14ac:dyDescent="0.35">
      <c r="A348" s="7">
        <v>347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14">
        <v>262.37</v>
      </c>
      <c r="G348" s="1">
        <v>66565792</v>
      </c>
      <c r="H348" s="6" t="s">
        <v>10</v>
      </c>
      <c r="I348" s="6">
        <f>IF(AND(H347="UP",testdataClose[[#This Row],[close]]&gt;I347),testdataClose[[#This Row],[close]],IF(AND(H347="DN",testdataClose[[#This Row],[close]]&lt;I347),testdataClose[[#This Row],[close]],I347))</f>
        <v>263.97000000000003</v>
      </c>
      <c r="J348" s="11">
        <f>(testdataClose[[#This Row],[close]]-testdataClose[[#This Row],[hl]])/testdataClose[[#This Row],[hl]]</f>
        <v>-6.0612948441111586E-3</v>
      </c>
      <c r="K348" s="15">
        <f t="shared" ca="1" si="6"/>
        <v>259.22383333338445</v>
      </c>
      <c r="L348" s="6"/>
      <c r="M348" s="19">
        <f ca="1">IF(testdataClose[[#This Row],[type]]="H",testdataClose[[#This Row],[close]],AVERAGE(M347,M349))</f>
        <v>274.60429629621683</v>
      </c>
      <c r="N348" s="19">
        <f ca="1">IF(testdataClose[[#This Row],[type]]="L",testdataClose[[#This Row],[close]],AVERAGE(N347,N349))</f>
        <v>253.14822222217586</v>
      </c>
      <c r="Q348" s="4">
        <v>347</v>
      </c>
      <c r="R348" s="33">
        <v>259.22379999999998</v>
      </c>
      <c r="S348" s="19">
        <v>274.60430000000002</v>
      </c>
      <c r="T348" s="19">
        <v>253.1482</v>
      </c>
    </row>
    <row r="349" spans="1:20" x14ac:dyDescent="0.35">
      <c r="A349" s="7">
        <v>348</v>
      </c>
      <c r="B349" s="3">
        <v>43241</v>
      </c>
      <c r="C349" s="2">
        <v>264</v>
      </c>
      <c r="D349" s="2">
        <v>264.93</v>
      </c>
      <c r="E349" s="2">
        <v>262.39</v>
      </c>
      <c r="F349" s="14">
        <v>264.33999999999997</v>
      </c>
      <c r="G349" s="1">
        <v>60007156</v>
      </c>
      <c r="H349" s="6" t="s">
        <v>10</v>
      </c>
      <c r="I349" s="6">
        <f>IF(AND(H348="UP",testdataClose[[#This Row],[close]]&gt;I348),testdataClose[[#This Row],[close]],IF(AND(H348="DN",testdataClose[[#This Row],[close]]&lt;I348),testdataClose[[#This Row],[close]],I348))</f>
        <v>264.33999999999997</v>
      </c>
      <c r="J349" s="11">
        <f>(testdataClose[[#This Row],[close]]-testdataClose[[#This Row],[hl]])/testdataClose[[#This Row],[hl]]</f>
        <v>0</v>
      </c>
      <c r="K349" s="15">
        <f t="shared" ca="1" si="6"/>
        <v>259.5254166667188</v>
      </c>
      <c r="L349" s="6"/>
      <c r="M349" s="19">
        <f ca="1">IF(testdataClose[[#This Row],[type]]="H",testdataClose[[#This Row],[close]],AVERAGE(M348,M350))</f>
        <v>274.72703703695692</v>
      </c>
      <c r="N349" s="19">
        <f ca="1">IF(testdataClose[[#This Row],[type]]="L",testdataClose[[#This Row],[close]],AVERAGE(N348,N350))</f>
        <v>253.2711111110637</v>
      </c>
      <c r="Q349" s="4">
        <v>348</v>
      </c>
      <c r="R349" s="33">
        <v>259.52539999999999</v>
      </c>
      <c r="S349" s="19">
        <v>274.72699999999998</v>
      </c>
      <c r="T349" s="19">
        <v>253.27109999999999</v>
      </c>
    </row>
    <row r="350" spans="1:20" x14ac:dyDescent="0.35">
      <c r="A350" s="7">
        <v>349</v>
      </c>
      <c r="B350" s="3">
        <v>43242</v>
      </c>
      <c r="C350" s="2">
        <v>264.91000000000003</v>
      </c>
      <c r="D350" s="2">
        <v>265.2</v>
      </c>
      <c r="E350" s="2">
        <v>263.25</v>
      </c>
      <c r="F350" s="14">
        <v>263.61</v>
      </c>
      <c r="G350" s="1">
        <v>54774884</v>
      </c>
      <c r="H350" s="6" t="s">
        <v>10</v>
      </c>
      <c r="I350" s="6">
        <f>IF(AND(H349="UP",testdataClose[[#This Row],[close]]&gt;I349),testdataClose[[#This Row],[close]],IF(AND(H349="DN",testdataClose[[#This Row],[close]]&lt;I349),testdataClose[[#This Row],[close]],I349))</f>
        <v>264.33999999999997</v>
      </c>
      <c r="J350" s="11">
        <f>(testdataClose[[#This Row],[close]]-testdataClose[[#This Row],[hl]])/testdataClose[[#This Row],[hl]]</f>
        <v>-2.761594915638804E-3</v>
      </c>
      <c r="K350" s="15">
        <f t="shared" ca="1" si="6"/>
        <v>259.82700000005309</v>
      </c>
      <c r="L350" s="6"/>
      <c r="M350" s="19">
        <f ca="1">IF(testdataClose[[#This Row],[type]]="H",testdataClose[[#This Row],[close]],AVERAGE(M349,M351))</f>
        <v>274.849777777697</v>
      </c>
      <c r="N350" s="19">
        <f ca="1">IF(testdataClose[[#This Row],[type]]="L",testdataClose[[#This Row],[close]],AVERAGE(N349,N351))</f>
        <v>253.39399999995157</v>
      </c>
      <c r="Q350" s="4">
        <v>349</v>
      </c>
      <c r="R350" s="33">
        <v>259.827</v>
      </c>
      <c r="S350" s="19">
        <v>274.84980000000002</v>
      </c>
      <c r="T350" s="19">
        <v>253.39400000000001</v>
      </c>
    </row>
    <row r="351" spans="1:20" x14ac:dyDescent="0.35">
      <c r="A351" s="7">
        <v>350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14">
        <v>264.33</v>
      </c>
      <c r="G351" s="1">
        <v>66903156</v>
      </c>
      <c r="H351" s="6" t="s">
        <v>10</v>
      </c>
      <c r="I351" s="6">
        <f>IF(AND(H350="UP",testdataClose[[#This Row],[close]]&gt;I350),testdataClose[[#This Row],[close]],IF(AND(H350="DN",testdataClose[[#This Row],[close]]&lt;I350),testdataClose[[#This Row],[close]],I350))</f>
        <v>264.33999999999997</v>
      </c>
      <c r="J351" s="11">
        <f>(testdataClose[[#This Row],[close]]-testdataClose[[#This Row],[hl]])/testdataClose[[#This Row],[hl]]</f>
        <v>-3.7830067337485457E-5</v>
      </c>
      <c r="K351" s="15">
        <f t="shared" ca="1" si="6"/>
        <v>260.12858333338733</v>
      </c>
      <c r="L351" s="6"/>
      <c r="M351" s="19">
        <f ca="1">IF(testdataClose[[#This Row],[type]]="H",testdataClose[[#This Row],[close]],AVERAGE(M350,M352))</f>
        <v>274.97251851843714</v>
      </c>
      <c r="N351" s="19">
        <f ca="1">IF(testdataClose[[#This Row],[type]]="L",testdataClose[[#This Row],[close]],AVERAGE(N350,N352))</f>
        <v>253.51688888883947</v>
      </c>
      <c r="Q351" s="4">
        <v>350</v>
      </c>
      <c r="R351" s="33">
        <v>260.12860000000001</v>
      </c>
      <c r="S351" s="19">
        <v>274.97250000000003</v>
      </c>
      <c r="T351" s="19">
        <v>253.51689999999999</v>
      </c>
    </row>
    <row r="352" spans="1:20" x14ac:dyDescent="0.35">
      <c r="A352" s="7">
        <v>351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14">
        <v>263.79000000000002</v>
      </c>
      <c r="G352" s="1">
        <v>78640328</v>
      </c>
      <c r="H352" s="6" t="s">
        <v>10</v>
      </c>
      <c r="I352" s="6">
        <f>IF(AND(H351="UP",testdataClose[[#This Row],[close]]&gt;I351),testdataClose[[#This Row],[close]],IF(AND(H351="DN",testdataClose[[#This Row],[close]]&lt;I351),testdataClose[[#This Row],[close]],I351))</f>
        <v>264.33999999999997</v>
      </c>
      <c r="J352" s="11">
        <f>(testdataClose[[#This Row],[close]]-testdataClose[[#This Row],[hl]])/testdataClose[[#This Row],[hl]]</f>
        <v>-2.0806537035634206E-3</v>
      </c>
      <c r="K352" s="15">
        <f t="shared" ca="1" si="6"/>
        <v>260.43016666672156</v>
      </c>
      <c r="L352" s="6"/>
      <c r="M352" s="19">
        <f ca="1">IF(testdataClose[[#This Row],[type]]="H",testdataClose[[#This Row],[close]],AVERAGE(M351,M353))</f>
        <v>275.09525925917734</v>
      </c>
      <c r="N352" s="19">
        <f ca="1">IF(testdataClose[[#This Row],[type]]="L",testdataClose[[#This Row],[close]],AVERAGE(N351,N353))</f>
        <v>253.63977777772737</v>
      </c>
      <c r="Q352" s="4">
        <v>351</v>
      </c>
      <c r="R352" s="33">
        <v>260.43020000000001</v>
      </c>
      <c r="S352" s="19">
        <v>275.09530000000001</v>
      </c>
      <c r="T352" s="19">
        <v>253.63980000000001</v>
      </c>
    </row>
    <row r="353" spans="1:20" x14ac:dyDescent="0.35">
      <c r="A353" s="7">
        <v>352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14">
        <v>263.16000000000003</v>
      </c>
      <c r="G353" s="1">
        <v>58299660</v>
      </c>
      <c r="H353" s="6" t="s">
        <v>10</v>
      </c>
      <c r="I353" s="6">
        <f>IF(AND(H352="UP",testdataClose[[#This Row],[close]]&gt;I352),testdataClose[[#This Row],[close]],IF(AND(H352="DN",testdataClose[[#This Row],[close]]&lt;I352),testdataClose[[#This Row],[close]],I352))</f>
        <v>264.33999999999997</v>
      </c>
      <c r="J353" s="11">
        <f>(testdataClose[[#This Row],[close]]-testdataClose[[#This Row],[hl]])/testdataClose[[#This Row],[hl]]</f>
        <v>-4.4639479458271547E-3</v>
      </c>
      <c r="K353" s="15">
        <f t="shared" ca="1" si="6"/>
        <v>260.73175000005574</v>
      </c>
      <c r="L353" s="6"/>
      <c r="M353" s="19">
        <f ca="1">IF(testdataClose[[#This Row],[type]]="H",testdataClose[[#This Row],[close]],AVERAGE(M352,M354))</f>
        <v>275.21799999991754</v>
      </c>
      <c r="N353" s="19">
        <f ca="1">IF(testdataClose[[#This Row],[type]]="L",testdataClose[[#This Row],[close]],AVERAGE(N352,N354))</f>
        <v>253.7626666666153</v>
      </c>
      <c r="Q353" s="4">
        <v>352</v>
      </c>
      <c r="R353" s="33">
        <v>260.73180000000002</v>
      </c>
      <c r="S353" s="19">
        <v>275.21800000000002</v>
      </c>
      <c r="T353" s="19">
        <v>253.7627</v>
      </c>
    </row>
    <row r="354" spans="1:20" x14ac:dyDescent="0.35">
      <c r="A354" s="7">
        <v>353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14">
        <v>260.14</v>
      </c>
      <c r="G354" s="1">
        <v>119866288</v>
      </c>
      <c r="H354" s="6" t="s">
        <v>10</v>
      </c>
      <c r="I354" s="6">
        <f>IF(AND(H353="UP",testdataClose[[#This Row],[close]]&gt;I353),testdataClose[[#This Row],[close]],IF(AND(H353="DN",testdataClose[[#This Row],[close]]&lt;I353),testdataClose[[#This Row],[close]],I353))</f>
        <v>264.33999999999997</v>
      </c>
      <c r="J354" s="11">
        <f>(testdataClose[[#This Row],[close]]-testdataClose[[#This Row],[hl]])/testdataClose[[#This Row],[hl]]</f>
        <v>-1.5888628281758299E-2</v>
      </c>
      <c r="K354" s="15">
        <f t="shared" ca="1" si="6"/>
        <v>261.03333333338986</v>
      </c>
      <c r="L354" s="6"/>
      <c r="M354" s="19">
        <f ca="1">IF(testdataClose[[#This Row],[type]]="H",testdataClose[[#This Row],[close]],AVERAGE(M353,M355))</f>
        <v>275.34074074065779</v>
      </c>
      <c r="N354" s="19">
        <f ca="1">IF(testdataClose[[#This Row],[type]]="L",testdataClose[[#This Row],[close]],AVERAGE(N353,N355))</f>
        <v>253.88555555550326</v>
      </c>
      <c r="Q354" s="4">
        <v>353</v>
      </c>
      <c r="R354" s="33">
        <v>261.0333</v>
      </c>
      <c r="S354" s="19">
        <v>275.34070000000003</v>
      </c>
      <c r="T354" s="19">
        <v>253.88560000000001</v>
      </c>
    </row>
    <row r="355" spans="1:20" x14ac:dyDescent="0.35">
      <c r="A355" s="7">
        <v>354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14">
        <v>263.61</v>
      </c>
      <c r="G355" s="1">
        <v>72057608</v>
      </c>
      <c r="H355" s="6" t="s">
        <v>10</v>
      </c>
      <c r="I355" s="6">
        <f>IF(AND(H354="UP",testdataClose[[#This Row],[close]]&gt;I354),testdataClose[[#This Row],[close]],IF(AND(H354="DN",testdataClose[[#This Row],[close]]&lt;I354),testdataClose[[#This Row],[close]],I354))</f>
        <v>264.33999999999997</v>
      </c>
      <c r="J355" s="11">
        <f>(testdataClose[[#This Row],[close]]-testdataClose[[#This Row],[hl]])/testdataClose[[#This Row],[hl]]</f>
        <v>-2.761594915638804E-3</v>
      </c>
      <c r="K355" s="15">
        <f t="shared" ca="1" si="6"/>
        <v>261.33491666672398</v>
      </c>
      <c r="L355" s="6"/>
      <c r="M355" s="19">
        <f ca="1">IF(testdataClose[[#This Row],[type]]="H",testdataClose[[#This Row],[close]],AVERAGE(M354,M356))</f>
        <v>275.46348148139811</v>
      </c>
      <c r="N355" s="19">
        <f ca="1">IF(testdataClose[[#This Row],[type]]="L",testdataClose[[#This Row],[close]],AVERAGE(N354,N356))</f>
        <v>254.00844444439122</v>
      </c>
      <c r="Q355" s="4">
        <v>354</v>
      </c>
      <c r="R355" s="33">
        <v>261.3349</v>
      </c>
      <c r="S355" s="19">
        <v>275.46350000000001</v>
      </c>
      <c r="T355" s="19">
        <v>254.00839999999999</v>
      </c>
    </row>
    <row r="356" spans="1:20" x14ac:dyDescent="0.35">
      <c r="A356" s="7">
        <v>355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14">
        <v>261.99</v>
      </c>
      <c r="G356" s="1">
        <v>96713160</v>
      </c>
      <c r="H356" s="6" t="s">
        <v>10</v>
      </c>
      <c r="I356" s="6">
        <f>IF(AND(H355="UP",testdataClose[[#This Row],[close]]&gt;I355),testdataClose[[#This Row],[close]],IF(AND(H355="DN",testdataClose[[#This Row],[close]]&lt;I355),testdataClose[[#This Row],[close]],I355))</f>
        <v>264.33999999999997</v>
      </c>
      <c r="J356" s="11">
        <f>(testdataClose[[#This Row],[close]]-testdataClose[[#This Row],[hl]])/testdataClose[[#This Row],[hl]]</f>
        <v>-8.8900658243170391E-3</v>
      </c>
      <c r="K356" s="15">
        <f t="shared" ca="1" si="6"/>
        <v>261.63650000005805</v>
      </c>
      <c r="L356" s="6"/>
      <c r="M356" s="19">
        <f ca="1">IF(testdataClose[[#This Row],[type]]="H",testdataClose[[#This Row],[close]],AVERAGE(M355,M357))</f>
        <v>275.58622222213842</v>
      </c>
      <c r="N356" s="19">
        <f ca="1">IF(testdataClose[[#This Row],[type]]="L",testdataClose[[#This Row],[close]],AVERAGE(N355,N357))</f>
        <v>254.1313333332792</v>
      </c>
      <c r="Q356" s="4">
        <v>355</v>
      </c>
      <c r="R356" s="33">
        <v>261.63650000000001</v>
      </c>
      <c r="S356" s="19">
        <v>275.58620000000002</v>
      </c>
      <c r="T356" s="19">
        <v>254.13130000000001</v>
      </c>
    </row>
    <row r="357" spans="1:20" x14ac:dyDescent="0.35">
      <c r="A357" s="7">
        <v>356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14">
        <v>264.57</v>
      </c>
      <c r="G357" s="1">
        <v>73691520</v>
      </c>
      <c r="H357" s="6" t="s">
        <v>10</v>
      </c>
      <c r="I357" s="6">
        <f>IF(AND(H356="UP",testdataClose[[#This Row],[close]]&gt;I356),testdataClose[[#This Row],[close]],IF(AND(H356="DN",testdataClose[[#This Row],[close]]&lt;I356),testdataClose[[#This Row],[close]],I356))</f>
        <v>264.57</v>
      </c>
      <c r="J357" s="11">
        <f>(testdataClose[[#This Row],[close]]-testdataClose[[#This Row],[hl]])/testdataClose[[#This Row],[hl]]</f>
        <v>0</v>
      </c>
      <c r="K357" s="15">
        <f t="shared" ca="1" si="6"/>
        <v>261.93808333339206</v>
      </c>
      <c r="L357" s="6"/>
      <c r="M357" s="19">
        <f ca="1">IF(testdataClose[[#This Row],[type]]="H",testdataClose[[#This Row],[close]],AVERAGE(M356,M358))</f>
        <v>275.70896296287879</v>
      </c>
      <c r="N357" s="19">
        <f ca="1">IF(testdataClose[[#This Row],[type]]="L",testdataClose[[#This Row],[close]],AVERAGE(N356,N358))</f>
        <v>254.25422222216721</v>
      </c>
      <c r="Q357" s="4">
        <v>356</v>
      </c>
      <c r="R357" s="33">
        <v>261.93810000000002</v>
      </c>
      <c r="S357" s="19">
        <v>275.709</v>
      </c>
      <c r="T357" s="19">
        <v>254.2542</v>
      </c>
    </row>
    <row r="358" spans="1:20" x14ac:dyDescent="0.35">
      <c r="A358" s="7">
        <v>357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14">
        <v>265.82</v>
      </c>
      <c r="G358" s="1">
        <v>46934832</v>
      </c>
      <c r="H358" s="6" t="s">
        <v>10</v>
      </c>
      <c r="I358" s="6">
        <f>IF(AND(H357="UP",testdataClose[[#This Row],[close]]&gt;I357),testdataClose[[#This Row],[close]],IF(AND(H357="DN",testdataClose[[#This Row],[close]]&lt;I357),testdataClose[[#This Row],[close]],I357))</f>
        <v>265.82</v>
      </c>
      <c r="J358" s="11">
        <f>(testdataClose[[#This Row],[close]]-testdataClose[[#This Row],[hl]])/testdataClose[[#This Row],[hl]]</f>
        <v>0</v>
      </c>
      <c r="K358" s="15">
        <f t="shared" ca="1" si="6"/>
        <v>262.23966666672607</v>
      </c>
      <c r="L358" s="6"/>
      <c r="M358" s="19">
        <f ca="1">IF(testdataClose[[#This Row],[type]]="H",testdataClose[[#This Row],[close]],AVERAGE(M357,M359))</f>
        <v>275.83170370361921</v>
      </c>
      <c r="N358" s="19">
        <f ca="1">IF(testdataClose[[#This Row],[type]]="L",testdataClose[[#This Row],[close]],AVERAGE(N357,N359))</f>
        <v>254.37711111105523</v>
      </c>
      <c r="Q358" s="4">
        <v>357</v>
      </c>
      <c r="R358" s="33">
        <v>262.23970000000003</v>
      </c>
      <c r="S358" s="19">
        <v>275.83170000000001</v>
      </c>
      <c r="T358" s="19">
        <v>254.37710000000001</v>
      </c>
    </row>
    <row r="359" spans="1:20" x14ac:dyDescent="0.35">
      <c r="A359" s="7">
        <v>358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14">
        <v>266.02</v>
      </c>
      <c r="G359" s="1">
        <v>52881036</v>
      </c>
      <c r="H359" s="6" t="s">
        <v>10</v>
      </c>
      <c r="I359" s="6">
        <f>IF(AND(H358="UP",testdataClose[[#This Row],[close]]&gt;I358),testdataClose[[#This Row],[close]],IF(AND(H358="DN",testdataClose[[#This Row],[close]]&lt;I358),testdataClose[[#This Row],[close]],I358))</f>
        <v>266.02</v>
      </c>
      <c r="J359" s="11">
        <f>(testdataClose[[#This Row],[close]]-testdataClose[[#This Row],[hl]])/testdataClose[[#This Row],[hl]]</f>
        <v>0</v>
      </c>
      <c r="K359" s="15">
        <f t="shared" ca="1" si="6"/>
        <v>262.54125000006002</v>
      </c>
      <c r="L359" s="6"/>
      <c r="M359" s="19">
        <f ca="1">IF(testdataClose[[#This Row],[type]]="H",testdataClose[[#This Row],[close]],AVERAGE(M358,M360))</f>
        <v>275.95444444435964</v>
      </c>
      <c r="N359" s="19">
        <f ca="1">IF(testdataClose[[#This Row],[type]]="L",testdataClose[[#This Row],[close]],AVERAGE(N358,N360))</f>
        <v>254.49999999994327</v>
      </c>
      <c r="Q359" s="4">
        <v>358</v>
      </c>
      <c r="R359" s="33">
        <v>262.54129999999998</v>
      </c>
      <c r="S359" s="19">
        <v>275.95440000000002</v>
      </c>
      <c r="T359" s="19">
        <v>254.5</v>
      </c>
    </row>
    <row r="360" spans="1:20" x14ac:dyDescent="0.35">
      <c r="A360" s="7">
        <v>359</v>
      </c>
      <c r="B360" s="3">
        <v>43257</v>
      </c>
      <c r="C360" s="2">
        <v>266.68</v>
      </c>
      <c r="D360" s="2">
        <v>268.36</v>
      </c>
      <c r="E360" s="2">
        <v>266.01</v>
      </c>
      <c r="F360" s="14">
        <v>268.24</v>
      </c>
      <c r="G360" s="1">
        <v>64874192</v>
      </c>
      <c r="H360" s="6" t="s">
        <v>10</v>
      </c>
      <c r="I360" s="6">
        <f>IF(AND(H359="UP",testdataClose[[#This Row],[close]]&gt;I359),testdataClose[[#This Row],[close]],IF(AND(H359="DN",testdataClose[[#This Row],[close]]&lt;I359),testdataClose[[#This Row],[close]],I359))</f>
        <v>268.24</v>
      </c>
      <c r="J360" s="11">
        <f>(testdataClose[[#This Row],[close]]-testdataClose[[#This Row],[hl]])/testdataClose[[#This Row],[hl]]</f>
        <v>0</v>
      </c>
      <c r="K360" s="15">
        <f t="shared" ca="1" si="6"/>
        <v>262.84283333339391</v>
      </c>
      <c r="L360" s="6"/>
      <c r="M360" s="19">
        <f ca="1">IF(testdataClose[[#This Row],[type]]="H",testdataClose[[#This Row],[close]],AVERAGE(M359,M361))</f>
        <v>276.07718518510012</v>
      </c>
      <c r="N360" s="19">
        <f ca="1">IF(testdataClose[[#This Row],[type]]="L",testdataClose[[#This Row],[close]],AVERAGE(N359,N361))</f>
        <v>254.62288888883134</v>
      </c>
      <c r="Q360" s="4">
        <v>359</v>
      </c>
      <c r="R360" s="33">
        <v>262.84280000000001</v>
      </c>
      <c r="S360" s="19">
        <v>276.0772</v>
      </c>
      <c r="T360" s="19">
        <v>254.62289999999999</v>
      </c>
    </row>
    <row r="361" spans="1:20" x14ac:dyDescent="0.35">
      <c r="A361" s="7">
        <v>360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14">
        <v>268.20999999999998</v>
      </c>
      <c r="G361" s="1">
        <v>75460928</v>
      </c>
      <c r="H361" s="6" t="s">
        <v>10</v>
      </c>
      <c r="I361" s="6">
        <f>IF(AND(H360="UP",testdataClose[[#This Row],[close]]&gt;I360),testdataClose[[#This Row],[close]],IF(AND(H360="DN",testdataClose[[#This Row],[close]]&lt;I360),testdataClose[[#This Row],[close]],I360))</f>
        <v>268.24</v>
      </c>
      <c r="J361" s="11">
        <f>(testdataClose[[#This Row],[close]]-testdataClose[[#This Row],[hl]])/testdataClose[[#This Row],[hl]]</f>
        <v>-1.1184014315549343E-4</v>
      </c>
      <c r="K361" s="15">
        <f t="shared" ca="1" si="6"/>
        <v>263.14441666672781</v>
      </c>
      <c r="L361" s="6"/>
      <c r="M361" s="19">
        <f ca="1">IF(testdataClose[[#This Row],[type]]="H",testdataClose[[#This Row],[close]],AVERAGE(M360,M362))</f>
        <v>276.19992592584066</v>
      </c>
      <c r="N361" s="19">
        <f ca="1">IF(testdataClose[[#This Row],[type]]="L",testdataClose[[#This Row],[close]],AVERAGE(N360,N362))</f>
        <v>254.74577777771941</v>
      </c>
      <c r="Q361" s="4">
        <v>360</v>
      </c>
      <c r="R361" s="33">
        <v>263.14440000000002</v>
      </c>
      <c r="S361" s="19">
        <v>276.19990000000001</v>
      </c>
      <c r="T361" s="19">
        <v>254.7458</v>
      </c>
    </row>
    <row r="362" spans="1:20" x14ac:dyDescent="0.35">
      <c r="A362" s="7">
        <v>361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14">
        <v>269</v>
      </c>
      <c r="G362" s="1">
        <v>74602920</v>
      </c>
      <c r="H362" s="6" t="s">
        <v>10</v>
      </c>
      <c r="I362" s="6">
        <f>IF(AND(H361="UP",testdataClose[[#This Row],[close]]&gt;I361),testdataClose[[#This Row],[close]],IF(AND(H361="DN",testdataClose[[#This Row],[close]]&lt;I361),testdataClose[[#This Row],[close]],I361))</f>
        <v>269</v>
      </c>
      <c r="J362" s="11">
        <f>(testdataClose[[#This Row],[close]]-testdataClose[[#This Row],[hl]])/testdataClose[[#This Row],[hl]]</f>
        <v>0</v>
      </c>
      <c r="K362" s="15">
        <f t="shared" ca="1" si="6"/>
        <v>263.44600000006164</v>
      </c>
      <c r="L362" s="6"/>
      <c r="M362" s="19">
        <f ca="1">IF(testdataClose[[#This Row],[type]]="H",testdataClose[[#This Row],[close]],AVERAGE(M361,M363))</f>
        <v>276.3226666665812</v>
      </c>
      <c r="N362" s="19">
        <f ca="1">IF(testdataClose[[#This Row],[type]]="L",testdataClose[[#This Row],[close]],AVERAGE(N361,N363))</f>
        <v>254.86866666660751</v>
      </c>
      <c r="Q362" s="4">
        <v>361</v>
      </c>
      <c r="R362" s="33">
        <v>263.44600000000003</v>
      </c>
      <c r="S362" s="19">
        <v>276.3227</v>
      </c>
      <c r="T362" s="19">
        <v>254.86869999999999</v>
      </c>
    </row>
    <row r="363" spans="1:20" x14ac:dyDescent="0.35">
      <c r="A363" s="7">
        <v>362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14">
        <v>269.36</v>
      </c>
      <c r="G363" s="1">
        <v>60903392</v>
      </c>
      <c r="H363" s="6" t="s">
        <v>10</v>
      </c>
      <c r="I363" s="6">
        <f>IF(AND(H362="UP",testdataClose[[#This Row],[close]]&gt;I362),testdataClose[[#This Row],[close]],IF(AND(H362="DN",testdataClose[[#This Row],[close]]&lt;I362),testdataClose[[#This Row],[close]],I362))</f>
        <v>269.36</v>
      </c>
      <c r="J363" s="11">
        <f>(testdataClose[[#This Row],[close]]-testdataClose[[#This Row],[hl]])/testdataClose[[#This Row],[hl]]</f>
        <v>0</v>
      </c>
      <c r="K363" s="15">
        <f t="shared" ca="1" si="6"/>
        <v>263.74758333339543</v>
      </c>
      <c r="L363" s="6"/>
      <c r="M363" s="19">
        <f ca="1">IF(testdataClose[[#This Row],[type]]="H",testdataClose[[#This Row],[close]],AVERAGE(M362,M364))</f>
        <v>276.4454074073218</v>
      </c>
      <c r="N363" s="19">
        <f ca="1">IF(testdataClose[[#This Row],[type]]="L",testdataClose[[#This Row],[close]],AVERAGE(N362,N364))</f>
        <v>254.99155555549564</v>
      </c>
      <c r="Q363" s="4">
        <v>362</v>
      </c>
      <c r="R363" s="33">
        <v>263.74759999999998</v>
      </c>
      <c r="S363" s="19">
        <v>276.44540000000001</v>
      </c>
      <c r="T363" s="19">
        <v>254.99160000000001</v>
      </c>
    </row>
    <row r="364" spans="1:20" x14ac:dyDescent="0.35">
      <c r="A364" s="7">
        <v>363</v>
      </c>
      <c r="B364" s="3">
        <v>43263</v>
      </c>
      <c r="C364" s="2">
        <v>269.82</v>
      </c>
      <c r="D364" s="2">
        <v>270.11</v>
      </c>
      <c r="E364" s="2">
        <v>269</v>
      </c>
      <c r="F364" s="14">
        <v>269.70999999999998</v>
      </c>
      <c r="G364" s="1">
        <v>74798688</v>
      </c>
      <c r="H364" s="6" t="s">
        <v>10</v>
      </c>
      <c r="I364" s="6">
        <f>IF(AND(H363="UP",testdataClose[[#This Row],[close]]&gt;I363),testdataClose[[#This Row],[close]],IF(AND(H363="DN",testdataClose[[#This Row],[close]]&lt;I363),testdataClose[[#This Row],[close]],I363))</f>
        <v>269.70999999999998</v>
      </c>
      <c r="J364" s="11">
        <f>(testdataClose[[#This Row],[close]]-testdataClose[[#This Row],[hl]])/testdataClose[[#This Row],[hl]]</f>
        <v>0</v>
      </c>
      <c r="K364" s="15">
        <f t="shared" ca="1" si="6"/>
        <v>264.04916666672921</v>
      </c>
      <c r="L364" s="6"/>
      <c r="M364" s="19">
        <f ca="1">IF(testdataClose[[#This Row],[type]]="H",testdataClose[[#This Row],[close]],AVERAGE(M363,M365))</f>
        <v>276.56814814806245</v>
      </c>
      <c r="N364" s="19">
        <f ca="1">IF(testdataClose[[#This Row],[type]]="L",testdataClose[[#This Row],[close]],AVERAGE(N363,N365))</f>
        <v>255.11444444438376</v>
      </c>
      <c r="Q364" s="4">
        <v>363</v>
      </c>
      <c r="R364" s="33">
        <v>264.04919999999998</v>
      </c>
      <c r="S364" s="19">
        <v>276.56810000000002</v>
      </c>
      <c r="T364" s="19">
        <v>255.11439999999999</v>
      </c>
    </row>
    <row r="365" spans="1:20" x14ac:dyDescent="0.35">
      <c r="A365" s="7">
        <v>364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14">
        <v>268.85000000000002</v>
      </c>
      <c r="G365" s="1">
        <v>81770464</v>
      </c>
      <c r="H365" s="6" t="s">
        <v>10</v>
      </c>
      <c r="I365" s="6">
        <f>IF(AND(H364="UP",testdataClose[[#This Row],[close]]&gt;I364),testdataClose[[#This Row],[close]],IF(AND(H364="DN",testdataClose[[#This Row],[close]]&lt;I364),testdataClose[[#This Row],[close]],I364))</f>
        <v>269.70999999999998</v>
      </c>
      <c r="J365" s="11">
        <f>(testdataClose[[#This Row],[close]]-testdataClose[[#This Row],[hl]])/testdataClose[[#This Row],[hl]]</f>
        <v>-3.1886099885060134E-3</v>
      </c>
      <c r="K365" s="15">
        <f t="shared" ca="1" si="6"/>
        <v>264.35075000006293</v>
      </c>
      <c r="L365" s="6"/>
      <c r="M365" s="19">
        <f ca="1">IF(testdataClose[[#This Row],[type]]="H",testdataClose[[#This Row],[close]],AVERAGE(M364,M366))</f>
        <v>276.6908888888031</v>
      </c>
      <c r="N365" s="19">
        <f ca="1">IF(testdataClose[[#This Row],[type]]="L",testdataClose[[#This Row],[close]],AVERAGE(N364,N366))</f>
        <v>255.23733333327192</v>
      </c>
      <c r="Q365" s="4">
        <v>364</v>
      </c>
      <c r="R365" s="33">
        <v>264.35079999999999</v>
      </c>
      <c r="S365" s="19">
        <v>276.6909</v>
      </c>
      <c r="T365" s="19">
        <v>255.2373</v>
      </c>
    </row>
    <row r="366" spans="1:20" x14ac:dyDescent="0.35">
      <c r="A366" s="7">
        <v>365</v>
      </c>
      <c r="B366" s="3">
        <v>43265</v>
      </c>
      <c r="C366" s="2">
        <v>269.8</v>
      </c>
      <c r="D366" s="2">
        <v>270.11</v>
      </c>
      <c r="E366" s="2">
        <v>268.88</v>
      </c>
      <c r="F366" s="14">
        <v>269.52999999999997</v>
      </c>
      <c r="G366" s="1">
        <v>79730104</v>
      </c>
      <c r="H366" s="6" t="s">
        <v>10</v>
      </c>
      <c r="I366" s="6">
        <f>IF(AND(H365="UP",testdataClose[[#This Row],[close]]&gt;I365),testdataClose[[#This Row],[close]],IF(AND(H365="DN",testdataClose[[#This Row],[close]]&lt;I365),testdataClose[[#This Row],[close]],I365))</f>
        <v>269.70999999999998</v>
      </c>
      <c r="J366" s="11">
        <f>(testdataClose[[#This Row],[close]]-testdataClose[[#This Row],[hl]])/testdataClose[[#This Row],[hl]]</f>
        <v>-6.6738348596643367E-4</v>
      </c>
      <c r="K366" s="15">
        <f t="shared" ca="1" si="6"/>
        <v>264.6523333333966</v>
      </c>
      <c r="L366" s="6"/>
      <c r="M366" s="19">
        <f ca="1">IF(testdataClose[[#This Row],[type]]="H",testdataClose[[#This Row],[close]],AVERAGE(M365,M367))</f>
        <v>276.81362962954381</v>
      </c>
      <c r="N366" s="19">
        <f ca="1">IF(testdataClose[[#This Row],[type]]="L",testdataClose[[#This Row],[close]],AVERAGE(N365,N367))</f>
        <v>255.3602222221601</v>
      </c>
      <c r="Q366" s="4">
        <v>365</v>
      </c>
      <c r="R366" s="33">
        <v>264.65230000000003</v>
      </c>
      <c r="S366" s="19">
        <v>276.81360000000001</v>
      </c>
      <c r="T366" s="19">
        <v>255.36019999999999</v>
      </c>
    </row>
    <row r="367" spans="1:20" x14ac:dyDescent="0.35">
      <c r="A367" s="7">
        <v>366</v>
      </c>
      <c r="B367" s="3">
        <v>43266</v>
      </c>
      <c r="C367" s="2">
        <v>268.67</v>
      </c>
      <c r="D367" s="2">
        <v>269.55</v>
      </c>
      <c r="E367" s="2">
        <v>267.45</v>
      </c>
      <c r="F367" s="14">
        <v>269.18</v>
      </c>
      <c r="G367" s="1">
        <v>123585600</v>
      </c>
      <c r="H367" s="6" t="s">
        <v>10</v>
      </c>
      <c r="I367" s="6">
        <f>IF(AND(H366="UP",testdataClose[[#This Row],[close]]&gt;I366),testdataClose[[#This Row],[close]],IF(AND(H366="DN",testdataClose[[#This Row],[close]]&lt;I366),testdataClose[[#This Row],[close]],I366))</f>
        <v>269.70999999999998</v>
      </c>
      <c r="J367" s="11">
        <f>(testdataClose[[#This Row],[close]]-testdataClose[[#This Row],[hl]])/testdataClose[[#This Row],[hl]]</f>
        <v>-1.9650735975676572E-3</v>
      </c>
      <c r="K367" s="15">
        <f t="shared" ca="1" si="6"/>
        <v>264.95391666673027</v>
      </c>
      <c r="L367" s="6"/>
      <c r="M367" s="19">
        <f ca="1">IF(testdataClose[[#This Row],[type]]="H",testdataClose[[#This Row],[close]],AVERAGE(M366,M368))</f>
        <v>276.93637037028458</v>
      </c>
      <c r="N367" s="19">
        <f ca="1">IF(testdataClose[[#This Row],[type]]="L",testdataClose[[#This Row],[close]],AVERAGE(N366,N368))</f>
        <v>255.48311111104829</v>
      </c>
      <c r="Q367" s="4">
        <v>366</v>
      </c>
      <c r="R367" s="33">
        <v>264.95389999999998</v>
      </c>
      <c r="S367" s="19">
        <v>276.93639999999999</v>
      </c>
      <c r="T367" s="19">
        <v>255.48310000000001</v>
      </c>
    </row>
    <row r="368" spans="1:20" x14ac:dyDescent="0.35">
      <c r="A368" s="7">
        <v>367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14">
        <v>268.63</v>
      </c>
      <c r="G368" s="1">
        <v>54479888</v>
      </c>
      <c r="H368" s="6" t="s">
        <v>10</v>
      </c>
      <c r="I368" s="6">
        <f>IF(AND(H367="UP",testdataClose[[#This Row],[close]]&gt;I367),testdataClose[[#This Row],[close]],IF(AND(H367="DN",testdataClose[[#This Row],[close]]&lt;I367),testdataClose[[#This Row],[close]],I367))</f>
        <v>269.70999999999998</v>
      </c>
      <c r="J368" s="11">
        <f>(testdataClose[[#This Row],[close]]-testdataClose[[#This Row],[hl]])/testdataClose[[#This Row],[hl]]</f>
        <v>-4.0043009157983917E-3</v>
      </c>
      <c r="K368" s="15">
        <f t="shared" ca="1" si="6"/>
        <v>265.25550000006388</v>
      </c>
      <c r="L368" s="6"/>
      <c r="M368" s="19">
        <f ca="1">IF(testdataClose[[#This Row],[type]]="H",testdataClose[[#This Row],[close]],AVERAGE(M367,M369))</f>
        <v>277.05911111102535</v>
      </c>
      <c r="N368" s="19">
        <f ca="1">IF(testdataClose[[#This Row],[type]]="L",testdataClose[[#This Row],[close]],AVERAGE(N367,N369))</f>
        <v>255.6059999999365</v>
      </c>
      <c r="Q368" s="4">
        <v>367</v>
      </c>
      <c r="R368" s="33">
        <v>265.25549999999998</v>
      </c>
      <c r="S368" s="19">
        <v>277.0591</v>
      </c>
      <c r="T368" s="19">
        <v>255.60599999999999</v>
      </c>
    </row>
    <row r="369" spans="1:20" x14ac:dyDescent="0.35">
      <c r="A369" s="7">
        <v>368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14">
        <v>267.60000000000002</v>
      </c>
      <c r="G369" s="1">
        <v>100410976</v>
      </c>
      <c r="H369" s="6" t="s">
        <v>10</v>
      </c>
      <c r="I369" s="6">
        <f>IF(AND(H368="UP",testdataClose[[#This Row],[close]]&gt;I368),testdataClose[[#This Row],[close]],IF(AND(H368="DN",testdataClose[[#This Row],[close]]&lt;I368),testdataClose[[#This Row],[close]],I368))</f>
        <v>269.70999999999998</v>
      </c>
      <c r="J369" s="11">
        <f>(testdataClose[[#This Row],[close]]-testdataClose[[#This Row],[hl]])/testdataClose[[#This Row],[hl]]</f>
        <v>-7.8232175299394052E-3</v>
      </c>
      <c r="K369" s="15">
        <f t="shared" ca="1" si="6"/>
        <v>265.55708333339743</v>
      </c>
      <c r="L369" s="6"/>
      <c r="M369" s="19">
        <f ca="1">IF(testdataClose[[#This Row],[type]]="H",testdataClose[[#This Row],[close]],AVERAGE(M368,M370))</f>
        <v>277.18185185176617</v>
      </c>
      <c r="N369" s="19">
        <f ca="1">IF(testdataClose[[#This Row],[type]]="L",testdataClose[[#This Row],[close]],AVERAGE(N368,N370))</f>
        <v>255.72888888882474</v>
      </c>
      <c r="Q369" s="4">
        <v>368</v>
      </c>
      <c r="R369" s="33">
        <v>265.55709999999999</v>
      </c>
      <c r="S369" s="19">
        <v>277.18189999999998</v>
      </c>
      <c r="T369" s="19">
        <v>255.72890000000001</v>
      </c>
    </row>
    <row r="370" spans="1:20" x14ac:dyDescent="0.35">
      <c r="A370" s="7">
        <v>369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14">
        <v>268.06</v>
      </c>
      <c r="G370" s="1">
        <v>55373416</v>
      </c>
      <c r="H370" s="6" t="s">
        <v>10</v>
      </c>
      <c r="I370" s="6">
        <f>IF(AND(H369="UP",testdataClose[[#This Row],[close]]&gt;I369),testdataClose[[#This Row],[close]],IF(AND(H369="DN",testdataClose[[#This Row],[close]]&lt;I369),testdataClose[[#This Row],[close]],I369))</f>
        <v>269.70999999999998</v>
      </c>
      <c r="J370" s="11">
        <f>(testdataClose[[#This Row],[close]]-testdataClose[[#This Row],[hl]])/testdataClose[[#This Row],[hl]]</f>
        <v>-6.1176819546919928E-3</v>
      </c>
      <c r="K370" s="15">
        <f t="shared" ca="1" si="6"/>
        <v>265.85866666673098</v>
      </c>
      <c r="L370" s="6"/>
      <c r="M370" s="19">
        <f ca="1">IF(testdataClose[[#This Row],[type]]="H",testdataClose[[#This Row],[close]],AVERAGE(M369,M371))</f>
        <v>277.30459259250705</v>
      </c>
      <c r="N370" s="19">
        <f ca="1">IF(testdataClose[[#This Row],[type]]="L",testdataClose[[#This Row],[close]],AVERAGE(N369,N371))</f>
        <v>255.85177777771298</v>
      </c>
      <c r="Q370" s="4">
        <v>369</v>
      </c>
      <c r="R370" s="33">
        <v>265.8587</v>
      </c>
      <c r="S370" s="19">
        <v>277.30459999999999</v>
      </c>
      <c r="T370" s="19">
        <v>255.8518</v>
      </c>
    </row>
    <row r="371" spans="1:20" x14ac:dyDescent="0.35">
      <c r="A371" s="7">
        <v>370</v>
      </c>
      <c r="B371" s="3">
        <v>43272</v>
      </c>
      <c r="C371" s="2">
        <v>268.05</v>
      </c>
      <c r="D371" s="2">
        <v>268.07</v>
      </c>
      <c r="E371" s="2">
        <v>265.83</v>
      </c>
      <c r="F371" s="14">
        <v>266.38</v>
      </c>
      <c r="G371" s="1">
        <v>73159376</v>
      </c>
      <c r="H371" s="6" t="s">
        <v>10</v>
      </c>
      <c r="I371" s="6">
        <f>IF(AND(H370="UP",testdataClose[[#This Row],[close]]&gt;I370),testdataClose[[#This Row],[close]],IF(AND(H370="DN",testdataClose[[#This Row],[close]]&lt;I370),testdataClose[[#This Row],[close]],I370))</f>
        <v>269.70999999999998</v>
      </c>
      <c r="J371" s="11">
        <f>(testdataClose[[#This Row],[close]]-testdataClose[[#This Row],[hl]])/testdataClose[[#This Row],[hl]]</f>
        <v>-1.2346594490378497E-2</v>
      </c>
      <c r="K371" s="15">
        <f t="shared" ca="1" si="6"/>
        <v>266.16025000006448</v>
      </c>
      <c r="L371" s="6"/>
      <c r="M371" s="19">
        <f ca="1">IF(testdataClose[[#This Row],[type]]="H",testdataClose[[#This Row],[close]],AVERAGE(M370,M372))</f>
        <v>277.42733333324793</v>
      </c>
      <c r="N371" s="19">
        <f ca="1">IF(testdataClose[[#This Row],[type]]="L",testdataClose[[#This Row],[close]],AVERAGE(N370,N372))</f>
        <v>255.97466666660125</v>
      </c>
      <c r="Q371" s="4">
        <v>370</v>
      </c>
      <c r="R371" s="33">
        <v>266.16030000000001</v>
      </c>
      <c r="S371" s="19">
        <v>277.4273</v>
      </c>
      <c r="T371" s="19">
        <v>255.97470000000001</v>
      </c>
    </row>
    <row r="372" spans="1:20" x14ac:dyDescent="0.35">
      <c r="A372" s="7">
        <v>371</v>
      </c>
      <c r="B372" s="3">
        <v>43273</v>
      </c>
      <c r="C372" s="2">
        <v>267.76</v>
      </c>
      <c r="D372" s="2">
        <v>267.88</v>
      </c>
      <c r="E372" s="2">
        <v>266.62</v>
      </c>
      <c r="F372" s="14">
        <v>266.86</v>
      </c>
      <c r="G372" s="1">
        <v>58283384</v>
      </c>
      <c r="H372" s="6" t="s">
        <v>10</v>
      </c>
      <c r="I372" s="6">
        <f>IF(AND(H371="UP",testdataClose[[#This Row],[close]]&gt;I371),testdataClose[[#This Row],[close]],IF(AND(H371="DN",testdataClose[[#This Row],[close]]&lt;I371),testdataClose[[#This Row],[close]],I371))</f>
        <v>269.70999999999998</v>
      </c>
      <c r="J372" s="11">
        <f>(testdataClose[[#This Row],[close]]-testdataClose[[#This Row],[hl]])/testdataClose[[#This Row],[hl]]</f>
        <v>-1.0566905194468007E-2</v>
      </c>
      <c r="K372" s="15">
        <f t="shared" ca="1" si="6"/>
        <v>266.46183333339792</v>
      </c>
      <c r="L372" s="6"/>
      <c r="M372" s="19">
        <f ca="1">IF(testdataClose[[#This Row],[type]]="H",testdataClose[[#This Row],[close]],AVERAGE(M371,M373))</f>
        <v>277.55007407398887</v>
      </c>
      <c r="N372" s="19">
        <f ca="1">IF(testdataClose[[#This Row],[type]]="L",testdataClose[[#This Row],[close]],AVERAGE(N371,N373))</f>
        <v>256.09755555548952</v>
      </c>
      <c r="Q372" s="4">
        <v>371</v>
      </c>
      <c r="R372" s="33">
        <v>266.46179999999998</v>
      </c>
      <c r="S372" s="19">
        <v>277.55009999999999</v>
      </c>
      <c r="T372" s="19">
        <v>256.0976</v>
      </c>
    </row>
    <row r="373" spans="1:20" x14ac:dyDescent="0.35">
      <c r="A373" s="7">
        <v>372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14">
        <v>263.23</v>
      </c>
      <c r="G373" s="1">
        <v>141924096</v>
      </c>
      <c r="H373" s="6" t="s">
        <v>10</v>
      </c>
      <c r="I373" s="6">
        <f>IF(AND(H372="UP",testdataClose[[#This Row],[close]]&gt;I372),testdataClose[[#This Row],[close]],IF(AND(H372="DN",testdataClose[[#This Row],[close]]&lt;I372),testdataClose[[#This Row],[close]],I372))</f>
        <v>269.70999999999998</v>
      </c>
      <c r="J373" s="11">
        <f>(testdataClose[[#This Row],[close]]-testdataClose[[#This Row],[hl]])/testdataClose[[#This Row],[hl]]</f>
        <v>-2.402580549479056E-2</v>
      </c>
      <c r="K373" s="15">
        <f t="shared" ca="1" si="6"/>
        <v>266.76341666673136</v>
      </c>
      <c r="L373" s="6"/>
      <c r="M373" s="19">
        <f ca="1">IF(testdataClose[[#This Row],[type]]="H",testdataClose[[#This Row],[close]],AVERAGE(M372,M374))</f>
        <v>277.67281481472986</v>
      </c>
      <c r="N373" s="19">
        <f ca="1">IF(testdataClose[[#This Row],[type]]="L",testdataClose[[#This Row],[close]],AVERAGE(N372,N374))</f>
        <v>256.22044444437785</v>
      </c>
      <c r="Q373" s="4">
        <v>372</v>
      </c>
      <c r="R373" s="33">
        <v>266.76339999999999</v>
      </c>
      <c r="S373" s="19">
        <v>277.6728</v>
      </c>
      <c r="T373" s="19">
        <v>256.22039999999998</v>
      </c>
    </row>
    <row r="374" spans="1:20" x14ac:dyDescent="0.35">
      <c r="A374" s="7">
        <v>373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14">
        <v>263.81</v>
      </c>
      <c r="G374" s="1">
        <v>70710976</v>
      </c>
      <c r="H374" s="6" t="s">
        <v>10</v>
      </c>
      <c r="I374" s="6">
        <f>IF(AND(H373="UP",testdataClose[[#This Row],[close]]&gt;I373),testdataClose[[#This Row],[close]],IF(AND(H373="DN",testdataClose[[#This Row],[close]]&lt;I373),testdataClose[[#This Row],[close]],I373))</f>
        <v>269.70999999999998</v>
      </c>
      <c r="J374" s="11">
        <f>(testdataClose[[#This Row],[close]]-testdataClose[[#This Row],[hl]])/testdataClose[[#This Row],[hl]]</f>
        <v>-2.1875347595565524E-2</v>
      </c>
      <c r="K374" s="15">
        <f t="shared" ca="1" si="6"/>
        <v>267.06500000006474</v>
      </c>
      <c r="L374" s="6"/>
      <c r="M374" s="19">
        <f ca="1">IF(testdataClose[[#This Row],[type]]="H",testdataClose[[#This Row],[close]],AVERAGE(M373,M375))</f>
        <v>277.79555555547086</v>
      </c>
      <c r="N374" s="19">
        <f ca="1">IF(testdataClose[[#This Row],[type]]="L",testdataClose[[#This Row],[close]],AVERAGE(N373,N375))</f>
        <v>256.34333333326617</v>
      </c>
      <c r="Q374" s="4">
        <v>373</v>
      </c>
      <c r="R374" s="33">
        <v>267.065</v>
      </c>
      <c r="S374" s="19">
        <v>277.79559999999998</v>
      </c>
      <c r="T374" s="19">
        <v>256.3433</v>
      </c>
    </row>
    <row r="375" spans="1:20" x14ac:dyDescent="0.35">
      <c r="A375" s="7">
        <v>374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14">
        <v>261.63</v>
      </c>
      <c r="G375" s="1">
        <v>108213904</v>
      </c>
      <c r="H375" s="6" t="s">
        <v>10</v>
      </c>
      <c r="I375" s="6">
        <f>IF(AND(H374="UP",testdataClose[[#This Row],[close]]&gt;I374),testdataClose[[#This Row],[close]],IF(AND(H374="DN",testdataClose[[#This Row],[close]]&lt;I374),testdataClose[[#This Row],[close]],I374))</f>
        <v>269.70999999999998</v>
      </c>
      <c r="J375" s="11">
        <f>(testdataClose[[#This Row],[close]]-testdataClose[[#This Row],[hl]])/testdataClose[[#This Row],[hl]]</f>
        <v>-2.9958103147825384E-2</v>
      </c>
      <c r="K375" s="15">
        <f t="shared" ca="1" si="6"/>
        <v>267.36658333339807</v>
      </c>
      <c r="L375" s="6"/>
      <c r="M375" s="19">
        <f ca="1">IF(testdataClose[[#This Row],[type]]="H",testdataClose[[#This Row],[close]],AVERAGE(M374,M376))</f>
        <v>277.91829629621191</v>
      </c>
      <c r="N375" s="19">
        <f ca="1">IF(testdataClose[[#This Row],[type]]="L",testdataClose[[#This Row],[close]],AVERAGE(N374,N376))</f>
        <v>256.46622222215456</v>
      </c>
      <c r="Q375" s="4">
        <v>374</v>
      </c>
      <c r="R375" s="33">
        <v>267.36660000000001</v>
      </c>
      <c r="S375" s="19">
        <v>277.91829999999999</v>
      </c>
      <c r="T375" s="19">
        <v>256.46620000000001</v>
      </c>
    </row>
    <row r="376" spans="1:20" x14ac:dyDescent="0.35">
      <c r="A376" s="7">
        <v>375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14">
        <v>263.12</v>
      </c>
      <c r="G376" s="1">
        <v>78913504</v>
      </c>
      <c r="H376" s="6" t="s">
        <v>10</v>
      </c>
      <c r="I376" s="6">
        <f>IF(AND(H375="UP",testdataClose[[#This Row],[close]]&gt;I375),testdataClose[[#This Row],[close]],IF(AND(H375="DN",testdataClose[[#This Row],[close]]&lt;I375),testdataClose[[#This Row],[close]],I375))</f>
        <v>269.70999999999998</v>
      </c>
      <c r="J376" s="11">
        <f>(testdataClose[[#This Row],[close]]-testdataClose[[#This Row],[hl]])/testdataClose[[#This Row],[hl]]</f>
        <v>-2.4433650958436748E-2</v>
      </c>
      <c r="K376" s="15">
        <f t="shared" ca="1" si="6"/>
        <v>267.66816666673139</v>
      </c>
      <c r="L376" s="6"/>
      <c r="M376" s="19">
        <f ca="1">IF(testdataClose[[#This Row],[type]]="H",testdataClose[[#This Row],[close]],AVERAGE(M375,M377))</f>
        <v>278.04103703695301</v>
      </c>
      <c r="N376" s="19">
        <f ca="1">IF(testdataClose[[#This Row],[type]]="L",testdataClose[[#This Row],[close]],AVERAGE(N375,N377))</f>
        <v>256.589111111043</v>
      </c>
      <c r="Q376" s="4">
        <v>375</v>
      </c>
      <c r="R376" s="33">
        <v>267.66820000000001</v>
      </c>
      <c r="S376" s="19">
        <v>278.041</v>
      </c>
      <c r="T376" s="19">
        <v>256.58909999999997</v>
      </c>
    </row>
    <row r="377" spans="1:20" x14ac:dyDescent="0.35">
      <c r="A377" s="7">
        <v>376</v>
      </c>
      <c r="B377" s="3">
        <v>43280</v>
      </c>
      <c r="C377" s="2">
        <v>264.32</v>
      </c>
      <c r="D377" s="2">
        <v>265.81</v>
      </c>
      <c r="E377" s="2">
        <v>263.37</v>
      </c>
      <c r="F377" s="14">
        <v>263.5</v>
      </c>
      <c r="G377" s="1">
        <v>100473760</v>
      </c>
      <c r="H377" s="6" t="s">
        <v>10</v>
      </c>
      <c r="I377" s="6">
        <f>IF(AND(H376="UP",testdataClose[[#This Row],[close]]&gt;I376),testdataClose[[#This Row],[close]],IF(AND(H376="DN",testdataClose[[#This Row],[close]]&lt;I376),testdataClose[[#This Row],[close]],I376))</f>
        <v>269.70999999999998</v>
      </c>
      <c r="J377" s="11">
        <f>(testdataClose[[#This Row],[close]]-testdataClose[[#This Row],[hl]])/testdataClose[[#This Row],[hl]]</f>
        <v>-2.3024730265841016E-2</v>
      </c>
      <c r="K377" s="15">
        <f t="shared" ca="1" si="6"/>
        <v>267.96975000006466</v>
      </c>
      <c r="L377" s="6"/>
      <c r="M377" s="19">
        <f ca="1">IF(testdataClose[[#This Row],[type]]="H",testdataClose[[#This Row],[close]],AVERAGE(M376,M378))</f>
        <v>278.16377777769412</v>
      </c>
      <c r="N377" s="19">
        <f ca="1">IF(testdataClose[[#This Row],[type]]="L",testdataClose[[#This Row],[close]],AVERAGE(N376,N378))</f>
        <v>256.71199999993144</v>
      </c>
      <c r="Q377" s="4">
        <v>376</v>
      </c>
      <c r="R377" s="33">
        <v>267.96980000000002</v>
      </c>
      <c r="S377" s="19">
        <v>278.16379999999998</v>
      </c>
      <c r="T377" s="19">
        <v>256.71199999999999</v>
      </c>
    </row>
    <row r="378" spans="1:20" x14ac:dyDescent="0.35">
      <c r="A378" s="7">
        <v>377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14">
        <v>264.06</v>
      </c>
      <c r="G378" s="1">
        <v>65431128</v>
      </c>
      <c r="H378" s="6" t="s">
        <v>10</v>
      </c>
      <c r="I378" s="6">
        <f>IF(AND(H377="UP",testdataClose[[#This Row],[close]]&gt;I377),testdataClose[[#This Row],[close]],IF(AND(H377="DN",testdataClose[[#This Row],[close]]&lt;I377),testdataClose[[#This Row],[close]],I377))</f>
        <v>269.70999999999998</v>
      </c>
      <c r="J378" s="11">
        <f>(testdataClose[[#This Row],[close]]-testdataClose[[#This Row],[hl]])/testdataClose[[#This Row],[hl]]</f>
        <v>-2.0948426087278847E-2</v>
      </c>
      <c r="K378" s="15">
        <f t="shared" ca="1" si="6"/>
        <v>268.27133333339788</v>
      </c>
      <c r="L378" s="6"/>
      <c r="M378" s="19">
        <f ca="1">IF(testdataClose[[#This Row],[type]]="H",testdataClose[[#This Row],[close]],AVERAGE(M377,M379))</f>
        <v>278.28651851843529</v>
      </c>
      <c r="N378" s="19">
        <f ca="1">IF(testdataClose[[#This Row],[type]]="L",testdataClose[[#This Row],[close]],AVERAGE(N377,N379))</f>
        <v>256.83488888881993</v>
      </c>
      <c r="Q378" s="4">
        <v>377</v>
      </c>
      <c r="R378" s="33">
        <v>268.2713</v>
      </c>
      <c r="S378" s="19">
        <v>278.28649999999999</v>
      </c>
      <c r="T378" s="19">
        <v>256.8349</v>
      </c>
    </row>
    <row r="379" spans="1:20" x14ac:dyDescent="0.35">
      <c r="A379" s="7">
        <v>378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14">
        <v>263.13</v>
      </c>
      <c r="G379" s="1">
        <v>43432576</v>
      </c>
      <c r="H379" s="6" t="s">
        <v>10</v>
      </c>
      <c r="I379" s="6">
        <f>IF(AND(H378="UP",testdataClose[[#This Row],[close]]&gt;I378),testdataClose[[#This Row],[close]],IF(AND(H378="DN",testdataClose[[#This Row],[close]]&lt;I378),testdataClose[[#This Row],[close]],I378))</f>
        <v>269.70999999999998</v>
      </c>
      <c r="J379" s="11">
        <f>(testdataClose[[#This Row],[close]]-testdataClose[[#This Row],[hl]])/testdataClose[[#This Row],[hl]]</f>
        <v>-2.4396574098105316E-2</v>
      </c>
      <c r="K379" s="15">
        <f t="shared" ca="1" si="6"/>
        <v>268.57291666673109</v>
      </c>
      <c r="L379" s="6"/>
      <c r="M379" s="19">
        <f ca="1">IF(testdataClose[[#This Row],[type]]="H",testdataClose[[#This Row],[close]],AVERAGE(M378,M380))</f>
        <v>278.40925925917651</v>
      </c>
      <c r="N379" s="19">
        <f ca="1">IF(testdataClose[[#This Row],[type]]="L",testdataClose[[#This Row],[close]],AVERAGE(N378,N380))</f>
        <v>256.95777777770849</v>
      </c>
      <c r="Q379" s="4">
        <v>378</v>
      </c>
      <c r="R379" s="33">
        <v>268.5729</v>
      </c>
      <c r="S379" s="19">
        <v>278.40929999999997</v>
      </c>
      <c r="T379" s="19">
        <v>256.95780000000002</v>
      </c>
    </row>
    <row r="380" spans="1:20" x14ac:dyDescent="0.35">
      <c r="A380" s="7">
        <v>379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14">
        <v>265.27999999999997</v>
      </c>
      <c r="G380" s="1">
        <v>58606568</v>
      </c>
      <c r="H380" s="6" t="s">
        <v>10</v>
      </c>
      <c r="I380" s="6">
        <f>IF(AND(H379="UP",testdataClose[[#This Row],[close]]&gt;I379),testdataClose[[#This Row],[close]],IF(AND(H379="DN",testdataClose[[#This Row],[close]]&lt;I379),testdataClose[[#This Row],[close]],I379))</f>
        <v>269.70999999999998</v>
      </c>
      <c r="J380" s="11">
        <f>(testdataClose[[#This Row],[close]]-testdataClose[[#This Row],[hl]])/testdataClose[[#This Row],[hl]]</f>
        <v>-1.6425049126839966E-2</v>
      </c>
      <c r="K380" s="15">
        <f t="shared" ca="1" si="6"/>
        <v>268.87450000006424</v>
      </c>
      <c r="L380" s="6"/>
      <c r="M380" s="19">
        <f ca="1">IF(testdataClose[[#This Row],[type]]="H",testdataClose[[#This Row],[close]],AVERAGE(M379,M381))</f>
        <v>278.53199999991773</v>
      </c>
      <c r="N380" s="19">
        <f ca="1">IF(testdataClose[[#This Row],[type]]="L",testdataClose[[#This Row],[close]],AVERAGE(N379,N381))</f>
        <v>257.08066666659704</v>
      </c>
      <c r="Q380" s="4">
        <v>379</v>
      </c>
      <c r="R380" s="33">
        <v>268.87450000000001</v>
      </c>
      <c r="S380" s="19">
        <v>278.53199999999998</v>
      </c>
      <c r="T380" s="19">
        <v>257.08069999999998</v>
      </c>
    </row>
    <row r="381" spans="1:20" x14ac:dyDescent="0.35">
      <c r="A381" s="7">
        <v>380</v>
      </c>
      <c r="B381" s="3">
        <v>43287</v>
      </c>
      <c r="C381" s="2">
        <v>265.31</v>
      </c>
      <c r="D381" s="2">
        <v>267.93</v>
      </c>
      <c r="E381" s="2">
        <v>264.89</v>
      </c>
      <c r="F381" s="14">
        <v>267.52</v>
      </c>
      <c r="G381" s="1">
        <v>68456816</v>
      </c>
      <c r="H381" s="6" t="s">
        <v>10</v>
      </c>
      <c r="I381" s="6">
        <f>IF(AND(H380="UP",testdataClose[[#This Row],[close]]&gt;I380),testdataClose[[#This Row],[close]],IF(AND(H380="DN",testdataClose[[#This Row],[close]]&lt;I380),testdataClose[[#This Row],[close]],I380))</f>
        <v>269.70999999999998</v>
      </c>
      <c r="J381" s="11">
        <f>(testdataClose[[#This Row],[close]]-testdataClose[[#This Row],[hl]])/testdataClose[[#This Row],[hl]]</f>
        <v>-8.1198324125912932E-3</v>
      </c>
      <c r="K381" s="15">
        <f t="shared" ca="1" si="6"/>
        <v>269.17608333339734</v>
      </c>
      <c r="L381" s="6"/>
      <c r="M381" s="19">
        <f ca="1">IF(testdataClose[[#This Row],[type]]="H",testdataClose[[#This Row],[close]],AVERAGE(M380,M382))</f>
        <v>278.65474074065901</v>
      </c>
      <c r="N381" s="19">
        <f ca="1">IF(testdataClose[[#This Row],[type]]="L",testdataClose[[#This Row],[close]],AVERAGE(N380,N382))</f>
        <v>257.20355555548565</v>
      </c>
      <c r="Q381" s="4">
        <v>380</v>
      </c>
      <c r="R381" s="33">
        <v>269.17610000000002</v>
      </c>
      <c r="S381" s="19">
        <v>278.65469999999999</v>
      </c>
      <c r="T381" s="19">
        <v>257.20359999999999</v>
      </c>
    </row>
    <row r="382" spans="1:20" x14ac:dyDescent="0.35">
      <c r="A382" s="7">
        <v>381</v>
      </c>
      <c r="B382" s="3">
        <v>43290</v>
      </c>
      <c r="C382" s="2">
        <v>268.62</v>
      </c>
      <c r="D382" s="2">
        <v>269.99</v>
      </c>
      <c r="E382" s="2">
        <v>268.57</v>
      </c>
      <c r="F382" s="14">
        <v>269.93</v>
      </c>
      <c r="G382" s="1">
        <v>52042820</v>
      </c>
      <c r="H382" s="6" t="s">
        <v>10</v>
      </c>
      <c r="I382" s="6">
        <f>IF(AND(H381="UP",testdataClose[[#This Row],[close]]&gt;I381),testdataClose[[#This Row],[close]],IF(AND(H381="DN",testdataClose[[#This Row],[close]]&lt;I381),testdataClose[[#This Row],[close]],I381))</f>
        <v>269.93</v>
      </c>
      <c r="J382" s="11">
        <f>(testdataClose[[#This Row],[close]]-testdataClose[[#This Row],[hl]])/testdataClose[[#This Row],[hl]]</f>
        <v>0</v>
      </c>
      <c r="K382" s="15">
        <f t="shared" ca="1" si="6"/>
        <v>269.47766666673044</v>
      </c>
      <c r="L382" s="6"/>
      <c r="M382" s="19">
        <f ca="1">IF(testdataClose[[#This Row],[type]]="H",testdataClose[[#This Row],[close]],AVERAGE(M381,M383))</f>
        <v>278.77748148140034</v>
      </c>
      <c r="N382" s="19">
        <f ca="1">IF(testdataClose[[#This Row],[type]]="L",testdataClose[[#This Row],[close]],AVERAGE(N381,N383))</f>
        <v>257.32644444437432</v>
      </c>
      <c r="Q382" s="4">
        <v>381</v>
      </c>
      <c r="R382" s="33">
        <v>269.47770000000003</v>
      </c>
      <c r="S382" s="19">
        <v>278.77749999999997</v>
      </c>
      <c r="T382" s="19">
        <v>257.32639999999998</v>
      </c>
    </row>
    <row r="383" spans="1:20" x14ac:dyDescent="0.35">
      <c r="A383" s="7">
        <v>382</v>
      </c>
      <c r="B383" s="3">
        <v>43291</v>
      </c>
      <c r="C383" s="2">
        <v>270.43</v>
      </c>
      <c r="D383" s="2">
        <v>271.01</v>
      </c>
      <c r="E383" s="2">
        <v>270.11</v>
      </c>
      <c r="F383" s="14">
        <v>270.89999999999998</v>
      </c>
      <c r="G383" s="1">
        <v>53501064</v>
      </c>
      <c r="H383" s="6" t="s">
        <v>10</v>
      </c>
      <c r="I383" s="6">
        <f>IF(AND(H382="UP",testdataClose[[#This Row],[close]]&gt;I382),testdataClose[[#This Row],[close]],IF(AND(H382="DN",testdataClose[[#This Row],[close]]&lt;I382),testdataClose[[#This Row],[close]],I382))</f>
        <v>270.89999999999998</v>
      </c>
      <c r="J383" s="11">
        <f>(testdataClose[[#This Row],[close]]-testdataClose[[#This Row],[hl]])/testdataClose[[#This Row],[hl]]</f>
        <v>0</v>
      </c>
      <c r="K383" s="15">
        <f t="shared" ca="1" si="6"/>
        <v>269.77925000006348</v>
      </c>
      <c r="L383" s="6"/>
      <c r="M383" s="19">
        <f ca="1">IF(testdataClose[[#This Row],[type]]="H",testdataClose[[#This Row],[close]],AVERAGE(M382,M384))</f>
        <v>278.90022222214168</v>
      </c>
      <c r="N383" s="19">
        <f ca="1">IF(testdataClose[[#This Row],[type]]="L",testdataClose[[#This Row],[close]],AVERAGE(N382,N384))</f>
        <v>257.44933333326298</v>
      </c>
      <c r="Q383" s="4">
        <v>382</v>
      </c>
      <c r="R383" s="33">
        <v>269.77929999999998</v>
      </c>
      <c r="S383" s="19">
        <v>278.90019999999998</v>
      </c>
      <c r="T383" s="19">
        <v>257.44929999999999</v>
      </c>
    </row>
    <row r="384" spans="1:20" x14ac:dyDescent="0.35">
      <c r="A384" s="7">
        <v>383</v>
      </c>
      <c r="B384" s="3">
        <v>43292</v>
      </c>
      <c r="C384" s="2">
        <v>269.2</v>
      </c>
      <c r="D384" s="2">
        <v>270.07</v>
      </c>
      <c r="E384" s="2">
        <v>268.58999999999997</v>
      </c>
      <c r="F384" s="14">
        <v>268.92</v>
      </c>
      <c r="G384" s="1">
        <v>79329656</v>
      </c>
      <c r="H384" s="6" t="s">
        <v>10</v>
      </c>
      <c r="I384" s="6">
        <f>IF(AND(H383="UP",testdataClose[[#This Row],[close]]&gt;I383),testdataClose[[#This Row],[close]],IF(AND(H383="DN",testdataClose[[#This Row],[close]]&lt;I383),testdataClose[[#This Row],[close]],I383))</f>
        <v>270.89999999999998</v>
      </c>
      <c r="J384" s="11">
        <f>(testdataClose[[#This Row],[close]]-testdataClose[[#This Row],[hl]])/testdataClose[[#This Row],[hl]]</f>
        <v>-7.3089700996676324E-3</v>
      </c>
      <c r="K384" s="15">
        <f t="shared" ca="1" si="6"/>
        <v>270.08083333339647</v>
      </c>
      <c r="L384" s="6"/>
      <c r="M384" s="19">
        <f ca="1">IF(testdataClose[[#This Row],[type]]="H",testdataClose[[#This Row],[close]],AVERAGE(M383,M385))</f>
        <v>279.02296296288307</v>
      </c>
      <c r="N384" s="19">
        <f ca="1">IF(testdataClose[[#This Row],[type]]="L",testdataClose[[#This Row],[close]],AVERAGE(N383,N385))</f>
        <v>257.57222222215171</v>
      </c>
      <c r="Q384" s="4">
        <v>383</v>
      </c>
      <c r="R384" s="33">
        <v>270.08080000000001</v>
      </c>
      <c r="S384" s="19">
        <v>279.02300000000002</v>
      </c>
      <c r="T384" s="19">
        <v>257.57220000000001</v>
      </c>
    </row>
    <row r="385" spans="1:20" x14ac:dyDescent="0.35">
      <c r="A385" s="7">
        <v>384</v>
      </c>
      <c r="B385" s="3">
        <v>43293</v>
      </c>
      <c r="C385" s="2">
        <v>270.3</v>
      </c>
      <c r="D385" s="2">
        <v>271.42</v>
      </c>
      <c r="E385" s="2">
        <v>269.64</v>
      </c>
      <c r="F385" s="14">
        <v>271.36</v>
      </c>
      <c r="G385" s="1">
        <v>61899772</v>
      </c>
      <c r="H385" s="6" t="s">
        <v>10</v>
      </c>
      <c r="I385" s="6">
        <f>IF(AND(H384="UP",testdataClose[[#This Row],[close]]&gt;I384),testdataClose[[#This Row],[close]],IF(AND(H384="DN",testdataClose[[#This Row],[close]]&lt;I384),testdataClose[[#This Row],[close]],I384))</f>
        <v>271.36</v>
      </c>
      <c r="J385" s="11">
        <f>(testdataClose[[#This Row],[close]]-testdataClose[[#This Row],[hl]])/testdataClose[[#This Row],[hl]]</f>
        <v>0</v>
      </c>
      <c r="K385" s="15">
        <f t="shared" ca="1" si="6"/>
        <v>270.38241666672945</v>
      </c>
      <c r="L385" s="6"/>
      <c r="M385" s="19">
        <f ca="1">IF(testdataClose[[#This Row],[type]]="H",testdataClose[[#This Row],[close]],AVERAGE(M384,M386))</f>
        <v>279.14570370362452</v>
      </c>
      <c r="N385" s="19">
        <f ca="1">IF(testdataClose[[#This Row],[type]]="L",testdataClose[[#This Row],[close]],AVERAGE(N384,N386))</f>
        <v>257.69511111104049</v>
      </c>
      <c r="Q385" s="4">
        <v>384</v>
      </c>
      <c r="R385" s="33">
        <v>270.38240000000002</v>
      </c>
      <c r="S385" s="19">
        <v>279.14569999999998</v>
      </c>
      <c r="T385" s="19">
        <v>257.69510000000002</v>
      </c>
    </row>
    <row r="386" spans="1:20" x14ac:dyDescent="0.35">
      <c r="A386" s="7">
        <v>385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14">
        <v>271.57</v>
      </c>
      <c r="G386" s="1">
        <v>49659024</v>
      </c>
      <c r="H386" s="6" t="s">
        <v>10</v>
      </c>
      <c r="I386" s="6">
        <f>IF(AND(H385="UP",testdataClose[[#This Row],[close]]&gt;I385),testdataClose[[#This Row],[close]],IF(AND(H385="DN",testdataClose[[#This Row],[close]]&lt;I385),testdataClose[[#This Row],[close]],I385))</f>
        <v>271.57</v>
      </c>
      <c r="J386" s="11">
        <f>(testdataClose[[#This Row],[close]]-testdataClose[[#This Row],[hl]])/testdataClose[[#This Row],[hl]]</f>
        <v>0</v>
      </c>
      <c r="K386" s="15">
        <f t="shared" ca="1" si="6"/>
        <v>270.68400000006238</v>
      </c>
      <c r="L386" s="6"/>
      <c r="M386" s="19">
        <f ca="1">IF(testdataClose[[#This Row],[type]]="H",testdataClose[[#This Row],[close]],AVERAGE(M385,M387))</f>
        <v>279.26844444436597</v>
      </c>
      <c r="N386" s="19">
        <f ca="1">IF(testdataClose[[#This Row],[type]]="L",testdataClose[[#This Row],[close]],AVERAGE(N385,N387))</f>
        <v>257.81799999992927</v>
      </c>
      <c r="Q386" s="4">
        <v>385</v>
      </c>
      <c r="R386" s="33">
        <v>270.68400000000003</v>
      </c>
      <c r="S386" s="19">
        <v>279.26839999999999</v>
      </c>
      <c r="T386" s="19">
        <v>257.81799999999998</v>
      </c>
    </row>
    <row r="387" spans="1:20" x14ac:dyDescent="0.35">
      <c r="A387" s="7">
        <v>386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14">
        <v>271.33</v>
      </c>
      <c r="G387" s="1">
        <v>49624096</v>
      </c>
      <c r="H387" s="6" t="s">
        <v>10</v>
      </c>
      <c r="I387" s="6">
        <f>IF(AND(H386="UP",testdataClose[[#This Row],[close]]&gt;I386),testdataClose[[#This Row],[close]],IF(AND(H386="DN",testdataClose[[#This Row],[close]]&lt;I386),testdataClose[[#This Row],[close]],I386))</f>
        <v>271.57</v>
      </c>
      <c r="J387" s="11">
        <f>(testdataClose[[#This Row],[close]]-testdataClose[[#This Row],[hl]])/testdataClose[[#This Row],[hl]]</f>
        <v>-8.8375004602868172E-4</v>
      </c>
      <c r="K387" s="15">
        <f t="shared" ca="1" si="6"/>
        <v>270.98558333339525</v>
      </c>
      <c r="L387" s="6"/>
      <c r="M387" s="19">
        <f ca="1">IF(testdataClose[[#This Row],[type]]="H",testdataClose[[#This Row],[close]],AVERAGE(M386,M388))</f>
        <v>279.39118518510747</v>
      </c>
      <c r="N387" s="19">
        <f ca="1">IF(testdataClose[[#This Row],[type]]="L",testdataClose[[#This Row],[close]],AVERAGE(N386,N388))</f>
        <v>257.94088888881811</v>
      </c>
      <c r="Q387" s="4">
        <v>386</v>
      </c>
      <c r="R387" s="33">
        <v>270.98559999999998</v>
      </c>
      <c r="S387" s="19">
        <v>279.39120000000003</v>
      </c>
      <c r="T387" s="19">
        <v>257.9409</v>
      </c>
    </row>
    <row r="388" spans="1:20" x14ac:dyDescent="0.35">
      <c r="A388" s="7">
        <v>387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14">
        <v>272.43</v>
      </c>
      <c r="G388" s="1">
        <v>53860032</v>
      </c>
      <c r="H388" s="6" t="s">
        <v>10</v>
      </c>
      <c r="I388" s="6">
        <f>IF(AND(H387="UP",testdataClose[[#This Row],[close]]&gt;I387),testdataClose[[#This Row],[close]],IF(AND(H387="DN",testdataClose[[#This Row],[close]]&lt;I387),testdataClose[[#This Row],[close]],I387))</f>
        <v>272.43</v>
      </c>
      <c r="J388" s="11">
        <f>(testdataClose[[#This Row],[close]]-testdataClose[[#This Row],[hl]])/testdataClose[[#This Row],[hl]]</f>
        <v>0</v>
      </c>
      <c r="K388" s="15">
        <f t="shared" ref="K388:K451" ca="1" si="7">AVERAGE(K387,K389)</f>
        <v>271.28716666672813</v>
      </c>
      <c r="L388" s="6"/>
      <c r="M388" s="19">
        <f ca="1">IF(testdataClose[[#This Row],[type]]="H",testdataClose[[#This Row],[close]],AVERAGE(M387,M389))</f>
        <v>279.51392592584904</v>
      </c>
      <c r="N388" s="19">
        <f ca="1">IF(testdataClose[[#This Row],[type]]="L",testdataClose[[#This Row],[close]],AVERAGE(N387,N389))</f>
        <v>258.063777777707</v>
      </c>
      <c r="Q388" s="4">
        <v>387</v>
      </c>
      <c r="R388" s="33">
        <v>271.28719999999998</v>
      </c>
      <c r="S388" s="19">
        <v>279.51389999999998</v>
      </c>
      <c r="T388" s="19">
        <v>258.06380000000001</v>
      </c>
    </row>
    <row r="389" spans="1:20" x14ac:dyDescent="0.35">
      <c r="A389" s="7">
        <v>388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14">
        <v>273</v>
      </c>
      <c r="G389" s="1">
        <v>45910016</v>
      </c>
      <c r="H389" s="6" t="s">
        <v>10</v>
      </c>
      <c r="I389" s="6">
        <f>IF(AND(H388="UP",testdataClose[[#This Row],[close]]&gt;I388),testdataClose[[#This Row],[close]],IF(AND(H388="DN",testdataClose[[#This Row],[close]]&lt;I388),testdataClose[[#This Row],[close]],I388))</f>
        <v>273</v>
      </c>
      <c r="J389" s="11">
        <f>(testdataClose[[#This Row],[close]]-testdataClose[[#This Row],[hl]])/testdataClose[[#This Row],[hl]]</f>
        <v>0</v>
      </c>
      <c r="K389" s="15">
        <f t="shared" ca="1" si="7"/>
        <v>271.58875000006094</v>
      </c>
      <c r="L389" s="6"/>
      <c r="M389" s="19">
        <f ca="1">IF(testdataClose[[#This Row],[type]]="H",testdataClose[[#This Row],[close]],AVERAGE(M388,M390))</f>
        <v>279.6366666665906</v>
      </c>
      <c r="N389" s="19">
        <f ca="1">IF(testdataClose[[#This Row],[type]]="L",testdataClose[[#This Row],[close]],AVERAGE(N388,N390))</f>
        <v>258.1866666665959</v>
      </c>
      <c r="Q389" s="4">
        <v>388</v>
      </c>
      <c r="R389" s="33">
        <v>271.58879999999999</v>
      </c>
      <c r="S389" s="19">
        <v>279.63670000000002</v>
      </c>
      <c r="T389" s="19">
        <v>258.18669999999997</v>
      </c>
    </row>
    <row r="390" spans="1:20" x14ac:dyDescent="0.35">
      <c r="A390" s="7">
        <v>389</v>
      </c>
      <c r="B390" s="3">
        <v>43300</v>
      </c>
      <c r="C390" s="2">
        <v>272.27</v>
      </c>
      <c r="D390" s="2">
        <v>272.69</v>
      </c>
      <c r="E390" s="2">
        <v>271.45</v>
      </c>
      <c r="F390" s="14">
        <v>271.97000000000003</v>
      </c>
      <c r="G390" s="1">
        <v>63225212</v>
      </c>
      <c r="H390" s="6" t="s">
        <v>10</v>
      </c>
      <c r="I390" s="6">
        <f>IF(AND(H389="UP",testdataClose[[#This Row],[close]]&gt;I389),testdataClose[[#This Row],[close]],IF(AND(H389="DN",testdataClose[[#This Row],[close]]&lt;I389),testdataClose[[#This Row],[close]],I389))</f>
        <v>273</v>
      </c>
      <c r="J390" s="11">
        <f>(testdataClose[[#This Row],[close]]-testdataClose[[#This Row],[hl]])/testdataClose[[#This Row],[hl]]</f>
        <v>-3.7728937728936729E-3</v>
      </c>
      <c r="K390" s="15">
        <f t="shared" ca="1" si="7"/>
        <v>271.8903333333937</v>
      </c>
      <c r="L390" s="6"/>
      <c r="M390" s="19">
        <f ca="1">IF(testdataClose[[#This Row],[type]]="H",testdataClose[[#This Row],[close]],AVERAGE(M389,M391))</f>
        <v>279.75940740733222</v>
      </c>
      <c r="N390" s="19">
        <f ca="1">IF(testdataClose[[#This Row],[type]]="L",testdataClose[[#This Row],[close]],AVERAGE(N389,N391))</f>
        <v>258.30955555548485</v>
      </c>
      <c r="Q390" s="4">
        <v>389</v>
      </c>
      <c r="R390" s="33">
        <v>271.89030000000002</v>
      </c>
      <c r="S390" s="19">
        <v>279.75940000000003</v>
      </c>
      <c r="T390" s="19">
        <v>258.30959999999999</v>
      </c>
    </row>
    <row r="391" spans="1:20" x14ac:dyDescent="0.35">
      <c r="A391" s="7">
        <v>390</v>
      </c>
      <c r="B391" s="3">
        <v>43301</v>
      </c>
      <c r="C391" s="2">
        <v>271.75</v>
      </c>
      <c r="D391" s="2">
        <v>272.44</v>
      </c>
      <c r="E391" s="2">
        <v>271.48</v>
      </c>
      <c r="F391" s="14">
        <v>271.66000000000003</v>
      </c>
      <c r="G391" s="1">
        <v>84804656</v>
      </c>
      <c r="H391" s="6" t="s">
        <v>10</v>
      </c>
      <c r="I391" s="6">
        <f>IF(AND(H390="UP",testdataClose[[#This Row],[close]]&gt;I390),testdataClose[[#This Row],[close]],IF(AND(H390="DN",testdataClose[[#This Row],[close]]&lt;I390),testdataClose[[#This Row],[close]],I390))</f>
        <v>273</v>
      </c>
      <c r="J391" s="11">
        <f>(testdataClose[[#This Row],[close]]-testdataClose[[#This Row],[hl]])/testdataClose[[#This Row],[hl]]</f>
        <v>-4.9084249084248169E-3</v>
      </c>
      <c r="K391" s="15">
        <f t="shared" ca="1" si="7"/>
        <v>272.19191666672646</v>
      </c>
      <c r="L391" s="6"/>
      <c r="M391" s="19">
        <f ca="1">IF(testdataClose[[#This Row],[type]]="H",testdataClose[[#This Row],[close]],AVERAGE(M390,M392))</f>
        <v>279.8821481480739</v>
      </c>
      <c r="N391" s="19">
        <f ca="1">IF(testdataClose[[#This Row],[type]]="L",testdataClose[[#This Row],[close]],AVERAGE(N390,N392))</f>
        <v>258.43244444437386</v>
      </c>
      <c r="Q391" s="4">
        <v>390</v>
      </c>
      <c r="R391" s="33">
        <v>272.19189999999998</v>
      </c>
      <c r="S391" s="19">
        <v>279.88209999999998</v>
      </c>
      <c r="T391" s="19">
        <v>258.43239999999997</v>
      </c>
    </row>
    <row r="392" spans="1:20" x14ac:dyDescent="0.35">
      <c r="A392" s="7">
        <v>391</v>
      </c>
      <c r="B392" s="3">
        <v>43304</v>
      </c>
      <c r="C392" s="2">
        <v>271.44</v>
      </c>
      <c r="D392" s="2">
        <v>272.39</v>
      </c>
      <c r="E392" s="2">
        <v>271.06</v>
      </c>
      <c r="F392" s="14">
        <v>272.16000000000003</v>
      </c>
      <c r="G392" s="1">
        <v>48436568</v>
      </c>
      <c r="H392" s="6" t="s">
        <v>10</v>
      </c>
      <c r="I392" s="6">
        <f>IF(AND(H391="UP",testdataClose[[#This Row],[close]]&gt;I391),testdataClose[[#This Row],[close]],IF(AND(H391="DN",testdataClose[[#This Row],[close]]&lt;I391),testdataClose[[#This Row],[close]],I391))</f>
        <v>273</v>
      </c>
      <c r="J392" s="11">
        <f>(testdataClose[[#This Row],[close]]-testdataClose[[#This Row],[hl]])/testdataClose[[#This Row],[hl]]</f>
        <v>-3.0769230769229854E-3</v>
      </c>
      <c r="K392" s="15">
        <f t="shared" ca="1" si="7"/>
        <v>272.49350000005916</v>
      </c>
      <c r="L392" s="6"/>
      <c r="M392" s="19">
        <f ca="1">IF(testdataClose[[#This Row],[type]]="H",testdataClose[[#This Row],[close]],AVERAGE(M391,M393))</f>
        <v>280.00488888881557</v>
      </c>
      <c r="N392" s="19">
        <f ca="1">IF(testdataClose[[#This Row],[type]]="L",testdataClose[[#This Row],[close]],AVERAGE(N391,N393))</f>
        <v>258.55533333326287</v>
      </c>
      <c r="Q392" s="4">
        <v>391</v>
      </c>
      <c r="R392" s="33">
        <v>272.49349999999998</v>
      </c>
      <c r="S392" s="19">
        <v>280.00490000000002</v>
      </c>
      <c r="T392" s="19">
        <v>258.55529999999999</v>
      </c>
    </row>
    <row r="393" spans="1:20" x14ac:dyDescent="0.35">
      <c r="A393" s="7">
        <v>392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14">
        <v>273.52999999999997</v>
      </c>
      <c r="G393" s="1">
        <v>70035320</v>
      </c>
      <c r="H393" s="6" t="s">
        <v>10</v>
      </c>
      <c r="I393" s="6">
        <f>IF(AND(H392="UP",testdataClose[[#This Row],[close]]&gt;I392),testdataClose[[#This Row],[close]],IF(AND(H392="DN",testdataClose[[#This Row],[close]]&lt;I392),testdataClose[[#This Row],[close]],I392))</f>
        <v>273.52999999999997</v>
      </c>
      <c r="J393" s="11">
        <f>(testdataClose[[#This Row],[close]]-testdataClose[[#This Row],[hl]])/testdataClose[[#This Row],[hl]]</f>
        <v>0</v>
      </c>
      <c r="K393" s="15">
        <f t="shared" ca="1" si="7"/>
        <v>272.79508333339186</v>
      </c>
      <c r="L393" s="6"/>
      <c r="M393" s="19">
        <f ca="1">IF(testdataClose[[#This Row],[type]]="H",testdataClose[[#This Row],[close]],AVERAGE(M392,M394))</f>
        <v>280.1276296295573</v>
      </c>
      <c r="N393" s="19">
        <f ca="1">IF(testdataClose[[#This Row],[type]]="L",testdataClose[[#This Row],[close]],AVERAGE(N392,N394))</f>
        <v>258.67822222215193</v>
      </c>
      <c r="Q393" s="4">
        <v>392</v>
      </c>
      <c r="R393" s="33">
        <v>272.79509999999999</v>
      </c>
      <c r="S393" s="19">
        <v>280.12759999999997</v>
      </c>
      <c r="T393" s="19">
        <v>258.6782</v>
      </c>
    </row>
    <row r="394" spans="1:20" x14ac:dyDescent="0.35">
      <c r="A394" s="7">
        <v>393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14">
        <v>275.87</v>
      </c>
      <c r="G394" s="1">
        <v>81211824</v>
      </c>
      <c r="H394" s="6" t="s">
        <v>10</v>
      </c>
      <c r="I394" s="6">
        <f>IF(AND(H393="UP",testdataClose[[#This Row],[close]]&gt;I393),testdataClose[[#This Row],[close]],IF(AND(H393="DN",testdataClose[[#This Row],[close]]&lt;I393),testdataClose[[#This Row],[close]],I393))</f>
        <v>275.87</v>
      </c>
      <c r="J394" s="11">
        <f>(testdataClose[[#This Row],[close]]-testdataClose[[#This Row],[hl]])/testdataClose[[#This Row],[hl]]</f>
        <v>0</v>
      </c>
      <c r="K394" s="15">
        <f t="shared" ca="1" si="7"/>
        <v>273.0966666667245</v>
      </c>
      <c r="L394" s="6"/>
      <c r="M394" s="19">
        <f ca="1">IF(testdataClose[[#This Row],[type]]="H",testdataClose[[#This Row],[close]],AVERAGE(M393,M395))</f>
        <v>280.25037037029909</v>
      </c>
      <c r="N394" s="19">
        <f ca="1">IF(testdataClose[[#This Row],[type]]="L",testdataClose[[#This Row],[close]],AVERAGE(N393,N395))</f>
        <v>258.80111111104105</v>
      </c>
      <c r="Q394" s="4">
        <v>393</v>
      </c>
      <c r="R394" s="33">
        <v>273.0967</v>
      </c>
      <c r="S394" s="19">
        <v>280.25040000000001</v>
      </c>
      <c r="T394" s="19">
        <v>258.80110000000002</v>
      </c>
    </row>
    <row r="395" spans="1:20" x14ac:dyDescent="0.35">
      <c r="A395" s="7">
        <v>394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14">
        <v>275.20999999999998</v>
      </c>
      <c r="G395" s="1">
        <v>59629476</v>
      </c>
      <c r="H395" s="6" t="s">
        <v>10</v>
      </c>
      <c r="I395" s="6">
        <f>IF(AND(H394="UP",testdataClose[[#This Row],[close]]&gt;I394),testdataClose[[#This Row],[close]],IF(AND(H394="DN",testdataClose[[#This Row],[close]]&lt;I394),testdataClose[[#This Row],[close]],I394))</f>
        <v>275.87</v>
      </c>
      <c r="J395" s="11">
        <f>(testdataClose[[#This Row],[close]]-testdataClose[[#This Row],[hl]])/testdataClose[[#This Row],[hl]]</f>
        <v>-2.3924312176025844E-3</v>
      </c>
      <c r="K395" s="15">
        <f t="shared" ca="1" si="7"/>
        <v>273.39825000005715</v>
      </c>
      <c r="L395" s="6"/>
      <c r="M395" s="19">
        <f ca="1">IF(testdataClose[[#This Row],[type]]="H",testdataClose[[#This Row],[close]],AVERAGE(M394,M396))</f>
        <v>280.37311111104088</v>
      </c>
      <c r="N395" s="19">
        <f ca="1">IF(testdataClose[[#This Row],[type]]="L",testdataClose[[#This Row],[close]],AVERAGE(N394,N396))</f>
        <v>258.92399999993017</v>
      </c>
      <c r="Q395" s="4">
        <v>394</v>
      </c>
      <c r="R395" s="33">
        <v>273.39830000000001</v>
      </c>
      <c r="S395" s="19">
        <v>280.37310000000002</v>
      </c>
      <c r="T395" s="19">
        <v>258.92399999999998</v>
      </c>
    </row>
    <row r="396" spans="1:20" x14ac:dyDescent="0.35">
      <c r="A396" s="7">
        <v>395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14">
        <v>273.35000000000002</v>
      </c>
      <c r="G396" s="1">
        <v>79050080</v>
      </c>
      <c r="H396" s="6" t="s">
        <v>10</v>
      </c>
      <c r="I396" s="6">
        <f>IF(AND(H395="UP",testdataClose[[#This Row],[close]]&gt;I395),testdataClose[[#This Row],[close]],IF(AND(H395="DN",testdataClose[[#This Row],[close]]&lt;I395),testdataClose[[#This Row],[close]],I395))</f>
        <v>275.87</v>
      </c>
      <c r="J396" s="11">
        <f>(testdataClose[[#This Row],[close]]-testdataClose[[#This Row],[hl]])/testdataClose[[#This Row],[hl]]</f>
        <v>-9.1347373763003645E-3</v>
      </c>
      <c r="K396" s="15">
        <f t="shared" ca="1" si="7"/>
        <v>273.69983333338973</v>
      </c>
      <c r="L396" s="6"/>
      <c r="M396" s="19">
        <f ca="1">IF(testdataClose[[#This Row],[type]]="H",testdataClose[[#This Row],[close]],AVERAGE(M395,M397))</f>
        <v>280.49585185178273</v>
      </c>
      <c r="N396" s="19">
        <f ca="1">IF(testdataClose[[#This Row],[type]]="L",testdataClose[[#This Row],[close]],AVERAGE(N395,N397))</f>
        <v>259.04688888881935</v>
      </c>
      <c r="Q396" s="4">
        <v>395</v>
      </c>
      <c r="R396" s="33">
        <v>273.69979999999998</v>
      </c>
      <c r="S396" s="19">
        <v>280.49590000000001</v>
      </c>
      <c r="T396" s="19">
        <v>259.04689999999999</v>
      </c>
    </row>
    <row r="397" spans="1:20" x14ac:dyDescent="0.35">
      <c r="A397" s="7">
        <v>396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14">
        <v>271.92</v>
      </c>
      <c r="G397" s="1">
        <v>65624404</v>
      </c>
      <c r="H397" s="6" t="s">
        <v>10</v>
      </c>
      <c r="I397" s="6">
        <f>IF(AND(H396="UP",testdataClose[[#This Row],[close]]&gt;I396),testdataClose[[#This Row],[close]],IF(AND(H396="DN",testdataClose[[#This Row],[close]]&lt;I396),testdataClose[[#This Row],[close]],I396))</f>
        <v>275.87</v>
      </c>
      <c r="J397" s="11">
        <f>(testdataClose[[#This Row],[close]]-testdataClose[[#This Row],[hl]])/testdataClose[[#This Row],[hl]]</f>
        <v>-1.431833834777246E-2</v>
      </c>
      <c r="K397" s="15">
        <f t="shared" ca="1" si="7"/>
        <v>274.00141666672226</v>
      </c>
      <c r="L397" s="6"/>
      <c r="M397" s="19">
        <f ca="1">IF(testdataClose[[#This Row],[type]]="H",testdataClose[[#This Row],[close]],AVERAGE(M396,M398))</f>
        <v>280.61859259252464</v>
      </c>
      <c r="N397" s="19">
        <f ca="1">IF(testdataClose[[#This Row],[type]]="L",testdataClose[[#This Row],[close]],AVERAGE(N396,N398))</f>
        <v>259.16977777770859</v>
      </c>
      <c r="Q397" s="4">
        <v>396</v>
      </c>
      <c r="R397" s="33">
        <v>274.00139999999999</v>
      </c>
      <c r="S397" s="19">
        <v>280.61860000000001</v>
      </c>
      <c r="T397" s="19">
        <v>259.16980000000001</v>
      </c>
    </row>
    <row r="398" spans="1:20" x14ac:dyDescent="0.35">
      <c r="A398" s="7">
        <v>397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14">
        <v>273.26</v>
      </c>
      <c r="G398" s="1">
        <v>70594928</v>
      </c>
      <c r="H398" s="6" t="s">
        <v>10</v>
      </c>
      <c r="I398" s="6">
        <f>IF(AND(H397="UP",testdataClose[[#This Row],[close]]&gt;I397),testdataClose[[#This Row],[close]],IF(AND(H397="DN",testdataClose[[#This Row],[close]]&lt;I397),testdataClose[[#This Row],[close]],I397))</f>
        <v>275.87</v>
      </c>
      <c r="J398" s="11">
        <f>(testdataClose[[#This Row],[close]]-testdataClose[[#This Row],[hl]])/testdataClose[[#This Row],[hl]]</f>
        <v>-9.4609779968826396E-3</v>
      </c>
      <c r="K398" s="15">
        <f t="shared" ca="1" si="7"/>
        <v>274.30300000005479</v>
      </c>
      <c r="L398" s="6"/>
      <c r="M398" s="19">
        <f ca="1">IF(testdataClose[[#This Row],[type]]="H",testdataClose[[#This Row],[close]],AVERAGE(M397,M399))</f>
        <v>280.74133333326654</v>
      </c>
      <c r="N398" s="19">
        <f ca="1">IF(testdataClose[[#This Row],[type]]="L",testdataClose[[#This Row],[close]],AVERAGE(N397,N399))</f>
        <v>259.29266666659782</v>
      </c>
      <c r="Q398" s="4">
        <v>397</v>
      </c>
      <c r="R398" s="33">
        <v>274.303</v>
      </c>
      <c r="S398" s="19">
        <v>280.74130000000002</v>
      </c>
      <c r="T398" s="19">
        <v>259.29270000000002</v>
      </c>
    </row>
    <row r="399" spans="1:20" x14ac:dyDescent="0.35">
      <c r="A399" s="7">
        <v>398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14">
        <v>272.81</v>
      </c>
      <c r="G399" s="1">
        <v>55443260</v>
      </c>
      <c r="H399" s="6" t="s">
        <v>10</v>
      </c>
      <c r="I399" s="6">
        <f>IF(AND(H398="UP",testdataClose[[#This Row],[close]]&gt;I398),testdataClose[[#This Row],[close]],IF(AND(H398="DN",testdataClose[[#This Row],[close]]&lt;I398),testdataClose[[#This Row],[close]],I398))</f>
        <v>275.87</v>
      </c>
      <c r="J399" s="11">
        <f>(testdataClose[[#This Row],[close]]-testdataClose[[#This Row],[hl]])/testdataClose[[#This Row],[hl]]</f>
        <v>-1.1092181099793388E-2</v>
      </c>
      <c r="K399" s="15">
        <f t="shared" ca="1" si="7"/>
        <v>274.60458333338727</v>
      </c>
      <c r="L399" s="6"/>
      <c r="M399" s="19">
        <f ca="1">IF(testdataClose[[#This Row],[type]]="H",testdataClose[[#This Row],[close]],AVERAGE(M398,M400))</f>
        <v>280.8640740740085</v>
      </c>
      <c r="N399" s="19">
        <f ca="1">IF(testdataClose[[#This Row],[type]]="L",testdataClose[[#This Row],[close]],AVERAGE(N398,N400))</f>
        <v>259.41555555548712</v>
      </c>
      <c r="Q399" s="4">
        <v>398</v>
      </c>
      <c r="R399" s="33">
        <v>274.6046</v>
      </c>
      <c r="S399" s="19">
        <v>280.86410000000001</v>
      </c>
      <c r="T399" s="19">
        <v>259.41559999999998</v>
      </c>
    </row>
    <row r="400" spans="1:20" x14ac:dyDescent="0.35">
      <c r="A400" s="7">
        <v>399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14">
        <v>274.29000000000002</v>
      </c>
      <c r="G400" s="1">
        <v>65298924</v>
      </c>
      <c r="H400" s="6" t="s">
        <v>10</v>
      </c>
      <c r="I400" s="6">
        <f>IF(AND(H399="UP",testdataClose[[#This Row],[close]]&gt;I399),testdataClose[[#This Row],[close]],IF(AND(H399="DN",testdataClose[[#This Row],[close]]&lt;I399),testdataClose[[#This Row],[close]],I399))</f>
        <v>275.87</v>
      </c>
      <c r="J400" s="11">
        <f>(testdataClose[[#This Row],[close]]-testdataClose[[#This Row],[hl]])/testdataClose[[#This Row],[hl]]</f>
        <v>-5.7273353391089432E-3</v>
      </c>
      <c r="K400" s="15">
        <f t="shared" ca="1" si="7"/>
        <v>274.90616666671968</v>
      </c>
      <c r="L400" s="6"/>
      <c r="M400" s="19">
        <f ca="1">IF(testdataClose[[#This Row],[type]]="H",testdataClose[[#This Row],[close]],AVERAGE(M399,M401))</f>
        <v>280.98681481475052</v>
      </c>
      <c r="N400" s="19">
        <f ca="1">IF(testdataClose[[#This Row],[type]]="L",testdataClose[[#This Row],[close]],AVERAGE(N399,N401))</f>
        <v>259.53844444437647</v>
      </c>
      <c r="Q400" s="4">
        <v>399</v>
      </c>
      <c r="R400" s="33">
        <v>274.90620000000001</v>
      </c>
      <c r="S400" s="19">
        <v>280.98680000000002</v>
      </c>
      <c r="T400" s="19">
        <v>259.53840000000002</v>
      </c>
    </row>
    <row r="401" spans="1:20" x14ac:dyDescent="0.35">
      <c r="A401" s="7">
        <v>400</v>
      </c>
      <c r="B401" s="3">
        <v>43315</v>
      </c>
      <c r="C401" s="2">
        <v>274.43</v>
      </c>
      <c r="D401" s="2">
        <v>275.52</v>
      </c>
      <c r="E401" s="2">
        <v>274.23</v>
      </c>
      <c r="F401" s="14">
        <v>275.47000000000003</v>
      </c>
      <c r="G401" s="1">
        <v>55527740</v>
      </c>
      <c r="H401" s="6" t="s">
        <v>10</v>
      </c>
      <c r="I401" s="6">
        <f>IF(AND(H400="UP",testdataClose[[#This Row],[close]]&gt;I400),testdataClose[[#This Row],[close]],IF(AND(H400="DN",testdataClose[[#This Row],[close]]&lt;I400),testdataClose[[#This Row],[close]],I400))</f>
        <v>275.87</v>
      </c>
      <c r="J401" s="11">
        <f>(testdataClose[[#This Row],[close]]-testdataClose[[#This Row],[hl]])/testdataClose[[#This Row],[hl]]</f>
        <v>-1.4499583136983987E-3</v>
      </c>
      <c r="K401" s="15">
        <f t="shared" ca="1" si="7"/>
        <v>275.2077500000521</v>
      </c>
      <c r="L401" s="6"/>
      <c r="M401" s="19">
        <f ca="1">IF(testdataClose[[#This Row],[type]]="H",testdataClose[[#This Row],[close]],AVERAGE(M400,M402))</f>
        <v>281.10955555549253</v>
      </c>
      <c r="N401" s="19">
        <f ca="1">IF(testdataClose[[#This Row],[type]]="L",testdataClose[[#This Row],[close]],AVERAGE(N400,N402))</f>
        <v>259.66133333326582</v>
      </c>
      <c r="Q401" s="4">
        <v>400</v>
      </c>
      <c r="R401" s="33">
        <v>275.20780000000002</v>
      </c>
      <c r="S401" s="19">
        <v>281.1096</v>
      </c>
      <c r="T401" s="19">
        <v>259.66129999999998</v>
      </c>
    </row>
    <row r="402" spans="1:20" x14ac:dyDescent="0.35">
      <c r="A402" s="7">
        <v>401</v>
      </c>
      <c r="B402" s="3">
        <v>43318</v>
      </c>
      <c r="C402" s="2">
        <v>275.51</v>
      </c>
      <c r="D402" s="2">
        <v>276.82</v>
      </c>
      <c r="E402" s="2">
        <v>275.08</v>
      </c>
      <c r="F402" s="14">
        <v>276.48</v>
      </c>
      <c r="G402" s="1">
        <v>40564136</v>
      </c>
      <c r="H402" s="6" t="s">
        <v>10</v>
      </c>
      <c r="I402" s="6">
        <f>IF(AND(H401="UP",testdataClose[[#This Row],[close]]&gt;I401),testdataClose[[#This Row],[close]],IF(AND(H401="DN",testdataClose[[#This Row],[close]]&lt;I401),testdataClose[[#This Row],[close]],I401))</f>
        <v>276.48</v>
      </c>
      <c r="J402" s="11">
        <f>(testdataClose[[#This Row],[close]]-testdataClose[[#This Row],[hl]])/testdataClose[[#This Row],[hl]]</f>
        <v>0</v>
      </c>
      <c r="K402" s="15">
        <f t="shared" ca="1" si="7"/>
        <v>275.50933333338446</v>
      </c>
      <c r="L402" s="6"/>
      <c r="M402" s="19">
        <f ca="1">IF(testdataClose[[#This Row],[type]]="H",testdataClose[[#This Row],[close]],AVERAGE(M401,M403))</f>
        <v>281.23229629623461</v>
      </c>
      <c r="N402" s="19">
        <f ca="1">IF(testdataClose[[#This Row],[type]]="L",testdataClose[[#This Row],[close]],AVERAGE(N401,N403))</f>
        <v>259.78422222215522</v>
      </c>
      <c r="Q402" s="4">
        <v>401</v>
      </c>
      <c r="R402" s="33">
        <v>275.5093</v>
      </c>
      <c r="S402" s="19">
        <v>281.23230000000001</v>
      </c>
      <c r="T402" s="19">
        <v>259.7842</v>
      </c>
    </row>
    <row r="403" spans="1:20" x14ac:dyDescent="0.35">
      <c r="A403" s="7">
        <v>402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14">
        <v>277.39</v>
      </c>
      <c r="G403" s="1">
        <v>44471960</v>
      </c>
      <c r="H403" s="6" t="s">
        <v>10</v>
      </c>
      <c r="I403" s="6">
        <f>IF(AND(H402="UP",testdataClose[[#This Row],[close]]&gt;I402),testdataClose[[#This Row],[close]],IF(AND(H402="DN",testdataClose[[#This Row],[close]]&lt;I402),testdataClose[[#This Row],[close]],I402))</f>
        <v>277.39</v>
      </c>
      <c r="J403" s="11">
        <f>(testdataClose[[#This Row],[close]]-testdataClose[[#This Row],[hl]])/testdataClose[[#This Row],[hl]]</f>
        <v>0</v>
      </c>
      <c r="K403" s="15">
        <f t="shared" ca="1" si="7"/>
        <v>275.81091666671676</v>
      </c>
      <c r="L403" s="6"/>
      <c r="M403" s="19">
        <f ca="1">IF(testdataClose[[#This Row],[type]]="H",testdataClose[[#This Row],[close]],AVERAGE(M402,M404))</f>
        <v>281.35503703697674</v>
      </c>
      <c r="N403" s="19">
        <f ca="1">IF(testdataClose[[#This Row],[type]]="L",testdataClose[[#This Row],[close]],AVERAGE(N402,N404))</f>
        <v>259.90711111104469</v>
      </c>
      <c r="Q403" s="4">
        <v>402</v>
      </c>
      <c r="R403" s="33">
        <v>275.8109</v>
      </c>
      <c r="S403" s="19">
        <v>281.35500000000002</v>
      </c>
      <c r="T403" s="19">
        <v>259.90710000000001</v>
      </c>
    </row>
    <row r="404" spans="1:20" x14ac:dyDescent="0.35">
      <c r="A404" s="7">
        <v>403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14">
        <v>277.27</v>
      </c>
      <c r="G404" s="1">
        <v>43357916</v>
      </c>
      <c r="H404" s="6" t="s">
        <v>10</v>
      </c>
      <c r="I404" s="6">
        <f>IF(AND(H403="UP",testdataClose[[#This Row],[close]]&gt;I403),testdataClose[[#This Row],[close]],IF(AND(H403="DN",testdataClose[[#This Row],[close]]&lt;I403),testdataClose[[#This Row],[close]],I403))</f>
        <v>277.39</v>
      </c>
      <c r="J404" s="11">
        <f>(testdataClose[[#This Row],[close]]-testdataClose[[#This Row],[hl]])/testdataClose[[#This Row],[hl]]</f>
        <v>-4.3260391506544778E-4</v>
      </c>
      <c r="K404" s="15">
        <f t="shared" ca="1" si="7"/>
        <v>276.11250000004907</v>
      </c>
      <c r="L404" s="6"/>
      <c r="M404" s="19">
        <f ca="1">IF(testdataClose[[#This Row],[type]]="H",testdataClose[[#This Row],[close]],AVERAGE(M403,M405))</f>
        <v>281.47777777771887</v>
      </c>
      <c r="N404" s="19">
        <f ca="1">IF(testdataClose[[#This Row],[type]]="L",testdataClose[[#This Row],[close]],AVERAGE(N403,N405))</f>
        <v>260.02999999993415</v>
      </c>
      <c r="Q404" s="4">
        <v>403</v>
      </c>
      <c r="R404" s="33">
        <v>276.11250000000001</v>
      </c>
      <c r="S404" s="19">
        <v>281.4778</v>
      </c>
      <c r="T404" s="19">
        <v>260.02999999999997</v>
      </c>
    </row>
    <row r="405" spans="1:20" x14ac:dyDescent="0.35">
      <c r="A405" s="7">
        <v>404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14">
        <v>276.89999999999998</v>
      </c>
      <c r="G405" s="1">
        <v>36771464</v>
      </c>
      <c r="H405" s="6" t="s">
        <v>10</v>
      </c>
      <c r="I405" s="6">
        <f>IF(AND(H404="UP",testdataClose[[#This Row],[close]]&gt;I404),testdataClose[[#This Row],[close]],IF(AND(H404="DN",testdataClose[[#This Row],[close]]&lt;I404),testdataClose[[#This Row],[close]],I404))</f>
        <v>277.39</v>
      </c>
      <c r="J405" s="11">
        <f>(testdataClose[[#This Row],[close]]-testdataClose[[#This Row],[hl]])/testdataClose[[#This Row],[hl]]</f>
        <v>-1.7664659865172109E-3</v>
      </c>
      <c r="K405" s="15">
        <f t="shared" ca="1" si="7"/>
        <v>276.41408333338131</v>
      </c>
      <c r="L405" s="6"/>
      <c r="M405" s="19">
        <f ca="1">IF(testdataClose[[#This Row],[type]]="H",testdataClose[[#This Row],[close]],AVERAGE(M404,M406))</f>
        <v>281.60051851846106</v>
      </c>
      <c r="N405" s="19">
        <f ca="1">IF(testdataClose[[#This Row],[type]]="L",testdataClose[[#This Row],[close]],AVERAGE(N404,N406))</f>
        <v>260.15288888882367</v>
      </c>
      <c r="Q405" s="4">
        <v>404</v>
      </c>
      <c r="R405" s="33">
        <v>276.41410000000002</v>
      </c>
      <c r="S405" s="19">
        <v>281.60050000000001</v>
      </c>
      <c r="T405" s="19">
        <v>260.15289999999999</v>
      </c>
    </row>
    <row r="406" spans="1:20" x14ac:dyDescent="0.35">
      <c r="A406" s="7">
        <v>405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14">
        <v>275.04000000000002</v>
      </c>
      <c r="G406" s="1">
        <v>79351592</v>
      </c>
      <c r="H406" s="6" t="s">
        <v>10</v>
      </c>
      <c r="I406" s="6">
        <f>IF(AND(H405="UP",testdataClose[[#This Row],[close]]&gt;I405),testdataClose[[#This Row],[close]],IF(AND(H405="DN",testdataClose[[#This Row],[close]]&lt;I405),testdataClose[[#This Row],[close]],I405))</f>
        <v>277.39</v>
      </c>
      <c r="J406" s="11">
        <f>(testdataClose[[#This Row],[close]]-testdataClose[[#This Row],[hl]])/testdataClose[[#This Row],[hl]]</f>
        <v>-8.4718266700312406E-3</v>
      </c>
      <c r="K406" s="15">
        <f t="shared" ca="1" si="7"/>
        <v>276.7156666667135</v>
      </c>
      <c r="L406" s="6"/>
      <c r="M406" s="19">
        <f ca="1">IF(testdataClose[[#This Row],[type]]="H",testdataClose[[#This Row],[close]],AVERAGE(M405,M407))</f>
        <v>281.7232592592033</v>
      </c>
      <c r="N406" s="19">
        <f ca="1">IF(testdataClose[[#This Row],[type]]="L",testdataClose[[#This Row],[close]],AVERAGE(N405,N407))</f>
        <v>260.27577777771324</v>
      </c>
      <c r="Q406" s="4">
        <v>405</v>
      </c>
      <c r="R406" s="33">
        <v>276.71570000000003</v>
      </c>
      <c r="S406" s="19">
        <v>281.72329999999999</v>
      </c>
      <c r="T406" s="19">
        <v>260.2758</v>
      </c>
    </row>
    <row r="407" spans="1:20" x14ac:dyDescent="0.35">
      <c r="A407" s="7">
        <v>406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14">
        <v>274.01</v>
      </c>
      <c r="G407" s="1">
        <v>67673568</v>
      </c>
      <c r="H407" s="6" t="s">
        <v>10</v>
      </c>
      <c r="I407" s="6">
        <f>IF(AND(H406="UP",testdataClose[[#This Row],[close]]&gt;I406),testdataClose[[#This Row],[close]],IF(AND(H406="DN",testdataClose[[#This Row],[close]]&lt;I406),testdataClose[[#This Row],[close]],I406))</f>
        <v>277.39</v>
      </c>
      <c r="J407" s="11">
        <f>(testdataClose[[#This Row],[close]]-testdataClose[[#This Row],[hl]])/testdataClose[[#This Row],[hl]]</f>
        <v>-1.2185010274342966E-2</v>
      </c>
      <c r="K407" s="15">
        <f t="shared" ca="1" si="7"/>
        <v>277.01725000004569</v>
      </c>
      <c r="L407" s="6"/>
      <c r="M407" s="19">
        <f ca="1">IF(testdataClose[[#This Row],[type]]="H",testdataClose[[#This Row],[close]],AVERAGE(M406,M408))</f>
        <v>281.84599999994555</v>
      </c>
      <c r="N407" s="19">
        <f ca="1">IF(testdataClose[[#This Row],[type]]="L",testdataClose[[#This Row],[close]],AVERAGE(N406,N408))</f>
        <v>260.39866666660282</v>
      </c>
      <c r="Q407" s="4">
        <v>406</v>
      </c>
      <c r="R407" s="33">
        <v>277.01729999999998</v>
      </c>
      <c r="S407" s="19">
        <v>281.846</v>
      </c>
      <c r="T407" s="19">
        <v>260.39870000000002</v>
      </c>
    </row>
    <row r="408" spans="1:20" x14ac:dyDescent="0.35">
      <c r="A408" s="7">
        <v>407</v>
      </c>
      <c r="B408" s="3">
        <v>43326</v>
      </c>
      <c r="C408" s="2">
        <v>274.81</v>
      </c>
      <c r="D408" s="2">
        <v>276.02</v>
      </c>
      <c r="E408" s="2">
        <v>274.38</v>
      </c>
      <c r="F408" s="14">
        <v>275.76</v>
      </c>
      <c r="G408" s="1">
        <v>45136396</v>
      </c>
      <c r="H408" s="6" t="s">
        <v>10</v>
      </c>
      <c r="I408" s="6">
        <f>IF(AND(H407="UP",testdataClose[[#This Row],[close]]&gt;I407),testdataClose[[#This Row],[close]],IF(AND(H407="DN",testdataClose[[#This Row],[close]]&lt;I407),testdataClose[[#This Row],[close]],I407))</f>
        <v>277.39</v>
      </c>
      <c r="J408" s="11">
        <f>(testdataClose[[#This Row],[close]]-testdataClose[[#This Row],[hl]])/testdataClose[[#This Row],[hl]]</f>
        <v>-5.8762031796387596E-3</v>
      </c>
      <c r="K408" s="15">
        <f t="shared" ca="1" si="7"/>
        <v>277.31883333337782</v>
      </c>
      <c r="L408" s="6"/>
      <c r="M408" s="19">
        <f ca="1">IF(testdataClose[[#This Row],[type]]="H",testdataClose[[#This Row],[close]],AVERAGE(M407,M409))</f>
        <v>281.96874074068785</v>
      </c>
      <c r="N408" s="19">
        <f ca="1">IF(testdataClose[[#This Row],[type]]="L",testdataClose[[#This Row],[close]],AVERAGE(N407,N409))</f>
        <v>260.52155555549245</v>
      </c>
      <c r="Q408" s="4">
        <v>407</v>
      </c>
      <c r="R408" s="33">
        <v>277.31880000000001</v>
      </c>
      <c r="S408" s="19">
        <v>281.96870000000001</v>
      </c>
      <c r="T408" s="19">
        <v>260.52159999999998</v>
      </c>
    </row>
    <row r="409" spans="1:20" x14ac:dyDescent="0.35">
      <c r="A409" s="7">
        <v>408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14">
        <v>273.7</v>
      </c>
      <c r="G409" s="1">
        <v>105964064</v>
      </c>
      <c r="H409" s="6" t="s">
        <v>10</v>
      </c>
      <c r="I409" s="6">
        <f>IF(AND(H408="UP",testdataClose[[#This Row],[close]]&gt;I408),testdataClose[[#This Row],[close]],IF(AND(H408="DN",testdataClose[[#This Row],[close]]&lt;I408),testdataClose[[#This Row],[close]],I408))</f>
        <v>277.39</v>
      </c>
      <c r="J409" s="11">
        <f>(testdataClose[[#This Row],[close]]-testdataClose[[#This Row],[hl]])/testdataClose[[#This Row],[hl]]</f>
        <v>-1.3302570388262006E-2</v>
      </c>
      <c r="K409" s="15">
        <f t="shared" ca="1" si="7"/>
        <v>277.6204166667099</v>
      </c>
      <c r="L409" s="6"/>
      <c r="M409" s="19">
        <f ca="1">IF(testdataClose[[#This Row],[type]]="H",testdataClose[[#This Row],[close]],AVERAGE(M408,M410))</f>
        <v>282.09148148143015</v>
      </c>
      <c r="N409" s="19">
        <f ca="1">IF(testdataClose[[#This Row],[type]]="L",testdataClose[[#This Row],[close]],AVERAGE(N408,N410))</f>
        <v>260.64444444438215</v>
      </c>
      <c r="Q409" s="4">
        <v>408</v>
      </c>
      <c r="R409" s="33">
        <v>277.62040000000002</v>
      </c>
      <c r="S409" s="19">
        <v>282.0915</v>
      </c>
      <c r="T409" s="19">
        <v>260.64440000000002</v>
      </c>
    </row>
    <row r="410" spans="1:20" x14ac:dyDescent="0.35">
      <c r="A410" s="7">
        <v>409</v>
      </c>
      <c r="B410" s="3">
        <v>43328</v>
      </c>
      <c r="C410" s="2">
        <v>275.27</v>
      </c>
      <c r="D410" s="2">
        <v>276.87</v>
      </c>
      <c r="E410" s="2">
        <v>275.23</v>
      </c>
      <c r="F410" s="14">
        <v>275.91000000000003</v>
      </c>
      <c r="G410" s="1">
        <v>72033608</v>
      </c>
      <c r="H410" s="6" t="s">
        <v>10</v>
      </c>
      <c r="I410" s="6">
        <f>IF(AND(H409="UP",testdataClose[[#This Row],[close]]&gt;I409),testdataClose[[#This Row],[close]],IF(AND(H409="DN",testdataClose[[#This Row],[close]]&lt;I409),testdataClose[[#This Row],[close]],I409))</f>
        <v>277.39</v>
      </c>
      <c r="J410" s="11">
        <f>(testdataClose[[#This Row],[close]]-testdataClose[[#This Row],[hl]])/testdataClose[[#This Row],[hl]]</f>
        <v>-5.3354482858068474E-3</v>
      </c>
      <c r="K410" s="15">
        <f t="shared" ca="1" si="7"/>
        <v>277.92200000004198</v>
      </c>
      <c r="L410" s="6"/>
      <c r="M410" s="19">
        <f ca="1">IF(testdataClose[[#This Row],[type]]="H",testdataClose[[#This Row],[close]],AVERAGE(M409,M411))</f>
        <v>282.21422222217251</v>
      </c>
      <c r="N410" s="19">
        <f ca="1">IF(testdataClose[[#This Row],[type]]="L",testdataClose[[#This Row],[close]],AVERAGE(N409,N411))</f>
        <v>260.76733333327184</v>
      </c>
      <c r="Q410" s="4">
        <v>409</v>
      </c>
      <c r="R410" s="33">
        <v>277.92200000000003</v>
      </c>
      <c r="S410" s="19">
        <v>282.21420000000001</v>
      </c>
      <c r="T410" s="19">
        <v>260.76729999999998</v>
      </c>
    </row>
    <row r="411" spans="1:20" x14ac:dyDescent="0.35">
      <c r="A411" s="7">
        <v>410</v>
      </c>
      <c r="B411" s="3">
        <v>43329</v>
      </c>
      <c r="C411" s="2">
        <v>275.69</v>
      </c>
      <c r="D411" s="2">
        <v>277.37</v>
      </c>
      <c r="E411" s="2">
        <v>275.24</v>
      </c>
      <c r="F411" s="14">
        <v>276.89</v>
      </c>
      <c r="G411" s="1">
        <v>67555760</v>
      </c>
      <c r="H411" s="6" t="s">
        <v>10</v>
      </c>
      <c r="I411" s="6">
        <f>IF(AND(H410="UP",testdataClose[[#This Row],[close]]&gt;I410),testdataClose[[#This Row],[close]],IF(AND(H410="DN",testdataClose[[#This Row],[close]]&lt;I410),testdataClose[[#This Row],[close]],I410))</f>
        <v>277.39</v>
      </c>
      <c r="J411" s="11">
        <f>(testdataClose[[#This Row],[close]]-testdataClose[[#This Row],[hl]])/testdataClose[[#This Row],[hl]]</f>
        <v>-1.8025163127726306E-3</v>
      </c>
      <c r="K411" s="15">
        <f t="shared" ca="1" si="7"/>
        <v>278.22358333337399</v>
      </c>
      <c r="L411" s="6"/>
      <c r="M411" s="19">
        <f ca="1">IF(testdataClose[[#This Row],[type]]="H",testdataClose[[#This Row],[close]],AVERAGE(M410,M412))</f>
        <v>282.33696296291487</v>
      </c>
      <c r="N411" s="19">
        <f ca="1">IF(testdataClose[[#This Row],[type]]="L",testdataClose[[#This Row],[close]],AVERAGE(N410,N412))</f>
        <v>260.89022222216158</v>
      </c>
      <c r="Q411" s="4">
        <v>410</v>
      </c>
      <c r="R411" s="33">
        <v>278.22359999999998</v>
      </c>
      <c r="S411" s="19">
        <v>282.33699999999999</v>
      </c>
      <c r="T411" s="19">
        <v>260.89019999999999</v>
      </c>
    </row>
    <row r="412" spans="1:20" x14ac:dyDescent="0.35">
      <c r="A412" s="7">
        <v>411</v>
      </c>
      <c r="B412" s="3">
        <v>43332</v>
      </c>
      <c r="C412" s="2">
        <v>277.38</v>
      </c>
      <c r="D412" s="2">
        <v>277.77</v>
      </c>
      <c r="E412" s="2">
        <v>276.89</v>
      </c>
      <c r="F412" s="14">
        <v>277.48</v>
      </c>
      <c r="G412" s="1">
        <v>40982744</v>
      </c>
      <c r="H412" s="6" t="s">
        <v>10</v>
      </c>
      <c r="I412" s="6">
        <f>IF(AND(H411="UP",testdataClose[[#This Row],[close]]&gt;I411),testdataClose[[#This Row],[close]],IF(AND(H411="DN",testdataClose[[#This Row],[close]]&lt;I411),testdataClose[[#This Row],[close]],I411))</f>
        <v>277.48</v>
      </c>
      <c r="J412" s="11">
        <f>(testdataClose[[#This Row],[close]]-testdataClose[[#This Row],[hl]])/testdataClose[[#This Row],[hl]]</f>
        <v>0</v>
      </c>
      <c r="K412" s="15">
        <f t="shared" ca="1" si="7"/>
        <v>278.52516666670596</v>
      </c>
      <c r="L412" s="6"/>
      <c r="M412" s="19">
        <f ca="1">IF(testdataClose[[#This Row],[type]]="H",testdataClose[[#This Row],[close]],AVERAGE(M411,M413))</f>
        <v>282.45970370365728</v>
      </c>
      <c r="N412" s="19">
        <f ca="1">IF(testdataClose[[#This Row],[type]]="L",testdataClose[[#This Row],[close]],AVERAGE(N411,N413))</f>
        <v>261.01311111105139</v>
      </c>
      <c r="Q412" s="4">
        <v>411</v>
      </c>
      <c r="R412" s="33">
        <v>278.52519999999998</v>
      </c>
      <c r="S412" s="19">
        <v>282.4597</v>
      </c>
      <c r="T412" s="19">
        <v>261.01310000000001</v>
      </c>
    </row>
    <row r="413" spans="1:20" x14ac:dyDescent="0.35">
      <c r="A413" s="7">
        <v>412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14">
        <v>278.13</v>
      </c>
      <c r="G413" s="1">
        <v>69258080</v>
      </c>
      <c r="H413" s="6" t="s">
        <v>10</v>
      </c>
      <c r="I413" s="6">
        <f>IF(AND(H412="UP",testdataClose[[#This Row],[close]]&gt;I412),testdataClose[[#This Row],[close]],IF(AND(H412="DN",testdataClose[[#This Row],[close]]&lt;I412),testdataClose[[#This Row],[close]],I412))</f>
        <v>278.13</v>
      </c>
      <c r="J413" s="11">
        <f>(testdataClose[[#This Row],[close]]-testdataClose[[#This Row],[hl]])/testdataClose[[#This Row],[hl]]</f>
        <v>0</v>
      </c>
      <c r="K413" s="15">
        <f t="shared" ca="1" si="7"/>
        <v>278.82675000003792</v>
      </c>
      <c r="L413" s="6"/>
      <c r="M413" s="19">
        <f ca="1">IF(testdataClose[[#This Row],[type]]="H",testdataClose[[#This Row],[close]],AVERAGE(M412,M414))</f>
        <v>282.58244444439975</v>
      </c>
      <c r="N413" s="19">
        <f ca="1">IF(testdataClose[[#This Row],[type]]="L",testdataClose[[#This Row],[close]],AVERAGE(N412,N414))</f>
        <v>261.13599999994119</v>
      </c>
      <c r="Q413" s="4">
        <v>412</v>
      </c>
      <c r="R413" s="33">
        <v>278.82679999999999</v>
      </c>
      <c r="S413" s="19">
        <v>282.58240000000001</v>
      </c>
      <c r="T413" s="19">
        <v>261.13600000000002</v>
      </c>
    </row>
    <row r="414" spans="1:20" x14ac:dyDescent="0.35">
      <c r="A414" s="7">
        <v>413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14">
        <v>277.95999999999998</v>
      </c>
      <c r="G414" s="1">
        <v>46321688</v>
      </c>
      <c r="H414" s="6" t="s">
        <v>10</v>
      </c>
      <c r="I414" s="6">
        <f>IF(AND(H413="UP",testdataClose[[#This Row],[close]]&gt;I413),testdataClose[[#This Row],[close]],IF(AND(H413="DN",testdataClose[[#This Row],[close]]&lt;I413),testdataClose[[#This Row],[close]],I413))</f>
        <v>278.13</v>
      </c>
      <c r="J414" s="11">
        <f>(testdataClose[[#This Row],[close]]-testdataClose[[#This Row],[hl]])/testdataClose[[#This Row],[hl]]</f>
        <v>-6.1122496674222821E-4</v>
      </c>
      <c r="K414" s="15">
        <f t="shared" ca="1" si="7"/>
        <v>279.12833333336982</v>
      </c>
      <c r="L414" s="6"/>
      <c r="M414" s="19">
        <f ca="1">IF(testdataClose[[#This Row],[type]]="H",testdataClose[[#This Row],[close]],AVERAGE(M413,M415))</f>
        <v>282.70518518514223</v>
      </c>
      <c r="N414" s="19">
        <f ca="1">IF(testdataClose[[#This Row],[type]]="L",testdataClose[[#This Row],[close]],AVERAGE(N413,N415))</f>
        <v>261.25888888883105</v>
      </c>
      <c r="Q414" s="4">
        <v>413</v>
      </c>
      <c r="R414" s="33">
        <v>279.12830000000002</v>
      </c>
      <c r="S414" s="19">
        <v>282.70519999999999</v>
      </c>
      <c r="T414" s="19">
        <v>261.25889999999998</v>
      </c>
    </row>
    <row r="415" spans="1:20" x14ac:dyDescent="0.35">
      <c r="A415" s="7">
        <v>414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14">
        <v>277.58999999999997</v>
      </c>
      <c r="G415" s="1">
        <v>50657548</v>
      </c>
      <c r="H415" s="6" t="s">
        <v>10</v>
      </c>
      <c r="I415" s="6">
        <f>IF(AND(H414="UP",testdataClose[[#This Row],[close]]&gt;I414),testdataClose[[#This Row],[close]],IF(AND(H414="DN",testdataClose[[#This Row],[close]]&lt;I414),testdataClose[[#This Row],[close]],I414))</f>
        <v>278.13</v>
      </c>
      <c r="J415" s="11">
        <f>(testdataClose[[#This Row],[close]]-testdataClose[[#This Row],[hl]])/testdataClose[[#This Row],[hl]]</f>
        <v>-1.9415381296516753E-3</v>
      </c>
      <c r="K415" s="15">
        <f t="shared" ca="1" si="7"/>
        <v>279.42991666670167</v>
      </c>
      <c r="L415" s="6"/>
      <c r="M415" s="19">
        <f ca="1">IF(testdataClose[[#This Row],[type]]="H",testdataClose[[#This Row],[close]],AVERAGE(M414,M416))</f>
        <v>282.82792592588476</v>
      </c>
      <c r="N415" s="19">
        <f ca="1">IF(testdataClose[[#This Row],[type]]="L",testdataClose[[#This Row],[close]],AVERAGE(N414,N416))</f>
        <v>261.38177777772097</v>
      </c>
      <c r="Q415" s="4">
        <v>414</v>
      </c>
      <c r="R415" s="33">
        <v>279.42989999999998</v>
      </c>
      <c r="S415" s="19">
        <v>282.8279</v>
      </c>
      <c r="T415" s="19">
        <v>261.3818</v>
      </c>
    </row>
    <row r="416" spans="1:20" x14ac:dyDescent="0.35">
      <c r="A416" s="7">
        <v>415</v>
      </c>
      <c r="B416" s="3">
        <v>43336</v>
      </c>
      <c r="C416" s="2">
        <v>278.23</v>
      </c>
      <c r="D416" s="2">
        <v>279.42</v>
      </c>
      <c r="E416" s="2">
        <v>278.17</v>
      </c>
      <c r="F416" s="14">
        <v>279.27</v>
      </c>
      <c r="G416" s="1">
        <v>59184624</v>
      </c>
      <c r="H416" s="6" t="s">
        <v>10</v>
      </c>
      <c r="I416" s="6">
        <f>IF(AND(H415="UP",testdataClose[[#This Row],[close]]&gt;I415),testdataClose[[#This Row],[close]],IF(AND(H415="DN",testdataClose[[#This Row],[close]]&lt;I415),testdataClose[[#This Row],[close]],I415))</f>
        <v>279.27</v>
      </c>
      <c r="J416" s="11">
        <f>(testdataClose[[#This Row],[close]]-testdataClose[[#This Row],[hl]])/testdataClose[[#This Row],[hl]]</f>
        <v>0</v>
      </c>
      <c r="K416" s="15">
        <f t="shared" ca="1" si="7"/>
        <v>279.73150000003352</v>
      </c>
      <c r="L416" s="6"/>
      <c r="M416" s="19">
        <f ca="1">IF(testdataClose[[#This Row],[type]]="H",testdataClose[[#This Row],[close]],AVERAGE(M415,M417))</f>
        <v>282.95066666662734</v>
      </c>
      <c r="N416" s="19">
        <f ca="1">IF(testdataClose[[#This Row],[type]]="L",testdataClose[[#This Row],[close]],AVERAGE(N415,N417))</f>
        <v>261.50466666661089</v>
      </c>
      <c r="Q416" s="4">
        <v>415</v>
      </c>
      <c r="R416" s="33">
        <v>279.73149999999998</v>
      </c>
      <c r="S416" s="19">
        <v>282.95069999999998</v>
      </c>
      <c r="T416" s="19">
        <v>261.50470000000001</v>
      </c>
    </row>
    <row r="417" spans="1:20" x14ac:dyDescent="0.35">
      <c r="A417" s="7">
        <v>416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14">
        <v>281.47000000000003</v>
      </c>
      <c r="G417" s="1">
        <v>58757348</v>
      </c>
      <c r="H417" s="6" t="s">
        <v>10</v>
      </c>
      <c r="I417" s="6">
        <f>IF(AND(H416="UP",testdataClose[[#This Row],[close]]&gt;I416),testdataClose[[#This Row],[close]],IF(AND(H416="DN",testdataClose[[#This Row],[close]]&lt;I416),testdataClose[[#This Row],[close]],I416))</f>
        <v>281.47000000000003</v>
      </c>
      <c r="J417" s="11">
        <f>(testdataClose[[#This Row],[close]]-testdataClose[[#This Row],[hl]])/testdataClose[[#This Row],[hl]]</f>
        <v>0</v>
      </c>
      <c r="K417" s="15">
        <f t="shared" ca="1" si="7"/>
        <v>280.03308333336531</v>
      </c>
      <c r="L417" s="6"/>
      <c r="M417" s="19">
        <f ca="1">IF(testdataClose[[#This Row],[type]]="H",testdataClose[[#This Row],[close]],AVERAGE(M416,M418))</f>
        <v>283.07340740736993</v>
      </c>
      <c r="N417" s="19">
        <f ca="1">IF(testdataClose[[#This Row],[type]]="L",testdataClose[[#This Row],[close]],AVERAGE(N416,N418))</f>
        <v>261.62755555550086</v>
      </c>
      <c r="Q417" s="4">
        <v>416</v>
      </c>
      <c r="R417" s="33">
        <v>280.03309999999999</v>
      </c>
      <c r="S417" s="19">
        <v>283.07339999999999</v>
      </c>
      <c r="T417" s="19">
        <v>261.62759999999997</v>
      </c>
    </row>
    <row r="418" spans="1:20" x14ac:dyDescent="0.35">
      <c r="A418" s="7">
        <v>417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14">
        <v>281.61</v>
      </c>
      <c r="G418" s="1">
        <v>48329404</v>
      </c>
      <c r="H418" s="6" t="s">
        <v>10</v>
      </c>
      <c r="I418" s="6">
        <f>IF(AND(H417="UP",testdataClose[[#This Row],[close]]&gt;I417),testdataClose[[#This Row],[close]],IF(AND(H417="DN",testdataClose[[#This Row],[close]]&lt;I417),testdataClose[[#This Row],[close]],I417))</f>
        <v>281.61</v>
      </c>
      <c r="J418" s="11">
        <f>(testdataClose[[#This Row],[close]]-testdataClose[[#This Row],[hl]])/testdataClose[[#This Row],[hl]]</f>
        <v>0</v>
      </c>
      <c r="K418" s="15">
        <f t="shared" ca="1" si="7"/>
        <v>280.33466666669705</v>
      </c>
      <c r="L418" s="6"/>
      <c r="M418" s="19">
        <f ca="1">IF(testdataClose[[#This Row],[type]]="H",testdataClose[[#This Row],[close]],AVERAGE(M417,M419))</f>
        <v>283.19614814811257</v>
      </c>
      <c r="N418" s="19">
        <f ca="1">IF(testdataClose[[#This Row],[type]]="L",testdataClose[[#This Row],[close]],AVERAGE(N417,N419))</f>
        <v>261.75044444439089</v>
      </c>
      <c r="Q418" s="4">
        <v>417</v>
      </c>
      <c r="R418" s="33">
        <v>280.3347</v>
      </c>
      <c r="S418" s="19">
        <v>283.1961</v>
      </c>
      <c r="T418" s="19">
        <v>261.75040000000001</v>
      </c>
    </row>
    <row r="419" spans="1:20" x14ac:dyDescent="0.35">
      <c r="A419" s="7">
        <v>418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14">
        <v>283.12</v>
      </c>
      <c r="G419" s="1">
        <v>63300776</v>
      </c>
      <c r="H419" s="6" t="s">
        <v>10</v>
      </c>
      <c r="I419" s="6">
        <f>IF(AND(H418="UP",testdataClose[[#This Row],[close]]&gt;I418),testdataClose[[#This Row],[close]],IF(AND(H418="DN",testdataClose[[#This Row],[close]]&lt;I418),testdataClose[[#This Row],[close]],I418))</f>
        <v>283.12</v>
      </c>
      <c r="J419" s="11">
        <f>(testdataClose[[#This Row],[close]]-testdataClose[[#This Row],[hl]])/testdataClose[[#This Row],[hl]]</f>
        <v>0</v>
      </c>
      <c r="K419" s="15">
        <f t="shared" ca="1" si="7"/>
        <v>280.63625000002878</v>
      </c>
      <c r="L419" s="6"/>
      <c r="M419" s="19">
        <f ca="1">IF(testdataClose[[#This Row],[type]]="H",testdataClose[[#This Row],[close]],AVERAGE(M418,M420))</f>
        <v>283.31888888885527</v>
      </c>
      <c r="N419" s="19">
        <f ca="1">IF(testdataClose[[#This Row],[type]]="L",testdataClose[[#This Row],[close]],AVERAGE(N418,N420))</f>
        <v>261.87333333328093</v>
      </c>
      <c r="Q419" s="4">
        <v>418</v>
      </c>
      <c r="R419" s="33">
        <v>280.63630000000001</v>
      </c>
      <c r="S419" s="19">
        <v>283.31889999999999</v>
      </c>
      <c r="T419" s="19">
        <v>261.87329999999997</v>
      </c>
    </row>
    <row r="420" spans="1:20" x14ac:dyDescent="0.35">
      <c r="A420" s="7">
        <v>419</v>
      </c>
      <c r="B420" s="3">
        <v>43342</v>
      </c>
      <c r="C420" s="2">
        <v>282.60000000000002</v>
      </c>
      <c r="D420" s="2">
        <v>283</v>
      </c>
      <c r="E420" s="2">
        <v>281.32</v>
      </c>
      <c r="F420" s="14">
        <v>281.98</v>
      </c>
      <c r="G420" s="1">
        <v>63037208</v>
      </c>
      <c r="H420" s="6" t="s">
        <v>10</v>
      </c>
      <c r="I420" s="6">
        <f>IF(AND(H419="UP",testdataClose[[#This Row],[close]]&gt;I419),testdataClose[[#This Row],[close]],IF(AND(H419="DN",testdataClose[[#This Row],[close]]&lt;I419),testdataClose[[#This Row],[close]],I419))</f>
        <v>283.12</v>
      </c>
      <c r="J420" s="11">
        <f>(testdataClose[[#This Row],[close]]-testdataClose[[#This Row],[hl]])/testdataClose[[#This Row],[hl]]</f>
        <v>-4.0265611754732493E-3</v>
      </c>
      <c r="K420" s="15">
        <f t="shared" ca="1" si="7"/>
        <v>280.93783333336046</v>
      </c>
      <c r="L420" s="6"/>
      <c r="M420" s="19">
        <f ca="1">IF(testdataClose[[#This Row],[type]]="H",testdataClose[[#This Row],[close]],AVERAGE(M419,M421))</f>
        <v>283.44162962959797</v>
      </c>
      <c r="N420" s="19">
        <f ca="1">IF(testdataClose[[#This Row],[type]]="L",testdataClose[[#This Row],[close]],AVERAGE(N419,N421))</f>
        <v>261.99622222217101</v>
      </c>
      <c r="Q420" s="4">
        <v>419</v>
      </c>
      <c r="R420" s="33">
        <v>280.93779999999998</v>
      </c>
      <c r="S420" s="19">
        <v>283.44159999999999</v>
      </c>
      <c r="T420" s="19">
        <v>261.99619999999999</v>
      </c>
    </row>
    <row r="421" spans="1:20" x14ac:dyDescent="0.35">
      <c r="A421" s="7">
        <v>420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14">
        <v>281.98</v>
      </c>
      <c r="G421" s="1">
        <v>68093544</v>
      </c>
      <c r="H421" s="6" t="s">
        <v>10</v>
      </c>
      <c r="I421" s="6">
        <f>IF(AND(H420="UP",testdataClose[[#This Row],[close]]&gt;I420),testdataClose[[#This Row],[close]],IF(AND(H420="DN",testdataClose[[#This Row],[close]]&lt;I420),testdataClose[[#This Row],[close]],I420))</f>
        <v>283.12</v>
      </c>
      <c r="J421" s="11">
        <f>(testdataClose[[#This Row],[close]]-testdataClose[[#This Row],[hl]])/testdataClose[[#This Row],[hl]]</f>
        <v>-4.0265611754732493E-3</v>
      </c>
      <c r="K421" s="15">
        <f t="shared" ca="1" si="7"/>
        <v>281.23941666669208</v>
      </c>
      <c r="L421" s="6"/>
      <c r="M421" s="19">
        <f ca="1">IF(testdataClose[[#This Row],[type]]="H",testdataClose[[#This Row],[close]],AVERAGE(M420,M422))</f>
        <v>283.56437037034073</v>
      </c>
      <c r="N421" s="19">
        <f ca="1">IF(testdataClose[[#This Row],[type]]="L",testdataClose[[#This Row],[close]],AVERAGE(N420,N422))</f>
        <v>262.11911111106116</v>
      </c>
      <c r="Q421" s="4">
        <v>420</v>
      </c>
      <c r="R421" s="33">
        <v>281.23939999999999</v>
      </c>
      <c r="S421" s="19">
        <v>283.56439999999998</v>
      </c>
      <c r="T421" s="19">
        <v>262.1191</v>
      </c>
    </row>
    <row r="422" spans="1:20" x14ac:dyDescent="0.35">
      <c r="A422" s="7">
        <v>421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14">
        <v>281.5</v>
      </c>
      <c r="G422" s="1">
        <v>59294748</v>
      </c>
      <c r="H422" s="6" t="s">
        <v>10</v>
      </c>
      <c r="I422" s="6">
        <f>IF(AND(H421="UP",testdataClose[[#This Row],[close]]&gt;I421),testdataClose[[#This Row],[close]],IF(AND(H421="DN",testdataClose[[#This Row],[close]]&lt;I421),testdataClose[[#This Row],[close]],I421))</f>
        <v>283.12</v>
      </c>
      <c r="J422" s="11">
        <f>(testdataClose[[#This Row],[close]]-testdataClose[[#This Row],[hl]])/testdataClose[[#This Row],[hl]]</f>
        <v>-5.7219553546199653E-3</v>
      </c>
      <c r="K422" s="15">
        <f t="shared" ca="1" si="7"/>
        <v>281.5410000000237</v>
      </c>
      <c r="L422" s="6"/>
      <c r="M422" s="19">
        <f ca="1">IF(testdataClose[[#This Row],[type]]="H",testdataClose[[#This Row],[close]],AVERAGE(M421,M423))</f>
        <v>283.68711111108354</v>
      </c>
      <c r="N422" s="19">
        <f ca="1">IF(testdataClose[[#This Row],[type]]="L",testdataClose[[#This Row],[close]],AVERAGE(N421,N423))</f>
        <v>262.2419999999513</v>
      </c>
      <c r="Q422" s="4">
        <v>421</v>
      </c>
      <c r="R422" s="33">
        <v>281.541</v>
      </c>
      <c r="S422" s="19">
        <v>283.68709999999999</v>
      </c>
      <c r="T422" s="19">
        <v>262.24200000000002</v>
      </c>
    </row>
    <row r="423" spans="1:20" x14ac:dyDescent="0.35">
      <c r="A423" s="7">
        <v>422</v>
      </c>
      <c r="B423" s="3">
        <v>43348</v>
      </c>
      <c r="C423" s="2">
        <v>281.11</v>
      </c>
      <c r="D423" s="2">
        <v>281.33</v>
      </c>
      <c r="E423" s="2">
        <v>279.63</v>
      </c>
      <c r="F423" s="14">
        <v>280.74</v>
      </c>
      <c r="G423" s="1">
        <v>74591480</v>
      </c>
      <c r="H423" s="6" t="s">
        <v>10</v>
      </c>
      <c r="I423" s="6">
        <f>IF(AND(H422="UP",testdataClose[[#This Row],[close]]&gt;I422),testdataClose[[#This Row],[close]],IF(AND(H422="DN",testdataClose[[#This Row],[close]]&lt;I422),testdataClose[[#This Row],[close]],I422))</f>
        <v>283.12</v>
      </c>
      <c r="J423" s="11">
        <f>(testdataClose[[#This Row],[close]]-testdataClose[[#This Row],[hl]])/testdataClose[[#This Row],[hl]]</f>
        <v>-8.4063294716021312E-3</v>
      </c>
      <c r="K423" s="15">
        <f t="shared" ca="1" si="7"/>
        <v>281.84258333335526</v>
      </c>
      <c r="L423" s="6"/>
      <c r="M423" s="19">
        <f ca="1">IF(testdataClose[[#This Row],[type]]="H",testdataClose[[#This Row],[close]],AVERAGE(M422,M424))</f>
        <v>283.80985185182635</v>
      </c>
      <c r="N423" s="19">
        <f ca="1">IF(testdataClose[[#This Row],[type]]="L",testdataClose[[#This Row],[close]],AVERAGE(N422,N424))</f>
        <v>262.36488888884151</v>
      </c>
      <c r="Q423" s="4">
        <v>422</v>
      </c>
      <c r="R423" s="33">
        <v>281.8426</v>
      </c>
      <c r="S423" s="19">
        <v>283.80990000000003</v>
      </c>
      <c r="T423" s="19">
        <v>262.36489999999998</v>
      </c>
    </row>
    <row r="424" spans="1:20" x14ac:dyDescent="0.35">
      <c r="A424" s="7">
        <v>423</v>
      </c>
      <c r="B424" s="3">
        <v>43349</v>
      </c>
      <c r="C424" s="2">
        <v>280.86</v>
      </c>
      <c r="D424" s="2">
        <v>281.19</v>
      </c>
      <c r="E424" s="2">
        <v>278.77</v>
      </c>
      <c r="F424" s="14">
        <v>279.89999999999998</v>
      </c>
      <c r="G424" s="1">
        <v>67855744</v>
      </c>
      <c r="H424" s="6" t="s">
        <v>10</v>
      </c>
      <c r="I424" s="6">
        <f>IF(AND(H423="UP",testdataClose[[#This Row],[close]]&gt;I423),testdataClose[[#This Row],[close]],IF(AND(H423="DN",testdataClose[[#This Row],[close]]&lt;I423),testdataClose[[#This Row],[close]],I423))</f>
        <v>283.12</v>
      </c>
      <c r="J424" s="11">
        <f>(testdataClose[[#This Row],[close]]-testdataClose[[#This Row],[hl]])/testdataClose[[#This Row],[hl]]</f>
        <v>-1.1373269285108885E-2</v>
      </c>
      <c r="K424" s="15">
        <f t="shared" ca="1" si="7"/>
        <v>282.14416666668677</v>
      </c>
      <c r="L424" s="6"/>
      <c r="M424" s="19">
        <f ca="1">IF(testdataClose[[#This Row],[type]]="H",testdataClose[[#This Row],[close]],AVERAGE(M423,M425))</f>
        <v>283.93259259256922</v>
      </c>
      <c r="N424" s="19">
        <f ca="1">IF(testdataClose[[#This Row],[type]]="L",testdataClose[[#This Row],[close]],AVERAGE(N423,N425))</f>
        <v>262.48777777773176</v>
      </c>
      <c r="Q424" s="4">
        <v>423</v>
      </c>
      <c r="R424" s="33">
        <v>282.14420000000001</v>
      </c>
      <c r="S424" s="19">
        <v>283.93259999999998</v>
      </c>
      <c r="T424" s="19">
        <v>262.48779999999999</v>
      </c>
    </row>
    <row r="425" spans="1:20" x14ac:dyDescent="0.35">
      <c r="A425" s="7">
        <v>424</v>
      </c>
      <c r="B425" s="3">
        <v>43350</v>
      </c>
      <c r="C425" s="2">
        <v>278.75</v>
      </c>
      <c r="D425" s="2">
        <v>280.42</v>
      </c>
      <c r="E425" s="2">
        <v>278.49</v>
      </c>
      <c r="F425" s="14">
        <v>279.35000000000002</v>
      </c>
      <c r="G425" s="1">
        <v>75695528</v>
      </c>
      <c r="H425" s="6" t="s">
        <v>10</v>
      </c>
      <c r="I425" s="6">
        <f>IF(AND(H424="UP",testdataClose[[#This Row],[close]]&gt;I424),testdataClose[[#This Row],[close]],IF(AND(H424="DN",testdataClose[[#This Row],[close]]&lt;I424),testdataClose[[#This Row],[close]],I424))</f>
        <v>283.12</v>
      </c>
      <c r="J425" s="11">
        <f>(testdataClose[[#This Row],[close]]-testdataClose[[#This Row],[hl]])/testdataClose[[#This Row],[hl]]</f>
        <v>-1.3315908448714261E-2</v>
      </c>
      <c r="K425" s="15">
        <f t="shared" ca="1" si="7"/>
        <v>282.44575000001828</v>
      </c>
      <c r="L425" s="6"/>
      <c r="M425" s="19">
        <f ca="1">IF(testdataClose[[#This Row],[type]]="H",testdataClose[[#This Row],[close]],AVERAGE(M424,M426))</f>
        <v>284.05533333331215</v>
      </c>
      <c r="N425" s="19">
        <f ca="1">IF(testdataClose[[#This Row],[type]]="L",testdataClose[[#This Row],[close]],AVERAGE(N424,N426))</f>
        <v>262.61066666662202</v>
      </c>
      <c r="Q425" s="4">
        <v>424</v>
      </c>
      <c r="R425" s="33">
        <v>282.44580000000002</v>
      </c>
      <c r="S425" s="19">
        <v>284.05529999999999</v>
      </c>
      <c r="T425" s="19">
        <v>262.61070000000001</v>
      </c>
    </row>
    <row r="426" spans="1:20" x14ac:dyDescent="0.35">
      <c r="A426" s="7">
        <v>425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14">
        <v>279.83999999999997</v>
      </c>
      <c r="G426" s="1">
        <v>51693300</v>
      </c>
      <c r="H426" s="6" t="s">
        <v>10</v>
      </c>
      <c r="I426" s="6">
        <f>IF(AND(H425="UP",testdataClose[[#This Row],[close]]&gt;I425),testdataClose[[#This Row],[close]],IF(AND(H425="DN",testdataClose[[#This Row],[close]]&lt;I425),testdataClose[[#This Row],[close]],I425))</f>
        <v>283.12</v>
      </c>
      <c r="J426" s="11">
        <f>(testdataClose[[#This Row],[close]]-testdataClose[[#This Row],[hl]])/testdataClose[[#This Row],[hl]]</f>
        <v>-1.1585193557502224E-2</v>
      </c>
      <c r="K426" s="15">
        <f t="shared" ca="1" si="7"/>
        <v>282.74733333334973</v>
      </c>
      <c r="L426" s="6"/>
      <c r="M426" s="19">
        <f ca="1">IF(testdataClose[[#This Row],[type]]="H",testdataClose[[#This Row],[close]],AVERAGE(M425,M427))</f>
        <v>284.17807407405508</v>
      </c>
      <c r="N426" s="19">
        <f ca="1">IF(testdataClose[[#This Row],[type]]="L",testdataClose[[#This Row],[close]],AVERAGE(N425,N427))</f>
        <v>262.73355555551234</v>
      </c>
      <c r="Q426" s="4">
        <v>425</v>
      </c>
      <c r="R426" s="33">
        <v>282.7473</v>
      </c>
      <c r="S426" s="19">
        <v>284.17809999999997</v>
      </c>
      <c r="T426" s="19">
        <v>262.73360000000002</v>
      </c>
    </row>
    <row r="427" spans="1:20" x14ac:dyDescent="0.35">
      <c r="A427" s="7">
        <v>426</v>
      </c>
      <c r="B427" s="3">
        <v>43354</v>
      </c>
      <c r="C427" s="2">
        <v>279.13</v>
      </c>
      <c r="D427" s="2">
        <v>281.25</v>
      </c>
      <c r="E427" s="2">
        <v>278.75</v>
      </c>
      <c r="F427" s="14">
        <v>280.76</v>
      </c>
      <c r="G427" s="1">
        <v>52022324</v>
      </c>
      <c r="H427" s="6" t="s">
        <v>10</v>
      </c>
      <c r="I427" s="6">
        <f>IF(AND(H426="UP",testdataClose[[#This Row],[close]]&gt;I426),testdataClose[[#This Row],[close]],IF(AND(H426="DN",testdataClose[[#This Row],[close]]&lt;I426),testdataClose[[#This Row],[close]],I426))</f>
        <v>283.12</v>
      </c>
      <c r="J427" s="11">
        <f>(testdataClose[[#This Row],[close]]-testdataClose[[#This Row],[hl]])/testdataClose[[#This Row],[hl]]</f>
        <v>-8.3356880474710852E-3</v>
      </c>
      <c r="K427" s="15">
        <f t="shared" ca="1" si="7"/>
        <v>283.04891666668112</v>
      </c>
      <c r="L427" s="6"/>
      <c r="M427" s="19">
        <f ca="1">IF(testdataClose[[#This Row],[type]]="H",testdataClose[[#This Row],[close]],AVERAGE(M426,M428))</f>
        <v>284.30081481479806</v>
      </c>
      <c r="N427" s="19">
        <f ca="1">IF(testdataClose[[#This Row],[type]]="L",testdataClose[[#This Row],[close]],AVERAGE(N426,N428))</f>
        <v>262.85644444440271</v>
      </c>
      <c r="Q427" s="4">
        <v>426</v>
      </c>
      <c r="R427" s="33">
        <v>283.0489</v>
      </c>
      <c r="S427" s="19">
        <v>284.30079999999998</v>
      </c>
      <c r="T427" s="19">
        <v>262.85640000000001</v>
      </c>
    </row>
    <row r="428" spans="1:20" x14ac:dyDescent="0.35">
      <c r="A428" s="7">
        <v>427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14">
        <v>280.83</v>
      </c>
      <c r="G428" s="1">
        <v>61576576</v>
      </c>
      <c r="H428" s="6" t="s">
        <v>10</v>
      </c>
      <c r="I428" s="6">
        <f>IF(AND(H427="UP",testdataClose[[#This Row],[close]]&gt;I427),testdataClose[[#This Row],[close]],IF(AND(H427="DN",testdataClose[[#This Row],[close]]&lt;I427),testdataClose[[#This Row],[close]],I427))</f>
        <v>283.12</v>
      </c>
      <c r="J428" s="11">
        <f>(testdataClose[[#This Row],[close]]-testdataClose[[#This Row],[hl]])/testdataClose[[#This Row],[hl]]</f>
        <v>-8.0884430630122229E-3</v>
      </c>
      <c r="K428" s="15">
        <f t="shared" ca="1" si="7"/>
        <v>283.35050000001252</v>
      </c>
      <c r="L428" s="6"/>
      <c r="M428" s="19">
        <f ca="1">IF(testdataClose[[#This Row],[type]]="H",testdataClose[[#This Row],[close]],AVERAGE(M427,M429))</f>
        <v>284.4235555555411</v>
      </c>
      <c r="N428" s="19">
        <f ca="1">IF(testdataClose[[#This Row],[type]]="L",testdataClose[[#This Row],[close]],AVERAGE(N427,N429))</f>
        <v>262.97933333329308</v>
      </c>
      <c r="Q428" s="4">
        <v>427</v>
      </c>
      <c r="R428" s="33">
        <v>283.35050000000001</v>
      </c>
      <c r="S428" s="19">
        <v>284.42360000000002</v>
      </c>
      <c r="T428" s="19">
        <v>262.97930000000002</v>
      </c>
    </row>
    <row r="429" spans="1:20" x14ac:dyDescent="0.35">
      <c r="A429" s="7">
        <v>428</v>
      </c>
      <c r="B429" s="3">
        <v>43356</v>
      </c>
      <c r="C429" s="2">
        <v>281.99</v>
      </c>
      <c r="D429" s="2">
        <v>282.69</v>
      </c>
      <c r="E429" s="2">
        <v>281.68</v>
      </c>
      <c r="F429" s="14">
        <v>282.49</v>
      </c>
      <c r="G429" s="1">
        <v>52540928</v>
      </c>
      <c r="H429" s="6" t="s">
        <v>10</v>
      </c>
      <c r="I429" s="6">
        <f>IF(AND(H428="UP",testdataClose[[#This Row],[close]]&gt;I428),testdataClose[[#This Row],[close]],IF(AND(H428="DN",testdataClose[[#This Row],[close]]&lt;I428),testdataClose[[#This Row],[close]],I428))</f>
        <v>283.12</v>
      </c>
      <c r="J429" s="11">
        <f>(testdataClose[[#This Row],[close]]-testdataClose[[#This Row],[hl]])/testdataClose[[#This Row],[hl]]</f>
        <v>-2.2252048601299639E-3</v>
      </c>
      <c r="K429" s="15">
        <f t="shared" ca="1" si="7"/>
        <v>283.65208333334385</v>
      </c>
      <c r="L429" s="6"/>
      <c r="M429" s="19">
        <f ca="1">IF(testdataClose[[#This Row],[type]]="H",testdataClose[[#This Row],[close]],AVERAGE(M428,M430))</f>
        <v>284.54629629628414</v>
      </c>
      <c r="N429" s="19">
        <f ca="1">IF(testdataClose[[#This Row],[type]]="L",testdataClose[[#This Row],[close]],AVERAGE(N428,N430))</f>
        <v>263.10222222218351</v>
      </c>
      <c r="Q429" s="4">
        <v>428</v>
      </c>
      <c r="R429" s="33">
        <v>283.65210000000002</v>
      </c>
      <c r="S429" s="19">
        <v>284.54629999999997</v>
      </c>
      <c r="T429" s="19">
        <v>263.10219999999998</v>
      </c>
    </row>
    <row r="430" spans="1:20" x14ac:dyDescent="0.35">
      <c r="A430" s="7">
        <v>429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14">
        <v>282.54000000000002</v>
      </c>
      <c r="G430" s="1">
        <v>56706020</v>
      </c>
      <c r="H430" s="6" t="s">
        <v>10</v>
      </c>
      <c r="I430" s="6">
        <f>IF(AND(H429="UP",testdataClose[[#This Row],[close]]&gt;I429),testdataClose[[#This Row],[close]],IF(AND(H429="DN",testdataClose[[#This Row],[close]]&lt;I429),testdataClose[[#This Row],[close]],I429))</f>
        <v>283.12</v>
      </c>
      <c r="J430" s="11">
        <f>(testdataClose[[#This Row],[close]]-testdataClose[[#This Row],[hl]])/testdataClose[[#This Row],[hl]]</f>
        <v>-2.0486012998021477E-3</v>
      </c>
      <c r="K430" s="15">
        <f t="shared" ca="1" si="7"/>
        <v>283.95366666667513</v>
      </c>
      <c r="L430" s="6"/>
      <c r="M430" s="19">
        <f ca="1">IF(testdataClose[[#This Row],[type]]="H",testdataClose[[#This Row],[close]],AVERAGE(M429,M431))</f>
        <v>284.66903703702724</v>
      </c>
      <c r="N430" s="19">
        <f ca="1">IF(testdataClose[[#This Row],[type]]="L",testdataClose[[#This Row],[close]],AVERAGE(N429,N431))</f>
        <v>263.225111111074</v>
      </c>
      <c r="Q430" s="4">
        <v>429</v>
      </c>
      <c r="R430" s="33">
        <v>283.95370000000003</v>
      </c>
      <c r="S430" s="19">
        <v>284.66899999999998</v>
      </c>
      <c r="T430" s="19">
        <v>263.2251</v>
      </c>
    </row>
    <row r="431" spans="1:20" x14ac:dyDescent="0.35">
      <c r="A431" s="7">
        <v>430</v>
      </c>
      <c r="B431" s="3">
        <v>43360</v>
      </c>
      <c r="C431" s="2">
        <v>282.48</v>
      </c>
      <c r="D431" s="2">
        <v>282.52</v>
      </c>
      <c r="E431" s="2">
        <v>280.74</v>
      </c>
      <c r="F431" s="14">
        <v>281.04000000000002</v>
      </c>
      <c r="G431" s="1">
        <v>70258840</v>
      </c>
      <c r="H431" s="6" t="s">
        <v>10</v>
      </c>
      <c r="I431" s="6">
        <f>IF(AND(H430="UP",testdataClose[[#This Row],[close]]&gt;I430),testdataClose[[#This Row],[close]],IF(AND(H430="DN",testdataClose[[#This Row],[close]]&lt;I430),testdataClose[[#This Row],[close]],I430))</f>
        <v>283.12</v>
      </c>
      <c r="J431" s="11">
        <f>(testdataClose[[#This Row],[close]]-testdataClose[[#This Row],[hl]])/testdataClose[[#This Row],[hl]]</f>
        <v>-7.3467081096354339E-3</v>
      </c>
      <c r="K431" s="15">
        <f t="shared" ca="1" si="7"/>
        <v>284.25525000000641</v>
      </c>
      <c r="L431" s="6"/>
      <c r="M431" s="19">
        <f ca="1">IF(testdataClose[[#This Row],[type]]="H",testdataClose[[#This Row],[close]],AVERAGE(M430,M432))</f>
        <v>284.79177777777039</v>
      </c>
      <c r="N431" s="19">
        <f ca="1">IF(testdataClose[[#This Row],[type]]="L",testdataClose[[#This Row],[close]],AVERAGE(N430,N432))</f>
        <v>263.34799999996449</v>
      </c>
      <c r="Q431" s="4">
        <v>430</v>
      </c>
      <c r="R431" s="33">
        <v>284.25529999999998</v>
      </c>
      <c r="S431" s="19">
        <v>284.79180000000002</v>
      </c>
      <c r="T431" s="19">
        <v>263.34800000000001</v>
      </c>
    </row>
    <row r="432" spans="1:20" x14ac:dyDescent="0.35">
      <c r="A432" s="7">
        <v>431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14">
        <v>282.57</v>
      </c>
      <c r="G432" s="1">
        <v>63758804</v>
      </c>
      <c r="H432" s="6" t="s">
        <v>10</v>
      </c>
      <c r="I432" s="6">
        <f>IF(AND(H431="UP",testdataClose[[#This Row],[close]]&gt;I431),testdataClose[[#This Row],[close]],IF(AND(H431="DN",testdataClose[[#This Row],[close]]&lt;I431),testdataClose[[#This Row],[close]],I431))</f>
        <v>283.12</v>
      </c>
      <c r="J432" s="11">
        <f>(testdataClose[[#This Row],[close]]-testdataClose[[#This Row],[hl]])/testdataClose[[#This Row],[hl]]</f>
        <v>-1.9426391636055784E-3</v>
      </c>
      <c r="K432" s="15">
        <f t="shared" ca="1" si="7"/>
        <v>284.55683333333764</v>
      </c>
      <c r="L432" s="6"/>
      <c r="M432" s="19">
        <f ca="1">IF(testdataClose[[#This Row],[type]]="H",testdataClose[[#This Row],[close]],AVERAGE(M431,M433))</f>
        <v>284.91451851851355</v>
      </c>
      <c r="N432" s="19">
        <f ca="1">IF(testdataClose[[#This Row],[type]]="L",testdataClose[[#This Row],[close]],AVERAGE(N431,N433))</f>
        <v>263.47088888885503</v>
      </c>
      <c r="Q432" s="4">
        <v>431</v>
      </c>
      <c r="R432" s="33">
        <v>284.55680000000001</v>
      </c>
      <c r="S432" s="19">
        <v>284.91449999999998</v>
      </c>
      <c r="T432" s="19">
        <v>263.47089999999997</v>
      </c>
    </row>
    <row r="433" spans="1:21" x14ac:dyDescent="0.35">
      <c r="A433" s="7">
        <v>432</v>
      </c>
      <c r="B433" s="3">
        <v>43362</v>
      </c>
      <c r="C433" s="2">
        <v>282.63</v>
      </c>
      <c r="D433" s="2">
        <v>283.33</v>
      </c>
      <c r="E433" s="2">
        <v>282.48</v>
      </c>
      <c r="F433" s="14">
        <v>282.87</v>
      </c>
      <c r="G433" s="1">
        <v>50529584</v>
      </c>
      <c r="H433" s="6" t="s">
        <v>10</v>
      </c>
      <c r="I433" s="6">
        <f>IF(AND(H432="UP",testdataClose[[#This Row],[close]]&gt;I432),testdataClose[[#This Row],[close]],IF(AND(H432="DN",testdataClose[[#This Row],[close]]&lt;I432),testdataClose[[#This Row],[close]],I432))</f>
        <v>283.12</v>
      </c>
      <c r="J433" s="11">
        <f>(testdataClose[[#This Row],[close]]-testdataClose[[#This Row],[hl]])/testdataClose[[#This Row],[hl]]</f>
        <v>-8.8301780163888097E-4</v>
      </c>
      <c r="K433" s="15">
        <f t="shared" ca="1" si="7"/>
        <v>284.85841666666886</v>
      </c>
      <c r="L433" s="6"/>
      <c r="M433" s="19">
        <f ca="1">IF(testdataClose[[#This Row],[type]]="H",testdataClose[[#This Row],[close]],AVERAGE(M432,M434))</f>
        <v>285.03725925925676</v>
      </c>
      <c r="N433" s="19">
        <f ca="1">IF(testdataClose[[#This Row],[type]]="L",testdataClose[[#This Row],[close]],AVERAGE(N432,N434))</f>
        <v>263.59377777774563</v>
      </c>
      <c r="Q433" s="4">
        <v>432</v>
      </c>
      <c r="R433" s="33">
        <v>284.85840000000002</v>
      </c>
      <c r="S433" s="19">
        <v>285.03730000000002</v>
      </c>
      <c r="T433" s="19">
        <v>263.59379999999999</v>
      </c>
    </row>
    <row r="434" spans="1:21" x14ac:dyDescent="0.35">
      <c r="A434" s="7">
        <v>433</v>
      </c>
      <c r="B434" s="3">
        <v>43363</v>
      </c>
      <c r="C434" s="2">
        <v>284.25</v>
      </c>
      <c r="D434" s="2">
        <v>285.51</v>
      </c>
      <c r="E434" s="2">
        <v>282.88</v>
      </c>
      <c r="F434" s="14">
        <v>285.16000000000003</v>
      </c>
      <c r="G434" s="1">
        <v>103323632</v>
      </c>
      <c r="H434" s="6" t="s">
        <v>10</v>
      </c>
      <c r="I434" s="6">
        <f>IF(AND(H433="UP",testdataClose[[#This Row],[close]]&gt;I433),testdataClose[[#This Row],[close]],IF(AND(H433="DN",testdataClose[[#This Row],[close]]&lt;I433),testdataClose[[#This Row],[close]],I433))</f>
        <v>285.16000000000003</v>
      </c>
      <c r="J434" s="11">
        <f>(testdataClose[[#This Row],[close]]-testdataClose[[#This Row],[hl]])/testdataClose[[#This Row],[hl]]</f>
        <v>0</v>
      </c>
      <c r="K434" s="18">
        <f>testdataClose[[#This Row],[close]]</f>
        <v>285.16000000000003</v>
      </c>
      <c r="L434" s="6" t="s">
        <v>14</v>
      </c>
      <c r="M434" s="19">
        <f>IF(testdataClose[[#This Row],[type]]="H",testdataClose[[#This Row],[close]],AVERAGE(M433,M435))</f>
        <v>285.16000000000003</v>
      </c>
      <c r="N434" s="19">
        <f ca="1">IF(testdataClose[[#This Row],[type]]="L",testdataClose[[#This Row],[close]],AVERAGE(N433,N435))</f>
        <v>263.71666666663623</v>
      </c>
      <c r="Q434" s="4">
        <v>433</v>
      </c>
      <c r="R434" s="33">
        <v>285.16000000000003</v>
      </c>
      <c r="S434" s="19">
        <v>285.16000000000003</v>
      </c>
      <c r="T434" s="19">
        <v>263.7167</v>
      </c>
      <c r="U434" s="4" t="s">
        <v>14</v>
      </c>
    </row>
    <row r="435" spans="1:21" x14ac:dyDescent="0.35">
      <c r="A435" s="7">
        <v>434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14">
        <v>284.89999999999998</v>
      </c>
      <c r="G435" s="1">
        <v>108104552</v>
      </c>
      <c r="H435" s="6" t="s">
        <v>10</v>
      </c>
      <c r="I435" s="6">
        <f>IF(AND(H434="UP",testdataClose[[#This Row],[close]]&gt;I434),testdataClose[[#This Row],[close]],IF(AND(H434="DN",testdataClose[[#This Row],[close]]&lt;I434),testdataClose[[#This Row],[close]],I434))</f>
        <v>285.16000000000003</v>
      </c>
      <c r="J435" s="11">
        <f>(testdataClose[[#This Row],[close]]-testdataClose[[#This Row],[hl]])/testdataClose[[#This Row],[hl]]</f>
        <v>-9.1176883153334172E-4</v>
      </c>
      <c r="K435" s="15">
        <f t="shared" ca="1" si="7"/>
        <v>283.85333333333358</v>
      </c>
      <c r="L435" s="6"/>
      <c r="M435" s="19">
        <f ca="1">IF(testdataClose[[#This Row],[type]]="H",testdataClose[[#This Row],[close]],AVERAGE(M434,M436))</f>
        <v>284.55368421052663</v>
      </c>
      <c r="N435" s="19">
        <f ca="1">IF(testdataClose[[#This Row],[type]]="L",testdataClose[[#This Row],[close]],AVERAGE(N434,N436))</f>
        <v>263.83955555552689</v>
      </c>
      <c r="Q435" s="4">
        <v>434</v>
      </c>
      <c r="R435" s="33">
        <v>283.85329999999999</v>
      </c>
      <c r="S435" s="19">
        <v>284.55369999999999</v>
      </c>
      <c r="T435" s="19">
        <v>263.83960000000002</v>
      </c>
    </row>
    <row r="436" spans="1:21" x14ac:dyDescent="0.35">
      <c r="A436" s="7">
        <v>435</v>
      </c>
      <c r="B436" s="3">
        <v>43367</v>
      </c>
      <c r="C436" s="2">
        <v>284.27</v>
      </c>
      <c r="D436" s="2">
        <v>284.42</v>
      </c>
      <c r="E436" s="2">
        <v>283.32</v>
      </c>
      <c r="F436" s="14">
        <v>283.95</v>
      </c>
      <c r="G436" s="1">
        <v>54738760</v>
      </c>
      <c r="H436" s="6" t="s">
        <v>10</v>
      </c>
      <c r="I436" s="6">
        <f>IF(AND(H435="UP",testdataClose[[#This Row],[close]]&gt;I435),testdataClose[[#This Row],[close]],IF(AND(H435="DN",testdataClose[[#This Row],[close]]&lt;I435),testdataClose[[#This Row],[close]],I435))</f>
        <v>285.16000000000003</v>
      </c>
      <c r="J436" s="11">
        <f>(testdataClose[[#This Row],[close]]-testdataClose[[#This Row],[hl]])/testdataClose[[#This Row],[hl]]</f>
        <v>-4.2432318698275929E-3</v>
      </c>
      <c r="K436" s="15">
        <f t="shared" ca="1" si="7"/>
        <v>282.54666666666708</v>
      </c>
      <c r="L436" s="6"/>
      <c r="M436" s="19">
        <f ca="1">IF(testdataClose[[#This Row],[type]]="H",testdataClose[[#This Row],[close]],AVERAGE(M435,M437))</f>
        <v>283.94736842105323</v>
      </c>
      <c r="N436" s="19">
        <f ca="1">IF(testdataClose[[#This Row],[type]]="L",testdataClose[[#This Row],[close]],AVERAGE(N435,N437))</f>
        <v>263.9624444444176</v>
      </c>
      <c r="Q436" s="4">
        <v>435</v>
      </c>
      <c r="R436" s="33">
        <v>282.54669999999999</v>
      </c>
      <c r="S436" s="19">
        <v>283.94740000000002</v>
      </c>
      <c r="T436" s="19">
        <v>263.9624</v>
      </c>
    </row>
    <row r="437" spans="1:21" x14ac:dyDescent="0.35">
      <c r="A437" s="7">
        <v>436</v>
      </c>
      <c r="B437" s="3">
        <v>43368</v>
      </c>
      <c r="C437" s="2">
        <v>284.45</v>
      </c>
      <c r="D437" s="2">
        <v>284.57</v>
      </c>
      <c r="E437" s="2">
        <v>283.43</v>
      </c>
      <c r="F437" s="14">
        <v>283.69</v>
      </c>
      <c r="G437" s="1">
        <v>45474200</v>
      </c>
      <c r="H437" s="6" t="s">
        <v>10</v>
      </c>
      <c r="I437" s="6">
        <f>IF(AND(H436="UP",testdataClose[[#This Row],[close]]&gt;I436),testdataClose[[#This Row],[close]],IF(AND(H436="DN",testdataClose[[#This Row],[close]]&lt;I436),testdataClose[[#This Row],[close]],I436))</f>
        <v>285.16000000000003</v>
      </c>
      <c r="J437" s="11">
        <f>(testdataClose[[#This Row],[close]]-testdataClose[[#This Row],[hl]])/testdataClose[[#This Row],[hl]]</f>
        <v>-5.155000701360735E-3</v>
      </c>
      <c r="K437" s="15">
        <f t="shared" ca="1" si="7"/>
        <v>281.24000000000058</v>
      </c>
      <c r="L437" s="6"/>
      <c r="M437" s="19">
        <f ca="1">IF(testdataClose[[#This Row],[type]]="H",testdataClose[[#This Row],[close]],AVERAGE(M436,M438))</f>
        <v>283.34105263157983</v>
      </c>
      <c r="N437" s="19">
        <f ca="1">IF(testdataClose[[#This Row],[type]]="L",testdataClose[[#This Row],[close]],AVERAGE(N436,N438))</f>
        <v>264.08533333330831</v>
      </c>
      <c r="Q437" s="4">
        <v>436</v>
      </c>
      <c r="R437" s="33">
        <v>281.24</v>
      </c>
      <c r="S437" s="19">
        <v>283.34109999999998</v>
      </c>
      <c r="T437" s="19">
        <v>264.08530000000002</v>
      </c>
    </row>
    <row r="438" spans="1:21" x14ac:dyDescent="0.35">
      <c r="A438" s="7">
        <v>437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14">
        <v>282.83999999999997</v>
      </c>
      <c r="G438" s="1">
        <v>81724024</v>
      </c>
      <c r="H438" s="6" t="s">
        <v>10</v>
      </c>
      <c r="I438" s="6">
        <f>IF(AND(H437="UP",testdataClose[[#This Row],[close]]&gt;I437),testdataClose[[#This Row],[close]],IF(AND(H437="DN",testdataClose[[#This Row],[close]]&lt;I437),testdataClose[[#This Row],[close]],I437))</f>
        <v>285.16000000000003</v>
      </c>
      <c r="J438" s="11">
        <f>(testdataClose[[#This Row],[close]]-testdataClose[[#This Row],[hl]])/testdataClose[[#This Row],[hl]]</f>
        <v>-8.1357834198346538E-3</v>
      </c>
      <c r="K438" s="15">
        <f t="shared" ca="1" si="7"/>
        <v>279.93333333333402</v>
      </c>
      <c r="L438" s="6"/>
      <c r="M438" s="19">
        <f ca="1">IF(testdataClose[[#This Row],[type]]="H",testdataClose[[#This Row],[close]],AVERAGE(M437,M439))</f>
        <v>282.73473684210637</v>
      </c>
      <c r="N438" s="19">
        <f ca="1">IF(testdataClose[[#This Row],[type]]="L",testdataClose[[#This Row],[close]],AVERAGE(N437,N439))</f>
        <v>264.20822222219908</v>
      </c>
      <c r="Q438" s="4">
        <v>437</v>
      </c>
      <c r="R438" s="33">
        <v>279.93329999999997</v>
      </c>
      <c r="S438" s="19">
        <v>282.73469999999998</v>
      </c>
      <c r="T438" s="19">
        <v>264.20819999999998</v>
      </c>
    </row>
    <row r="439" spans="1:21" x14ac:dyDescent="0.35">
      <c r="A439" s="7">
        <v>438</v>
      </c>
      <c r="B439" s="3">
        <v>43370</v>
      </c>
      <c r="C439" s="2">
        <v>283.36</v>
      </c>
      <c r="D439" s="2">
        <v>284.82</v>
      </c>
      <c r="E439" s="2">
        <v>283.06</v>
      </c>
      <c r="F439" s="14">
        <v>283.63</v>
      </c>
      <c r="G439" s="1">
        <v>60723896</v>
      </c>
      <c r="H439" s="6" t="s">
        <v>10</v>
      </c>
      <c r="I439" s="6">
        <f>IF(AND(H438="UP",testdataClose[[#This Row],[close]]&gt;I438),testdataClose[[#This Row],[close]],IF(AND(H438="DN",testdataClose[[#This Row],[close]]&lt;I438),testdataClose[[#This Row],[close]],I438))</f>
        <v>285.16000000000003</v>
      </c>
      <c r="J439" s="11">
        <f>(testdataClose[[#This Row],[close]]-testdataClose[[#This Row],[hl]])/testdataClose[[#This Row],[hl]]</f>
        <v>-5.3654088932530136E-3</v>
      </c>
      <c r="K439" s="15">
        <f t="shared" ca="1" si="7"/>
        <v>278.62666666666746</v>
      </c>
      <c r="L439" s="6"/>
      <c r="M439" s="19">
        <f ca="1">IF(testdataClose[[#This Row],[type]]="H",testdataClose[[#This Row],[close]],AVERAGE(M438,M440))</f>
        <v>282.12842105263286</v>
      </c>
      <c r="N439" s="19">
        <f ca="1">IF(testdataClose[[#This Row],[type]]="L",testdataClose[[#This Row],[close]],AVERAGE(N438,N440))</f>
        <v>264.33111111108991</v>
      </c>
      <c r="Q439" s="4">
        <v>438</v>
      </c>
      <c r="R439" s="33">
        <v>278.62670000000003</v>
      </c>
      <c r="S439" s="19">
        <v>282.1284</v>
      </c>
      <c r="T439" s="19">
        <v>264.33109999999999</v>
      </c>
    </row>
    <row r="440" spans="1:21" x14ac:dyDescent="0.35">
      <c r="A440" s="7">
        <v>439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14">
        <v>283.66000000000003</v>
      </c>
      <c r="G440" s="1">
        <v>71835632</v>
      </c>
      <c r="H440" s="6" t="s">
        <v>10</v>
      </c>
      <c r="I440" s="6">
        <f>IF(AND(H439="UP",testdataClose[[#This Row],[close]]&gt;I439),testdataClose[[#This Row],[close]],IF(AND(H439="DN",testdataClose[[#This Row],[close]]&lt;I439),testdataClose[[#This Row],[close]],I439))</f>
        <v>285.16000000000003</v>
      </c>
      <c r="J440" s="11">
        <f>(testdataClose[[#This Row],[close]]-testdataClose[[#This Row],[hl]])/testdataClose[[#This Row],[hl]]</f>
        <v>-5.2602047973067745E-3</v>
      </c>
      <c r="K440" s="15">
        <f t="shared" ca="1" si="7"/>
        <v>277.32000000000085</v>
      </c>
      <c r="L440" s="6"/>
      <c r="M440" s="19">
        <f ca="1">IF(testdataClose[[#This Row],[type]]="H",testdataClose[[#This Row],[close]],AVERAGE(M439,M441))</f>
        <v>281.52210526315935</v>
      </c>
      <c r="N440" s="19">
        <f ca="1">IF(testdataClose[[#This Row],[type]]="L",testdataClose[[#This Row],[close]],AVERAGE(N439,N441))</f>
        <v>264.45399999998074</v>
      </c>
      <c r="Q440" s="4">
        <v>439</v>
      </c>
      <c r="R440" s="33">
        <v>277.32</v>
      </c>
      <c r="S440" s="19">
        <v>281.52210000000002</v>
      </c>
      <c r="T440" s="19">
        <v>264.45400000000001</v>
      </c>
    </row>
    <row r="441" spans="1:21" x14ac:dyDescent="0.35">
      <c r="A441" s="7">
        <v>440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14">
        <v>284.64999999999998</v>
      </c>
      <c r="G441" s="1">
        <v>63623792</v>
      </c>
      <c r="H441" s="6" t="s">
        <v>10</v>
      </c>
      <c r="I441" s="6">
        <f>IF(AND(H440="UP",testdataClose[[#This Row],[close]]&gt;I440),testdataClose[[#This Row],[close]],IF(AND(H440="DN",testdataClose[[#This Row],[close]]&lt;I440),testdataClose[[#This Row],[close]],I440))</f>
        <v>285.16000000000003</v>
      </c>
      <c r="J441" s="11">
        <f>(testdataClose[[#This Row],[close]]-testdataClose[[#This Row],[hl]])/testdataClose[[#This Row],[hl]]</f>
        <v>-1.7884696310844709E-3</v>
      </c>
      <c r="K441" s="21">
        <f t="shared" ca="1" si="7"/>
        <v>276.01333333333423</v>
      </c>
      <c r="L441" s="22"/>
      <c r="M441" s="23">
        <f ca="1">IF(testdataClose[[#This Row],[type]]="H",testdataClose[[#This Row],[close]],AVERAGE(M440,M442))</f>
        <v>280.91578947368578</v>
      </c>
      <c r="N441" s="23">
        <f ca="1">IF(testdataClose[[#This Row],[type]]="L",testdataClose[[#This Row],[close]],AVERAGE(N440,N442))</f>
        <v>264.57688888887162</v>
      </c>
      <c r="Q441" s="4">
        <v>440</v>
      </c>
      <c r="R441" s="21">
        <v>276.01330000000002</v>
      </c>
      <c r="S441" s="23">
        <v>280.91579999999999</v>
      </c>
      <c r="T441" s="23">
        <v>264.57690000000002</v>
      </c>
    </row>
    <row r="442" spans="1:21" x14ac:dyDescent="0.35">
      <c r="A442" s="7">
        <v>441</v>
      </c>
      <c r="B442" s="3">
        <v>43375</v>
      </c>
      <c r="C442" s="2">
        <v>284.48</v>
      </c>
      <c r="D442" s="2">
        <v>285.26</v>
      </c>
      <c r="E442" s="2">
        <v>284.07</v>
      </c>
      <c r="F442" s="14">
        <v>284.48</v>
      </c>
      <c r="G442" s="1">
        <v>48434264</v>
      </c>
      <c r="H442" s="6" t="s">
        <v>10</v>
      </c>
      <c r="I442" s="6">
        <f>IF(AND(H441="UP",testdataClose[[#This Row],[close]]&gt;I441),testdataClose[[#This Row],[close]],IF(AND(H441="DN",testdataClose[[#This Row],[close]]&lt;I441),testdataClose[[#This Row],[close]],I441))</f>
        <v>285.16000000000003</v>
      </c>
      <c r="J442" s="11">
        <f>(testdataClose[[#This Row],[close]]-testdataClose[[#This Row],[hl]])/testdataClose[[#This Row],[hl]]</f>
        <v>-2.3846261747790952E-3</v>
      </c>
      <c r="K442" s="15">
        <f t="shared" ca="1" si="7"/>
        <v>274.70666666666756</v>
      </c>
      <c r="L442" s="6"/>
      <c r="M442" s="19">
        <f ca="1">IF(testdataClose[[#This Row],[type]]="H",testdataClose[[#This Row],[close]],AVERAGE(M441,M443))</f>
        <v>280.30947368421215</v>
      </c>
      <c r="N442" s="19">
        <f ca="1">IF(testdataClose[[#This Row],[type]]="L",testdataClose[[#This Row],[close]],AVERAGE(N441,N443))</f>
        <v>264.69977777776256</v>
      </c>
      <c r="Q442" s="4">
        <v>441</v>
      </c>
      <c r="R442" s="33">
        <v>274.70670000000001</v>
      </c>
      <c r="S442" s="19">
        <v>280.30950000000001</v>
      </c>
      <c r="T442" s="19">
        <v>264.69979999999998</v>
      </c>
    </row>
    <row r="443" spans="1:21" x14ac:dyDescent="0.35">
      <c r="A443" s="7">
        <v>442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14">
        <v>284.64</v>
      </c>
      <c r="G443" s="1">
        <v>66304540</v>
      </c>
      <c r="H443" s="6" t="s">
        <v>10</v>
      </c>
      <c r="I443" s="6">
        <f>IF(AND(H442="UP",testdataClose[[#This Row],[close]]&gt;I442),testdataClose[[#This Row],[close]],IF(AND(H442="DN",testdataClose[[#This Row],[close]]&lt;I442),testdataClose[[#This Row],[close]],I442))</f>
        <v>285.16000000000003</v>
      </c>
      <c r="J443" s="11">
        <f>(testdataClose[[#This Row],[close]]-testdataClose[[#This Row],[hl]])/testdataClose[[#This Row],[hl]]</f>
        <v>-1.8235376630664842E-3</v>
      </c>
      <c r="K443" s="15">
        <f t="shared" ca="1" si="7"/>
        <v>273.40000000000089</v>
      </c>
      <c r="L443" s="6"/>
      <c r="M443" s="19">
        <f ca="1">IF(testdataClose[[#This Row],[type]]="H",testdataClose[[#This Row],[close]],AVERAGE(M442,M444))</f>
        <v>279.70315789473852</v>
      </c>
      <c r="N443" s="19">
        <f ca="1">IF(testdataClose[[#This Row],[type]]="L",testdataClose[[#This Row],[close]],AVERAGE(N442,N444))</f>
        <v>264.8226666666535</v>
      </c>
      <c r="Q443" s="4">
        <v>442</v>
      </c>
      <c r="R443" s="33">
        <v>273.39999999999998</v>
      </c>
      <c r="S443" s="19">
        <v>279.70319999999998</v>
      </c>
      <c r="T443" s="19">
        <v>264.8227</v>
      </c>
    </row>
    <row r="444" spans="1:21" x14ac:dyDescent="0.35">
      <c r="A444" s="7">
        <v>443</v>
      </c>
      <c r="B444" s="3">
        <v>43377</v>
      </c>
      <c r="C444" s="2">
        <v>284.11</v>
      </c>
      <c r="D444" s="2">
        <v>284.17</v>
      </c>
      <c r="E444" s="2">
        <v>280.68</v>
      </c>
      <c r="F444" s="14">
        <v>282.41000000000003</v>
      </c>
      <c r="G444" s="1">
        <v>114321768</v>
      </c>
      <c r="H444" s="6" t="s">
        <v>10</v>
      </c>
      <c r="I444" s="6">
        <f>IF(AND(H443="UP",testdataClose[[#This Row],[close]]&gt;I443),testdataClose[[#This Row],[close]],IF(AND(H443="DN",testdataClose[[#This Row],[close]]&lt;I443),testdataClose[[#This Row],[close]],I443))</f>
        <v>285.16000000000003</v>
      </c>
      <c r="J444" s="11">
        <f>(testdataClose[[#This Row],[close]]-testdataClose[[#This Row],[hl]])/testdataClose[[#This Row],[hl]]</f>
        <v>-9.6437087950624195E-3</v>
      </c>
      <c r="K444" s="15">
        <f t="shared" ca="1" si="7"/>
        <v>272.09333333333416</v>
      </c>
      <c r="L444" s="6"/>
      <c r="M444" s="19">
        <f ca="1">IF(testdataClose[[#This Row],[type]]="H",testdataClose[[#This Row],[close]],AVERAGE(M443,M445))</f>
        <v>279.09684210526484</v>
      </c>
      <c r="N444" s="19">
        <f ca="1">IF(testdataClose[[#This Row],[type]]="L",testdataClose[[#This Row],[close]],AVERAGE(N443,N445))</f>
        <v>264.9455555555445</v>
      </c>
      <c r="Q444" s="4">
        <v>443</v>
      </c>
      <c r="R444" s="33">
        <v>272.0933</v>
      </c>
      <c r="S444" s="19">
        <v>279.09679999999997</v>
      </c>
      <c r="T444" s="19">
        <v>264.94560000000001</v>
      </c>
    </row>
    <row r="445" spans="1:21" x14ac:dyDescent="0.35">
      <c r="A445" s="7">
        <v>444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14">
        <v>280.83</v>
      </c>
      <c r="G445" s="1">
        <v>108588344</v>
      </c>
      <c r="H445" s="6" t="s">
        <v>10</v>
      </c>
      <c r="I445" s="6">
        <f>IF(AND(H444="UP",testdataClose[[#This Row],[close]]&gt;I444),testdataClose[[#This Row],[close]],IF(AND(H444="DN",testdataClose[[#This Row],[close]]&lt;I444),testdataClose[[#This Row],[close]],I444))</f>
        <v>285.16000000000003</v>
      </c>
      <c r="J445" s="11">
        <f>(testdataClose[[#This Row],[close]]-testdataClose[[#This Row],[hl]])/testdataClose[[#This Row],[hl]]</f>
        <v>-1.51844578482257E-2</v>
      </c>
      <c r="K445" s="15">
        <f t="shared" ca="1" si="7"/>
        <v>270.78666666666737</v>
      </c>
      <c r="L445" s="6"/>
      <c r="M445" s="19">
        <f ca="1">IF(testdataClose[[#This Row],[type]]="H",testdataClose[[#This Row],[close]],AVERAGE(M444,M446))</f>
        <v>278.4905263157911</v>
      </c>
      <c r="N445" s="19">
        <f ca="1">IF(testdataClose[[#This Row],[type]]="L",testdataClose[[#This Row],[close]],AVERAGE(N444,N446))</f>
        <v>265.06844444443556</v>
      </c>
      <c r="Q445" s="4">
        <v>444</v>
      </c>
      <c r="R445" s="33">
        <v>270.7867</v>
      </c>
      <c r="S445" s="19">
        <v>278.4905</v>
      </c>
      <c r="T445" s="19">
        <v>265.0684</v>
      </c>
    </row>
    <row r="446" spans="1:21" x14ac:dyDescent="0.35">
      <c r="A446" s="7">
        <v>445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14">
        <v>280.83</v>
      </c>
      <c r="G446" s="1">
        <v>89925664</v>
      </c>
      <c r="H446" s="6" t="s">
        <v>10</v>
      </c>
      <c r="I446" s="6">
        <f>IF(AND(H445="UP",testdataClose[[#This Row],[close]]&gt;I445),testdataClose[[#This Row],[close]],IF(AND(H445="DN",testdataClose[[#This Row],[close]]&lt;I445),testdataClose[[#This Row],[close]],I445))</f>
        <v>285.16000000000003</v>
      </c>
      <c r="J446" s="11">
        <f>(testdataClose[[#This Row],[close]]-testdataClose[[#This Row],[hl]])/testdataClose[[#This Row],[hl]]</f>
        <v>-1.51844578482257E-2</v>
      </c>
      <c r="K446" s="15">
        <f t="shared" ca="1" si="7"/>
        <v>269.48000000000059</v>
      </c>
      <c r="L446" s="6"/>
      <c r="M446" s="19">
        <f ca="1">IF(testdataClose[[#This Row],[type]]="H",testdataClose[[#This Row],[close]],AVERAGE(M445,M447))</f>
        <v>277.88421052631736</v>
      </c>
      <c r="N446" s="19">
        <f ca="1">IF(testdataClose[[#This Row],[type]]="L",testdataClose[[#This Row],[close]],AVERAGE(N445,N447))</f>
        <v>265.19133333332661</v>
      </c>
      <c r="Q446" s="4">
        <v>445</v>
      </c>
      <c r="R446" s="33">
        <v>269.48</v>
      </c>
      <c r="S446" s="19">
        <v>277.88420000000002</v>
      </c>
      <c r="T446" s="19">
        <v>265.19130000000001</v>
      </c>
    </row>
    <row r="447" spans="1:21" x14ac:dyDescent="0.35">
      <c r="A447" s="7">
        <v>446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14">
        <v>280.42</v>
      </c>
      <c r="G447" s="1">
        <v>76188928</v>
      </c>
      <c r="H447" s="6" t="s">
        <v>10</v>
      </c>
      <c r="I447" s="6">
        <f>IF(AND(H446="UP",testdataClose[[#This Row],[close]]&gt;I446),testdataClose[[#This Row],[close]],IF(AND(H446="DN",testdataClose[[#This Row],[close]]&lt;I446),testdataClose[[#This Row],[close]],I446))</f>
        <v>285.16000000000003</v>
      </c>
      <c r="J447" s="11">
        <f>(testdataClose[[#This Row],[close]]-testdataClose[[#This Row],[hl]])/testdataClose[[#This Row],[hl]]</f>
        <v>-1.6622247159489439E-2</v>
      </c>
      <c r="K447" s="15">
        <f t="shared" ca="1" si="7"/>
        <v>268.17333333333374</v>
      </c>
      <c r="L447" s="6"/>
      <c r="M447" s="19">
        <f ca="1">IF(testdataClose[[#This Row],[type]]="H",testdataClose[[#This Row],[close]],AVERAGE(M446,M448))</f>
        <v>277.27789473684356</v>
      </c>
      <c r="N447" s="19">
        <f ca="1">IF(testdataClose[[#This Row],[type]]="L",testdataClose[[#This Row],[close]],AVERAGE(N446,N448))</f>
        <v>265.31422222221772</v>
      </c>
      <c r="Q447" s="4">
        <v>446</v>
      </c>
      <c r="R447" s="33">
        <v>268.17329999999998</v>
      </c>
      <c r="S447" s="19">
        <v>277.27789999999999</v>
      </c>
      <c r="T447" s="19">
        <v>265.31420000000003</v>
      </c>
    </row>
    <row r="448" spans="1:21" x14ac:dyDescent="0.35">
      <c r="A448" s="7">
        <v>447</v>
      </c>
      <c r="B448" s="3">
        <v>43383</v>
      </c>
      <c r="C448" s="2">
        <v>279.87</v>
      </c>
      <c r="D448" s="2">
        <v>279.94</v>
      </c>
      <c r="E448" s="2">
        <v>271.13</v>
      </c>
      <c r="F448" s="14">
        <v>271.54000000000002</v>
      </c>
      <c r="G448" s="1">
        <v>220074688</v>
      </c>
      <c r="H448" s="6" t="s">
        <v>12</v>
      </c>
      <c r="I448" s="6">
        <f>IF(AND(H447="UP",testdataClose[[#This Row],[close]]&gt;I447),testdataClose[[#This Row],[close]],IF(AND(H447="DN",testdataClose[[#This Row],[close]]&lt;I447),testdataClose[[#This Row],[close]],I447))</f>
        <v>285.16000000000003</v>
      </c>
      <c r="J448" s="11">
        <f>(testdataClose[[#This Row],[close]]-testdataClose[[#This Row],[hl]])/testdataClose[[#This Row],[hl]]</f>
        <v>-4.7762659559545527E-2</v>
      </c>
      <c r="K448" s="15">
        <f t="shared" ca="1" si="7"/>
        <v>266.8666666666669</v>
      </c>
      <c r="L448" s="6"/>
      <c r="M448" s="19">
        <f ca="1">IF(testdataClose[[#This Row],[type]]="H",testdataClose[[#This Row],[close]],AVERAGE(M447,M449))</f>
        <v>276.67157894736971</v>
      </c>
      <c r="N448" s="19">
        <f ca="1">IF(testdataClose[[#This Row],[type]]="L",testdataClose[[#This Row],[close]],AVERAGE(N447,N449))</f>
        <v>265.43711111110883</v>
      </c>
      <c r="Q448" s="4">
        <v>447</v>
      </c>
      <c r="R448" s="33">
        <v>266.86669999999998</v>
      </c>
      <c r="S448" s="19">
        <v>276.67160000000001</v>
      </c>
      <c r="T448" s="19">
        <v>265.43709999999999</v>
      </c>
    </row>
    <row r="449" spans="1:21" x14ac:dyDescent="0.35">
      <c r="A449" s="7">
        <v>448</v>
      </c>
      <c r="B449" s="3">
        <v>43384</v>
      </c>
      <c r="C449" s="2">
        <v>270.35000000000002</v>
      </c>
      <c r="D449" s="2">
        <v>272.13</v>
      </c>
      <c r="E449" s="2">
        <v>263.8</v>
      </c>
      <c r="F449" s="14">
        <v>265.56</v>
      </c>
      <c r="G449" s="1">
        <v>281680000</v>
      </c>
      <c r="H449" s="6" t="s">
        <v>12</v>
      </c>
      <c r="I449" s="6">
        <f>IF(AND(H448="UP",testdataClose[[#This Row],[close]]&gt;I448),testdataClose[[#This Row],[close]],IF(AND(H448="DN",testdataClose[[#This Row],[close]]&lt;I448),testdataClose[[#This Row],[close]],I448))</f>
        <v>265.56</v>
      </c>
      <c r="J449" s="11">
        <f>(testdataClose[[#This Row],[close]]-testdataClose[[#This Row],[hl]])/testdataClose[[#This Row],[hl]]</f>
        <v>0</v>
      </c>
      <c r="K449" s="18">
        <f>testdataClose[[#This Row],[close]]</f>
        <v>265.56</v>
      </c>
      <c r="L449" s="6" t="s">
        <v>15</v>
      </c>
      <c r="M449" s="19">
        <f ca="1">IF(testdataClose[[#This Row],[type]]="H",testdataClose[[#This Row],[close]],AVERAGE(M448,M450))</f>
        <v>276.06526315789586</v>
      </c>
      <c r="N449" s="19">
        <f>IF(testdataClose[[#This Row],[type]]="L",testdataClose[[#This Row],[close]],AVERAGE(N448,N450))</f>
        <v>265.56</v>
      </c>
      <c r="Q449" s="4">
        <v>448</v>
      </c>
      <c r="R449" s="33">
        <v>265.56</v>
      </c>
      <c r="S449" s="19">
        <v>276.06529999999998</v>
      </c>
      <c r="T449" s="19">
        <v>265.56</v>
      </c>
      <c r="U449" s="4" t="s">
        <v>15</v>
      </c>
    </row>
    <row r="450" spans="1:21" x14ac:dyDescent="0.35">
      <c r="A450" s="7">
        <v>449</v>
      </c>
      <c r="B450" s="3">
        <v>43385</v>
      </c>
      <c r="C450" s="2">
        <v>270.05</v>
      </c>
      <c r="D450" s="2">
        <v>270.36</v>
      </c>
      <c r="E450" s="2">
        <v>265.76</v>
      </c>
      <c r="F450" s="14">
        <v>269.25</v>
      </c>
      <c r="G450" s="1">
        <v>187745152</v>
      </c>
      <c r="H450" s="6" t="s">
        <v>12</v>
      </c>
      <c r="I450" s="6">
        <f>IF(AND(H449="UP",testdataClose[[#This Row],[close]]&gt;I449),testdataClose[[#This Row],[close]],IF(AND(H449="DN",testdataClose[[#This Row],[close]]&lt;I449),testdataClose[[#This Row],[close]],I449))</f>
        <v>265.56</v>
      </c>
      <c r="J450" s="11">
        <f>(testdataClose[[#This Row],[close]]-testdataClose[[#This Row],[hl]])/testdataClose[[#This Row],[hl]]</f>
        <v>1.3895164934478075E-2</v>
      </c>
      <c r="K450" s="15">
        <f t="shared" ca="1" si="7"/>
        <v>267.57999999999993</v>
      </c>
      <c r="L450" s="6"/>
      <c r="M450" s="19">
        <f ca="1">IF(testdataClose[[#This Row],[type]]="H",testdataClose[[#This Row],[close]],AVERAGE(M449,M451))</f>
        <v>275.45894736842195</v>
      </c>
      <c r="N450" s="19">
        <f ca="1">IF(testdataClose[[#This Row],[type]]="L",testdataClose[[#This Row],[close]],AVERAGE(N449,N451))</f>
        <v>264.88416666666649</v>
      </c>
      <c r="Q450" s="4">
        <v>449</v>
      </c>
      <c r="R450" s="33">
        <v>267.58</v>
      </c>
      <c r="S450" s="19">
        <v>275.45890000000003</v>
      </c>
      <c r="T450" s="19">
        <v>264.88420000000002</v>
      </c>
    </row>
    <row r="451" spans="1:21" x14ac:dyDescent="0.35">
      <c r="A451" s="7">
        <v>450</v>
      </c>
      <c r="B451" s="3">
        <v>43388</v>
      </c>
      <c r="C451" s="2">
        <v>268.86</v>
      </c>
      <c r="D451" s="2">
        <v>270.31</v>
      </c>
      <c r="E451" s="2">
        <v>267.64</v>
      </c>
      <c r="F451" s="14">
        <v>267.74</v>
      </c>
      <c r="G451" s="1">
        <v>104808584</v>
      </c>
      <c r="H451" s="6" t="s">
        <v>12</v>
      </c>
      <c r="I451" s="6">
        <f>IF(AND(H450="UP",testdataClose[[#This Row],[close]]&gt;I450),testdataClose[[#This Row],[close]],IF(AND(H450="DN",testdataClose[[#This Row],[close]]&lt;I450),testdataClose[[#This Row],[close]],I450))</f>
        <v>265.56</v>
      </c>
      <c r="J451" s="11">
        <f>(testdataClose[[#This Row],[close]]-testdataClose[[#This Row],[hl]])/testdataClose[[#This Row],[hl]]</f>
        <v>8.2090676306672949E-3</v>
      </c>
      <c r="K451" s="15">
        <f t="shared" ca="1" si="7"/>
        <v>269.59999999999991</v>
      </c>
      <c r="L451" s="6"/>
      <c r="M451" s="19">
        <f ca="1">IF(testdataClose[[#This Row],[type]]="H",testdataClose[[#This Row],[close]],AVERAGE(M450,M452))</f>
        <v>274.85263157894798</v>
      </c>
      <c r="N451" s="19">
        <f ca="1">IF(testdataClose[[#This Row],[type]]="L",testdataClose[[#This Row],[close]],AVERAGE(N450,N452))</f>
        <v>264.20833333333303</v>
      </c>
      <c r="Q451" s="4">
        <v>450</v>
      </c>
      <c r="R451" s="33">
        <v>269.60000000000002</v>
      </c>
      <c r="S451" s="19">
        <v>274.8526</v>
      </c>
      <c r="T451" s="19">
        <v>264.20830000000001</v>
      </c>
    </row>
    <row r="452" spans="1:21" x14ac:dyDescent="0.35">
      <c r="A452" s="7">
        <v>451</v>
      </c>
      <c r="B452" s="3">
        <v>43389</v>
      </c>
      <c r="C452" s="2">
        <v>269.88</v>
      </c>
      <c r="D452" s="2">
        <v>274</v>
      </c>
      <c r="E452" s="2">
        <v>269.37</v>
      </c>
      <c r="F452" s="14">
        <v>273.58999999999997</v>
      </c>
      <c r="G452" s="1">
        <v>121198672</v>
      </c>
      <c r="H452" s="6" t="s">
        <v>10</v>
      </c>
      <c r="I452" s="6">
        <f>IF(AND(H451="UP",testdataClose[[#This Row],[close]]&gt;I451),testdataClose[[#This Row],[close]],IF(AND(H451="DN",testdataClose[[#This Row],[close]]&lt;I451),testdataClose[[#This Row],[close]],I451))</f>
        <v>265.56</v>
      </c>
      <c r="J452" s="11">
        <f>(testdataClose[[#This Row],[close]]-testdataClose[[#This Row],[hl]])/testdataClose[[#This Row],[hl]]</f>
        <v>3.0237987648742179E-2</v>
      </c>
      <c r="K452" s="15">
        <f t="shared" ref="K452:K502" ca="1" si="8">AVERAGE(K451,K453)</f>
        <v>271.61999999999995</v>
      </c>
      <c r="L452" s="6"/>
      <c r="M452" s="19">
        <f ca="1">IF(testdataClose[[#This Row],[type]]="H",testdataClose[[#This Row],[close]],AVERAGE(M451,M453))</f>
        <v>274.24631578947401</v>
      </c>
      <c r="N452" s="19">
        <f ca="1">IF(testdataClose[[#This Row],[type]]="L",testdataClose[[#This Row],[close]],AVERAGE(N451,N453))</f>
        <v>263.53249999999957</v>
      </c>
      <c r="Q452" s="4">
        <v>451</v>
      </c>
      <c r="R452" s="33">
        <v>271.62</v>
      </c>
      <c r="S452" s="19">
        <v>274.24630000000002</v>
      </c>
      <c r="T452" s="19">
        <v>263.53250000000003</v>
      </c>
    </row>
    <row r="453" spans="1:21" x14ac:dyDescent="0.35">
      <c r="A453" s="7">
        <v>452</v>
      </c>
      <c r="B453" s="3">
        <v>43390</v>
      </c>
      <c r="C453" s="2">
        <v>273.63</v>
      </c>
      <c r="D453" s="2">
        <v>274.32</v>
      </c>
      <c r="E453" s="2">
        <v>270.82</v>
      </c>
      <c r="F453" s="14">
        <v>273.64</v>
      </c>
      <c r="G453" s="1">
        <v>113378952</v>
      </c>
      <c r="H453" s="6" t="s">
        <v>10</v>
      </c>
      <c r="I453" s="6">
        <f>IF(AND(H452="UP",testdataClose[[#This Row],[close]]&gt;I452),testdataClose[[#This Row],[close]],IF(AND(H452="DN",testdataClose[[#This Row],[close]]&lt;I452),testdataClose[[#This Row],[close]],I452))</f>
        <v>273.64</v>
      </c>
      <c r="J453" s="11">
        <f>(testdataClose[[#This Row],[close]]-testdataClose[[#This Row],[hl]])/testdataClose[[#This Row],[hl]]</f>
        <v>0</v>
      </c>
      <c r="K453" s="18">
        <f>testdataClose[[#This Row],[close]]</f>
        <v>273.64</v>
      </c>
      <c r="L453" s="6" t="s">
        <v>14</v>
      </c>
      <c r="M453" s="19">
        <f>IF(testdataClose[[#This Row],[type]]="H",testdataClose[[#This Row],[close]],AVERAGE(M452,M454))</f>
        <v>273.64</v>
      </c>
      <c r="N453" s="19">
        <f ca="1">IF(testdataClose[[#This Row],[type]]="L",testdataClose[[#This Row],[close]],AVERAGE(N452,N454))</f>
        <v>262.85666666666617</v>
      </c>
      <c r="Q453" s="4">
        <v>452</v>
      </c>
      <c r="R453" s="33">
        <v>273.64</v>
      </c>
      <c r="S453" s="19">
        <v>273.64</v>
      </c>
      <c r="T453" s="19">
        <v>262.85669999999999</v>
      </c>
      <c r="U453" s="4" t="s">
        <v>14</v>
      </c>
    </row>
    <row r="454" spans="1:21" x14ac:dyDescent="0.35">
      <c r="A454" s="7">
        <v>453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14">
        <v>269.69</v>
      </c>
      <c r="G454" s="1">
        <v>137906032</v>
      </c>
      <c r="H454" s="6" t="s">
        <v>10</v>
      </c>
      <c r="I454" s="6">
        <f>IF(AND(H453="UP",testdataClose[[#This Row],[close]]&gt;I453),testdataClose[[#This Row],[close]],IF(AND(H453="DN",testdataClose[[#This Row],[close]]&lt;I453),testdataClose[[#This Row],[close]],I453))</f>
        <v>273.64</v>
      </c>
      <c r="J454" s="11">
        <f>(testdataClose[[#This Row],[close]]-testdataClose[[#This Row],[hl]])/testdataClose[[#This Row],[hl]]</f>
        <v>-1.4435024119280765E-2</v>
      </c>
      <c r="K454" s="15">
        <f t="shared" ca="1" si="8"/>
        <v>271.61624999999992</v>
      </c>
      <c r="L454" s="6"/>
      <c r="M454" s="19">
        <f ca="1">IF(testdataClose[[#This Row],[type]]="H",testdataClose[[#This Row],[close]],AVERAGE(M453,M455))</f>
        <v>273.67666666666685</v>
      </c>
      <c r="N454" s="19">
        <f ca="1">IF(testdataClose[[#This Row],[type]]="L",testdataClose[[#This Row],[close]],AVERAGE(N453,N455))</f>
        <v>262.18083333333277</v>
      </c>
      <c r="Q454" s="4">
        <v>453</v>
      </c>
      <c r="R454" s="33">
        <v>271.61630000000002</v>
      </c>
      <c r="S454" s="19">
        <v>273.67669999999998</v>
      </c>
      <c r="T454" s="19">
        <v>262.18079999999998</v>
      </c>
    </row>
    <row r="455" spans="1:21" x14ac:dyDescent="0.35">
      <c r="A455" s="7">
        <v>454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14">
        <v>269.54000000000002</v>
      </c>
      <c r="G455" s="1">
        <v>143383136</v>
      </c>
      <c r="H455" s="6" t="s">
        <v>10</v>
      </c>
      <c r="I455" s="6">
        <f>IF(AND(H454="UP",testdataClose[[#This Row],[close]]&gt;I454),testdataClose[[#This Row],[close]],IF(AND(H454="DN",testdataClose[[#This Row],[close]]&lt;I454),testdataClose[[#This Row],[close]],I454))</f>
        <v>273.64</v>
      </c>
      <c r="J455" s="11">
        <f>(testdataClose[[#This Row],[close]]-testdataClose[[#This Row],[hl]])/testdataClose[[#This Row],[hl]]</f>
        <v>-1.4983189592164764E-2</v>
      </c>
      <c r="K455" s="15">
        <f t="shared" ca="1" si="8"/>
        <v>269.59249999999986</v>
      </c>
      <c r="L455" s="6"/>
      <c r="M455" s="19">
        <f ca="1">IF(testdataClose[[#This Row],[type]]="H",testdataClose[[#This Row],[close]],AVERAGE(M454,M456))</f>
        <v>273.71333333333371</v>
      </c>
      <c r="N455" s="19">
        <f ca="1">IF(testdataClose[[#This Row],[type]]="L",testdataClose[[#This Row],[close]],AVERAGE(N454,N456))</f>
        <v>261.50499999999943</v>
      </c>
      <c r="Q455" s="4">
        <v>454</v>
      </c>
      <c r="R455" s="33">
        <v>269.59249999999997</v>
      </c>
      <c r="S455" s="19">
        <v>273.7133</v>
      </c>
      <c r="T455" s="19">
        <v>261.505</v>
      </c>
    </row>
    <row r="456" spans="1:21" x14ac:dyDescent="0.35">
      <c r="A456" s="7">
        <v>455</v>
      </c>
      <c r="B456" s="3">
        <v>43395</v>
      </c>
      <c r="C456" s="2">
        <v>270.27</v>
      </c>
      <c r="D456" s="2">
        <v>270.63</v>
      </c>
      <c r="E456" s="2">
        <v>267.75</v>
      </c>
      <c r="F456" s="14">
        <v>268.33</v>
      </c>
      <c r="G456" s="1">
        <v>84466760</v>
      </c>
      <c r="H456" s="6" t="s">
        <v>10</v>
      </c>
      <c r="I456" s="6">
        <f>IF(AND(H455="UP",testdataClose[[#This Row],[close]]&gt;I455),testdataClose[[#This Row],[close]],IF(AND(H455="DN",testdataClose[[#This Row],[close]]&lt;I455),testdataClose[[#This Row],[close]],I455))</f>
        <v>273.64</v>
      </c>
      <c r="J456" s="11">
        <f>(testdataClose[[#This Row],[close]]-testdataClose[[#This Row],[hl]])/testdataClose[[#This Row],[hl]]</f>
        <v>-1.9405057740096487E-2</v>
      </c>
      <c r="K456" s="15">
        <f t="shared" ca="1" si="8"/>
        <v>267.5687499999998</v>
      </c>
      <c r="L456" s="6"/>
      <c r="M456" s="19">
        <f ca="1">IF(testdataClose[[#This Row],[type]]="H",testdataClose[[#This Row],[close]],AVERAGE(M455,M457))</f>
        <v>273.75000000000057</v>
      </c>
      <c r="N456" s="19">
        <f ca="1">IF(testdataClose[[#This Row],[type]]="L",testdataClose[[#This Row],[close]],AVERAGE(N455,N457))</f>
        <v>260.82916666666614</v>
      </c>
      <c r="Q456" s="4">
        <v>455</v>
      </c>
      <c r="R456" s="33">
        <v>267.56880000000001</v>
      </c>
      <c r="S456" s="19">
        <v>273.75</v>
      </c>
      <c r="T456" s="19">
        <v>260.82920000000001</v>
      </c>
    </row>
    <row r="457" spans="1:21" x14ac:dyDescent="0.35">
      <c r="A457" s="7">
        <v>456</v>
      </c>
      <c r="B457" s="3">
        <v>43396</v>
      </c>
      <c r="C457" s="2">
        <v>264.37</v>
      </c>
      <c r="D457" s="2">
        <v>268.2</v>
      </c>
      <c r="E457" s="2">
        <v>262.08999999999997</v>
      </c>
      <c r="F457" s="14">
        <v>266.97000000000003</v>
      </c>
      <c r="G457" s="1">
        <v>149994752</v>
      </c>
      <c r="H457" s="6" t="s">
        <v>10</v>
      </c>
      <c r="I457" s="6">
        <f>IF(AND(H456="UP",testdataClose[[#This Row],[close]]&gt;I456),testdataClose[[#This Row],[close]],IF(AND(H456="DN",testdataClose[[#This Row],[close]]&lt;I456),testdataClose[[#This Row],[close]],I456))</f>
        <v>273.64</v>
      </c>
      <c r="J457" s="11">
        <f>(testdataClose[[#This Row],[close]]-testdataClose[[#This Row],[hl]])/testdataClose[[#This Row],[hl]]</f>
        <v>-2.4375091360912E-2</v>
      </c>
      <c r="K457" s="15">
        <f t="shared" ca="1" si="8"/>
        <v>265.54499999999979</v>
      </c>
      <c r="L457" s="6"/>
      <c r="M457" s="19">
        <f ca="1">IF(testdataClose[[#This Row],[type]]="H",testdataClose[[#This Row],[close]],AVERAGE(M456,M458))</f>
        <v>273.78666666666737</v>
      </c>
      <c r="N457" s="19">
        <f ca="1">IF(testdataClose[[#This Row],[type]]="L",testdataClose[[#This Row],[close]],AVERAGE(N456,N458))</f>
        <v>260.15333333333285</v>
      </c>
      <c r="Q457" s="4">
        <v>456</v>
      </c>
      <c r="R457" s="33">
        <v>265.54500000000002</v>
      </c>
      <c r="S457" s="19">
        <v>273.7867</v>
      </c>
      <c r="T457" s="19">
        <v>260.1533</v>
      </c>
    </row>
    <row r="458" spans="1:21" x14ac:dyDescent="0.35">
      <c r="A458" s="7">
        <v>457</v>
      </c>
      <c r="B458" s="3">
        <v>43397</v>
      </c>
      <c r="C458" s="2">
        <v>266.69</v>
      </c>
      <c r="D458" s="2">
        <v>267.11</v>
      </c>
      <c r="E458" s="2">
        <v>258.27</v>
      </c>
      <c r="F458" s="14">
        <v>258.88</v>
      </c>
      <c r="G458" s="1">
        <v>182231472</v>
      </c>
      <c r="H458" s="6" t="s">
        <v>12</v>
      </c>
      <c r="I458" s="6">
        <f>IF(AND(H457="UP",testdataClose[[#This Row],[close]]&gt;I457),testdataClose[[#This Row],[close]],IF(AND(H457="DN",testdataClose[[#This Row],[close]]&lt;I457),testdataClose[[#This Row],[close]],I457))</f>
        <v>273.64</v>
      </c>
      <c r="J458" s="11">
        <f>(testdataClose[[#This Row],[close]]-testdataClose[[#This Row],[hl]])/testdataClose[[#This Row],[hl]]</f>
        <v>-5.3939482531793564E-2</v>
      </c>
      <c r="K458" s="15">
        <f t="shared" ca="1" si="8"/>
        <v>263.52124999999978</v>
      </c>
      <c r="L458" s="6"/>
      <c r="M458" s="19">
        <f ca="1">IF(testdataClose[[#This Row],[type]]="H",testdataClose[[#This Row],[close]],AVERAGE(M457,M459))</f>
        <v>273.82333333333418</v>
      </c>
      <c r="N458" s="19">
        <f ca="1">IF(testdataClose[[#This Row],[type]]="L",testdataClose[[#This Row],[close]],AVERAGE(N457,N459))</f>
        <v>259.47749999999962</v>
      </c>
      <c r="Q458" s="4">
        <v>457</v>
      </c>
      <c r="R458" s="33">
        <v>263.5213</v>
      </c>
      <c r="S458" s="19">
        <v>273.82330000000002</v>
      </c>
      <c r="T458" s="19">
        <v>259.47750000000002</v>
      </c>
    </row>
    <row r="459" spans="1:21" x14ac:dyDescent="0.35">
      <c r="A459" s="7">
        <v>458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14">
        <v>263.52</v>
      </c>
      <c r="G459" s="1">
        <v>141497248</v>
      </c>
      <c r="H459" s="6" t="s">
        <v>12</v>
      </c>
      <c r="I459" s="6">
        <f>IF(AND(H458="UP",testdataClose[[#This Row],[close]]&gt;I458),testdataClose[[#This Row],[close]],IF(AND(H458="DN",testdataClose[[#This Row],[close]]&lt;I458),testdataClose[[#This Row],[close]],I458))</f>
        <v>263.52</v>
      </c>
      <c r="J459" s="11">
        <f>(testdataClose[[#This Row],[close]]-testdataClose[[#This Row],[hl]])/testdataClose[[#This Row],[hl]]</f>
        <v>0</v>
      </c>
      <c r="K459" s="15">
        <f t="shared" ca="1" si="8"/>
        <v>261.49749999999983</v>
      </c>
      <c r="L459" s="6"/>
      <c r="M459" s="19">
        <f ca="1">IF(testdataClose[[#This Row],[type]]="H",testdataClose[[#This Row],[close]],AVERAGE(M458,M460))</f>
        <v>273.86000000000092</v>
      </c>
      <c r="N459" s="19">
        <f ca="1">IF(testdataClose[[#This Row],[type]]="L",testdataClose[[#This Row],[close]],AVERAGE(N458,N460))</f>
        <v>258.80166666666639</v>
      </c>
      <c r="Q459" s="4">
        <v>458</v>
      </c>
      <c r="R459" s="33">
        <v>261.4975</v>
      </c>
      <c r="S459" s="19">
        <v>273.86</v>
      </c>
      <c r="T459" s="19">
        <v>258.80169999999998</v>
      </c>
    </row>
    <row r="460" spans="1:21" x14ac:dyDescent="0.35">
      <c r="A460" s="7">
        <v>459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14">
        <v>258.89</v>
      </c>
      <c r="G460" s="1">
        <v>206590848</v>
      </c>
      <c r="H460" s="6" t="s">
        <v>12</v>
      </c>
      <c r="I460" s="6">
        <f>IF(AND(H459="UP",testdataClose[[#This Row],[close]]&gt;I459),testdataClose[[#This Row],[close]],IF(AND(H459="DN",testdataClose[[#This Row],[close]]&lt;I459),testdataClose[[#This Row],[close]],I459))</f>
        <v>258.89</v>
      </c>
      <c r="J460" s="11">
        <f>(testdataClose[[#This Row],[close]]-testdataClose[[#This Row],[hl]])/testdataClose[[#This Row],[hl]]</f>
        <v>0</v>
      </c>
      <c r="K460" s="15">
        <f t="shared" ca="1" si="8"/>
        <v>259.47374999999988</v>
      </c>
      <c r="L460" s="6"/>
      <c r="M460" s="19">
        <f ca="1">IF(testdataClose[[#This Row],[type]]="H",testdataClose[[#This Row],[close]],AVERAGE(M459,M461))</f>
        <v>273.89666666666761</v>
      </c>
      <c r="N460" s="19">
        <f ca="1">IF(testdataClose[[#This Row],[type]]="L",testdataClose[[#This Row],[close]],AVERAGE(N459,N461))</f>
        <v>258.12583333333316</v>
      </c>
      <c r="Q460" s="4">
        <v>459</v>
      </c>
      <c r="R460" s="33">
        <v>259.47379999999998</v>
      </c>
      <c r="S460" s="19">
        <v>273.89670000000001</v>
      </c>
      <c r="T460" s="19">
        <v>258.12580000000003</v>
      </c>
    </row>
    <row r="461" spans="1:21" x14ac:dyDescent="0.35">
      <c r="A461" s="7">
        <v>460</v>
      </c>
      <c r="B461" s="3">
        <v>43402</v>
      </c>
      <c r="C461" s="2">
        <v>262.27</v>
      </c>
      <c r="D461" s="2">
        <v>263.69</v>
      </c>
      <c r="E461" s="2">
        <v>253.54</v>
      </c>
      <c r="F461" s="14">
        <v>257.45</v>
      </c>
      <c r="G461" s="1">
        <v>164749392</v>
      </c>
      <c r="H461" s="6" t="s">
        <v>12</v>
      </c>
      <c r="I461" s="6">
        <f>IF(AND(H460="UP",testdataClose[[#This Row],[close]]&gt;I460),testdataClose[[#This Row],[close]],IF(AND(H460="DN",testdataClose[[#This Row],[close]]&lt;I460),testdataClose[[#This Row],[close]],I460))</f>
        <v>257.45</v>
      </c>
      <c r="J461" s="11">
        <f>(testdataClose[[#This Row],[close]]-testdataClose[[#This Row],[hl]])/testdataClose[[#This Row],[hl]]</f>
        <v>0</v>
      </c>
      <c r="K461" s="18">
        <f>testdataClose[[#This Row],[close]]</f>
        <v>257.45</v>
      </c>
      <c r="L461" s="6" t="s">
        <v>15</v>
      </c>
      <c r="M461" s="19">
        <f ca="1">IF(testdataClose[[#This Row],[type]]="H",testdataClose[[#This Row],[close]],AVERAGE(M460,M462))</f>
        <v>273.9333333333343</v>
      </c>
      <c r="N461" s="19">
        <f>IF(testdataClose[[#This Row],[type]]="L",testdataClose[[#This Row],[close]],AVERAGE(N460,N462))</f>
        <v>257.45</v>
      </c>
      <c r="Q461" s="4">
        <v>460</v>
      </c>
      <c r="R461" s="33">
        <v>257.45</v>
      </c>
      <c r="S461" s="19">
        <v>273.93329999999997</v>
      </c>
      <c r="T461" s="19">
        <v>257.45</v>
      </c>
      <c r="U461" s="4" t="s">
        <v>15</v>
      </c>
    </row>
    <row r="462" spans="1:21" x14ac:dyDescent="0.35">
      <c r="A462" s="7">
        <v>461</v>
      </c>
      <c r="B462" s="3">
        <v>43403</v>
      </c>
      <c r="C462" s="2">
        <v>257.27</v>
      </c>
      <c r="D462" s="2">
        <v>261.61</v>
      </c>
      <c r="E462" s="2">
        <v>256.73</v>
      </c>
      <c r="F462" s="14">
        <v>261.27</v>
      </c>
      <c r="G462" s="1">
        <v>161025888</v>
      </c>
      <c r="H462" s="6" t="s">
        <v>12</v>
      </c>
      <c r="I462" s="6">
        <f>IF(AND(H461="UP",testdataClose[[#This Row],[close]]&gt;I461),testdataClose[[#This Row],[close]],IF(AND(H461="DN",testdataClose[[#This Row],[close]]&lt;I461),testdataClose[[#This Row],[close]],I461))</f>
        <v>257.45</v>
      </c>
      <c r="J462" s="11">
        <f>(testdataClose[[#This Row],[close]]-testdataClose[[#This Row],[hl]])/testdataClose[[#This Row],[hl]]</f>
        <v>1.4837832588852179E-2</v>
      </c>
      <c r="K462" s="15">
        <f t="shared" ca="1" si="8"/>
        <v>259.84142857142865</v>
      </c>
      <c r="L462" s="6"/>
      <c r="M462" s="19">
        <f ca="1">IF(testdataClose[[#This Row],[type]]="H",testdataClose[[#This Row],[close]],AVERAGE(M461,M463))</f>
        <v>273.97000000000094</v>
      </c>
      <c r="N462" s="19">
        <f ca="1">IF(testdataClose[[#This Row],[type]]="L",testdataClose[[#This Row],[close]],AVERAGE(N461,N463))</f>
        <v>257.41722222222188</v>
      </c>
      <c r="Q462" s="4">
        <v>461</v>
      </c>
      <c r="R462" s="33">
        <v>259.84140000000002</v>
      </c>
      <c r="S462" s="19">
        <v>273.97000000000003</v>
      </c>
      <c r="T462" s="19">
        <v>257.41719999999998</v>
      </c>
    </row>
    <row r="463" spans="1:21" x14ac:dyDescent="0.35">
      <c r="A463" s="7">
        <v>462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14">
        <v>264.06</v>
      </c>
      <c r="G463" s="1">
        <v>131489024</v>
      </c>
      <c r="H463" s="6" t="s">
        <v>12</v>
      </c>
      <c r="I463" s="6">
        <f>IF(AND(H462="UP",testdataClose[[#This Row],[close]]&gt;I462),testdataClose[[#This Row],[close]],IF(AND(H462="DN",testdataClose[[#This Row],[close]]&lt;I462),testdataClose[[#This Row],[close]],I462))</f>
        <v>257.45</v>
      </c>
      <c r="J463" s="11">
        <f>(testdataClose[[#This Row],[close]]-testdataClose[[#This Row],[hl]])/testdataClose[[#This Row],[hl]]</f>
        <v>2.56748883278307E-2</v>
      </c>
      <c r="K463" s="15">
        <f t="shared" ca="1" si="8"/>
        <v>262.23285714285726</v>
      </c>
      <c r="L463" s="6"/>
      <c r="M463" s="19">
        <f ca="1">IF(testdataClose[[#This Row],[type]]="H",testdataClose[[#This Row],[close]],AVERAGE(M462,M464))</f>
        <v>274.00666666666751</v>
      </c>
      <c r="N463" s="19">
        <f ca="1">IF(testdataClose[[#This Row],[type]]="L",testdataClose[[#This Row],[close]],AVERAGE(N462,N464))</f>
        <v>257.38444444444383</v>
      </c>
      <c r="Q463" s="4">
        <v>462</v>
      </c>
      <c r="R463" s="33">
        <v>262.23289999999997</v>
      </c>
      <c r="S463" s="19">
        <v>274.00670000000002</v>
      </c>
      <c r="T463" s="19">
        <v>257.38440000000003</v>
      </c>
    </row>
    <row r="464" spans="1:21" x14ac:dyDescent="0.35">
      <c r="A464" s="7">
        <v>463</v>
      </c>
      <c r="B464" s="3">
        <v>43405</v>
      </c>
      <c r="C464" s="2">
        <v>265.01</v>
      </c>
      <c r="D464" s="2">
        <v>267.08</v>
      </c>
      <c r="E464" s="2">
        <v>263.81</v>
      </c>
      <c r="F464" s="14">
        <v>266.87</v>
      </c>
      <c r="G464" s="1">
        <v>101971008</v>
      </c>
      <c r="H464" s="6" t="s">
        <v>10</v>
      </c>
      <c r="I464" s="6">
        <f>IF(AND(H463="UP",testdataClose[[#This Row],[close]]&gt;I463),testdataClose[[#This Row],[close]],IF(AND(H463="DN",testdataClose[[#This Row],[close]]&lt;I463),testdataClose[[#This Row],[close]],I463))</f>
        <v>257.45</v>
      </c>
      <c r="J464" s="11">
        <f>(testdataClose[[#This Row],[close]]-testdataClose[[#This Row],[hl]])/testdataClose[[#This Row],[hl]]</f>
        <v>3.6589629054185342E-2</v>
      </c>
      <c r="K464" s="15">
        <f t="shared" ca="1" si="8"/>
        <v>264.62428571428586</v>
      </c>
      <c r="L464" s="6"/>
      <c r="M464" s="19">
        <f ca="1">IF(testdataClose[[#This Row],[type]]="H",testdataClose[[#This Row],[close]],AVERAGE(M463,M465))</f>
        <v>274.04333333333409</v>
      </c>
      <c r="N464" s="19">
        <f ca="1">IF(testdataClose[[#This Row],[type]]="L",testdataClose[[#This Row],[close]],AVERAGE(N463,N465))</f>
        <v>257.35166666666584</v>
      </c>
      <c r="Q464" s="4">
        <v>463</v>
      </c>
      <c r="R464" s="33">
        <v>264.62430000000001</v>
      </c>
      <c r="S464" s="19">
        <v>274.04329999999999</v>
      </c>
      <c r="T464" s="19">
        <v>257.35169999999999</v>
      </c>
    </row>
    <row r="465" spans="1:21" x14ac:dyDescent="0.35">
      <c r="A465" s="7">
        <v>464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14">
        <v>265.29000000000002</v>
      </c>
      <c r="G465" s="1">
        <v>125685896</v>
      </c>
      <c r="H465" s="6" t="s">
        <v>10</v>
      </c>
      <c r="I465" s="6">
        <f>IF(AND(H464="UP",testdataClose[[#This Row],[close]]&gt;I464),testdataClose[[#This Row],[close]],IF(AND(H464="DN",testdataClose[[#This Row],[close]]&lt;I464),testdataClose[[#This Row],[close]],I464))</f>
        <v>265.29000000000002</v>
      </c>
      <c r="J465" s="11">
        <f>(testdataClose[[#This Row],[close]]-testdataClose[[#This Row],[hl]])/testdataClose[[#This Row],[hl]]</f>
        <v>0</v>
      </c>
      <c r="K465" s="15">
        <f t="shared" ca="1" si="8"/>
        <v>267.01571428571441</v>
      </c>
      <c r="L465" s="6"/>
      <c r="M465" s="19">
        <f ca="1">IF(testdataClose[[#This Row],[type]]="H",testdataClose[[#This Row],[close]],AVERAGE(M464,M466))</f>
        <v>274.08000000000061</v>
      </c>
      <c r="N465" s="19">
        <f ca="1">IF(testdataClose[[#This Row],[type]]="L",testdataClose[[#This Row],[close]],AVERAGE(N464,N466))</f>
        <v>257.31888888888784</v>
      </c>
      <c r="Q465" s="4">
        <v>464</v>
      </c>
      <c r="R465" s="33">
        <v>267.01569999999998</v>
      </c>
      <c r="S465" s="19">
        <v>274.08</v>
      </c>
      <c r="T465" s="19">
        <v>257.31889999999999</v>
      </c>
    </row>
    <row r="466" spans="1:21" x14ac:dyDescent="0.35">
      <c r="A466" s="7">
        <v>465</v>
      </c>
      <c r="B466" s="3">
        <v>43409</v>
      </c>
      <c r="C466" s="2">
        <v>265.82</v>
      </c>
      <c r="D466" s="2">
        <v>267.36</v>
      </c>
      <c r="E466" s="2">
        <v>264.76</v>
      </c>
      <c r="F466" s="14">
        <v>266.75</v>
      </c>
      <c r="G466" s="1">
        <v>67255520</v>
      </c>
      <c r="H466" s="6" t="s">
        <v>10</v>
      </c>
      <c r="I466" s="6">
        <f>IF(AND(H465="UP",testdataClose[[#This Row],[close]]&gt;I465),testdataClose[[#This Row],[close]],IF(AND(H465="DN",testdataClose[[#This Row],[close]]&lt;I465),testdataClose[[#This Row],[close]],I465))</f>
        <v>266.75</v>
      </c>
      <c r="J466" s="11">
        <f>(testdataClose[[#This Row],[close]]-testdataClose[[#This Row],[hl]])/testdataClose[[#This Row],[hl]]</f>
        <v>0</v>
      </c>
      <c r="K466" s="15">
        <f t="shared" ca="1" si="8"/>
        <v>269.40714285714296</v>
      </c>
      <c r="L466" s="6"/>
      <c r="M466" s="19">
        <f ca="1">IF(testdataClose[[#This Row],[type]]="H",testdataClose[[#This Row],[close]],AVERAGE(M465,M467))</f>
        <v>274.11666666666707</v>
      </c>
      <c r="N466" s="19">
        <f ca="1">IF(testdataClose[[#This Row],[type]]="L",testdataClose[[#This Row],[close]],AVERAGE(N465,N467))</f>
        <v>257.2861111111099</v>
      </c>
      <c r="Q466" s="4">
        <v>465</v>
      </c>
      <c r="R466" s="33">
        <v>269.40710000000001</v>
      </c>
      <c r="S466" s="19">
        <v>274.11669999999998</v>
      </c>
      <c r="T466" s="19">
        <v>257.28609999999998</v>
      </c>
    </row>
    <row r="467" spans="1:21" x14ac:dyDescent="0.35">
      <c r="A467" s="7">
        <v>466</v>
      </c>
      <c r="B467" s="3">
        <v>43410</v>
      </c>
      <c r="C467" s="2">
        <v>266.68</v>
      </c>
      <c r="D467" s="2">
        <v>268.62</v>
      </c>
      <c r="E467" s="2">
        <v>266.62</v>
      </c>
      <c r="F467" s="14">
        <v>268.44</v>
      </c>
      <c r="G467" s="1">
        <v>61581152</v>
      </c>
      <c r="H467" s="6" t="s">
        <v>10</v>
      </c>
      <c r="I467" s="6">
        <f>IF(AND(H466="UP",testdataClose[[#This Row],[close]]&gt;I466),testdataClose[[#This Row],[close]],IF(AND(H466="DN",testdataClose[[#This Row],[close]]&lt;I466),testdataClose[[#This Row],[close]],I466))</f>
        <v>268.44</v>
      </c>
      <c r="J467" s="11">
        <f>(testdataClose[[#This Row],[close]]-testdataClose[[#This Row],[hl]])/testdataClose[[#This Row],[hl]]</f>
        <v>0</v>
      </c>
      <c r="K467" s="15">
        <f t="shared" ca="1" si="8"/>
        <v>271.79857142857145</v>
      </c>
      <c r="L467" s="6"/>
      <c r="M467" s="19">
        <f ca="1">IF(testdataClose[[#This Row],[type]]="H",testdataClose[[#This Row],[close]],AVERAGE(M466,M468))</f>
        <v>274.15333333333353</v>
      </c>
      <c r="N467" s="19">
        <f ca="1">IF(testdataClose[[#This Row],[type]]="L",testdataClose[[#This Row],[close]],AVERAGE(N466,N468))</f>
        <v>257.25333333333202</v>
      </c>
      <c r="Q467" s="4">
        <v>466</v>
      </c>
      <c r="R467" s="33">
        <v>271.79860000000002</v>
      </c>
      <c r="S467" s="19">
        <v>274.1533</v>
      </c>
      <c r="T467" s="19">
        <v>257.25330000000002</v>
      </c>
    </row>
    <row r="468" spans="1:21" x14ac:dyDescent="0.35">
      <c r="A468" s="7">
        <v>467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14">
        <v>274.19</v>
      </c>
      <c r="G468" s="1">
        <v>105309120</v>
      </c>
      <c r="H468" s="6" t="s">
        <v>10</v>
      </c>
      <c r="I468" s="6">
        <f>IF(AND(H467="UP",testdataClose[[#This Row],[close]]&gt;I467),testdataClose[[#This Row],[close]],IF(AND(H467="DN",testdataClose[[#This Row],[close]]&lt;I467),testdataClose[[#This Row],[close]],I467))</f>
        <v>274.19</v>
      </c>
      <c r="J468" s="11">
        <f>(testdataClose[[#This Row],[close]]-testdataClose[[#This Row],[hl]])/testdataClose[[#This Row],[hl]]</f>
        <v>0</v>
      </c>
      <c r="K468" s="18">
        <f>testdataClose[[#This Row],[close]]</f>
        <v>274.19</v>
      </c>
      <c r="L468" s="6" t="s">
        <v>14</v>
      </c>
      <c r="M468" s="19">
        <f>IF(testdataClose[[#This Row],[type]]="H",testdataClose[[#This Row],[close]],AVERAGE(M467,M469))</f>
        <v>274.19</v>
      </c>
      <c r="N468" s="19">
        <f ca="1">IF(testdataClose[[#This Row],[type]]="L",testdataClose[[#This Row],[close]],AVERAGE(N467,N469))</f>
        <v>257.22055555555414</v>
      </c>
      <c r="Q468" s="4">
        <v>467</v>
      </c>
      <c r="R468" s="33">
        <v>274.19</v>
      </c>
      <c r="S468" s="19">
        <v>274.19</v>
      </c>
      <c r="T468" s="19">
        <v>257.22059999999999</v>
      </c>
      <c r="U468" s="4" t="s">
        <v>14</v>
      </c>
    </row>
    <row r="469" spans="1:21" x14ac:dyDescent="0.35">
      <c r="A469" s="7">
        <v>468</v>
      </c>
      <c r="B469" s="3">
        <v>43412</v>
      </c>
      <c r="C469" s="2">
        <v>273.31</v>
      </c>
      <c r="D469" s="2">
        <v>274.39</v>
      </c>
      <c r="E469" s="2">
        <v>272.44</v>
      </c>
      <c r="F469" s="14">
        <v>273.69</v>
      </c>
      <c r="G469" s="1">
        <v>67216992</v>
      </c>
      <c r="H469" s="6" t="s">
        <v>10</v>
      </c>
      <c r="I469" s="6">
        <f>IF(AND(H468="UP",testdataClose[[#This Row],[close]]&gt;I468),testdataClose[[#This Row],[close]],IF(AND(H468="DN",testdataClose[[#This Row],[close]]&lt;I468),testdataClose[[#This Row],[close]],I468))</f>
        <v>274.19</v>
      </c>
      <c r="J469" s="11">
        <f>(testdataClose[[#This Row],[close]]-testdataClose[[#This Row],[hl]])/testdataClose[[#This Row],[hl]]</f>
        <v>-1.8235530106860208E-3</v>
      </c>
      <c r="K469" s="15">
        <f t="shared" ca="1" si="8"/>
        <v>272.61454545454535</v>
      </c>
      <c r="L469" s="6"/>
      <c r="M469" s="19">
        <f ca="1">IF(testdataClose[[#This Row],[type]]="H",testdataClose[[#This Row],[close]],AVERAGE(M468,M470))</f>
        <v>274.09176470588204</v>
      </c>
      <c r="N469" s="19">
        <f ca="1">IF(testdataClose[[#This Row],[type]]="L",testdataClose[[#This Row],[close]],AVERAGE(N468,N470))</f>
        <v>257.18777777777632</v>
      </c>
      <c r="Q469" s="4">
        <v>468</v>
      </c>
      <c r="R469" s="33">
        <v>272.61450000000002</v>
      </c>
      <c r="S469" s="19">
        <v>274.09179999999998</v>
      </c>
      <c r="T469" s="19">
        <v>257.18779999999998</v>
      </c>
    </row>
    <row r="470" spans="1:21" x14ac:dyDescent="0.35">
      <c r="A470" s="7">
        <v>469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14">
        <v>271.02</v>
      </c>
      <c r="G470" s="1">
        <v>101271544</v>
      </c>
      <c r="H470" s="6" t="s">
        <v>10</v>
      </c>
      <c r="I470" s="6">
        <f>IF(AND(H469="UP",testdataClose[[#This Row],[close]]&gt;I469),testdataClose[[#This Row],[close]],IF(AND(H469="DN",testdataClose[[#This Row],[close]]&lt;I469),testdataClose[[#This Row],[close]],I469))</f>
        <v>274.19</v>
      </c>
      <c r="J470" s="11">
        <f>(testdataClose[[#This Row],[close]]-testdataClose[[#This Row],[hl]])/testdataClose[[#This Row],[hl]]</f>
        <v>-1.1561326087749429E-2</v>
      </c>
      <c r="K470" s="15">
        <f t="shared" ca="1" si="8"/>
        <v>271.03909090909065</v>
      </c>
      <c r="L470" s="6"/>
      <c r="M470" s="19">
        <f ca="1">IF(testdataClose[[#This Row],[type]]="H",testdataClose[[#This Row],[close]],AVERAGE(M469,M471))</f>
        <v>273.99352941176414</v>
      </c>
      <c r="N470" s="19">
        <f ca="1">IF(testdataClose[[#This Row],[type]]="L",testdataClose[[#This Row],[close]],AVERAGE(N469,N471))</f>
        <v>257.15499999999855</v>
      </c>
      <c r="Q470" s="4">
        <v>469</v>
      </c>
      <c r="R470" s="33">
        <v>271.03910000000002</v>
      </c>
      <c r="S470" s="19">
        <v>273.99349999999998</v>
      </c>
      <c r="T470" s="19">
        <v>257.15499999999997</v>
      </c>
    </row>
    <row r="471" spans="1:21" x14ac:dyDescent="0.35">
      <c r="A471" s="7">
        <v>470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14">
        <v>265.95</v>
      </c>
      <c r="G471" s="1">
        <v>102153984</v>
      </c>
      <c r="H471" s="6" t="s">
        <v>12</v>
      </c>
      <c r="I471" s="6">
        <f>IF(AND(H470="UP",testdataClose[[#This Row],[close]]&gt;I470),testdataClose[[#This Row],[close]],IF(AND(H470="DN",testdataClose[[#This Row],[close]]&lt;I470),testdataClose[[#This Row],[close]],I470))</f>
        <v>274.19</v>
      </c>
      <c r="J471" s="11">
        <f>(testdataClose[[#This Row],[close]]-testdataClose[[#This Row],[hl]])/testdataClose[[#This Row],[hl]]</f>
        <v>-3.0052153616105654E-2</v>
      </c>
      <c r="K471" s="15">
        <f t="shared" ca="1" si="8"/>
        <v>269.463636363636</v>
      </c>
      <c r="L471" s="6"/>
      <c r="M471" s="19">
        <f ca="1">IF(testdataClose[[#This Row],[type]]="H",testdataClose[[#This Row],[close]],AVERAGE(M470,M472))</f>
        <v>273.8952941176463</v>
      </c>
      <c r="N471" s="19">
        <f ca="1">IF(testdataClose[[#This Row],[type]]="L",testdataClose[[#This Row],[close]],AVERAGE(N470,N472))</f>
        <v>257.12222222222078</v>
      </c>
      <c r="Q471" s="4">
        <v>470</v>
      </c>
      <c r="R471" s="33">
        <v>269.46359999999999</v>
      </c>
      <c r="S471" s="19">
        <v>273.89530000000002</v>
      </c>
      <c r="T471" s="19">
        <v>257.12220000000002</v>
      </c>
    </row>
    <row r="472" spans="1:21" x14ac:dyDescent="0.35">
      <c r="A472" s="7">
        <v>471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14">
        <v>265.45</v>
      </c>
      <c r="G472" s="1">
        <v>100619768</v>
      </c>
      <c r="H472" s="6" t="s">
        <v>12</v>
      </c>
      <c r="I472" s="6">
        <f>IF(AND(H471="UP",testdataClose[[#This Row],[close]]&gt;I471),testdataClose[[#This Row],[close]],IF(AND(H471="DN",testdataClose[[#This Row],[close]]&lt;I471),testdataClose[[#This Row],[close]],I471))</f>
        <v>265.45</v>
      </c>
      <c r="J472" s="11">
        <f>(testdataClose[[#This Row],[close]]-testdataClose[[#This Row],[hl]])/testdataClose[[#This Row],[hl]]</f>
        <v>0</v>
      </c>
      <c r="K472" s="15">
        <f t="shared" ca="1" si="8"/>
        <v>267.88818181818135</v>
      </c>
      <c r="L472" s="6"/>
      <c r="M472" s="19">
        <f ca="1">IF(testdataClose[[#This Row],[type]]="H",testdataClose[[#This Row],[close]],AVERAGE(M471,M473))</f>
        <v>273.79705882352846</v>
      </c>
      <c r="N472" s="19">
        <f ca="1">IF(testdataClose[[#This Row],[type]]="L",testdataClose[[#This Row],[close]],AVERAGE(N471,N473))</f>
        <v>257.08944444444307</v>
      </c>
      <c r="Q472" s="4">
        <v>471</v>
      </c>
      <c r="R472" s="33">
        <v>267.88819999999998</v>
      </c>
      <c r="S472" s="19">
        <v>273.7971</v>
      </c>
      <c r="T472" s="19">
        <v>257.08940000000001</v>
      </c>
    </row>
    <row r="473" spans="1:21" x14ac:dyDescent="0.35">
      <c r="A473" s="7">
        <v>472</v>
      </c>
      <c r="B473" s="3">
        <v>43418</v>
      </c>
      <c r="C473" s="2">
        <v>267.5</v>
      </c>
      <c r="D473" s="2">
        <v>267.94</v>
      </c>
      <c r="E473" s="2">
        <v>261.93</v>
      </c>
      <c r="F473" s="14">
        <v>263.64</v>
      </c>
      <c r="G473" s="1">
        <v>128454960</v>
      </c>
      <c r="H473" s="6" t="s">
        <v>12</v>
      </c>
      <c r="I473" s="6">
        <f>IF(AND(H472="UP",testdataClose[[#This Row],[close]]&gt;I472),testdataClose[[#This Row],[close]],IF(AND(H472="DN",testdataClose[[#This Row],[close]]&lt;I472),testdataClose[[#This Row],[close]],I472))</f>
        <v>263.64</v>
      </c>
      <c r="J473" s="11">
        <f>(testdataClose[[#This Row],[close]]-testdataClose[[#This Row],[hl]])/testdataClose[[#This Row],[hl]]</f>
        <v>0</v>
      </c>
      <c r="K473" s="15">
        <f t="shared" ca="1" si="8"/>
        <v>266.31272727272676</v>
      </c>
      <c r="L473" s="6"/>
      <c r="M473" s="19">
        <f ca="1">IF(testdataClose[[#This Row],[type]]="H",testdataClose[[#This Row],[close]],AVERAGE(M472,M474))</f>
        <v>273.69882352941067</v>
      </c>
      <c r="N473" s="19">
        <f ca="1">IF(testdataClose[[#This Row],[type]]="L",testdataClose[[#This Row],[close]],AVERAGE(N472,N474))</f>
        <v>257.05666666666542</v>
      </c>
      <c r="Q473" s="4">
        <v>472</v>
      </c>
      <c r="R473" s="33">
        <v>266.31270000000001</v>
      </c>
      <c r="S473" s="19">
        <v>273.69880000000001</v>
      </c>
      <c r="T473" s="19">
        <v>257.05669999999998</v>
      </c>
    </row>
    <row r="474" spans="1:21" x14ac:dyDescent="0.35">
      <c r="A474" s="7">
        <v>473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14">
        <v>266.39</v>
      </c>
      <c r="G474" s="1">
        <v>138463488</v>
      </c>
      <c r="H474" s="6" t="s">
        <v>12</v>
      </c>
      <c r="I474" s="6">
        <f>IF(AND(H473="UP",testdataClose[[#This Row],[close]]&gt;I473),testdataClose[[#This Row],[close]],IF(AND(H473="DN",testdataClose[[#This Row],[close]]&lt;I473),testdataClose[[#This Row],[close]],I473))</f>
        <v>263.64</v>
      </c>
      <c r="J474" s="11">
        <f>(testdataClose[[#This Row],[close]]-testdataClose[[#This Row],[hl]])/testdataClose[[#This Row],[hl]]</f>
        <v>1.0430890608405402E-2</v>
      </c>
      <c r="K474" s="15">
        <f t="shared" ca="1" si="8"/>
        <v>264.73727272727223</v>
      </c>
      <c r="L474" s="6"/>
      <c r="M474" s="19">
        <f ca="1">IF(testdataClose[[#This Row],[type]]="H",testdataClose[[#This Row],[close]],AVERAGE(M473,M475))</f>
        <v>273.60058823529295</v>
      </c>
      <c r="N474" s="19">
        <f ca="1">IF(testdataClose[[#This Row],[type]]="L",testdataClose[[#This Row],[close]],AVERAGE(N473,N475))</f>
        <v>257.02388888888777</v>
      </c>
      <c r="Q474" s="4">
        <v>473</v>
      </c>
      <c r="R474" s="33">
        <v>264.7373</v>
      </c>
      <c r="S474" s="19">
        <v>273.60059999999999</v>
      </c>
      <c r="T474" s="19">
        <v>257.02390000000003</v>
      </c>
    </row>
    <row r="475" spans="1:21" x14ac:dyDescent="0.35">
      <c r="A475" s="7">
        <v>474</v>
      </c>
      <c r="B475" s="3">
        <v>43420</v>
      </c>
      <c r="C475" s="2">
        <v>265.19</v>
      </c>
      <c r="D475" s="2">
        <v>268.08</v>
      </c>
      <c r="E475" s="2">
        <v>264.62</v>
      </c>
      <c r="F475" s="14">
        <v>267.08</v>
      </c>
      <c r="G475" s="1">
        <v>129820216</v>
      </c>
      <c r="H475" s="6" t="s">
        <v>12</v>
      </c>
      <c r="I475" s="6">
        <f>IF(AND(H474="UP",testdataClose[[#This Row],[close]]&gt;I474),testdataClose[[#This Row],[close]],IF(AND(H474="DN",testdataClose[[#This Row],[close]]&lt;I474),testdataClose[[#This Row],[close]],I474))</f>
        <v>263.64</v>
      </c>
      <c r="J475" s="11">
        <f>(testdataClose[[#This Row],[close]]-testdataClose[[#This Row],[hl]])/testdataClose[[#This Row],[hl]]</f>
        <v>1.3048095888332566E-2</v>
      </c>
      <c r="K475" s="15">
        <f t="shared" ca="1" si="8"/>
        <v>263.16181818181769</v>
      </c>
      <c r="L475" s="6"/>
      <c r="M475" s="19">
        <f ca="1">IF(testdataClose[[#This Row],[type]]="H",testdataClose[[#This Row],[close]],AVERAGE(M474,M476))</f>
        <v>273.50235294117522</v>
      </c>
      <c r="N475" s="19">
        <f ca="1">IF(testdataClose[[#This Row],[type]]="L",testdataClose[[#This Row],[close]],AVERAGE(N474,N476))</f>
        <v>256.99111111111017</v>
      </c>
      <c r="Q475" s="4">
        <v>474</v>
      </c>
      <c r="R475" s="33">
        <v>263.16180000000003</v>
      </c>
      <c r="S475" s="19">
        <v>273.50240000000002</v>
      </c>
      <c r="T475" s="19">
        <v>256.99110000000002</v>
      </c>
    </row>
    <row r="476" spans="1:21" x14ac:dyDescent="0.35">
      <c r="A476" s="7">
        <v>475</v>
      </c>
      <c r="B476" s="3">
        <v>43423</v>
      </c>
      <c r="C476" s="2">
        <v>266.42</v>
      </c>
      <c r="D476" s="2">
        <v>266.74</v>
      </c>
      <c r="E476" s="2">
        <v>261.56</v>
      </c>
      <c r="F476" s="14">
        <v>262.57</v>
      </c>
      <c r="G476" s="1">
        <v>105626432</v>
      </c>
      <c r="H476" s="6" t="s">
        <v>12</v>
      </c>
      <c r="I476" s="6">
        <f>IF(AND(H475="UP",testdataClose[[#This Row],[close]]&gt;I475),testdataClose[[#This Row],[close]],IF(AND(H475="DN",testdataClose[[#This Row],[close]]&lt;I475),testdataClose[[#This Row],[close]],I475))</f>
        <v>262.57</v>
      </c>
      <c r="J476" s="11">
        <f>(testdataClose[[#This Row],[close]]-testdataClose[[#This Row],[hl]])/testdataClose[[#This Row],[hl]]</f>
        <v>0</v>
      </c>
      <c r="K476" s="15">
        <f t="shared" ca="1" si="8"/>
        <v>261.58636363636322</v>
      </c>
      <c r="L476" s="6"/>
      <c r="M476" s="19">
        <f ca="1">IF(testdataClose[[#This Row],[type]]="H",testdataClose[[#This Row],[close]],AVERAGE(M475,M477))</f>
        <v>273.40411764705755</v>
      </c>
      <c r="N476" s="19">
        <f ca="1">IF(testdataClose[[#This Row],[type]]="L",testdataClose[[#This Row],[close]],AVERAGE(N475,N477))</f>
        <v>256.95833333333258</v>
      </c>
      <c r="Q476" s="4">
        <v>475</v>
      </c>
      <c r="R476" s="33">
        <v>261.58640000000003</v>
      </c>
      <c r="S476" s="19">
        <v>273.40410000000003</v>
      </c>
      <c r="T476" s="19">
        <v>256.95830000000001</v>
      </c>
    </row>
    <row r="477" spans="1:21" x14ac:dyDescent="0.35">
      <c r="A477" s="7">
        <v>476</v>
      </c>
      <c r="B477" s="3">
        <v>43424</v>
      </c>
      <c r="C477" s="2">
        <v>258.92</v>
      </c>
      <c r="D477" s="2">
        <v>260.52</v>
      </c>
      <c r="E477" s="2">
        <v>256.76</v>
      </c>
      <c r="F477" s="14">
        <v>257.70999999999998</v>
      </c>
      <c r="G477" s="1">
        <v>139406240</v>
      </c>
      <c r="H477" s="6" t="s">
        <v>12</v>
      </c>
      <c r="I477" s="6">
        <f>IF(AND(H476="UP",testdataClose[[#This Row],[close]]&gt;I476),testdataClose[[#This Row],[close]],IF(AND(H476="DN",testdataClose[[#This Row],[close]]&lt;I476),testdataClose[[#This Row],[close]],I476))</f>
        <v>257.70999999999998</v>
      </c>
      <c r="J477" s="11">
        <f>(testdataClose[[#This Row],[close]]-testdataClose[[#This Row],[hl]])/testdataClose[[#This Row],[hl]]</f>
        <v>0</v>
      </c>
      <c r="K477" s="15">
        <f t="shared" ca="1" si="8"/>
        <v>260.0109090909088</v>
      </c>
      <c r="L477" s="6"/>
      <c r="M477" s="19">
        <f ca="1">IF(testdataClose[[#This Row],[type]]="H",testdataClose[[#This Row],[close]],AVERAGE(M476,M478))</f>
        <v>273.30588235293993</v>
      </c>
      <c r="N477" s="19">
        <f ca="1">IF(testdataClose[[#This Row],[type]]="L",testdataClose[[#This Row],[close]],AVERAGE(N476,N478))</f>
        <v>256.92555555555504</v>
      </c>
      <c r="Q477" s="4">
        <v>476</v>
      </c>
      <c r="R477" s="33">
        <v>260.01089999999999</v>
      </c>
      <c r="S477" s="19">
        <v>273.30590000000001</v>
      </c>
      <c r="T477" s="19">
        <v>256.92559999999997</v>
      </c>
    </row>
    <row r="478" spans="1:21" x14ac:dyDescent="0.35">
      <c r="A478" s="7">
        <v>477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14">
        <v>258.58</v>
      </c>
      <c r="G478" s="1">
        <v>77444168</v>
      </c>
      <c r="H478" s="6" t="s">
        <v>12</v>
      </c>
      <c r="I478" s="6">
        <f>IF(AND(H477="UP",testdataClose[[#This Row],[close]]&gt;I477),testdataClose[[#This Row],[close]],IF(AND(H477="DN",testdataClose[[#This Row],[close]]&lt;I477),testdataClose[[#This Row],[close]],I477))</f>
        <v>257.70999999999998</v>
      </c>
      <c r="J478" s="11">
        <f>(testdataClose[[#This Row],[close]]-testdataClose[[#This Row],[hl]])/testdataClose[[#This Row],[hl]]</f>
        <v>3.3758876256257211E-3</v>
      </c>
      <c r="K478" s="15">
        <f t="shared" ca="1" si="8"/>
        <v>258.43545454545438</v>
      </c>
      <c r="L478" s="6"/>
      <c r="M478" s="19">
        <f ca="1">IF(testdataClose[[#This Row],[type]]="H",testdataClose[[#This Row],[close]],AVERAGE(M477,M479))</f>
        <v>273.20764705882232</v>
      </c>
      <c r="N478" s="19">
        <f ca="1">IF(testdataClose[[#This Row],[type]]="L",testdataClose[[#This Row],[close]],AVERAGE(N477,N479))</f>
        <v>256.8927777777775</v>
      </c>
      <c r="Q478" s="4">
        <v>477</v>
      </c>
      <c r="R478" s="33">
        <v>258.43549999999999</v>
      </c>
      <c r="S478" s="19">
        <v>273.20760000000001</v>
      </c>
      <c r="T478" s="19">
        <v>256.89280000000002</v>
      </c>
    </row>
    <row r="479" spans="1:21" x14ac:dyDescent="0.35">
      <c r="A479" s="7">
        <v>478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14">
        <v>256.86</v>
      </c>
      <c r="G479" s="1">
        <v>43873168</v>
      </c>
      <c r="H479" s="6" t="s">
        <v>12</v>
      </c>
      <c r="I479" s="6">
        <f>IF(AND(H478="UP",testdataClose[[#This Row],[close]]&gt;I478),testdataClose[[#This Row],[close]],IF(AND(H478="DN",testdataClose[[#This Row],[close]]&lt;I478),testdataClose[[#This Row],[close]],I478))</f>
        <v>256.86</v>
      </c>
      <c r="J479" s="11">
        <f>(testdataClose[[#This Row],[close]]-testdataClose[[#This Row],[hl]])/testdataClose[[#This Row],[hl]]</f>
        <v>0</v>
      </c>
      <c r="K479" s="18">
        <f>testdataClose[[#This Row],[close]]</f>
        <v>256.86</v>
      </c>
      <c r="L479" s="6" t="s">
        <v>15</v>
      </c>
      <c r="M479" s="19">
        <f ca="1">IF(testdataClose[[#This Row],[type]]="H",testdataClose[[#This Row],[close]],AVERAGE(M478,M480))</f>
        <v>273.10941176470476</v>
      </c>
      <c r="N479" s="19">
        <f>IF(testdataClose[[#This Row],[type]]="L",testdataClose[[#This Row],[close]],AVERAGE(N478,N480))</f>
        <v>256.86</v>
      </c>
      <c r="Q479" s="4">
        <v>478</v>
      </c>
      <c r="R479" s="33">
        <v>256.86</v>
      </c>
      <c r="S479" s="19">
        <v>273.10939999999999</v>
      </c>
      <c r="T479" s="19">
        <v>256.86</v>
      </c>
      <c r="U479" s="4" t="s">
        <v>15</v>
      </c>
    </row>
    <row r="480" spans="1:21" x14ac:dyDescent="0.35">
      <c r="A480" s="7">
        <v>479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14">
        <v>261</v>
      </c>
      <c r="G480" s="1">
        <v>81971728</v>
      </c>
      <c r="H480" s="6" t="s">
        <v>12</v>
      </c>
      <c r="I480" s="6">
        <f>IF(AND(H479="UP",testdataClose[[#This Row],[close]]&gt;I479),testdataClose[[#This Row],[close]],IF(AND(H479="DN",testdataClose[[#This Row],[close]]&lt;I479),testdataClose[[#This Row],[close]],I479))</f>
        <v>256.86</v>
      </c>
      <c r="J480" s="11">
        <f>(testdataClose[[#This Row],[close]]-testdataClose[[#This Row],[hl]])/testdataClose[[#This Row],[hl]]</f>
        <v>1.6117729502452643E-2</v>
      </c>
      <c r="K480" s="15">
        <f t="shared" ca="1" si="8"/>
        <v>259.47000000000008</v>
      </c>
      <c r="L480" s="6"/>
      <c r="M480" s="19">
        <f ca="1">IF(testdataClose[[#This Row],[type]]="H",testdataClose[[#This Row],[close]],AVERAGE(M479,M481))</f>
        <v>273.0111764705872</v>
      </c>
      <c r="N480" s="19">
        <f ca="1">IF(testdataClose[[#This Row],[type]]="L",testdataClose[[#This Row],[close]],AVERAGE(N479,N481))</f>
        <v>255.51649999999984</v>
      </c>
      <c r="Q480" s="4">
        <v>479</v>
      </c>
      <c r="R480" s="33">
        <v>259.47000000000003</v>
      </c>
      <c r="S480" s="19">
        <v>273.01119999999997</v>
      </c>
      <c r="T480" s="19">
        <v>255.51650000000001</v>
      </c>
    </row>
    <row r="481" spans="1:21" x14ac:dyDescent="0.35">
      <c r="A481" s="7">
        <v>480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14">
        <v>261.88</v>
      </c>
      <c r="G481" s="1">
        <v>77381344</v>
      </c>
      <c r="H481" s="6" t="s">
        <v>12</v>
      </c>
      <c r="I481" s="6">
        <f>IF(AND(H480="UP",testdataClose[[#This Row],[close]]&gt;I480),testdataClose[[#This Row],[close]],IF(AND(H480="DN",testdataClose[[#This Row],[close]]&lt;I480),testdataClose[[#This Row],[close]],I480))</f>
        <v>256.86</v>
      </c>
      <c r="J481" s="11">
        <f>(testdataClose[[#This Row],[close]]-testdataClose[[#This Row],[hl]])/testdataClose[[#This Row],[hl]]</f>
        <v>1.9543720314568174E-2</v>
      </c>
      <c r="K481" s="15">
        <f t="shared" ca="1" si="8"/>
        <v>262.08000000000015</v>
      </c>
      <c r="L481" s="6"/>
      <c r="M481" s="19">
        <f ca="1">IF(testdataClose[[#This Row],[type]]="H",testdataClose[[#This Row],[close]],AVERAGE(M480,M482))</f>
        <v>272.9129411764697</v>
      </c>
      <c r="N481" s="19">
        <f ca="1">IF(testdataClose[[#This Row],[type]]="L",testdataClose[[#This Row],[close]],AVERAGE(N480,N482))</f>
        <v>254.17299999999969</v>
      </c>
      <c r="Q481" s="4">
        <v>480</v>
      </c>
      <c r="R481" s="33">
        <v>262.08</v>
      </c>
      <c r="S481" s="19">
        <v>272.91289999999998</v>
      </c>
      <c r="T481" s="19">
        <v>254.173</v>
      </c>
    </row>
    <row r="482" spans="1:21" x14ac:dyDescent="0.35">
      <c r="A482" s="7">
        <v>481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14">
        <v>267.91000000000003</v>
      </c>
      <c r="G482" s="1">
        <v>130805744</v>
      </c>
      <c r="H482" s="6" t="s">
        <v>10</v>
      </c>
      <c r="I482" s="6">
        <f>IF(AND(H481="UP",testdataClose[[#This Row],[close]]&gt;I481),testdataClose[[#This Row],[close]],IF(AND(H481="DN",testdataClose[[#This Row],[close]]&lt;I481),testdataClose[[#This Row],[close]],I481))</f>
        <v>256.86</v>
      </c>
      <c r="J482" s="11">
        <f>(testdataClose[[#This Row],[close]]-testdataClose[[#This Row],[hl]])/testdataClose[[#This Row],[hl]]</f>
        <v>4.3019543720314607E-2</v>
      </c>
      <c r="K482" s="15">
        <f t="shared" ca="1" si="8"/>
        <v>264.69000000000017</v>
      </c>
      <c r="L482" s="6"/>
      <c r="M482" s="19">
        <f ca="1">IF(testdataClose[[#This Row],[type]]="H",testdataClose[[#This Row],[close]],AVERAGE(M481,M483))</f>
        <v>272.8147058823522</v>
      </c>
      <c r="N482" s="19">
        <f ca="1">IF(testdataClose[[#This Row],[type]]="L",testdataClose[[#This Row],[close]],AVERAGE(N481,N483))</f>
        <v>252.82949999999954</v>
      </c>
      <c r="Q482" s="4">
        <v>481</v>
      </c>
      <c r="R482" s="33">
        <v>264.69</v>
      </c>
      <c r="S482" s="19">
        <v>272.81470000000002</v>
      </c>
      <c r="T482" s="19">
        <v>252.8295</v>
      </c>
    </row>
    <row r="483" spans="1:21" x14ac:dyDescent="0.35">
      <c r="A483" s="7">
        <v>482</v>
      </c>
      <c r="B483" s="3">
        <v>43433</v>
      </c>
      <c r="C483" s="2">
        <v>267.06</v>
      </c>
      <c r="D483" s="2">
        <v>268.86</v>
      </c>
      <c r="E483" s="2">
        <v>265.82</v>
      </c>
      <c r="F483" s="14">
        <v>267.33</v>
      </c>
      <c r="G483" s="1">
        <v>84395640</v>
      </c>
      <c r="H483" s="6" t="s">
        <v>10</v>
      </c>
      <c r="I483" s="6">
        <f>IF(AND(H482="UP",testdataClose[[#This Row],[close]]&gt;I482),testdataClose[[#This Row],[close]],IF(AND(H482="DN",testdataClose[[#This Row],[close]]&lt;I482),testdataClose[[#This Row],[close]],I482))</f>
        <v>267.33</v>
      </c>
      <c r="J483" s="11">
        <f>(testdataClose[[#This Row],[close]]-testdataClose[[#This Row],[hl]])/testdataClose[[#This Row],[hl]]</f>
        <v>0</v>
      </c>
      <c r="K483" s="15">
        <f t="shared" ca="1" si="8"/>
        <v>267.30000000000013</v>
      </c>
      <c r="L483" s="6"/>
      <c r="M483" s="19">
        <f ca="1">IF(testdataClose[[#This Row],[type]]="H",testdataClose[[#This Row],[close]],AVERAGE(M482,M484))</f>
        <v>272.71647058823476</v>
      </c>
      <c r="N483" s="19">
        <f ca="1">IF(testdataClose[[#This Row],[type]]="L",testdataClose[[#This Row],[close]],AVERAGE(N482,N484))</f>
        <v>251.48599999999942</v>
      </c>
      <c r="Q483" s="4">
        <v>482</v>
      </c>
      <c r="R483" s="33">
        <v>267.3</v>
      </c>
      <c r="S483" s="19">
        <v>272.7165</v>
      </c>
      <c r="T483" s="19">
        <v>251.48599999999999</v>
      </c>
    </row>
    <row r="484" spans="1:21" x14ac:dyDescent="0.35">
      <c r="A484" s="7">
        <v>483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14">
        <v>268.95999999999998</v>
      </c>
      <c r="G484" s="1">
        <v>100648032</v>
      </c>
      <c r="H484" s="6" t="s">
        <v>10</v>
      </c>
      <c r="I484" s="6">
        <f>IF(AND(H483="UP",testdataClose[[#This Row],[close]]&gt;I483),testdataClose[[#This Row],[close]],IF(AND(H483="DN",testdataClose[[#This Row],[close]]&lt;I483),testdataClose[[#This Row],[close]],I483))</f>
        <v>268.95999999999998</v>
      </c>
      <c r="J484" s="11">
        <f>(testdataClose[[#This Row],[close]]-testdataClose[[#This Row],[hl]])/testdataClose[[#This Row],[hl]]</f>
        <v>0</v>
      </c>
      <c r="K484" s="15">
        <f t="shared" ca="1" si="8"/>
        <v>269.91000000000008</v>
      </c>
      <c r="L484" s="6"/>
      <c r="M484" s="19">
        <f ca="1">IF(testdataClose[[#This Row],[type]]="H",testdataClose[[#This Row],[close]],AVERAGE(M483,M485))</f>
        <v>272.61823529411737</v>
      </c>
      <c r="N484" s="19">
        <f ca="1">IF(testdataClose[[#This Row],[type]]="L",testdataClose[[#This Row],[close]],AVERAGE(N483,N485))</f>
        <v>250.14249999999933</v>
      </c>
      <c r="Q484" s="4">
        <v>483</v>
      </c>
      <c r="R484" s="33">
        <v>269.91000000000003</v>
      </c>
      <c r="S484" s="19">
        <v>272.6182</v>
      </c>
      <c r="T484" s="19">
        <v>250.14250000000001</v>
      </c>
    </row>
    <row r="485" spans="1:21" x14ac:dyDescent="0.35">
      <c r="A485" s="7">
        <v>484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14">
        <v>272.52</v>
      </c>
      <c r="G485" s="1">
        <v>105581352</v>
      </c>
      <c r="H485" s="6" t="s">
        <v>10</v>
      </c>
      <c r="I485" s="6">
        <f>IF(AND(H484="UP",testdataClose[[#This Row],[close]]&gt;I484),testdataClose[[#This Row],[close]],IF(AND(H484="DN",testdataClose[[#This Row],[close]]&lt;I484),testdataClose[[#This Row],[close]],I484))</f>
        <v>272.52</v>
      </c>
      <c r="J485" s="11">
        <f>(testdataClose[[#This Row],[close]]-testdataClose[[#This Row],[hl]])/testdataClose[[#This Row],[hl]]</f>
        <v>0</v>
      </c>
      <c r="K485" s="21">
        <f>testdataClose[[#This Row],[close]]</f>
        <v>272.52</v>
      </c>
      <c r="L485" s="22" t="s">
        <v>14</v>
      </c>
      <c r="M485" s="23">
        <f>IF(testdataClose[[#This Row],[type]]="H",testdataClose[[#This Row],[close]],AVERAGE(M484,M486))</f>
        <v>272.52</v>
      </c>
      <c r="N485" s="23">
        <f ca="1">IF(testdataClose[[#This Row],[type]]="L",testdataClose[[#This Row],[close]],AVERAGE(N484,N486))</f>
        <v>248.79899999999924</v>
      </c>
      <c r="Q485" s="4">
        <v>484</v>
      </c>
      <c r="R485" s="21">
        <v>272.52</v>
      </c>
      <c r="S485" s="23">
        <v>272.52</v>
      </c>
      <c r="T485" s="23">
        <v>248.79900000000001</v>
      </c>
      <c r="U485" s="4" t="s">
        <v>14</v>
      </c>
    </row>
    <row r="486" spans="1:21" x14ac:dyDescent="0.35">
      <c r="A486" s="7">
        <v>485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14">
        <v>263.69</v>
      </c>
      <c r="G486" s="1">
        <v>182415248</v>
      </c>
      <c r="H486" s="6" t="s">
        <v>12</v>
      </c>
      <c r="I486" s="6">
        <f>IF(AND(H485="UP",testdataClose[[#This Row],[close]]&gt;I485),testdataClose[[#This Row],[close]],IF(AND(H485="DN",testdataClose[[#This Row],[close]]&lt;I485),testdataClose[[#This Row],[close]],I485))</f>
        <v>272.52</v>
      </c>
      <c r="J486" s="11">
        <f>(testdataClose[[#This Row],[close]]-testdataClose[[#This Row],[hl]])/testdataClose[[#This Row],[hl]]</f>
        <v>-3.2401291648319334E-2</v>
      </c>
      <c r="K486" s="15">
        <f t="shared" ca="1" si="8"/>
        <v>269.48214285714266</v>
      </c>
      <c r="L486" s="6"/>
      <c r="M486" s="19">
        <f ca="1">IF(testdataClose[[#This Row],[type]]="H",testdataClose[[#This Row],[close]],AVERAGE(M485,M487))</f>
        <v>271.00666666666689</v>
      </c>
      <c r="N486" s="19">
        <f ca="1">IF(testdataClose[[#This Row],[type]]="L",testdataClose[[#This Row],[close]],AVERAGE(N485,N487))</f>
        <v>247.45549999999918</v>
      </c>
      <c r="Q486" s="4">
        <v>485</v>
      </c>
      <c r="R486" s="33">
        <v>269.4821</v>
      </c>
      <c r="S486" s="19">
        <v>271.00670000000002</v>
      </c>
      <c r="T486" s="19">
        <v>247.4555</v>
      </c>
    </row>
    <row r="487" spans="1:21" x14ac:dyDescent="0.35">
      <c r="A487" s="7">
        <v>486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14">
        <v>263.29000000000002</v>
      </c>
      <c r="G487" s="1">
        <v>209266640</v>
      </c>
      <c r="H487" s="6" t="s">
        <v>12</v>
      </c>
      <c r="I487" s="6">
        <f>IF(AND(H486="UP",testdataClose[[#This Row],[close]]&gt;I486),testdataClose[[#This Row],[close]],IF(AND(H486="DN",testdataClose[[#This Row],[close]]&lt;I486),testdataClose[[#This Row],[close]],I486))</f>
        <v>263.29000000000002</v>
      </c>
      <c r="J487" s="11">
        <f>(testdataClose[[#This Row],[close]]-testdataClose[[#This Row],[hl]])/testdataClose[[#This Row],[hl]]</f>
        <v>0</v>
      </c>
      <c r="K487" s="15">
        <f t="shared" ca="1" si="8"/>
        <v>266.4442857142854</v>
      </c>
      <c r="L487" s="6"/>
      <c r="M487" s="19">
        <f ca="1">IF(testdataClose[[#This Row],[type]]="H",testdataClose[[#This Row],[close]],AVERAGE(M486,M488))</f>
        <v>269.49333333333379</v>
      </c>
      <c r="N487" s="19">
        <f ca="1">IF(testdataClose[[#This Row],[type]]="L",testdataClose[[#This Row],[close]],AVERAGE(N486,N488))</f>
        <v>246.11199999999914</v>
      </c>
      <c r="Q487" s="4">
        <v>486</v>
      </c>
      <c r="R487" s="33">
        <v>266.4443</v>
      </c>
      <c r="S487" s="19">
        <v>269.49329999999998</v>
      </c>
      <c r="T487" s="19">
        <v>246.11199999999999</v>
      </c>
    </row>
    <row r="488" spans="1:21" x14ac:dyDescent="0.35">
      <c r="A488" s="7">
        <v>487</v>
      </c>
      <c r="B488" s="3">
        <v>43441</v>
      </c>
      <c r="C488" s="2">
        <v>262.92</v>
      </c>
      <c r="D488" s="2">
        <v>264.63</v>
      </c>
      <c r="E488" s="2">
        <v>256.25</v>
      </c>
      <c r="F488" s="14">
        <v>257.17</v>
      </c>
      <c r="G488" s="1">
        <v>165025936</v>
      </c>
      <c r="H488" s="6" t="s">
        <v>12</v>
      </c>
      <c r="I488" s="6">
        <f>IF(AND(H487="UP",testdataClose[[#This Row],[close]]&gt;I487),testdataClose[[#This Row],[close]],IF(AND(H487="DN",testdataClose[[#This Row],[close]]&lt;I487),testdataClose[[#This Row],[close]],I487))</f>
        <v>257.17</v>
      </c>
      <c r="J488" s="11">
        <f>(testdataClose[[#This Row],[close]]-testdataClose[[#This Row],[hl]])/testdataClose[[#This Row],[hl]]</f>
        <v>0</v>
      </c>
      <c r="K488" s="15">
        <f t="shared" ca="1" si="8"/>
        <v>263.40642857142814</v>
      </c>
      <c r="L488" s="6"/>
      <c r="M488" s="19">
        <f ca="1">IF(testdataClose[[#This Row],[type]]="H",testdataClose[[#This Row],[close]],AVERAGE(M487,M489))</f>
        <v>267.98000000000064</v>
      </c>
      <c r="N488" s="19">
        <f ca="1">IF(testdataClose[[#This Row],[type]]="L",testdataClose[[#This Row],[close]],AVERAGE(N487,N489))</f>
        <v>244.76849999999911</v>
      </c>
      <c r="Q488" s="4">
        <v>487</v>
      </c>
      <c r="R488" s="33">
        <v>263.40640000000002</v>
      </c>
      <c r="S488" s="19">
        <v>267.98</v>
      </c>
      <c r="T488" s="19">
        <v>244.76849999999999</v>
      </c>
    </row>
    <row r="489" spans="1:21" x14ac:dyDescent="0.35">
      <c r="A489" s="7">
        <v>488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14">
        <v>257.66000000000003</v>
      </c>
      <c r="G489" s="1">
        <v>155214672</v>
      </c>
      <c r="H489" s="6" t="s">
        <v>12</v>
      </c>
      <c r="I489" s="6">
        <f>IF(AND(H488="UP",testdataClose[[#This Row],[close]]&gt;I488),testdataClose[[#This Row],[close]],IF(AND(H488="DN",testdataClose[[#This Row],[close]]&lt;I488),testdataClose[[#This Row],[close]],I488))</f>
        <v>257.17</v>
      </c>
      <c r="J489" s="11">
        <f>(testdataClose[[#This Row],[close]]-testdataClose[[#This Row],[hl]])/testdataClose[[#This Row],[hl]]</f>
        <v>1.9053544348096943E-3</v>
      </c>
      <c r="K489" s="15">
        <f t="shared" ca="1" si="8"/>
        <v>260.36857142857093</v>
      </c>
      <c r="L489" s="6"/>
      <c r="M489" s="19">
        <f ca="1">IF(testdataClose[[#This Row],[type]]="H",testdataClose[[#This Row],[close]],AVERAGE(M488,M490))</f>
        <v>266.46666666666749</v>
      </c>
      <c r="N489" s="19">
        <f ca="1">IF(testdataClose[[#This Row],[type]]="L",testdataClose[[#This Row],[close]],AVERAGE(N488,N490))</f>
        <v>243.4249999999991</v>
      </c>
      <c r="Q489" s="4">
        <v>488</v>
      </c>
      <c r="R489" s="33">
        <v>260.36860000000001</v>
      </c>
      <c r="S489" s="19">
        <v>266.4667</v>
      </c>
      <c r="T489" s="19">
        <v>243.42500000000001</v>
      </c>
    </row>
    <row r="490" spans="1:21" x14ac:dyDescent="0.35">
      <c r="A490" s="7">
        <v>489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14">
        <v>257.72000000000003</v>
      </c>
      <c r="G490" s="1">
        <v>124528112</v>
      </c>
      <c r="H490" s="6" t="s">
        <v>12</v>
      </c>
      <c r="I490" s="6">
        <f>IF(AND(H489="UP",testdataClose[[#This Row],[close]]&gt;I489),testdataClose[[#This Row],[close]],IF(AND(H489="DN",testdataClose[[#This Row],[close]]&lt;I489),testdataClose[[#This Row],[close]],I489))</f>
        <v>257.17</v>
      </c>
      <c r="J490" s="11">
        <f>(testdataClose[[#This Row],[close]]-testdataClose[[#This Row],[hl]])/testdataClose[[#This Row],[hl]]</f>
        <v>2.1386631411129267E-3</v>
      </c>
      <c r="K490" s="15">
        <f t="shared" ca="1" si="8"/>
        <v>257.33071428571373</v>
      </c>
      <c r="L490" s="6"/>
      <c r="M490" s="19">
        <f ca="1">IF(testdataClose[[#This Row],[type]]="H",testdataClose[[#This Row],[close]],AVERAGE(M489,M491))</f>
        <v>264.95333333333429</v>
      </c>
      <c r="N490" s="19">
        <f ca="1">IF(testdataClose[[#This Row],[type]]="L",testdataClose[[#This Row],[close]],AVERAGE(N489,N491))</f>
        <v>242.08149999999912</v>
      </c>
      <c r="Q490" s="4">
        <v>489</v>
      </c>
      <c r="R490" s="33">
        <v>257.33069999999998</v>
      </c>
      <c r="S490" s="19">
        <v>264.95330000000001</v>
      </c>
      <c r="T490" s="19">
        <v>242.08150000000001</v>
      </c>
    </row>
    <row r="491" spans="1:21" x14ac:dyDescent="0.35">
      <c r="A491" s="7">
        <v>490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14">
        <v>259.01</v>
      </c>
      <c r="G491" s="1">
        <v>100414888</v>
      </c>
      <c r="H491" s="6" t="s">
        <v>12</v>
      </c>
      <c r="I491" s="6">
        <f>IF(AND(H490="UP",testdataClose[[#This Row],[close]]&gt;I490),testdataClose[[#This Row],[close]],IF(AND(H490="DN",testdataClose[[#This Row],[close]]&lt;I490),testdataClose[[#This Row],[close]],I490))</f>
        <v>257.17</v>
      </c>
      <c r="J491" s="11">
        <f>(testdataClose[[#This Row],[close]]-testdataClose[[#This Row],[hl]])/testdataClose[[#This Row],[hl]]</f>
        <v>7.1548003266320914E-3</v>
      </c>
      <c r="K491" s="15">
        <f t="shared" ca="1" si="8"/>
        <v>254.29285714285658</v>
      </c>
      <c r="L491" s="6"/>
      <c r="M491" s="19">
        <f ca="1">IF(testdataClose[[#This Row],[type]]="H",testdataClose[[#This Row],[close]],AVERAGE(M490,M492))</f>
        <v>263.44000000000102</v>
      </c>
      <c r="N491" s="19">
        <f ca="1">IF(testdataClose[[#This Row],[type]]="L",testdataClose[[#This Row],[close]],AVERAGE(N490,N492))</f>
        <v>240.73799999999915</v>
      </c>
      <c r="Q491" s="4">
        <v>490</v>
      </c>
      <c r="R491" s="33">
        <v>254.2929</v>
      </c>
      <c r="S491" s="19">
        <v>263.44</v>
      </c>
      <c r="T491" s="19">
        <v>240.738</v>
      </c>
    </row>
    <row r="492" spans="1:21" x14ac:dyDescent="0.35">
      <c r="A492" s="7">
        <v>491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14">
        <v>258.93</v>
      </c>
      <c r="G492" s="1">
        <v>99068200</v>
      </c>
      <c r="H492" s="6" t="s">
        <v>12</v>
      </c>
      <c r="I492" s="6">
        <f>IF(AND(H491="UP",testdataClose[[#This Row],[close]]&gt;I491),testdataClose[[#This Row],[close]],IF(AND(H491="DN",testdataClose[[#This Row],[close]]&lt;I491),testdataClose[[#This Row],[close]],I491))</f>
        <v>257.17</v>
      </c>
      <c r="J492" s="11">
        <f>(testdataClose[[#This Row],[close]]-testdataClose[[#This Row],[hl]])/testdataClose[[#This Row],[hl]]</f>
        <v>6.8437220515611885E-3</v>
      </c>
      <c r="K492" s="15">
        <f t="shared" ca="1" si="8"/>
        <v>251.25499999999946</v>
      </c>
      <c r="L492" s="6"/>
      <c r="M492" s="19">
        <f ca="1">IF(testdataClose[[#This Row],[type]]="H",testdataClose[[#This Row],[close]],AVERAGE(M491,M493))</f>
        <v>261.92666666666776</v>
      </c>
      <c r="N492" s="19">
        <f ca="1">IF(testdataClose[[#This Row],[type]]="L",testdataClose[[#This Row],[close]],AVERAGE(N491,N493))</f>
        <v>239.3944999999992</v>
      </c>
      <c r="Q492" s="4">
        <v>491</v>
      </c>
      <c r="R492" s="33">
        <v>251.255</v>
      </c>
      <c r="S492" s="19">
        <v>261.92669999999998</v>
      </c>
      <c r="T492" s="19">
        <v>239.39449999999999</v>
      </c>
    </row>
    <row r="493" spans="1:21" x14ac:dyDescent="0.35">
      <c r="A493" s="7">
        <v>492</v>
      </c>
      <c r="B493" s="3">
        <v>43448</v>
      </c>
      <c r="C493" s="2">
        <v>256.58</v>
      </c>
      <c r="D493" s="2">
        <v>257.62</v>
      </c>
      <c r="E493" s="2">
        <v>253.54</v>
      </c>
      <c r="F493" s="14">
        <v>254.15</v>
      </c>
      <c r="G493" s="1">
        <v>119871688</v>
      </c>
      <c r="H493" s="6" t="s">
        <v>12</v>
      </c>
      <c r="I493" s="6">
        <f>IF(AND(H492="UP",testdataClose[[#This Row],[close]]&gt;I492),testdataClose[[#This Row],[close]],IF(AND(H492="DN",testdataClose[[#This Row],[close]]&lt;I492),testdataClose[[#This Row],[close]],I492))</f>
        <v>254.15</v>
      </c>
      <c r="J493" s="11">
        <f>(testdataClose[[#This Row],[close]]-testdataClose[[#This Row],[hl]])/testdataClose[[#This Row],[hl]]</f>
        <v>0</v>
      </c>
      <c r="K493" s="15">
        <f t="shared" ca="1" si="8"/>
        <v>248.21714285714233</v>
      </c>
      <c r="L493" s="6"/>
      <c r="M493" s="19">
        <f ca="1">IF(testdataClose[[#This Row],[type]]="H",testdataClose[[#This Row],[close]],AVERAGE(M492,M494))</f>
        <v>260.41333333333444</v>
      </c>
      <c r="N493" s="19">
        <f ca="1">IF(testdataClose[[#This Row],[type]]="L",testdataClose[[#This Row],[close]],AVERAGE(N492,N494))</f>
        <v>238.05099999999928</v>
      </c>
      <c r="Q493" s="4">
        <v>492</v>
      </c>
      <c r="R493" s="33">
        <v>248.21709999999999</v>
      </c>
      <c r="S493" s="19">
        <v>260.41329999999999</v>
      </c>
      <c r="T493" s="19">
        <v>238.05099999999999</v>
      </c>
    </row>
    <row r="494" spans="1:21" x14ac:dyDescent="0.35">
      <c r="A494" s="7">
        <v>493</v>
      </c>
      <c r="B494" s="3">
        <v>43451</v>
      </c>
      <c r="C494" s="2">
        <v>253.1</v>
      </c>
      <c r="D494" s="2">
        <v>254.32</v>
      </c>
      <c r="E494" s="2">
        <v>247.37</v>
      </c>
      <c r="F494" s="14">
        <v>249.16</v>
      </c>
      <c r="G494" s="1">
        <v>169610592</v>
      </c>
      <c r="H494" s="6" t="s">
        <v>12</v>
      </c>
      <c r="I494" s="6">
        <f>IF(AND(H493="UP",testdataClose[[#This Row],[close]]&gt;I493),testdataClose[[#This Row],[close]],IF(AND(H493="DN",testdataClose[[#This Row],[close]]&lt;I493),testdataClose[[#This Row],[close]],I493))</f>
        <v>249.16</v>
      </c>
      <c r="J494" s="11">
        <f>(testdataClose[[#This Row],[close]]-testdataClose[[#This Row],[hl]])/testdataClose[[#This Row],[hl]]</f>
        <v>0</v>
      </c>
      <c r="K494" s="15">
        <f t="shared" ca="1" si="8"/>
        <v>245.17928571428524</v>
      </c>
      <c r="L494" s="6"/>
      <c r="M494" s="19">
        <f ca="1">IF(testdataClose[[#This Row],[type]]="H",testdataClose[[#This Row],[close]],AVERAGE(M493,M495))</f>
        <v>258.90000000000106</v>
      </c>
      <c r="N494" s="19">
        <f ca="1">IF(testdataClose[[#This Row],[type]]="L",testdataClose[[#This Row],[close]],AVERAGE(N493,N495))</f>
        <v>236.70749999999936</v>
      </c>
      <c r="Q494" s="4">
        <v>493</v>
      </c>
      <c r="R494" s="33">
        <v>245.17930000000001</v>
      </c>
      <c r="S494" s="19">
        <v>258.89999999999998</v>
      </c>
      <c r="T494" s="19">
        <v>236.70750000000001</v>
      </c>
    </row>
    <row r="495" spans="1:21" x14ac:dyDescent="0.35">
      <c r="A495" s="7">
        <v>494</v>
      </c>
      <c r="B495" s="3">
        <v>43452</v>
      </c>
      <c r="C495" s="2">
        <v>250.95</v>
      </c>
      <c r="D495" s="2">
        <v>251.69</v>
      </c>
      <c r="E495" s="2">
        <v>247.13</v>
      </c>
      <c r="F495" s="14">
        <v>248.89</v>
      </c>
      <c r="G495" s="1">
        <v>137862544</v>
      </c>
      <c r="H495" s="6" t="s">
        <v>12</v>
      </c>
      <c r="I495" s="6">
        <f>IF(AND(H494="UP",testdataClose[[#This Row],[close]]&gt;I494),testdataClose[[#This Row],[close]],IF(AND(H494="DN",testdataClose[[#This Row],[close]]&lt;I494),testdataClose[[#This Row],[close]],I494))</f>
        <v>248.89</v>
      </c>
      <c r="J495" s="11">
        <f>(testdataClose[[#This Row],[close]]-testdataClose[[#This Row],[hl]])/testdataClose[[#This Row],[hl]]</f>
        <v>0</v>
      </c>
      <c r="K495" s="15">
        <f t="shared" ca="1" si="8"/>
        <v>242.14142857142818</v>
      </c>
      <c r="L495" s="6"/>
      <c r="M495" s="19">
        <f ca="1">IF(testdataClose[[#This Row],[type]]="H",testdataClose[[#This Row],[close]],AVERAGE(M494,M496))</f>
        <v>257.38666666666768</v>
      </c>
      <c r="N495" s="19">
        <f ca="1">IF(testdataClose[[#This Row],[type]]="L",testdataClose[[#This Row],[close]],AVERAGE(N494,N496))</f>
        <v>235.36399999999946</v>
      </c>
      <c r="Q495" s="4">
        <v>494</v>
      </c>
      <c r="R495" s="33">
        <v>242.1414</v>
      </c>
      <c r="S495" s="19">
        <v>257.38670000000002</v>
      </c>
      <c r="T495" s="19">
        <v>235.364</v>
      </c>
    </row>
    <row r="496" spans="1:21" x14ac:dyDescent="0.35">
      <c r="A496" s="7">
        <v>495</v>
      </c>
      <c r="B496" s="3">
        <v>43453</v>
      </c>
      <c r="C496" s="2">
        <v>248.97</v>
      </c>
      <c r="D496" s="2">
        <v>253.1</v>
      </c>
      <c r="E496" s="2">
        <v>243.3</v>
      </c>
      <c r="F496" s="14">
        <v>245.16</v>
      </c>
      <c r="G496" s="1">
        <v>220342928</v>
      </c>
      <c r="H496" s="6" t="s">
        <v>12</v>
      </c>
      <c r="I496" s="6">
        <f>IF(AND(H495="UP",testdataClose[[#This Row],[close]]&gt;I495),testdataClose[[#This Row],[close]],IF(AND(H495="DN",testdataClose[[#This Row],[close]]&lt;I495),testdataClose[[#This Row],[close]],I495))</f>
        <v>245.16</v>
      </c>
      <c r="J496" s="11">
        <f>(testdataClose[[#This Row],[close]]-testdataClose[[#This Row],[hl]])/testdataClose[[#This Row],[hl]]</f>
        <v>0</v>
      </c>
      <c r="K496" s="15">
        <f t="shared" ca="1" si="8"/>
        <v>239.10357142857112</v>
      </c>
      <c r="L496" s="6"/>
      <c r="M496" s="19">
        <f ca="1">IF(testdataClose[[#This Row],[type]]="H",testdataClose[[#This Row],[close]],AVERAGE(M495,M497))</f>
        <v>255.87333333333427</v>
      </c>
      <c r="N496" s="19">
        <f ca="1">IF(testdataClose[[#This Row],[type]]="L",testdataClose[[#This Row],[close]],AVERAGE(N495,N497))</f>
        <v>234.02049999999957</v>
      </c>
      <c r="Q496" s="4">
        <v>495</v>
      </c>
      <c r="R496" s="33">
        <v>239.1036</v>
      </c>
      <c r="S496" s="19">
        <v>255.8733</v>
      </c>
      <c r="T496" s="19">
        <v>234.0205</v>
      </c>
    </row>
    <row r="497" spans="1:21" x14ac:dyDescent="0.35">
      <c r="A497" s="7">
        <v>496</v>
      </c>
      <c r="B497" s="3">
        <v>43454</v>
      </c>
      <c r="C497" s="2">
        <v>243.79</v>
      </c>
      <c r="D497" s="2">
        <v>245.51</v>
      </c>
      <c r="E497" s="2">
        <v>238.71</v>
      </c>
      <c r="F497" s="14">
        <v>241.17</v>
      </c>
      <c r="G497" s="1">
        <v>258325808</v>
      </c>
      <c r="H497" s="6" t="s">
        <v>12</v>
      </c>
      <c r="I497" s="6">
        <f>IF(AND(H496="UP",testdataClose[[#This Row],[close]]&gt;I496),testdataClose[[#This Row],[close]],IF(AND(H496="DN",testdataClose[[#This Row],[close]]&lt;I496),testdataClose[[#This Row],[close]],I496))</f>
        <v>241.17</v>
      </c>
      <c r="J497" s="11">
        <f>(testdataClose[[#This Row],[close]]-testdataClose[[#This Row],[hl]])/testdataClose[[#This Row],[hl]]</f>
        <v>0</v>
      </c>
      <c r="K497" s="15">
        <f t="shared" ca="1" si="8"/>
        <v>236.06571428571408</v>
      </c>
      <c r="L497" s="6"/>
      <c r="M497" s="19">
        <f ca="1">IF(testdataClose[[#This Row],[type]]="H",testdataClose[[#This Row],[close]],AVERAGE(M496,M498))</f>
        <v>254.36000000000087</v>
      </c>
      <c r="N497" s="19">
        <f ca="1">IF(testdataClose[[#This Row],[type]]="L",testdataClose[[#This Row],[close]],AVERAGE(N496,N498))</f>
        <v>232.67699999999971</v>
      </c>
      <c r="Q497" s="4">
        <v>496</v>
      </c>
      <c r="R497" s="33">
        <v>236.06569999999999</v>
      </c>
      <c r="S497" s="19">
        <v>254.36</v>
      </c>
      <c r="T497" s="19">
        <v>232.67699999999999</v>
      </c>
    </row>
    <row r="498" spans="1:21" x14ac:dyDescent="0.35">
      <c r="A498" s="7">
        <v>497</v>
      </c>
      <c r="B498" s="3">
        <v>43455</v>
      </c>
      <c r="C498" s="2">
        <v>242.16</v>
      </c>
      <c r="D498" s="2">
        <v>245.07</v>
      </c>
      <c r="E498" s="2">
        <v>235.52</v>
      </c>
      <c r="F498" s="14">
        <v>236.23</v>
      </c>
      <c r="G498" s="1">
        <v>260180208</v>
      </c>
      <c r="H498" s="6" t="s">
        <v>12</v>
      </c>
      <c r="I498" s="6">
        <f>IF(AND(H497="UP",testdataClose[[#This Row],[close]]&gt;I497),testdataClose[[#This Row],[close]],IF(AND(H497="DN",testdataClose[[#This Row],[close]]&lt;I497),testdataClose[[#This Row],[close]],I497))</f>
        <v>236.23</v>
      </c>
      <c r="J498" s="11">
        <f>(testdataClose[[#This Row],[close]]-testdataClose[[#This Row],[hl]])/testdataClose[[#This Row],[hl]]</f>
        <v>0</v>
      </c>
      <c r="K498" s="15">
        <f t="shared" ca="1" si="8"/>
        <v>233.02785714285704</v>
      </c>
      <c r="L498" s="6"/>
      <c r="M498" s="19">
        <f ca="1">IF(testdataClose[[#This Row],[type]]="H",testdataClose[[#This Row],[close]],AVERAGE(M497,M499))</f>
        <v>252.84666666666743</v>
      </c>
      <c r="N498" s="19">
        <f ca="1">IF(testdataClose[[#This Row],[type]]="L",testdataClose[[#This Row],[close]],AVERAGE(N497,N499))</f>
        <v>231.33349999999984</v>
      </c>
      <c r="Q498" s="4">
        <v>497</v>
      </c>
      <c r="R498" s="33">
        <v>233.02789999999999</v>
      </c>
      <c r="S498" s="19">
        <v>252.8467</v>
      </c>
      <c r="T498" s="19">
        <v>231.33349999999999</v>
      </c>
    </row>
    <row r="499" spans="1:21" x14ac:dyDescent="0.35">
      <c r="A499" s="7">
        <v>498</v>
      </c>
      <c r="B499" s="3">
        <v>43458</v>
      </c>
      <c r="C499" s="2">
        <v>234.6</v>
      </c>
      <c r="D499" s="2">
        <v>236.36</v>
      </c>
      <c r="E499" s="2">
        <v>229.92</v>
      </c>
      <c r="F499" s="14">
        <v>229.99</v>
      </c>
      <c r="G499" s="1">
        <v>150100704</v>
      </c>
      <c r="H499" s="6" t="s">
        <v>12</v>
      </c>
      <c r="I499" s="6">
        <f>IF(AND(H498="UP",testdataClose[[#This Row],[close]]&gt;I498),testdataClose[[#This Row],[close]],IF(AND(H498="DN",testdataClose[[#This Row],[close]]&lt;I498),testdataClose[[#This Row],[close]],I498))</f>
        <v>229.99</v>
      </c>
      <c r="J499" s="11">
        <f>(testdataClose[[#This Row],[close]]-testdataClose[[#This Row],[hl]])/testdataClose[[#This Row],[hl]]</f>
        <v>0</v>
      </c>
      <c r="K499" s="18">
        <f>testdataClose[[#This Row],[close]]</f>
        <v>229.99</v>
      </c>
      <c r="L499" s="6" t="s">
        <v>15</v>
      </c>
      <c r="M499" s="19">
        <f ca="1">IF(testdataClose[[#This Row],[type]]="H",testdataClose[[#This Row],[close]],AVERAGE(M498,M500))</f>
        <v>251.33333333333397</v>
      </c>
      <c r="N499" s="19">
        <f>IF(testdataClose[[#This Row],[type]]="L",testdataClose[[#This Row],[close]],AVERAGE(N498,N500))</f>
        <v>229.99</v>
      </c>
      <c r="Q499" s="4">
        <v>498</v>
      </c>
      <c r="R499" s="33">
        <v>229.99</v>
      </c>
      <c r="S499" s="19">
        <v>251.33330000000001</v>
      </c>
      <c r="T499" s="19">
        <v>229.99</v>
      </c>
      <c r="U499" s="4" t="s">
        <v>15</v>
      </c>
    </row>
    <row r="500" spans="1:21" x14ac:dyDescent="0.35">
      <c r="A500" s="7">
        <v>499</v>
      </c>
      <c r="B500" s="3">
        <v>43460</v>
      </c>
      <c r="C500" s="2">
        <v>231.59</v>
      </c>
      <c r="D500" s="2">
        <v>241.61</v>
      </c>
      <c r="E500" s="2">
        <v>229.42</v>
      </c>
      <c r="F500" s="14">
        <v>241.61</v>
      </c>
      <c r="G500" s="1">
        <v>222622048</v>
      </c>
      <c r="H500" s="6" t="s">
        <v>10</v>
      </c>
      <c r="I500" s="6">
        <f>IF(AND(H499="UP",testdataClose[[#This Row],[close]]&gt;I499),testdataClose[[#This Row],[close]],IF(AND(H499="DN",testdataClose[[#This Row],[close]]&lt;I499),testdataClose[[#This Row],[close]],I499))</f>
        <v>229.99</v>
      </c>
      <c r="J500" s="11">
        <f>(testdataClose[[#This Row],[close]]-testdataClose[[#This Row],[hl]])/testdataClose[[#This Row],[hl]]</f>
        <v>5.052393582329668E-2</v>
      </c>
      <c r="K500" s="15">
        <f t="shared" ca="1" si="8"/>
        <v>233.81250000000003</v>
      </c>
      <c r="L500" s="6"/>
      <c r="M500" s="19">
        <f ca="1">IF(testdataClose[[#This Row],[type]]="H",testdataClose[[#This Row],[close]],AVERAGE(M499,M501))</f>
        <v>249.8200000000005</v>
      </c>
      <c r="N500" s="19"/>
      <c r="Q500" s="4">
        <v>499</v>
      </c>
      <c r="R500" s="33">
        <v>233.8125</v>
      </c>
      <c r="S500" s="19">
        <v>249.82</v>
      </c>
      <c r="T500" s="19"/>
    </row>
    <row r="501" spans="1:21" x14ac:dyDescent="0.35">
      <c r="A501" s="7">
        <v>500</v>
      </c>
      <c r="B501" s="3">
        <v>43461</v>
      </c>
      <c r="C501" s="2">
        <v>238.06</v>
      </c>
      <c r="D501" s="2">
        <v>243.68</v>
      </c>
      <c r="E501" s="2">
        <v>234.52</v>
      </c>
      <c r="F501" s="14">
        <v>243.46</v>
      </c>
      <c r="G501" s="1">
        <v>189794032</v>
      </c>
      <c r="H501" s="6" t="s">
        <v>10</v>
      </c>
      <c r="I501" s="6">
        <f>IF(AND(H500="UP",testdataClose[[#This Row],[close]]&gt;I500),testdataClose[[#This Row],[close]],IF(AND(H500="DN",testdataClose[[#This Row],[close]]&lt;I500),testdataClose[[#This Row],[close]],I500))</f>
        <v>243.46</v>
      </c>
      <c r="J501" s="11">
        <f>(testdataClose[[#This Row],[close]]-testdataClose[[#This Row],[hl]])/testdataClose[[#This Row],[hl]]</f>
        <v>0</v>
      </c>
      <c r="K501" s="15">
        <f t="shared" ca="1" si="8"/>
        <v>237.63500000000005</v>
      </c>
      <c r="L501" s="6"/>
      <c r="M501" s="19">
        <f ca="1">IF(testdataClose[[#This Row],[type]]="H",testdataClose[[#This Row],[close]],AVERAGE(M500,M502))</f>
        <v>248.30666666666701</v>
      </c>
      <c r="N501" s="19"/>
      <c r="Q501" s="4">
        <v>500</v>
      </c>
      <c r="R501" s="33">
        <v>237.63499999999999</v>
      </c>
      <c r="S501" s="19">
        <v>248.30670000000001</v>
      </c>
      <c r="T501" s="19"/>
    </row>
    <row r="502" spans="1:21" x14ac:dyDescent="0.35">
      <c r="A502" s="7">
        <v>501</v>
      </c>
      <c r="B502" s="3">
        <v>43462</v>
      </c>
      <c r="C502" s="2">
        <v>244.94</v>
      </c>
      <c r="D502" s="2">
        <v>246.73</v>
      </c>
      <c r="E502" s="2">
        <v>241.87</v>
      </c>
      <c r="F502" s="14">
        <v>243.15</v>
      </c>
      <c r="G502" s="1">
        <v>155998912</v>
      </c>
      <c r="H502" s="6" t="s">
        <v>10</v>
      </c>
      <c r="I502" s="6">
        <f>IF(AND(H501="UP",testdataClose[[#This Row],[close]]&gt;I501),testdataClose[[#This Row],[close]],IF(AND(H501="DN",testdataClose[[#This Row],[close]]&lt;I501),testdataClose[[#This Row],[close]],I501))</f>
        <v>243.46</v>
      </c>
      <c r="J502" s="11">
        <f>(testdataClose[[#This Row],[close]]-testdataClose[[#This Row],[hl]])/testdataClose[[#This Row],[hl]]</f>
        <v>-1.2733097839480912E-3</v>
      </c>
      <c r="K502" s="21">
        <f t="shared" ca="1" si="8"/>
        <v>241.45750000000004</v>
      </c>
      <c r="L502" s="22"/>
      <c r="M502" s="23">
        <f ca="1">IF(testdataClose[[#This Row],[type]]="H",testdataClose[[#This Row],[close]],AVERAGE(M501,M503))</f>
        <v>246.79333333333352</v>
      </c>
      <c r="N502" s="23"/>
      <c r="Q502" s="4">
        <v>501</v>
      </c>
      <c r="R502" s="21">
        <v>241.45750000000001</v>
      </c>
      <c r="S502" s="23">
        <v>246.79329999999999</v>
      </c>
      <c r="T502" s="23"/>
    </row>
    <row r="503" spans="1:21" x14ac:dyDescent="0.35">
      <c r="A503" s="7">
        <v>502</v>
      </c>
      <c r="B503" s="3">
        <v>43465</v>
      </c>
      <c r="C503" s="2">
        <v>244.92</v>
      </c>
      <c r="D503" s="2">
        <v>245.54</v>
      </c>
      <c r="E503" s="2">
        <v>242.87</v>
      </c>
      <c r="F503" s="14">
        <v>245.28</v>
      </c>
      <c r="G503" s="1">
        <v>147031456</v>
      </c>
      <c r="H503" s="6" t="s">
        <v>10</v>
      </c>
      <c r="I503" s="6">
        <f>IF(AND(H502="UP",testdataClose[[#This Row],[close]]&gt;I502),testdataClose[[#This Row],[close]],IF(AND(H502="DN",testdataClose[[#This Row],[close]]&lt;I502),testdataClose[[#This Row],[close]],I502))</f>
        <v>245.28</v>
      </c>
      <c r="J503" s="11">
        <f>(testdataClose[[#This Row],[close]]-testdataClose[[#This Row],[hl]])/testdataClose[[#This Row],[hl]]</f>
        <v>0</v>
      </c>
      <c r="K503" s="17">
        <f>testdataClose[[#This Row],[close]]</f>
        <v>245.28</v>
      </c>
      <c r="L503" s="6"/>
      <c r="M503" s="20">
        <f>testdataClose[[#This Row],[close]]</f>
        <v>245.28</v>
      </c>
      <c r="N503" s="19"/>
      <c r="Q503" s="4">
        <v>502</v>
      </c>
      <c r="R503" s="34">
        <v>245.28</v>
      </c>
      <c r="S503" s="20">
        <v>245.28</v>
      </c>
      <c r="T503" s="20"/>
    </row>
  </sheetData>
  <phoneticPr fontId="19" type="noConversion"/>
  <conditionalFormatting sqref="I31:I503">
    <cfRule type="expression" dxfId="21" priority="1">
      <formula>I31=F31</formula>
    </cfRule>
  </conditionalFormatting>
  <conditionalFormatting sqref="J2:J503">
    <cfRule type="expression" dxfId="20" priority="8">
      <formula>J2&lt;(-$O$2)</formula>
    </cfRule>
    <cfRule type="expression" dxfId="19" priority="9">
      <formula>J2&gt;($O$2)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2B26-3913-44D1-B05D-7EB0544AB698}">
  <dimension ref="A1:U503"/>
  <sheetViews>
    <sheetView topLeftCell="D1" workbookViewId="0">
      <selection activeCell="Q1" sqref="Q1:U1048576"/>
    </sheetView>
  </sheetViews>
  <sheetFormatPr defaultRowHeight="14.5" x14ac:dyDescent="0.35"/>
  <cols>
    <col min="1" max="1" width="6" style="4" bestFit="1" customWidth="1"/>
    <col min="2" max="2" width="8.7265625" style="3" bestFit="1" customWidth="1"/>
    <col min="3" max="6" width="9" style="2" bestFit="1" customWidth="1"/>
    <col min="7" max="7" width="12.54296875" style="1" bestFit="1" customWidth="1"/>
    <col min="8" max="8" width="10.453125" bestFit="1" customWidth="1"/>
    <col min="9" max="9" width="9" style="4" bestFit="1" customWidth="1"/>
    <col min="10" max="10" width="8.81640625" style="4" bestFit="1" customWidth="1"/>
    <col min="11" max="11" width="11" bestFit="1" customWidth="1"/>
    <col min="12" max="12" width="6.453125" style="16" bestFit="1" customWidth="1"/>
    <col min="13" max="14" width="12" style="16" bestFit="1" customWidth="1"/>
    <col min="15" max="15" width="13" customWidth="1"/>
    <col min="16" max="16" width="3.7265625" customWidth="1"/>
    <col min="17" max="17" width="6" style="4" bestFit="1" customWidth="1"/>
    <col min="18" max="18" width="11" bestFit="1" customWidth="1"/>
    <col min="19" max="20" width="12" style="16" bestFit="1" customWidth="1"/>
    <col min="21" max="21" width="5" style="4" bestFit="1" customWidth="1"/>
  </cols>
  <sheetData>
    <row r="1" spans="1:21" x14ac:dyDescent="0.35">
      <c r="A1" s="7" t="s">
        <v>6</v>
      </c>
      <c r="B1" s="3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5" t="s">
        <v>5</v>
      </c>
      <c r="H1" s="6" t="s">
        <v>9</v>
      </c>
      <c r="I1" s="6" t="s">
        <v>11</v>
      </c>
      <c r="J1" s="10" t="s">
        <v>13</v>
      </c>
      <c r="K1" s="8" t="s">
        <v>8</v>
      </c>
      <c r="L1" s="6" t="s">
        <v>16</v>
      </c>
      <c r="M1" s="6" t="s">
        <v>17</v>
      </c>
      <c r="N1" s="6" t="s">
        <v>18</v>
      </c>
      <c r="O1" s="4" t="s">
        <v>7</v>
      </c>
      <c r="Q1" s="7" t="s">
        <v>20</v>
      </c>
      <c r="R1" s="8" t="s">
        <v>19</v>
      </c>
      <c r="S1" s="6" t="s">
        <v>17</v>
      </c>
      <c r="T1" s="6" t="s">
        <v>18</v>
      </c>
      <c r="U1" s="4" t="s">
        <v>16</v>
      </c>
    </row>
    <row r="2" spans="1:21" x14ac:dyDescent="0.35">
      <c r="A2" s="7">
        <v>1</v>
      </c>
      <c r="B2" s="3">
        <v>42738</v>
      </c>
      <c r="C2" s="2">
        <v>212.61</v>
      </c>
      <c r="D2" s="14">
        <v>213.35</v>
      </c>
      <c r="E2" s="14">
        <v>211.52</v>
      </c>
      <c r="F2" s="2">
        <v>212.8</v>
      </c>
      <c r="G2" s="1">
        <v>96708880</v>
      </c>
      <c r="H2" s="6" t="s">
        <v>10</v>
      </c>
      <c r="I2" s="9">
        <f>testdataHighLow[[#This Row],[close]]</f>
        <v>212.8</v>
      </c>
      <c r="J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-6.0150375939849671E-3</v>
      </c>
      <c r="K2" s="17">
        <f>testdataHighLow[[#This Row],[hl]]</f>
        <v>212.8</v>
      </c>
      <c r="L2" s="6"/>
      <c r="M2" s="19"/>
      <c r="N2" s="19"/>
      <c r="O2" s="12">
        <v>0.03</v>
      </c>
      <c r="Q2" s="7">
        <v>1</v>
      </c>
      <c r="R2" s="17"/>
      <c r="S2" s="19"/>
      <c r="T2" s="19"/>
    </row>
    <row r="3" spans="1:21" x14ac:dyDescent="0.35">
      <c r="A3" s="7">
        <v>2</v>
      </c>
      <c r="B3" s="3">
        <v>42739</v>
      </c>
      <c r="C3" s="2">
        <v>213.16</v>
      </c>
      <c r="D3" s="14">
        <v>214.22</v>
      </c>
      <c r="E3" s="14">
        <v>213.15</v>
      </c>
      <c r="F3" s="2">
        <v>214.06</v>
      </c>
      <c r="G3" s="1">
        <v>83348752</v>
      </c>
      <c r="H3" s="6" t="s">
        <v>10</v>
      </c>
      <c r="I3" s="9">
        <f>I2</f>
        <v>212.8</v>
      </c>
      <c r="J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1.6447368421052364E-3</v>
      </c>
      <c r="K3" s="15">
        <f ca="1">AVERAGE(K2,K4)</f>
        <v>213.16512820512787</v>
      </c>
      <c r="L3" s="6"/>
      <c r="M3" s="19"/>
      <c r="N3" s="19"/>
      <c r="Q3" s="7">
        <v>2</v>
      </c>
      <c r="R3" s="15"/>
      <c r="S3" s="19"/>
      <c r="T3" s="19"/>
    </row>
    <row r="4" spans="1:21" x14ac:dyDescent="0.35">
      <c r="A4" s="7">
        <v>3</v>
      </c>
      <c r="B4" s="3">
        <v>42740</v>
      </c>
      <c r="C4" s="2">
        <v>213.77</v>
      </c>
      <c r="D4" s="14">
        <v>214.06</v>
      </c>
      <c r="E4" s="14">
        <v>213.02</v>
      </c>
      <c r="F4" s="2">
        <v>213.89</v>
      </c>
      <c r="G4" s="1">
        <v>82961968</v>
      </c>
      <c r="H4" s="6" t="s">
        <v>10</v>
      </c>
      <c r="I4" s="9">
        <f t="shared" ref="I4:I29" si="0">I3</f>
        <v>212.8</v>
      </c>
      <c r="J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1.0338345864661601E-3</v>
      </c>
      <c r="K4" s="15">
        <f t="shared" ref="K4:K67" ca="1" si="1">AVERAGE(K3,K5)</f>
        <v>213.53025641025576</v>
      </c>
      <c r="L4" s="6"/>
      <c r="M4" s="19"/>
      <c r="N4" s="19"/>
      <c r="Q4" s="7">
        <v>3</v>
      </c>
      <c r="R4" s="15"/>
      <c r="S4" s="19"/>
      <c r="T4" s="19"/>
    </row>
    <row r="5" spans="1:21" x14ac:dyDescent="0.35">
      <c r="A5" s="7">
        <v>4</v>
      </c>
      <c r="B5" s="3">
        <v>42741</v>
      </c>
      <c r="C5" s="2">
        <v>214.02</v>
      </c>
      <c r="D5" s="14">
        <v>215.17</v>
      </c>
      <c r="E5" s="14">
        <v>213.42</v>
      </c>
      <c r="F5" s="2">
        <v>214.66</v>
      </c>
      <c r="G5" s="1">
        <v>75744152</v>
      </c>
      <c r="H5" s="6" t="s">
        <v>10</v>
      </c>
      <c r="I5" s="9">
        <f t="shared" si="0"/>
        <v>212.8</v>
      </c>
      <c r="J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2.9135338345863539E-3</v>
      </c>
      <c r="K5" s="15">
        <f t="shared" ca="1" si="1"/>
        <v>213.89538461538365</v>
      </c>
      <c r="L5" s="6"/>
      <c r="M5" s="19"/>
      <c r="N5" s="19"/>
      <c r="Q5" s="7">
        <v>4</v>
      </c>
      <c r="R5" s="15"/>
      <c r="S5" s="19"/>
      <c r="T5" s="19"/>
    </row>
    <row r="6" spans="1:21" x14ac:dyDescent="0.35">
      <c r="A6" s="7">
        <v>5</v>
      </c>
      <c r="B6" s="3">
        <v>42744</v>
      </c>
      <c r="C6" s="2">
        <v>214.38</v>
      </c>
      <c r="D6" s="14">
        <v>214.53</v>
      </c>
      <c r="E6" s="14">
        <v>213.91</v>
      </c>
      <c r="F6" s="2">
        <v>213.95</v>
      </c>
      <c r="G6" s="1">
        <v>49684316</v>
      </c>
      <c r="H6" s="6" t="s">
        <v>10</v>
      </c>
      <c r="I6" s="9">
        <f t="shared" si="0"/>
        <v>212.8</v>
      </c>
      <c r="J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5.2161654135337646E-3</v>
      </c>
      <c r="K6" s="15">
        <f t="shared" ca="1" si="1"/>
        <v>214.26051282051156</v>
      </c>
      <c r="L6" s="6"/>
      <c r="M6" s="19"/>
      <c r="N6" s="19"/>
      <c r="Q6" s="7">
        <v>5</v>
      </c>
      <c r="R6" s="15"/>
      <c r="S6" s="19"/>
      <c r="T6" s="19"/>
    </row>
    <row r="7" spans="1:21" x14ac:dyDescent="0.35">
      <c r="A7" s="7">
        <v>6</v>
      </c>
      <c r="B7" s="3">
        <v>42745</v>
      </c>
      <c r="C7" s="2">
        <v>213.97</v>
      </c>
      <c r="D7" s="14">
        <v>214.89</v>
      </c>
      <c r="E7" s="14">
        <v>213.52</v>
      </c>
      <c r="F7" s="2">
        <v>213.95</v>
      </c>
      <c r="G7" s="1">
        <v>67500792</v>
      </c>
      <c r="H7" s="6" t="s">
        <v>10</v>
      </c>
      <c r="I7" s="9">
        <f t="shared" si="0"/>
        <v>212.8</v>
      </c>
      <c r="J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3.3834586466165357E-3</v>
      </c>
      <c r="K7" s="15">
        <f t="shared" ca="1" si="1"/>
        <v>214.62564102563951</v>
      </c>
      <c r="L7" s="6"/>
      <c r="M7" s="19"/>
      <c r="N7" s="19"/>
      <c r="Q7" s="7">
        <v>6</v>
      </c>
      <c r="R7" s="15"/>
      <c r="S7" s="19"/>
      <c r="T7" s="19"/>
    </row>
    <row r="8" spans="1:21" x14ac:dyDescent="0.35">
      <c r="A8" s="7">
        <v>7</v>
      </c>
      <c r="B8" s="3">
        <v>42746</v>
      </c>
      <c r="C8" s="2">
        <v>213.86</v>
      </c>
      <c r="D8" s="14">
        <v>214.55</v>
      </c>
      <c r="E8" s="14">
        <v>213.13</v>
      </c>
      <c r="F8" s="2">
        <v>214.55</v>
      </c>
      <c r="G8" s="1">
        <v>79014928</v>
      </c>
      <c r="H8" s="6" t="s">
        <v>10</v>
      </c>
      <c r="I8" s="9">
        <f t="shared" si="0"/>
        <v>212.8</v>
      </c>
      <c r="J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1.5507518796991733E-3</v>
      </c>
      <c r="K8" s="15">
        <f t="shared" ca="1" si="1"/>
        <v>214.99076923076746</v>
      </c>
      <c r="L8" s="6"/>
      <c r="M8" s="19"/>
      <c r="N8" s="19"/>
      <c r="Q8" s="7">
        <v>7</v>
      </c>
      <c r="R8" s="15"/>
      <c r="S8" s="19"/>
      <c r="T8" s="19"/>
    </row>
    <row r="9" spans="1:21" x14ac:dyDescent="0.35">
      <c r="A9" s="7">
        <v>8</v>
      </c>
      <c r="B9" s="3">
        <v>42747</v>
      </c>
      <c r="C9" s="2">
        <v>213.99</v>
      </c>
      <c r="D9" s="14">
        <v>214.22</v>
      </c>
      <c r="E9" s="14">
        <v>212.53</v>
      </c>
      <c r="F9" s="2">
        <v>214.02</v>
      </c>
      <c r="G9" s="1">
        <v>76329760</v>
      </c>
      <c r="H9" s="6" t="s">
        <v>10</v>
      </c>
      <c r="I9" s="9">
        <f t="shared" si="0"/>
        <v>212.8</v>
      </c>
      <c r="J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-1.268796992481251E-3</v>
      </c>
      <c r="K9" s="15">
        <f t="shared" ca="1" si="1"/>
        <v>215.35589743589543</v>
      </c>
      <c r="L9" s="6"/>
      <c r="M9" s="19"/>
      <c r="N9" s="19"/>
      <c r="Q9" s="7">
        <v>8</v>
      </c>
      <c r="R9" s="15"/>
      <c r="S9" s="19"/>
      <c r="T9" s="19"/>
    </row>
    <row r="10" spans="1:21" x14ac:dyDescent="0.35">
      <c r="A10" s="7">
        <v>9</v>
      </c>
      <c r="B10" s="3">
        <v>42748</v>
      </c>
      <c r="C10" s="2">
        <v>214.21</v>
      </c>
      <c r="D10" s="14">
        <v>214.84</v>
      </c>
      <c r="E10" s="14">
        <v>214.17</v>
      </c>
      <c r="F10" s="2">
        <v>214.51</v>
      </c>
      <c r="G10" s="1">
        <v>66385084</v>
      </c>
      <c r="H10" s="6" t="s">
        <v>10</v>
      </c>
      <c r="I10" s="9">
        <f t="shared" si="0"/>
        <v>212.8</v>
      </c>
      <c r="J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6.4379699248119171E-3</v>
      </c>
      <c r="K10" s="15">
        <f t="shared" ca="1" si="1"/>
        <v>215.7210256410234</v>
      </c>
      <c r="L10" s="6"/>
      <c r="M10" s="19"/>
      <c r="N10" s="19"/>
      <c r="Q10" s="7">
        <v>9</v>
      </c>
      <c r="R10" s="15"/>
      <c r="S10" s="19"/>
      <c r="T10" s="19"/>
    </row>
    <row r="11" spans="1:21" x14ac:dyDescent="0.35">
      <c r="A11" s="7">
        <v>10</v>
      </c>
      <c r="B11" s="3">
        <v>42752</v>
      </c>
      <c r="C11" s="2">
        <v>213.81</v>
      </c>
      <c r="D11" s="14">
        <v>214.25</v>
      </c>
      <c r="E11" s="14">
        <v>213.33</v>
      </c>
      <c r="F11" s="2">
        <v>213.75</v>
      </c>
      <c r="G11" s="1">
        <v>64821664</v>
      </c>
      <c r="H11" s="6" t="s">
        <v>10</v>
      </c>
      <c r="I11" s="9">
        <f t="shared" si="0"/>
        <v>212.8</v>
      </c>
      <c r="J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2.4906015037594038E-3</v>
      </c>
      <c r="K11" s="15">
        <f t="shared" ca="1" si="1"/>
        <v>216.0861538461514</v>
      </c>
      <c r="L11" s="6"/>
      <c r="M11" s="19"/>
      <c r="N11" s="19"/>
      <c r="Q11" s="7">
        <v>10</v>
      </c>
      <c r="R11" s="15"/>
      <c r="S11" s="19"/>
      <c r="T11" s="19"/>
    </row>
    <row r="12" spans="1:21" x14ac:dyDescent="0.35">
      <c r="A12" s="7">
        <v>11</v>
      </c>
      <c r="B12" s="3">
        <v>42753</v>
      </c>
      <c r="C12" s="2">
        <v>214.02</v>
      </c>
      <c r="D12" s="14">
        <v>214.27</v>
      </c>
      <c r="E12" s="14">
        <v>213.42</v>
      </c>
      <c r="F12" s="2">
        <v>214.22</v>
      </c>
      <c r="G12" s="1">
        <v>57997156</v>
      </c>
      <c r="H12" s="6" t="s">
        <v>10</v>
      </c>
      <c r="I12" s="9">
        <f t="shared" si="0"/>
        <v>212.8</v>
      </c>
      <c r="J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2.9135338345863539E-3</v>
      </c>
      <c r="K12" s="15">
        <f t="shared" ca="1" si="1"/>
        <v>216.45128205127941</v>
      </c>
      <c r="L12" s="6"/>
      <c r="M12" s="19"/>
      <c r="N12" s="19"/>
      <c r="Q12" s="7">
        <v>11</v>
      </c>
      <c r="R12" s="15"/>
      <c r="S12" s="19"/>
      <c r="T12" s="19"/>
    </row>
    <row r="13" spans="1:21" x14ac:dyDescent="0.35">
      <c r="A13" s="7">
        <v>12</v>
      </c>
      <c r="B13" s="3">
        <v>42754</v>
      </c>
      <c r="C13" s="2">
        <v>214.31</v>
      </c>
      <c r="D13" s="14">
        <v>214.46</v>
      </c>
      <c r="E13" s="14">
        <v>212.96</v>
      </c>
      <c r="F13" s="2">
        <v>213.43</v>
      </c>
      <c r="G13" s="1">
        <v>70503512</v>
      </c>
      <c r="H13" s="6" t="s">
        <v>10</v>
      </c>
      <c r="I13" s="9">
        <f t="shared" si="0"/>
        <v>212.8</v>
      </c>
      <c r="J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7.5187969924810419E-4</v>
      </c>
      <c r="K13" s="15">
        <f t="shared" ca="1" si="1"/>
        <v>216.81641025640744</v>
      </c>
      <c r="L13" s="6"/>
      <c r="M13" s="19"/>
      <c r="N13" s="19"/>
      <c r="Q13" s="7">
        <v>12</v>
      </c>
      <c r="R13" s="15"/>
      <c r="S13" s="19"/>
      <c r="T13" s="19"/>
    </row>
    <row r="14" spans="1:21" x14ac:dyDescent="0.35">
      <c r="A14" s="7">
        <v>13</v>
      </c>
      <c r="B14" s="3">
        <v>42755</v>
      </c>
      <c r="C14" s="2">
        <v>214.18</v>
      </c>
      <c r="D14" s="14">
        <v>214.75</v>
      </c>
      <c r="E14" s="14">
        <v>213.49</v>
      </c>
      <c r="F14" s="2">
        <v>214.21</v>
      </c>
      <c r="G14" s="1">
        <v>136721344</v>
      </c>
      <c r="H14" s="6" t="s">
        <v>10</v>
      </c>
      <c r="I14" s="9">
        <f t="shared" si="0"/>
        <v>212.8</v>
      </c>
      <c r="J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3.2424812030075081E-3</v>
      </c>
      <c r="K14" s="15">
        <f t="shared" ca="1" si="1"/>
        <v>217.1815384615355</v>
      </c>
      <c r="L14" s="6"/>
      <c r="M14" s="19"/>
      <c r="N14" s="19"/>
      <c r="Q14" s="7">
        <v>13</v>
      </c>
      <c r="R14" s="15"/>
      <c r="S14" s="19"/>
      <c r="T14" s="19"/>
    </row>
    <row r="15" spans="1:21" x14ac:dyDescent="0.35">
      <c r="A15" s="7">
        <v>14</v>
      </c>
      <c r="B15" s="3">
        <v>42758</v>
      </c>
      <c r="C15" s="2">
        <v>213.85</v>
      </c>
      <c r="D15" s="14">
        <v>214.28</v>
      </c>
      <c r="E15" s="14">
        <v>212.83</v>
      </c>
      <c r="F15" s="2">
        <v>213.66</v>
      </c>
      <c r="G15" s="1">
        <v>79450624</v>
      </c>
      <c r="H15" s="6" t="s">
        <v>10</v>
      </c>
      <c r="I15" s="9">
        <f t="shared" si="0"/>
        <v>212.8</v>
      </c>
      <c r="J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1.409774436090279E-4</v>
      </c>
      <c r="K15" s="15">
        <f t="shared" ca="1" si="1"/>
        <v>217.54666666666355</v>
      </c>
      <c r="L15" s="6"/>
      <c r="M15" s="19"/>
      <c r="N15" s="19"/>
      <c r="Q15" s="7">
        <v>14</v>
      </c>
      <c r="R15" s="15"/>
      <c r="S15" s="19"/>
      <c r="T15" s="19"/>
    </row>
    <row r="16" spans="1:21" x14ac:dyDescent="0.35">
      <c r="A16" s="7">
        <v>15</v>
      </c>
      <c r="B16" s="3">
        <v>42759</v>
      </c>
      <c r="C16" s="2">
        <v>213.89</v>
      </c>
      <c r="D16" s="14">
        <v>215.48</v>
      </c>
      <c r="E16" s="14">
        <v>213.77</v>
      </c>
      <c r="F16" s="2">
        <v>215.03</v>
      </c>
      <c r="G16" s="1">
        <v>101142584</v>
      </c>
      <c r="H16" s="6" t="s">
        <v>10</v>
      </c>
      <c r="I16" s="9">
        <f t="shared" si="0"/>
        <v>212.8</v>
      </c>
      <c r="J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4.558270676691724E-3</v>
      </c>
      <c r="K16" s="15">
        <f t="shared" ca="1" si="1"/>
        <v>217.91179487179164</v>
      </c>
      <c r="L16" s="6"/>
      <c r="M16" s="19"/>
      <c r="N16" s="19"/>
      <c r="Q16" s="7">
        <v>15</v>
      </c>
      <c r="R16" s="15"/>
      <c r="S16" s="19"/>
      <c r="T16" s="19"/>
    </row>
    <row r="17" spans="1:20" x14ac:dyDescent="0.35">
      <c r="A17" s="7">
        <v>16</v>
      </c>
      <c r="B17" s="3">
        <v>42760</v>
      </c>
      <c r="C17" s="2">
        <v>216.07</v>
      </c>
      <c r="D17" s="14">
        <v>216.89</v>
      </c>
      <c r="E17" s="14">
        <v>215.89</v>
      </c>
      <c r="F17" s="2">
        <v>216.89</v>
      </c>
      <c r="G17" s="1">
        <v>89374928</v>
      </c>
      <c r="H17" s="6" t="s">
        <v>10</v>
      </c>
      <c r="I17" s="9">
        <f t="shared" si="0"/>
        <v>212.8</v>
      </c>
      <c r="J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1.4520676691729205E-2</v>
      </c>
      <c r="K17" s="15">
        <f t="shared" ca="1" si="1"/>
        <v>218.27692307691976</v>
      </c>
      <c r="L17" s="6"/>
      <c r="M17" s="19"/>
      <c r="N17" s="19"/>
      <c r="Q17" s="7">
        <v>16</v>
      </c>
      <c r="R17" s="15"/>
      <c r="S17" s="19"/>
      <c r="T17" s="19"/>
    </row>
    <row r="18" spans="1:20" x14ac:dyDescent="0.35">
      <c r="A18" s="7">
        <v>17</v>
      </c>
      <c r="B18" s="3">
        <v>42761</v>
      </c>
      <c r="C18" s="2">
        <v>216.73</v>
      </c>
      <c r="D18" s="14">
        <v>217.02</v>
      </c>
      <c r="E18" s="14">
        <v>216.36</v>
      </c>
      <c r="F18" s="2">
        <v>216.66</v>
      </c>
      <c r="G18" s="1">
        <v>63477304</v>
      </c>
      <c r="H18" s="6" t="s">
        <v>10</v>
      </c>
      <c r="I18" s="9">
        <f t="shared" si="0"/>
        <v>212.8</v>
      </c>
      <c r="J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1.6729323308270688E-2</v>
      </c>
      <c r="K18" s="15">
        <f t="shared" ca="1" si="1"/>
        <v>218.64205128204787</v>
      </c>
      <c r="L18" s="6"/>
      <c r="M18" s="19"/>
      <c r="N18" s="19"/>
      <c r="Q18" s="7">
        <v>17</v>
      </c>
      <c r="R18" s="15"/>
      <c r="S18" s="19"/>
      <c r="T18" s="19"/>
    </row>
    <row r="19" spans="1:20" x14ac:dyDescent="0.35">
      <c r="A19" s="7">
        <v>18</v>
      </c>
      <c r="B19" s="3">
        <v>42762</v>
      </c>
      <c r="C19" s="2">
        <v>216.75</v>
      </c>
      <c r="D19" s="14">
        <v>216.91</v>
      </c>
      <c r="E19" s="14">
        <v>216.12</v>
      </c>
      <c r="F19" s="2">
        <v>216.32</v>
      </c>
      <c r="G19" s="1">
        <v>63202528</v>
      </c>
      <c r="H19" s="6" t="s">
        <v>10</v>
      </c>
      <c r="I19" s="9">
        <f t="shared" si="0"/>
        <v>212.8</v>
      </c>
      <c r="J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1.5601503759398463E-2</v>
      </c>
      <c r="K19" s="15">
        <f t="shared" ca="1" si="1"/>
        <v>219.00717948717602</v>
      </c>
      <c r="L19" s="6"/>
      <c r="M19" s="19"/>
      <c r="N19" s="19"/>
      <c r="Q19" s="7">
        <v>18</v>
      </c>
      <c r="R19" s="15"/>
      <c r="S19" s="19"/>
      <c r="T19" s="19"/>
    </row>
    <row r="20" spans="1:20" x14ac:dyDescent="0.35">
      <c r="A20" s="7">
        <v>19</v>
      </c>
      <c r="B20" s="3">
        <v>42765</v>
      </c>
      <c r="C20" s="2">
        <v>215.57</v>
      </c>
      <c r="D20" s="14">
        <v>215.59</v>
      </c>
      <c r="E20" s="14">
        <v>213.9</v>
      </c>
      <c r="F20" s="2">
        <v>214.98</v>
      </c>
      <c r="G20" s="1">
        <v>84399624</v>
      </c>
      <c r="H20" s="6" t="s">
        <v>10</v>
      </c>
      <c r="I20" s="9">
        <f t="shared" si="0"/>
        <v>212.8</v>
      </c>
      <c r="J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5.1691729323307999E-3</v>
      </c>
      <c r="K20" s="15">
        <f t="shared" ca="1" si="1"/>
        <v>219.37230769230419</v>
      </c>
      <c r="L20" s="6"/>
      <c r="M20" s="19"/>
      <c r="N20" s="19"/>
      <c r="Q20" s="7">
        <v>19</v>
      </c>
      <c r="R20" s="15"/>
      <c r="S20" s="19"/>
      <c r="T20" s="19"/>
    </row>
    <row r="21" spans="1:20" x14ac:dyDescent="0.35">
      <c r="A21" s="7">
        <v>20</v>
      </c>
      <c r="B21" s="3">
        <v>42766</v>
      </c>
      <c r="C21" s="2">
        <v>214.44</v>
      </c>
      <c r="D21" s="14">
        <v>215.03</v>
      </c>
      <c r="E21" s="14">
        <v>213.82</v>
      </c>
      <c r="F21" s="2">
        <v>214.96</v>
      </c>
      <c r="G21" s="1">
        <v>80317680</v>
      </c>
      <c r="H21" s="6" t="s">
        <v>10</v>
      </c>
      <c r="I21" s="9">
        <f t="shared" si="0"/>
        <v>212.8</v>
      </c>
      <c r="J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4.793233082706681E-3</v>
      </c>
      <c r="K21" s="15">
        <f t="shared" ca="1" si="1"/>
        <v>219.73743589743236</v>
      </c>
      <c r="L21" s="6"/>
      <c r="M21" s="19"/>
      <c r="N21" s="19"/>
      <c r="Q21" s="7">
        <v>20</v>
      </c>
      <c r="R21" s="15"/>
      <c r="S21" s="19"/>
      <c r="T21" s="19"/>
    </row>
    <row r="22" spans="1:20" x14ac:dyDescent="0.35">
      <c r="A22" s="7">
        <v>21</v>
      </c>
      <c r="B22" s="3">
        <v>42767</v>
      </c>
      <c r="C22" s="2">
        <v>215.65</v>
      </c>
      <c r="D22" s="14">
        <v>215.96</v>
      </c>
      <c r="E22" s="14">
        <v>214.4</v>
      </c>
      <c r="F22" s="2">
        <v>215.05</v>
      </c>
      <c r="G22" s="1">
        <v>83743792</v>
      </c>
      <c r="H22" s="6" t="s">
        <v>10</v>
      </c>
      <c r="I22" s="9">
        <f t="shared" si="0"/>
        <v>212.8</v>
      </c>
      <c r="J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7.5187969924811757E-3</v>
      </c>
      <c r="K22" s="15">
        <f t="shared" ca="1" si="1"/>
        <v>220.10256410256056</v>
      </c>
      <c r="L22" s="6"/>
      <c r="M22" s="19"/>
      <c r="N22" s="19"/>
      <c r="Q22" s="7">
        <v>21</v>
      </c>
      <c r="R22" s="15"/>
      <c r="S22" s="19"/>
      <c r="T22" s="19"/>
    </row>
    <row r="23" spans="1:20" x14ac:dyDescent="0.35">
      <c r="A23" s="7">
        <v>22</v>
      </c>
      <c r="B23" s="3">
        <v>42768</v>
      </c>
      <c r="C23" s="2">
        <v>214.65</v>
      </c>
      <c r="D23" s="14">
        <v>215.5</v>
      </c>
      <c r="E23" s="14">
        <v>214.29</v>
      </c>
      <c r="F23" s="2">
        <v>215.19</v>
      </c>
      <c r="G23" s="1">
        <v>73730552</v>
      </c>
      <c r="H23" s="6" t="s">
        <v>10</v>
      </c>
      <c r="I23" s="9">
        <f t="shared" si="0"/>
        <v>212.8</v>
      </c>
      <c r="J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7.0018796992480292E-3</v>
      </c>
      <c r="K23" s="15">
        <f t="shared" ca="1" si="1"/>
        <v>220.46769230768879</v>
      </c>
      <c r="L23" s="6"/>
      <c r="M23" s="19"/>
      <c r="N23" s="19"/>
      <c r="Q23" s="7">
        <v>22</v>
      </c>
      <c r="R23" s="15"/>
      <c r="S23" s="19"/>
      <c r="T23" s="19"/>
    </row>
    <row r="24" spans="1:20" x14ac:dyDescent="0.35">
      <c r="A24" s="7">
        <v>23</v>
      </c>
      <c r="B24" s="3">
        <v>42769</v>
      </c>
      <c r="C24" s="2">
        <v>216.18</v>
      </c>
      <c r="D24" s="14">
        <v>216.87</v>
      </c>
      <c r="E24" s="14">
        <v>215.84</v>
      </c>
      <c r="F24" s="2">
        <v>216.67</v>
      </c>
      <c r="G24" s="1">
        <v>85273832</v>
      </c>
      <c r="H24" s="6" t="s">
        <v>10</v>
      </c>
      <c r="I24" s="9">
        <f t="shared" si="0"/>
        <v>212.8</v>
      </c>
      <c r="J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1.4285714285714247E-2</v>
      </c>
      <c r="K24" s="15">
        <f t="shared" ca="1" si="1"/>
        <v>220.83282051281702</v>
      </c>
      <c r="L24" s="6"/>
      <c r="M24" s="19"/>
      <c r="N24" s="19"/>
      <c r="Q24" s="7">
        <v>23</v>
      </c>
      <c r="R24" s="15"/>
      <c r="S24" s="19"/>
      <c r="T24" s="19"/>
    </row>
    <row r="25" spans="1:20" x14ac:dyDescent="0.35">
      <c r="A25" s="7">
        <v>24</v>
      </c>
      <c r="B25" s="3">
        <v>42772</v>
      </c>
      <c r="C25" s="2">
        <v>216.23</v>
      </c>
      <c r="D25" s="14">
        <v>216.66</v>
      </c>
      <c r="E25" s="14">
        <v>215.92</v>
      </c>
      <c r="F25" s="2">
        <v>216.28</v>
      </c>
      <c r="G25" s="1">
        <v>61169192</v>
      </c>
      <c r="H25" s="6" t="s">
        <v>10</v>
      </c>
      <c r="I25" s="9">
        <f t="shared" si="0"/>
        <v>212.8</v>
      </c>
      <c r="J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1.4661654135338233E-2</v>
      </c>
      <c r="K25" s="15">
        <f t="shared" ca="1" si="1"/>
        <v>221.19794871794528</v>
      </c>
      <c r="L25" s="6"/>
      <c r="M25" s="19"/>
      <c r="N25" s="19"/>
      <c r="Q25" s="7">
        <v>24</v>
      </c>
      <c r="R25" s="15"/>
      <c r="S25" s="19"/>
      <c r="T25" s="19"/>
    </row>
    <row r="26" spans="1:20" x14ac:dyDescent="0.35">
      <c r="A26" s="7">
        <v>25</v>
      </c>
      <c r="B26" s="3">
        <v>42773</v>
      </c>
      <c r="C26" s="2">
        <v>216.71</v>
      </c>
      <c r="D26" s="14">
        <v>216.97</v>
      </c>
      <c r="E26" s="14">
        <v>216.09</v>
      </c>
      <c r="F26" s="2">
        <v>216.29</v>
      </c>
      <c r="G26" s="1">
        <v>61318484</v>
      </c>
      <c r="H26" s="6" t="s">
        <v>10</v>
      </c>
      <c r="I26" s="9">
        <f t="shared" si="0"/>
        <v>212.8</v>
      </c>
      <c r="J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1.5460526315789435E-2</v>
      </c>
      <c r="K26" s="15">
        <f t="shared" ca="1" si="1"/>
        <v>221.56307692307357</v>
      </c>
      <c r="L26" s="6"/>
      <c r="M26" s="19"/>
      <c r="N26" s="19"/>
      <c r="Q26" s="7">
        <v>25</v>
      </c>
      <c r="R26" s="15"/>
      <c r="S26" s="19"/>
      <c r="T26" s="19"/>
    </row>
    <row r="27" spans="1:20" x14ac:dyDescent="0.35">
      <c r="A27" s="7">
        <v>26</v>
      </c>
      <c r="B27" s="3">
        <v>42774</v>
      </c>
      <c r="C27" s="2">
        <v>215.98</v>
      </c>
      <c r="D27" s="14">
        <v>216.72</v>
      </c>
      <c r="E27" s="14">
        <v>215.7</v>
      </c>
      <c r="F27" s="2">
        <v>216.58</v>
      </c>
      <c r="G27" s="1">
        <v>54581376</v>
      </c>
      <c r="H27" s="6" t="s">
        <v>10</v>
      </c>
      <c r="I27" s="9">
        <f t="shared" si="0"/>
        <v>212.8</v>
      </c>
      <c r="J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1.3627819548872072E-2</v>
      </c>
      <c r="K27" s="15">
        <f t="shared" ca="1" si="1"/>
        <v>221.92820512820185</v>
      </c>
      <c r="L27" s="6"/>
      <c r="M27" s="19"/>
      <c r="N27" s="19"/>
      <c r="Q27" s="7">
        <v>26</v>
      </c>
      <c r="R27" s="15"/>
      <c r="S27" s="19"/>
      <c r="T27" s="19"/>
    </row>
    <row r="28" spans="1:20" x14ac:dyDescent="0.35">
      <c r="A28" s="7">
        <v>27</v>
      </c>
      <c r="B28" s="3">
        <v>42775</v>
      </c>
      <c r="C28" s="2">
        <v>216.88</v>
      </c>
      <c r="D28" s="14">
        <v>218.19</v>
      </c>
      <c r="E28" s="14">
        <v>216.84</v>
      </c>
      <c r="F28" s="2">
        <v>217.86</v>
      </c>
      <c r="G28" s="1">
        <v>69811760</v>
      </c>
      <c r="H28" s="6" t="s">
        <v>10</v>
      </c>
      <c r="I28" s="9">
        <f t="shared" si="0"/>
        <v>212.8</v>
      </c>
      <c r="J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1.8984962406015E-2</v>
      </c>
      <c r="K28" s="15">
        <f t="shared" ca="1" si="1"/>
        <v>222.29333333333017</v>
      </c>
      <c r="L28" s="6"/>
      <c r="M28" s="19"/>
      <c r="N28" s="19"/>
      <c r="Q28" s="7">
        <v>27</v>
      </c>
      <c r="R28" s="15"/>
      <c r="S28" s="19"/>
      <c r="T28" s="19"/>
    </row>
    <row r="29" spans="1:20" x14ac:dyDescent="0.35">
      <c r="A29" s="7">
        <v>28</v>
      </c>
      <c r="B29" s="3">
        <v>42776</v>
      </c>
      <c r="C29" s="2">
        <v>218.24</v>
      </c>
      <c r="D29" s="14">
        <v>218.97</v>
      </c>
      <c r="E29" s="14">
        <v>217.88</v>
      </c>
      <c r="F29" s="2">
        <v>218.72</v>
      </c>
      <c r="G29" s="1">
        <v>69875952</v>
      </c>
      <c r="H29" s="6" t="s">
        <v>10</v>
      </c>
      <c r="I29" s="9">
        <f t="shared" si="0"/>
        <v>212.8</v>
      </c>
      <c r="J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2.3872180451127743E-2</v>
      </c>
      <c r="K29" s="15">
        <f t="shared" ca="1" si="1"/>
        <v>222.65846153845851</v>
      </c>
      <c r="L29" s="6"/>
      <c r="M29" s="19"/>
      <c r="N29" s="19"/>
      <c r="Q29" s="7">
        <v>28</v>
      </c>
      <c r="R29" s="15"/>
      <c r="S29" s="19"/>
      <c r="T29" s="19"/>
    </row>
    <row r="30" spans="1:20" x14ac:dyDescent="0.35">
      <c r="A30" s="7">
        <v>29</v>
      </c>
      <c r="B30" s="3">
        <v>42779</v>
      </c>
      <c r="C30" s="2">
        <v>219.26</v>
      </c>
      <c r="D30" s="14">
        <v>220.19</v>
      </c>
      <c r="E30" s="14">
        <v>219.23</v>
      </c>
      <c r="F30" s="2">
        <v>219.91</v>
      </c>
      <c r="G30" s="1">
        <v>58408632</v>
      </c>
      <c r="H30" s="13" t="s">
        <v>10</v>
      </c>
      <c r="I30" s="9">
        <f>testdataHighLow[[#This Row],[close]]</f>
        <v>219.91</v>
      </c>
      <c r="J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-3.0921740712109812E-3</v>
      </c>
      <c r="K30" s="15">
        <f t="shared" ca="1" si="1"/>
        <v>223.02358974358685</v>
      </c>
      <c r="L30" s="6"/>
      <c r="M30" s="19"/>
      <c r="N30" s="19"/>
      <c r="Q30" s="7">
        <v>29</v>
      </c>
      <c r="R30" s="15"/>
      <c r="S30" s="19"/>
      <c r="T30" s="19"/>
    </row>
    <row r="31" spans="1:20" x14ac:dyDescent="0.35">
      <c r="A31" s="7">
        <v>30</v>
      </c>
      <c r="B31" s="3">
        <v>42780</v>
      </c>
      <c r="C31" s="2">
        <v>219.71</v>
      </c>
      <c r="D31" s="14">
        <v>220.8</v>
      </c>
      <c r="E31" s="14">
        <v>219.33</v>
      </c>
      <c r="F31" s="2">
        <v>220.79</v>
      </c>
      <c r="G31" s="1">
        <v>75266840</v>
      </c>
      <c r="H31" s="6" t="s">
        <v>10</v>
      </c>
      <c r="I31" s="6">
        <f>IF(AND(H30="UP",testdataHighLow[[#This Row],[high]]&gt;I30),testdataHighLow[[#This Row],[high]],IF(AND(H30="DN",testdataHighLow[[#This Row],[low]]&lt;I30),testdataHighLow[[#This Row],[low]],I30))</f>
        <v>220.8</v>
      </c>
      <c r="J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-6.6576086956521684E-3</v>
      </c>
      <c r="K31" s="15">
        <f t="shared" ca="1" si="1"/>
        <v>223.38871794871523</v>
      </c>
      <c r="L31" s="6"/>
      <c r="M31" s="19"/>
      <c r="N31" s="19"/>
      <c r="Q31" s="7">
        <v>30</v>
      </c>
      <c r="R31" s="15"/>
      <c r="S31" s="19"/>
      <c r="T31" s="19"/>
    </row>
    <row r="32" spans="1:20" x14ac:dyDescent="0.35">
      <c r="A32" s="7">
        <v>31</v>
      </c>
      <c r="B32" s="3">
        <v>42781</v>
      </c>
      <c r="C32" s="2">
        <v>220.55</v>
      </c>
      <c r="D32" s="14">
        <v>222.15</v>
      </c>
      <c r="E32" s="14">
        <v>220.5</v>
      </c>
      <c r="F32" s="2">
        <v>221.94</v>
      </c>
      <c r="G32" s="1">
        <v>91860344</v>
      </c>
      <c r="H32" s="6" t="s">
        <v>10</v>
      </c>
      <c r="I32" s="6">
        <f>IF(AND(H31="UP",testdataHighLow[[#This Row],[high]]&gt;I31),testdataHighLow[[#This Row],[high]],IF(AND(H31="DN",testdataHighLow[[#This Row],[low]]&lt;I31),testdataHighLow[[#This Row],[low]],I31))</f>
        <v>222.15</v>
      </c>
      <c r="J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-7.4274139095206193E-3</v>
      </c>
      <c r="K32" s="15">
        <f t="shared" ca="1" si="1"/>
        <v>223.75384615384363</v>
      </c>
      <c r="L32" s="6"/>
      <c r="M32" s="19"/>
      <c r="N32" s="19"/>
      <c r="Q32" s="7">
        <v>31</v>
      </c>
      <c r="R32" s="15"/>
      <c r="S32" s="19"/>
      <c r="T32" s="19"/>
    </row>
    <row r="33" spans="1:21" x14ac:dyDescent="0.35">
      <c r="A33" s="7">
        <v>32</v>
      </c>
      <c r="B33" s="3">
        <v>42782</v>
      </c>
      <c r="C33" s="2">
        <v>221.98</v>
      </c>
      <c r="D33" s="14">
        <v>222.16</v>
      </c>
      <c r="E33" s="14">
        <v>220.93</v>
      </c>
      <c r="F33" s="2">
        <v>221.75</v>
      </c>
      <c r="G33" s="1">
        <v>89676304</v>
      </c>
      <c r="H33" s="6" t="s">
        <v>10</v>
      </c>
      <c r="I33" s="6">
        <f>IF(AND(H32="UP",testdataHighLow[[#This Row],[high]]&gt;I32),testdataHighLow[[#This Row],[high]],IF(AND(H32="DN",testdataHighLow[[#This Row],[low]]&lt;I32),testdataHighLow[[#This Row],[low]],I32))</f>
        <v>222.16</v>
      </c>
      <c r="J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-5.5365502340654921E-3</v>
      </c>
      <c r="K33" s="15">
        <f t="shared" ca="1" si="1"/>
        <v>224.11897435897203</v>
      </c>
      <c r="L33" s="6"/>
      <c r="M33" s="19"/>
      <c r="N33" s="19"/>
      <c r="Q33" s="7">
        <v>32</v>
      </c>
      <c r="R33" s="15"/>
      <c r="S33" s="19"/>
      <c r="T33" s="19"/>
    </row>
    <row r="34" spans="1:21" x14ac:dyDescent="0.35">
      <c r="A34" s="7">
        <v>33</v>
      </c>
      <c r="B34" s="3">
        <v>42783</v>
      </c>
      <c r="C34" s="2">
        <v>221.03</v>
      </c>
      <c r="D34" s="14">
        <v>222.1</v>
      </c>
      <c r="E34" s="14">
        <v>221.01</v>
      </c>
      <c r="F34" s="2">
        <v>222.1</v>
      </c>
      <c r="G34" s="1">
        <v>81718352</v>
      </c>
      <c r="H34" s="6" t="s">
        <v>10</v>
      </c>
      <c r="I34" s="6">
        <f>IF(AND(H33="UP",testdataHighLow[[#This Row],[high]]&gt;I33),testdataHighLow[[#This Row],[high]],IF(AND(H33="DN",testdataHighLow[[#This Row],[low]]&lt;I33),testdataHighLow[[#This Row],[low]],I33))</f>
        <v>222.16</v>
      </c>
      <c r="J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-5.1764494058336588E-3</v>
      </c>
      <c r="K34" s="15">
        <f t="shared" ca="1" si="1"/>
        <v>224.48410256410045</v>
      </c>
      <c r="L34" s="6"/>
      <c r="M34" s="19"/>
      <c r="N34" s="19"/>
      <c r="Q34" s="7">
        <v>33</v>
      </c>
      <c r="R34" s="15"/>
      <c r="S34" s="19"/>
      <c r="T34" s="19"/>
    </row>
    <row r="35" spans="1:21" x14ac:dyDescent="0.35">
      <c r="A35" s="7">
        <v>34</v>
      </c>
      <c r="B35" s="3">
        <v>42787</v>
      </c>
      <c r="C35" s="2">
        <v>222.51</v>
      </c>
      <c r="D35" s="14">
        <v>223.62</v>
      </c>
      <c r="E35" s="14">
        <v>222.5</v>
      </c>
      <c r="F35" s="2">
        <v>223.43</v>
      </c>
      <c r="G35" s="1">
        <v>94146880</v>
      </c>
      <c r="H35" s="6" t="s">
        <v>10</v>
      </c>
      <c r="I35" s="6">
        <f>IF(AND(H34="UP",testdataHighLow[[#This Row],[high]]&gt;I34),testdataHighLow[[#This Row],[high]],IF(AND(H34="DN",testdataHighLow[[#This Row],[low]]&lt;I34),testdataHighLow[[#This Row],[low]],I34))</f>
        <v>223.62</v>
      </c>
      <c r="J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-5.0084965566586379E-3</v>
      </c>
      <c r="K35" s="15">
        <f t="shared" ca="1" si="1"/>
        <v>224.84923076922891</v>
      </c>
      <c r="L35" s="6"/>
      <c r="M35" s="19"/>
      <c r="N35" s="19"/>
      <c r="Q35" s="7">
        <v>34</v>
      </c>
      <c r="R35" s="15"/>
      <c r="S35" s="19"/>
      <c r="T35" s="19"/>
    </row>
    <row r="36" spans="1:21" x14ac:dyDescent="0.35">
      <c r="A36" s="7">
        <v>35</v>
      </c>
      <c r="B36" s="3">
        <v>42788</v>
      </c>
      <c r="C36" s="2">
        <v>222.98</v>
      </c>
      <c r="D36" s="14">
        <v>223.47</v>
      </c>
      <c r="E36" s="14">
        <v>222.8</v>
      </c>
      <c r="F36" s="2">
        <v>223.23</v>
      </c>
      <c r="G36" s="1">
        <v>65747160</v>
      </c>
      <c r="H36" s="6" t="s">
        <v>10</v>
      </c>
      <c r="I36" s="6">
        <f>IF(AND(H35="UP",testdataHighLow[[#This Row],[high]]&gt;I35),testdataHighLow[[#This Row],[high]],IF(AND(H35="DN",testdataHighLow[[#This Row],[low]]&lt;I35),testdataHighLow[[#This Row],[low]],I35))</f>
        <v>223.62</v>
      </c>
      <c r="J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-3.6669349789821715E-3</v>
      </c>
      <c r="K36" s="15">
        <f t="shared" ca="1" si="1"/>
        <v>225.21435897435737</v>
      </c>
      <c r="L36" s="6"/>
      <c r="M36" s="19"/>
      <c r="N36" s="19"/>
      <c r="Q36" s="7">
        <v>35</v>
      </c>
      <c r="R36" s="15"/>
      <c r="S36" s="19"/>
      <c r="T36" s="19"/>
    </row>
    <row r="37" spans="1:21" x14ac:dyDescent="0.35">
      <c r="A37" s="7">
        <v>36</v>
      </c>
      <c r="B37" s="3">
        <v>42789</v>
      </c>
      <c r="C37" s="2">
        <v>223.79</v>
      </c>
      <c r="D37" s="14">
        <v>223.81</v>
      </c>
      <c r="E37" s="14">
        <v>222.55</v>
      </c>
      <c r="F37" s="2">
        <v>223.38</v>
      </c>
      <c r="G37" s="1">
        <v>78978816</v>
      </c>
      <c r="H37" s="6" t="s">
        <v>10</v>
      </c>
      <c r="I37" s="6">
        <f>IF(AND(H36="UP",testdataHighLow[[#This Row],[high]]&gt;I36),testdataHighLow[[#This Row],[high]],IF(AND(H36="DN",testdataHighLow[[#This Row],[low]]&lt;I36),testdataHighLow[[#This Row],[low]],I36))</f>
        <v>223.81</v>
      </c>
      <c r="J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-5.6297752557972871E-3</v>
      </c>
      <c r="K37" s="15">
        <f t="shared" ca="1" si="1"/>
        <v>225.57948717948585</v>
      </c>
      <c r="L37" s="6"/>
      <c r="M37" s="19"/>
      <c r="N37" s="19"/>
      <c r="Q37" s="7">
        <v>36</v>
      </c>
      <c r="R37" s="15"/>
      <c r="S37" s="19"/>
      <c r="T37" s="19"/>
    </row>
    <row r="38" spans="1:21" x14ac:dyDescent="0.35">
      <c r="A38" s="7">
        <v>37</v>
      </c>
      <c r="B38" s="3">
        <v>42790</v>
      </c>
      <c r="C38" s="2">
        <v>222.45</v>
      </c>
      <c r="D38" s="14">
        <v>223.71</v>
      </c>
      <c r="E38" s="14">
        <v>222.41</v>
      </c>
      <c r="F38" s="2">
        <v>223.66</v>
      </c>
      <c r="G38" s="1">
        <v>87198608</v>
      </c>
      <c r="H38" s="6" t="s">
        <v>10</v>
      </c>
      <c r="I38" s="6">
        <f>IF(AND(H37="UP",testdataHighLow[[#This Row],[high]]&gt;I37),testdataHighLow[[#This Row],[high]],IF(AND(H37="DN",testdataHighLow[[#This Row],[low]]&lt;I37),testdataHighLow[[#This Row],[low]],I37))</f>
        <v>223.81</v>
      </c>
      <c r="J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-6.2553058397748339E-3</v>
      </c>
      <c r="K38" s="15">
        <f t="shared" ca="1" si="1"/>
        <v>225.94461538461437</v>
      </c>
      <c r="L38" s="6"/>
      <c r="M38" s="19"/>
      <c r="N38" s="19"/>
      <c r="Q38" s="7">
        <v>37</v>
      </c>
      <c r="R38" s="15"/>
      <c r="S38" s="19"/>
      <c r="T38" s="19"/>
    </row>
    <row r="39" spans="1:21" x14ac:dyDescent="0.35">
      <c r="A39" s="7">
        <v>38</v>
      </c>
      <c r="B39" s="3">
        <v>42793</v>
      </c>
      <c r="C39" s="2">
        <v>223.57</v>
      </c>
      <c r="D39" s="14">
        <v>224.2</v>
      </c>
      <c r="E39" s="14">
        <v>223.29</v>
      </c>
      <c r="F39" s="2">
        <v>224.01</v>
      </c>
      <c r="G39" s="1">
        <v>59819992</v>
      </c>
      <c r="H39" s="6" t="s">
        <v>10</v>
      </c>
      <c r="I39" s="6">
        <f>IF(AND(H38="UP",testdataHighLow[[#This Row],[high]]&gt;I38),testdataHighLow[[#This Row],[high]],IF(AND(H38="DN",testdataHighLow[[#This Row],[low]]&lt;I38),testdataHighLow[[#This Row],[low]],I38))</f>
        <v>224.2</v>
      </c>
      <c r="J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-4.0588760035682276E-3</v>
      </c>
      <c r="K39" s="15">
        <f t="shared" ca="1" si="1"/>
        <v>226.30974358974288</v>
      </c>
      <c r="L39" s="6"/>
      <c r="M39" s="19"/>
      <c r="N39" s="19"/>
      <c r="Q39" s="7">
        <v>38</v>
      </c>
      <c r="R39" s="15"/>
      <c r="S39" s="19"/>
      <c r="T39" s="19"/>
    </row>
    <row r="40" spans="1:21" x14ac:dyDescent="0.35">
      <c r="A40" s="7">
        <v>39</v>
      </c>
      <c r="B40" s="3">
        <v>42794</v>
      </c>
      <c r="C40" s="2">
        <v>223.6</v>
      </c>
      <c r="D40" s="14">
        <v>223.86</v>
      </c>
      <c r="E40" s="14">
        <v>222.98</v>
      </c>
      <c r="F40" s="2">
        <v>223.41</v>
      </c>
      <c r="G40" s="1">
        <v>102631472</v>
      </c>
      <c r="H40" s="6" t="s">
        <v>10</v>
      </c>
      <c r="I40" s="6">
        <f>IF(AND(H39="UP",testdataHighLow[[#This Row],[high]]&gt;I39),testdataHighLow[[#This Row],[high]],IF(AND(H39="DN",testdataHighLow[[#This Row],[low]]&lt;I39),testdataHighLow[[#This Row],[low]],I39))</f>
        <v>224.2</v>
      </c>
      <c r="J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-5.4415700267618147E-3</v>
      </c>
      <c r="K40" s="15">
        <f t="shared" ca="1" si="1"/>
        <v>226.67487179487142</v>
      </c>
      <c r="L40" s="6"/>
      <c r="M40" s="19"/>
      <c r="N40" s="19"/>
      <c r="Q40" s="7">
        <v>39</v>
      </c>
      <c r="R40" s="15"/>
      <c r="S40" s="19"/>
      <c r="T40" s="19"/>
    </row>
    <row r="41" spans="1:21" x14ac:dyDescent="0.35">
      <c r="A41" s="7">
        <v>40</v>
      </c>
      <c r="B41" s="3">
        <v>42795</v>
      </c>
      <c r="C41" s="2">
        <v>225.22</v>
      </c>
      <c r="D41" s="14">
        <v>227.04</v>
      </c>
      <c r="E41" s="14">
        <v>225.2</v>
      </c>
      <c r="F41" s="2">
        <v>226.53</v>
      </c>
      <c r="G41" s="1">
        <v>157879712</v>
      </c>
      <c r="H41" s="6" t="s">
        <v>12</v>
      </c>
      <c r="I41" s="6">
        <f>IF(AND(H40="UP",testdataHighLow[[#This Row],[high]]&gt;I40),testdataHighLow[[#This Row],[high]],IF(AND(H40="DN",testdataHighLow[[#This Row],[low]]&lt;I40),testdataHighLow[[#This Row],[low]],I40))</f>
        <v>227.04</v>
      </c>
      <c r="J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1" s="18">
        <f>testdataHighLow[[#This Row],[high]]</f>
        <v>227.04</v>
      </c>
      <c r="L41" s="6" t="s">
        <v>14</v>
      </c>
      <c r="M41" s="19">
        <f>IF(testdataHighLow[[#This Row],[type]]="H",testdataHighLow[[#This Row],[high]],AVERAGE(M40,M42))</f>
        <v>227.04</v>
      </c>
      <c r="N41" s="19"/>
      <c r="Q41" s="7">
        <v>40</v>
      </c>
      <c r="R41" s="18">
        <v>227.04</v>
      </c>
      <c r="S41" s="19">
        <v>227.04</v>
      </c>
      <c r="T41" s="19"/>
      <c r="U41" s="4" t="s">
        <v>14</v>
      </c>
    </row>
    <row r="42" spans="1:21" x14ac:dyDescent="0.35">
      <c r="A42" s="7">
        <v>41</v>
      </c>
      <c r="B42" s="3">
        <v>42796</v>
      </c>
      <c r="C42" s="2">
        <v>226.33</v>
      </c>
      <c r="D42" s="14">
        <v>226.34</v>
      </c>
      <c r="E42" s="14">
        <v>225.05</v>
      </c>
      <c r="F42" s="2">
        <v>225.11</v>
      </c>
      <c r="G42" s="1">
        <v>74353376</v>
      </c>
      <c r="H42" s="6" t="s">
        <v>12</v>
      </c>
      <c r="I42" s="6">
        <f>IF(AND(H41="UP",testdataHighLow[[#This Row],[high]]&gt;I41),testdataHighLow[[#This Row],[high]],IF(AND(H41="DN",testdataHighLow[[#This Row],[low]]&lt;I41),testdataHighLow[[#This Row],[low]],I41))</f>
        <v>225.05</v>
      </c>
      <c r="J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5.7320595423238927E-3</v>
      </c>
      <c r="K42" s="15">
        <f t="shared" ca="1" si="1"/>
        <v>226.63611111111123</v>
      </c>
      <c r="L42" s="6"/>
      <c r="M42" s="19">
        <f ca="1">IF(testdataHighLow[[#This Row],[type]]="H",testdataHighLow[[#This Row],[high]],AVERAGE(M41,M43))</f>
        <v>227.25406113536866</v>
      </c>
      <c r="N42" s="19"/>
      <c r="Q42" s="7">
        <v>41</v>
      </c>
      <c r="R42" s="15">
        <v>226.6361</v>
      </c>
      <c r="S42" s="19">
        <v>227.25406000000001</v>
      </c>
      <c r="T42" s="19"/>
    </row>
    <row r="43" spans="1:21" x14ac:dyDescent="0.35">
      <c r="A43" s="7">
        <v>42</v>
      </c>
      <c r="B43" s="3">
        <v>42797</v>
      </c>
      <c r="C43" s="2">
        <v>225.01</v>
      </c>
      <c r="D43" s="14">
        <v>225.43</v>
      </c>
      <c r="E43" s="14">
        <v>224.6</v>
      </c>
      <c r="F43" s="2">
        <v>225.25</v>
      </c>
      <c r="G43" s="1">
        <v>86767480</v>
      </c>
      <c r="H43" s="6" t="s">
        <v>12</v>
      </c>
      <c r="I43" s="6">
        <f>IF(AND(H42="UP",testdataHighLow[[#This Row],[high]]&gt;I42),testdataHighLow[[#This Row],[high]],IF(AND(H42="DN",testdataHighLow[[#This Row],[low]]&lt;I42),testdataHighLow[[#This Row],[low]],I42))</f>
        <v>224.6</v>
      </c>
      <c r="J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3.6954585930543747E-3</v>
      </c>
      <c r="K43" s="15">
        <f t="shared" ca="1" si="1"/>
        <v>226.23222222222248</v>
      </c>
      <c r="L43" s="6"/>
      <c r="M43" s="19">
        <f ca="1">IF(testdataHighLow[[#This Row],[type]]="H",testdataHighLow[[#This Row],[high]],AVERAGE(M42,M44))</f>
        <v>227.46812227073735</v>
      </c>
      <c r="N43" s="19"/>
      <c r="Q43" s="7">
        <v>42</v>
      </c>
      <c r="R43" s="15">
        <v>226.23220000000001</v>
      </c>
      <c r="S43" s="19">
        <v>227.46812</v>
      </c>
      <c r="T43" s="19"/>
    </row>
    <row r="44" spans="1:21" x14ac:dyDescent="0.35">
      <c r="A44" s="7">
        <v>43</v>
      </c>
      <c r="B44" s="3">
        <v>42800</v>
      </c>
      <c r="C44" s="2">
        <v>224.38</v>
      </c>
      <c r="D44" s="14">
        <v>224.97</v>
      </c>
      <c r="E44" s="14">
        <v>223.92</v>
      </c>
      <c r="F44" s="2">
        <v>224.58</v>
      </c>
      <c r="G44" s="1">
        <v>58630368</v>
      </c>
      <c r="H44" s="6" t="s">
        <v>12</v>
      </c>
      <c r="I44" s="6">
        <f>IF(AND(H43="UP",testdataHighLow[[#This Row],[high]]&gt;I43),testdataHighLow[[#This Row],[high]],IF(AND(H43="DN",testdataHighLow[[#This Row],[low]]&lt;I43),testdataHighLow[[#This Row],[low]],I43))</f>
        <v>223.92</v>
      </c>
      <c r="J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4.6891747052519271E-3</v>
      </c>
      <c r="K44" s="15">
        <f t="shared" ca="1" si="1"/>
        <v>225.82833333333372</v>
      </c>
      <c r="L44" s="6"/>
      <c r="M44" s="19">
        <f ca="1">IF(testdataHighLow[[#This Row],[type]]="H",testdataHighLow[[#This Row],[high]],AVERAGE(M43,M45))</f>
        <v>227.68218340610608</v>
      </c>
      <c r="N44" s="19"/>
      <c r="Q44" s="7">
        <v>43</v>
      </c>
      <c r="R44" s="15">
        <v>225.82830000000001</v>
      </c>
      <c r="S44" s="19">
        <v>227.68217999999999</v>
      </c>
      <c r="T44" s="19"/>
    </row>
    <row r="45" spans="1:21" x14ac:dyDescent="0.35">
      <c r="A45" s="7">
        <v>44</v>
      </c>
      <c r="B45" s="3">
        <v>42801</v>
      </c>
      <c r="C45" s="2">
        <v>224.25</v>
      </c>
      <c r="D45" s="14">
        <v>224.64</v>
      </c>
      <c r="E45" s="14">
        <v>223.68</v>
      </c>
      <c r="F45" s="2">
        <v>223.91</v>
      </c>
      <c r="G45" s="1">
        <v>68910464</v>
      </c>
      <c r="H45" s="6" t="s">
        <v>12</v>
      </c>
      <c r="I45" s="6">
        <f>IF(AND(H44="UP",testdataHighLow[[#This Row],[high]]&gt;I44),testdataHighLow[[#This Row],[high]],IF(AND(H44="DN",testdataHighLow[[#This Row],[low]]&lt;I44),testdataHighLow[[#This Row],[low]],I44))</f>
        <v>223.68</v>
      </c>
      <c r="J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4.2918454935621398E-3</v>
      </c>
      <c r="K45" s="15">
        <f t="shared" ca="1" si="1"/>
        <v>225.42444444444493</v>
      </c>
      <c r="L45" s="6"/>
      <c r="M45" s="19">
        <f ca="1">IF(testdataHighLow[[#This Row],[type]]="H",testdataHighLow[[#This Row],[high]],AVERAGE(M44,M46))</f>
        <v>227.8962445414748</v>
      </c>
      <c r="N45" s="19"/>
      <c r="Q45" s="7">
        <v>44</v>
      </c>
      <c r="R45" s="15">
        <v>225.42439999999999</v>
      </c>
      <c r="S45" s="19">
        <v>227.89624000000001</v>
      </c>
      <c r="T45" s="19"/>
    </row>
    <row r="46" spans="1:21" x14ac:dyDescent="0.35">
      <c r="A46" s="7">
        <v>45</v>
      </c>
      <c r="B46" s="3">
        <v>42802</v>
      </c>
      <c r="C46" s="2">
        <v>224.23</v>
      </c>
      <c r="D46" s="14">
        <v>224.51</v>
      </c>
      <c r="E46" s="14">
        <v>223.34</v>
      </c>
      <c r="F46" s="2">
        <v>223.49</v>
      </c>
      <c r="G46" s="1">
        <v>82739456</v>
      </c>
      <c r="H46" s="6" t="s">
        <v>12</v>
      </c>
      <c r="I46" s="6">
        <f>IF(AND(H45="UP",testdataHighLow[[#This Row],[high]]&gt;I45),testdataHighLow[[#This Row],[high]],IF(AND(H45="DN",testdataHighLow[[#This Row],[low]]&lt;I45),testdataHighLow[[#This Row],[low]],I45))</f>
        <v>223.34</v>
      </c>
      <c r="J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5.2386495925494199E-3</v>
      </c>
      <c r="K46" s="15">
        <f t="shared" ca="1" si="1"/>
        <v>225.02055555555611</v>
      </c>
      <c r="L46" s="6"/>
      <c r="M46" s="19">
        <f ca="1">IF(testdataHighLow[[#This Row],[type]]="H",testdataHighLow[[#This Row],[high]],AVERAGE(M45,M47))</f>
        <v>228.11030567684355</v>
      </c>
      <c r="N46" s="19"/>
      <c r="Q46" s="7">
        <v>45</v>
      </c>
      <c r="R46" s="15">
        <v>225.0206</v>
      </c>
      <c r="S46" s="19">
        <v>228.11031</v>
      </c>
      <c r="T46" s="19"/>
    </row>
    <row r="47" spans="1:21" x14ac:dyDescent="0.35">
      <c r="A47" s="7">
        <v>46</v>
      </c>
      <c r="B47" s="3">
        <v>42803</v>
      </c>
      <c r="C47" s="2">
        <v>223.62</v>
      </c>
      <c r="D47" s="14">
        <v>224.13</v>
      </c>
      <c r="E47" s="14">
        <v>222.72</v>
      </c>
      <c r="F47" s="2">
        <v>223.78</v>
      </c>
      <c r="G47" s="1">
        <v>95986360</v>
      </c>
      <c r="H47" s="6" t="s">
        <v>12</v>
      </c>
      <c r="I47" s="6">
        <f>IF(AND(H46="UP",testdataHighLow[[#This Row],[high]]&gt;I46),testdataHighLow[[#This Row],[high]],IF(AND(H46="DN",testdataHighLow[[#This Row],[low]]&lt;I46),testdataHighLow[[#This Row],[low]],I46))</f>
        <v>222.72</v>
      </c>
      <c r="J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6.3308189655172263E-3</v>
      </c>
      <c r="K47" s="15">
        <f t="shared" ca="1" si="1"/>
        <v>224.6166666666673</v>
      </c>
      <c r="L47" s="6"/>
      <c r="M47" s="19">
        <f ca="1">IF(testdataHighLow[[#This Row],[type]]="H",testdataHighLow[[#This Row],[high]],AVERAGE(M46,M48))</f>
        <v>228.32436681221233</v>
      </c>
      <c r="N47" s="19"/>
      <c r="Q47" s="7">
        <v>46</v>
      </c>
      <c r="R47" s="15">
        <v>224.61670000000001</v>
      </c>
      <c r="S47" s="19">
        <v>228.32436999999999</v>
      </c>
      <c r="T47" s="19"/>
    </row>
    <row r="48" spans="1:21" x14ac:dyDescent="0.35">
      <c r="A48" s="7">
        <v>47</v>
      </c>
      <c r="B48" s="3">
        <v>42804</v>
      </c>
      <c r="C48" s="2">
        <v>224.82</v>
      </c>
      <c r="D48" s="14">
        <v>224.87</v>
      </c>
      <c r="E48" s="14">
        <v>223.52</v>
      </c>
      <c r="F48" s="2">
        <v>224.56</v>
      </c>
      <c r="G48" s="1">
        <v>86785840</v>
      </c>
      <c r="H48" s="6" t="s">
        <v>12</v>
      </c>
      <c r="I48" s="6">
        <f>IF(AND(H47="UP",testdataHighLow[[#This Row],[high]]&gt;I47),testdataHighLow[[#This Row],[high]],IF(AND(H47="DN",testdataHighLow[[#This Row],[low]]&lt;I47),testdataHighLow[[#This Row],[low]],I47))</f>
        <v>222.72</v>
      </c>
      <c r="J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9.6533764367816351E-3</v>
      </c>
      <c r="K48" s="15">
        <f t="shared" ca="1" si="1"/>
        <v>224.21277777777846</v>
      </c>
      <c r="L48" s="6"/>
      <c r="M48" s="19">
        <f ca="1">IF(testdataHighLow[[#This Row],[type]]="H",testdataHighLow[[#This Row],[high]],AVERAGE(M47,M49))</f>
        <v>228.53842794758111</v>
      </c>
      <c r="N48" s="19"/>
      <c r="Q48" s="7">
        <v>47</v>
      </c>
      <c r="R48" s="15">
        <v>224.21279999999999</v>
      </c>
      <c r="S48" s="19">
        <v>228.53843000000001</v>
      </c>
      <c r="T48" s="19"/>
    </row>
    <row r="49" spans="1:21" x14ac:dyDescent="0.35">
      <c r="A49" s="7">
        <v>48</v>
      </c>
      <c r="B49" s="3">
        <v>42807</v>
      </c>
      <c r="C49" s="2">
        <v>224.49</v>
      </c>
      <c r="D49" s="14">
        <v>224.72</v>
      </c>
      <c r="E49" s="14">
        <v>224.13</v>
      </c>
      <c r="F49" s="2">
        <v>224.67</v>
      </c>
      <c r="G49" s="1">
        <v>60604724</v>
      </c>
      <c r="H49" s="6" t="s">
        <v>12</v>
      </c>
      <c r="I49" s="6">
        <f>IF(AND(H48="UP",testdataHighLow[[#This Row],[high]]&gt;I48),testdataHighLow[[#This Row],[high]],IF(AND(H48="DN",testdataHighLow[[#This Row],[low]]&lt;I48),testdataHighLow[[#This Row],[low]],I48))</f>
        <v>222.72</v>
      </c>
      <c r="J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8.9798850574712638E-3</v>
      </c>
      <c r="K49" s="15">
        <f t="shared" ca="1" si="1"/>
        <v>223.80888888888958</v>
      </c>
      <c r="L49" s="6"/>
      <c r="M49" s="19">
        <f ca="1">IF(testdataHighLow[[#This Row],[type]]="H",testdataHighLow[[#This Row],[high]],AVERAGE(M48,M50))</f>
        <v>228.75248908294992</v>
      </c>
      <c r="N49" s="19"/>
      <c r="Q49" s="7">
        <v>48</v>
      </c>
      <c r="R49" s="15">
        <v>223.80889999999999</v>
      </c>
      <c r="S49" s="19">
        <v>228.75248999999999</v>
      </c>
      <c r="T49" s="19"/>
    </row>
    <row r="50" spans="1:21" x14ac:dyDescent="0.35">
      <c r="A50" s="7">
        <v>49</v>
      </c>
      <c r="B50" s="3">
        <v>42808</v>
      </c>
      <c r="C50" s="2">
        <v>224.08</v>
      </c>
      <c r="D50" s="14">
        <v>224.13</v>
      </c>
      <c r="E50" s="14">
        <v>223.14</v>
      </c>
      <c r="F50" s="2">
        <v>223.81</v>
      </c>
      <c r="G50" s="1">
        <v>63382108</v>
      </c>
      <c r="H50" s="6" t="s">
        <v>12</v>
      </c>
      <c r="I50" s="6">
        <f>IF(AND(H49="UP",testdataHighLow[[#This Row],[high]]&gt;I49),testdataHighLow[[#This Row],[high]],IF(AND(H49="DN",testdataHighLow[[#This Row],[low]]&lt;I49),testdataHighLow[[#This Row],[low]],I49))</f>
        <v>222.72</v>
      </c>
      <c r="J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6.3308189655172263E-3</v>
      </c>
      <c r="K50" s="15">
        <f t="shared" ca="1" si="1"/>
        <v>223.40500000000071</v>
      </c>
      <c r="L50" s="6"/>
      <c r="M50" s="19">
        <f ca="1">IF(testdataHighLow[[#This Row],[type]]="H",testdataHighLow[[#This Row],[high]],AVERAGE(M49,M51))</f>
        <v>228.96655021831873</v>
      </c>
      <c r="N50" s="19"/>
      <c r="Q50" s="7">
        <v>49</v>
      </c>
      <c r="R50" s="15">
        <v>223.405</v>
      </c>
      <c r="S50" s="19">
        <v>228.96655000000001</v>
      </c>
      <c r="T50" s="19"/>
    </row>
    <row r="51" spans="1:21" x14ac:dyDescent="0.35">
      <c r="A51" s="7">
        <v>50</v>
      </c>
      <c r="B51" s="3">
        <v>42809</v>
      </c>
      <c r="C51" s="2">
        <v>224.44</v>
      </c>
      <c r="D51" s="14">
        <v>226.21</v>
      </c>
      <c r="E51" s="14">
        <v>224.18</v>
      </c>
      <c r="F51" s="2">
        <v>225.75</v>
      </c>
      <c r="G51" s="1">
        <v>101699816</v>
      </c>
      <c r="H51" s="6" t="s">
        <v>12</v>
      </c>
      <c r="I51" s="6">
        <f>IF(AND(H50="UP",testdataHighLow[[#This Row],[high]]&gt;I50),testdataHighLow[[#This Row],[high]],IF(AND(H50="DN",testdataHighLow[[#This Row],[low]]&lt;I50),testdataHighLow[[#This Row],[low]],I50))</f>
        <v>222.72</v>
      </c>
      <c r="J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1.5669899425287397E-2</v>
      </c>
      <c r="K51" s="15">
        <f t="shared" ca="1" si="1"/>
        <v>223.00111111111181</v>
      </c>
      <c r="L51" s="6"/>
      <c r="M51" s="19">
        <f ca="1">IF(testdataHighLow[[#This Row],[type]]="H",testdataHighLow[[#This Row],[high]],AVERAGE(M50,M52))</f>
        <v>229.18061135368757</v>
      </c>
      <c r="N51" s="19"/>
      <c r="Q51" s="7">
        <v>50</v>
      </c>
      <c r="R51" s="15">
        <v>223.00110000000001</v>
      </c>
      <c r="S51" s="19">
        <v>229.18061</v>
      </c>
      <c r="T51" s="19"/>
    </row>
    <row r="52" spans="1:21" x14ac:dyDescent="0.35">
      <c r="A52" s="7">
        <v>51</v>
      </c>
      <c r="B52" s="3">
        <v>42810</v>
      </c>
      <c r="C52" s="2">
        <v>225.9</v>
      </c>
      <c r="D52" s="14">
        <v>225.99</v>
      </c>
      <c r="E52" s="14">
        <v>224.95</v>
      </c>
      <c r="F52" s="2">
        <v>225.31</v>
      </c>
      <c r="G52" s="1">
        <v>82924856</v>
      </c>
      <c r="H52" s="6" t="s">
        <v>12</v>
      </c>
      <c r="I52" s="6">
        <f>IF(AND(H51="UP",testdataHighLow[[#This Row],[high]]&gt;I51),testdataHighLow[[#This Row],[high]],IF(AND(H51="DN",testdataHighLow[[#This Row],[low]]&lt;I51),testdataHighLow[[#This Row],[low]],I51))</f>
        <v>222.72</v>
      </c>
      <c r="J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1.4682112068965563E-2</v>
      </c>
      <c r="K52" s="15">
        <f t="shared" ca="1" si="1"/>
        <v>222.59722222222288</v>
      </c>
      <c r="L52" s="6"/>
      <c r="M52" s="19">
        <f ca="1">IF(testdataHighLow[[#This Row],[type]]="H",testdataHighLow[[#This Row],[high]],AVERAGE(M51,M53))</f>
        <v>229.3946724890564</v>
      </c>
      <c r="N52" s="19"/>
      <c r="Q52" s="7">
        <v>51</v>
      </c>
      <c r="R52" s="15">
        <v>222.59719999999999</v>
      </c>
      <c r="S52" s="19">
        <v>229.39466999999999</v>
      </c>
      <c r="T52" s="19"/>
    </row>
    <row r="53" spans="1:21" x14ac:dyDescent="0.35">
      <c r="A53" s="7">
        <v>52</v>
      </c>
      <c r="B53" s="3">
        <v>42811</v>
      </c>
      <c r="C53" s="2">
        <v>225.59</v>
      </c>
      <c r="D53" s="14">
        <v>225.8</v>
      </c>
      <c r="E53" s="14">
        <v>224.91</v>
      </c>
      <c r="F53" s="2">
        <v>224.91</v>
      </c>
      <c r="G53" s="1">
        <v>93798120</v>
      </c>
      <c r="H53" s="6" t="s">
        <v>12</v>
      </c>
      <c r="I53" s="6">
        <f>IF(AND(H52="UP",testdataHighLow[[#This Row],[high]]&gt;I52),testdataHighLow[[#This Row],[high]],IF(AND(H52="DN",testdataHighLow[[#This Row],[low]]&lt;I52),testdataHighLow[[#This Row],[low]],I52))</f>
        <v>222.72</v>
      </c>
      <c r="J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1.3829022988505803E-2</v>
      </c>
      <c r="K53" s="15">
        <f t="shared" ca="1" si="1"/>
        <v>222.19333333333395</v>
      </c>
      <c r="L53" s="6"/>
      <c r="M53" s="19">
        <f ca="1">IF(testdataHighLow[[#This Row],[type]]="H",testdataHighLow[[#This Row],[high]],AVERAGE(M52,M54))</f>
        <v>229.60873362442527</v>
      </c>
      <c r="N53" s="19"/>
      <c r="Q53" s="7">
        <v>52</v>
      </c>
      <c r="R53" s="15">
        <v>222.19329999999999</v>
      </c>
      <c r="S53" s="19">
        <v>229.60873000000001</v>
      </c>
      <c r="T53" s="19"/>
    </row>
    <row r="54" spans="1:21" x14ac:dyDescent="0.35">
      <c r="A54" s="7">
        <v>53</v>
      </c>
      <c r="B54" s="3">
        <v>42814</v>
      </c>
      <c r="C54" s="2">
        <v>224.91</v>
      </c>
      <c r="D54" s="14">
        <v>225.22</v>
      </c>
      <c r="E54" s="14">
        <v>224.24</v>
      </c>
      <c r="F54" s="2">
        <v>224.66</v>
      </c>
      <c r="G54" s="1">
        <v>55368008</v>
      </c>
      <c r="H54" s="6" t="s">
        <v>12</v>
      </c>
      <c r="I54" s="6">
        <f>IF(AND(H53="UP",testdataHighLow[[#This Row],[high]]&gt;I53),testdataHighLow[[#This Row],[high]],IF(AND(H53="DN",testdataHighLow[[#This Row],[low]]&lt;I53),testdataHighLow[[#This Row],[low]],I53))</f>
        <v>222.72</v>
      </c>
      <c r="J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1.122485632183908E-2</v>
      </c>
      <c r="K54" s="15">
        <f t="shared" ca="1" si="1"/>
        <v>221.789444444445</v>
      </c>
      <c r="L54" s="6"/>
      <c r="M54" s="19">
        <f ca="1">IF(testdataHighLow[[#This Row],[type]]="H",testdataHighLow[[#This Row],[high]],AVERAGE(M53,M55))</f>
        <v>229.82279475979416</v>
      </c>
      <c r="N54" s="19"/>
      <c r="Q54" s="7">
        <v>53</v>
      </c>
      <c r="R54" s="15">
        <v>221.7894</v>
      </c>
      <c r="S54" s="19">
        <v>229.82279</v>
      </c>
      <c r="T54" s="19"/>
    </row>
    <row r="55" spans="1:21" x14ac:dyDescent="0.35">
      <c r="A55" s="7">
        <v>54</v>
      </c>
      <c r="B55" s="3">
        <v>42815</v>
      </c>
      <c r="C55" s="2">
        <v>225.33</v>
      </c>
      <c r="D55" s="14">
        <v>225.46</v>
      </c>
      <c r="E55" s="14">
        <v>221.64</v>
      </c>
      <c r="F55" s="2">
        <v>221.78</v>
      </c>
      <c r="G55" s="1">
        <v>138912016</v>
      </c>
      <c r="H55" s="6" t="s">
        <v>12</v>
      </c>
      <c r="I55" s="6">
        <f>IF(AND(H54="UP",testdataHighLow[[#This Row],[high]]&gt;I54),testdataHighLow[[#This Row],[high]],IF(AND(H54="DN",testdataHighLow[[#This Row],[low]]&lt;I54),testdataHighLow[[#This Row],[low]],I54))</f>
        <v>221.64</v>
      </c>
      <c r="J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1.7235156109005695E-2</v>
      </c>
      <c r="K55" s="15">
        <f t="shared" ca="1" si="1"/>
        <v>221.38555555555604</v>
      </c>
      <c r="L55" s="6"/>
      <c r="M55" s="19">
        <f ca="1">IF(testdataHighLow[[#This Row],[type]]="H",testdataHighLow[[#This Row],[high]],AVERAGE(M54,M56))</f>
        <v>230.03685589516306</v>
      </c>
      <c r="N55" s="19"/>
      <c r="Q55" s="7">
        <v>54</v>
      </c>
      <c r="R55" s="15">
        <v>221.38560000000001</v>
      </c>
      <c r="S55" s="19">
        <v>230.03685999999999</v>
      </c>
      <c r="T55" s="19"/>
    </row>
    <row r="56" spans="1:21" x14ac:dyDescent="0.35">
      <c r="A56" s="7">
        <v>55</v>
      </c>
      <c r="B56" s="3">
        <v>42816</v>
      </c>
      <c r="C56" s="2">
        <v>221.82</v>
      </c>
      <c r="D56" s="14">
        <v>222.61</v>
      </c>
      <c r="E56" s="14">
        <v>221.13</v>
      </c>
      <c r="F56" s="2">
        <v>222.3</v>
      </c>
      <c r="G56" s="1">
        <v>102826864</v>
      </c>
      <c r="H56" s="6" t="s">
        <v>12</v>
      </c>
      <c r="I56" s="6">
        <f>IF(AND(H55="UP",testdataHighLow[[#This Row],[high]]&gt;I55),testdataHighLow[[#This Row],[high]],IF(AND(H55="DN",testdataHighLow[[#This Row],[low]]&lt;I55),testdataHighLow[[#This Row],[low]],I55))</f>
        <v>221.13</v>
      </c>
      <c r="J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6.6928955817845527E-3</v>
      </c>
      <c r="K56" s="15">
        <f t="shared" ca="1" si="1"/>
        <v>220.98166666666705</v>
      </c>
      <c r="L56" s="6"/>
      <c r="M56" s="19">
        <f ca="1">IF(testdataHighLow[[#This Row],[type]]="H",testdataHighLow[[#This Row],[high]],AVERAGE(M55,M57))</f>
        <v>230.25091703053198</v>
      </c>
      <c r="N56" s="19"/>
      <c r="Q56" s="7">
        <v>55</v>
      </c>
      <c r="R56" s="15">
        <v>220.98169999999999</v>
      </c>
      <c r="S56" s="19">
        <v>230.25092000000001</v>
      </c>
      <c r="T56" s="19"/>
    </row>
    <row r="57" spans="1:21" x14ac:dyDescent="0.35">
      <c r="A57" s="7">
        <v>56</v>
      </c>
      <c r="B57" s="3">
        <v>42817</v>
      </c>
      <c r="C57" s="2">
        <v>222.04</v>
      </c>
      <c r="D57" s="14">
        <v>223.31</v>
      </c>
      <c r="E57" s="14">
        <v>221.66</v>
      </c>
      <c r="F57" s="2">
        <v>222.06</v>
      </c>
      <c r="G57" s="1">
        <v>105821032</v>
      </c>
      <c r="H57" s="6" t="s">
        <v>12</v>
      </c>
      <c r="I57" s="6">
        <f>IF(AND(H56="UP",testdataHighLow[[#This Row],[high]]&gt;I56),testdataHighLow[[#This Row],[high]],IF(AND(H56="DN",testdataHighLow[[#This Row],[low]]&lt;I56),testdataHighLow[[#This Row],[low]],I56))</f>
        <v>221.13</v>
      </c>
      <c r="J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9.8584543028987781E-3</v>
      </c>
      <c r="K57" s="15">
        <f t="shared" ca="1" si="1"/>
        <v>220.57777777777807</v>
      </c>
      <c r="L57" s="6"/>
      <c r="M57" s="19">
        <f ca="1">IF(testdataHighLow[[#This Row],[type]]="H",testdataHighLow[[#This Row],[high]],AVERAGE(M56,M58))</f>
        <v>230.46497816590093</v>
      </c>
      <c r="N57" s="19"/>
      <c r="Q57" s="7">
        <v>56</v>
      </c>
      <c r="R57" s="15">
        <v>220.5778</v>
      </c>
      <c r="S57" s="19">
        <v>230.46498</v>
      </c>
      <c r="T57" s="19"/>
    </row>
    <row r="58" spans="1:21" x14ac:dyDescent="0.35">
      <c r="A58" s="7">
        <v>57</v>
      </c>
      <c r="B58" s="3">
        <v>42818</v>
      </c>
      <c r="C58" s="2">
        <v>222.4</v>
      </c>
      <c r="D58" s="14">
        <v>223.02</v>
      </c>
      <c r="E58" s="14">
        <v>221.05</v>
      </c>
      <c r="F58" s="2">
        <v>221.9</v>
      </c>
      <c r="G58" s="1">
        <v>118567344</v>
      </c>
      <c r="H58" s="6" t="s">
        <v>12</v>
      </c>
      <c r="I58" s="6">
        <f>IF(AND(H57="UP",testdataHighLow[[#This Row],[high]]&gt;I57),testdataHighLow[[#This Row],[high]],IF(AND(H57="DN",testdataHighLow[[#This Row],[low]]&lt;I57),testdataHighLow[[#This Row],[low]],I57))</f>
        <v>221.05</v>
      </c>
      <c r="J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8.9120108572721055E-3</v>
      </c>
      <c r="K58" s="15">
        <f t="shared" ca="1" si="1"/>
        <v>220.17388888888905</v>
      </c>
      <c r="L58" s="6"/>
      <c r="M58" s="19">
        <f ca="1">IF(testdataHighLow[[#This Row],[type]]="H",testdataHighLow[[#This Row],[high]],AVERAGE(M57,M59))</f>
        <v>230.67903930126988</v>
      </c>
      <c r="N58" s="19"/>
      <c r="Q58" s="7">
        <v>57</v>
      </c>
      <c r="R58" s="15">
        <v>220.1739</v>
      </c>
      <c r="S58" s="19">
        <v>230.67903999999999</v>
      </c>
      <c r="T58" s="19"/>
    </row>
    <row r="59" spans="1:21" x14ac:dyDescent="0.35">
      <c r="A59" s="7">
        <v>58</v>
      </c>
      <c r="B59" s="3">
        <v>42821</v>
      </c>
      <c r="C59" s="2">
        <v>220.07</v>
      </c>
      <c r="D59" s="14">
        <v>221.96</v>
      </c>
      <c r="E59" s="14">
        <v>219.77</v>
      </c>
      <c r="F59" s="2">
        <v>221.67</v>
      </c>
      <c r="G59" s="1">
        <v>92167056</v>
      </c>
      <c r="H59" s="6" t="s">
        <v>10</v>
      </c>
      <c r="I59" s="6">
        <f>IF(AND(H58="UP",testdataHighLow[[#This Row],[high]]&gt;I58),testdataHighLow[[#This Row],[high]],IF(AND(H58="DN",testdataHighLow[[#This Row],[low]]&lt;I58),testdataHighLow[[#This Row],[low]],I58))</f>
        <v>219.77</v>
      </c>
      <c r="J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9" s="18">
        <f>testdataHighLow[[#This Row],[low]]</f>
        <v>219.77</v>
      </c>
      <c r="L59" s="6" t="s">
        <v>15</v>
      </c>
      <c r="M59" s="19">
        <f ca="1">IF(testdataHighLow[[#This Row],[type]]="H",testdataHighLow[[#This Row],[high]],AVERAGE(M58,M60))</f>
        <v>230.89310043663886</v>
      </c>
      <c r="N59" s="19">
        <f>IF(testdataHighLow[[#This Row],[type]]="L",testdataHighLow[[#This Row],[low]],AVERAGE(N58,N60))</f>
        <v>219.77</v>
      </c>
      <c r="Q59" s="7">
        <v>58</v>
      </c>
      <c r="R59" s="18">
        <v>219.77</v>
      </c>
      <c r="S59" s="19">
        <v>230.8931</v>
      </c>
      <c r="T59" s="19">
        <v>219.77</v>
      </c>
      <c r="U59" s="4" t="s">
        <v>15</v>
      </c>
    </row>
    <row r="60" spans="1:21" x14ac:dyDescent="0.35">
      <c r="A60" s="7">
        <v>59</v>
      </c>
      <c r="B60" s="3">
        <v>42822</v>
      </c>
      <c r="C60" s="2">
        <v>221.34</v>
      </c>
      <c r="D60" s="14">
        <v>223.75</v>
      </c>
      <c r="E60" s="14">
        <v>221.22</v>
      </c>
      <c r="F60" s="2">
        <v>223.29</v>
      </c>
      <c r="G60" s="1">
        <v>98521432</v>
      </c>
      <c r="H60" s="6" t="s">
        <v>10</v>
      </c>
      <c r="I60" s="6">
        <f>IF(AND(H59="UP",testdataHighLow[[#This Row],[high]]&gt;I59),testdataHighLow[[#This Row],[high]],IF(AND(H59="DN",testdataHighLow[[#This Row],[low]]&lt;I59),testdataHighLow[[#This Row],[low]],I59))</f>
        <v>223.75</v>
      </c>
      <c r="J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-1.1307262569832407E-2</v>
      </c>
      <c r="K60" s="15">
        <f t="shared" ca="1" si="1"/>
        <v>220.03677725118706</v>
      </c>
      <c r="L60" s="6"/>
      <c r="M60" s="19">
        <f ca="1">IF(testdataHighLow[[#This Row],[type]]="H",testdataHighLow[[#This Row],[high]],AVERAGE(M59,M61))</f>
        <v>231.10716157200787</v>
      </c>
      <c r="N60" s="19">
        <f ca="1">IF(testdataHighLow[[#This Row],[type]]="L",testdataHighLow[[#This Row],[low]],AVERAGE(N59,N61))</f>
        <v>219.90481651376354</v>
      </c>
      <c r="Q60" s="7">
        <v>59</v>
      </c>
      <c r="R60" s="15">
        <v>220.0368</v>
      </c>
      <c r="S60" s="19">
        <v>231.10715999999999</v>
      </c>
      <c r="T60" s="19">
        <v>219.90482</v>
      </c>
    </row>
    <row r="61" spans="1:21" x14ac:dyDescent="0.35">
      <c r="A61" s="7">
        <v>60</v>
      </c>
      <c r="B61" s="3">
        <v>42823</v>
      </c>
      <c r="C61" s="2">
        <v>222.97</v>
      </c>
      <c r="D61" s="14">
        <v>223.75</v>
      </c>
      <c r="E61" s="14">
        <v>222.72</v>
      </c>
      <c r="F61" s="2">
        <v>223.5</v>
      </c>
      <c r="G61" s="1">
        <v>65288636</v>
      </c>
      <c r="H61" s="6" t="s">
        <v>10</v>
      </c>
      <c r="I61" s="6">
        <f>IF(AND(H60="UP",testdataHighLow[[#This Row],[high]]&gt;I60),testdataHighLow[[#This Row],[high]],IF(AND(H60="DN",testdataHighLow[[#This Row],[low]]&lt;I60),testdataHighLow[[#This Row],[low]],I60))</f>
        <v>223.75</v>
      </c>
      <c r="J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-4.6033519553072676E-3</v>
      </c>
      <c r="K61" s="15">
        <f t="shared" ca="1" si="1"/>
        <v>220.30355450237411</v>
      </c>
      <c r="L61" s="6"/>
      <c r="M61" s="19">
        <f ca="1">IF(testdataHighLow[[#This Row],[type]]="H",testdataHighLow[[#This Row],[high]],AVERAGE(M60,M62))</f>
        <v>231.32122270737688</v>
      </c>
      <c r="N61" s="19">
        <f ca="1">IF(testdataHighLow[[#This Row],[type]]="L",testdataHighLow[[#This Row],[low]],AVERAGE(N60,N62))</f>
        <v>220.03963302752703</v>
      </c>
      <c r="Q61" s="7">
        <v>60</v>
      </c>
      <c r="R61" s="15">
        <v>220.30359999999999</v>
      </c>
      <c r="S61" s="19">
        <v>231.32122000000001</v>
      </c>
      <c r="T61" s="19">
        <v>220.03962999999999</v>
      </c>
    </row>
    <row r="62" spans="1:21" x14ac:dyDescent="0.35">
      <c r="A62" s="7">
        <v>61</v>
      </c>
      <c r="B62" s="3">
        <v>42824</v>
      </c>
      <c r="C62" s="2">
        <v>223.43</v>
      </c>
      <c r="D62" s="14">
        <v>224.43</v>
      </c>
      <c r="E62" s="14">
        <v>223.24</v>
      </c>
      <c r="F62" s="2">
        <v>224.21</v>
      </c>
      <c r="G62" s="1">
        <v>59795288</v>
      </c>
      <c r="H62" s="6" t="s">
        <v>10</v>
      </c>
      <c r="I62" s="6">
        <f>IF(AND(H61="UP",testdataHighLow[[#This Row],[high]]&gt;I61),testdataHighLow[[#This Row],[high]],IF(AND(H61="DN",testdataHighLow[[#This Row],[low]]&lt;I61),testdataHighLow[[#This Row],[low]],I61))</f>
        <v>224.43</v>
      </c>
      <c r="J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-5.3023214365280832E-3</v>
      </c>
      <c r="K62" s="15">
        <f t="shared" ca="1" si="1"/>
        <v>220.57033175356116</v>
      </c>
      <c r="L62" s="6"/>
      <c r="M62" s="19">
        <f ca="1">IF(testdataHighLow[[#This Row],[type]]="H",testdataHighLow[[#This Row],[high]],AVERAGE(M61,M63))</f>
        <v>231.53528384274591</v>
      </c>
      <c r="N62" s="19">
        <f ca="1">IF(testdataHighLow[[#This Row],[type]]="L",testdataHighLow[[#This Row],[low]],AVERAGE(N61,N63))</f>
        <v>220.1744495412905</v>
      </c>
      <c r="Q62" s="7">
        <v>61</v>
      </c>
      <c r="R62" s="15">
        <v>220.5703</v>
      </c>
      <c r="S62" s="19">
        <v>231.53528</v>
      </c>
      <c r="T62" s="19">
        <v>220.17445000000001</v>
      </c>
    </row>
    <row r="63" spans="1:21" x14ac:dyDescent="0.35">
      <c r="A63" s="7">
        <v>62</v>
      </c>
      <c r="B63" s="3">
        <v>42825</v>
      </c>
      <c r="C63" s="2">
        <v>223.84</v>
      </c>
      <c r="D63" s="14">
        <v>224.42</v>
      </c>
      <c r="E63" s="14">
        <v>223.63</v>
      </c>
      <c r="F63" s="2">
        <v>223.69</v>
      </c>
      <c r="G63" s="1">
        <v>77706304</v>
      </c>
      <c r="H63" s="6" t="s">
        <v>10</v>
      </c>
      <c r="I63" s="6">
        <f>IF(AND(H62="UP",testdataHighLow[[#This Row],[high]]&gt;I62),testdataHighLow[[#This Row],[high]],IF(AND(H62="DN",testdataHighLow[[#This Row],[low]]&lt;I62),testdataHighLow[[#This Row],[low]],I62))</f>
        <v>224.43</v>
      </c>
      <c r="J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-3.5645858396828023E-3</v>
      </c>
      <c r="K63" s="15">
        <f t="shared" ca="1" si="1"/>
        <v>220.83710900474819</v>
      </c>
      <c r="L63" s="6"/>
      <c r="M63" s="19">
        <f ca="1">IF(testdataHighLow[[#This Row],[type]]="H",testdataHighLow[[#This Row],[high]],AVERAGE(M62,M64))</f>
        <v>231.74934497811498</v>
      </c>
      <c r="N63" s="19">
        <f ca="1">IF(testdataHighLow[[#This Row],[type]]="L",testdataHighLow[[#This Row],[low]],AVERAGE(N62,N64))</f>
        <v>220.30926605505397</v>
      </c>
      <c r="Q63" s="7">
        <v>62</v>
      </c>
      <c r="R63" s="15">
        <v>220.83709999999999</v>
      </c>
      <c r="S63" s="19">
        <v>231.74933999999999</v>
      </c>
      <c r="T63" s="19">
        <v>220.30927</v>
      </c>
    </row>
    <row r="64" spans="1:21" x14ac:dyDescent="0.35">
      <c r="A64" s="7">
        <v>63</v>
      </c>
      <c r="B64" s="3">
        <v>42828</v>
      </c>
      <c r="C64" s="2">
        <v>223.74</v>
      </c>
      <c r="D64" s="14">
        <v>223.96</v>
      </c>
      <c r="E64" s="14">
        <v>221.95</v>
      </c>
      <c r="F64" s="2">
        <v>223.3</v>
      </c>
      <c r="G64" s="1">
        <v>90156280</v>
      </c>
      <c r="H64" s="6" t="s">
        <v>10</v>
      </c>
      <c r="I64" s="6">
        <f>IF(AND(H63="UP",testdataHighLow[[#This Row],[high]]&gt;I63),testdataHighLow[[#This Row],[high]],IF(AND(H63="DN",testdataHighLow[[#This Row],[low]]&lt;I63),testdataHighLow[[#This Row],[low]],I63))</f>
        <v>224.43</v>
      </c>
      <c r="J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-1.1050216103016611E-2</v>
      </c>
      <c r="K64" s="15">
        <f t="shared" ca="1" si="1"/>
        <v>221.10388625593518</v>
      </c>
      <c r="L64" s="6"/>
      <c r="M64" s="19">
        <f ca="1">IF(testdataHighLow[[#This Row],[type]]="H",testdataHighLow[[#This Row],[high]],AVERAGE(M63,M65))</f>
        <v>231.96340611348404</v>
      </c>
      <c r="N64" s="19">
        <f ca="1">IF(testdataHighLow[[#This Row],[type]]="L",testdataHighLow[[#This Row],[low]],AVERAGE(N63,N65))</f>
        <v>220.44408256881741</v>
      </c>
      <c r="Q64" s="7">
        <v>63</v>
      </c>
      <c r="R64" s="15">
        <v>221.10390000000001</v>
      </c>
      <c r="S64" s="19">
        <v>231.96341000000001</v>
      </c>
      <c r="T64" s="19">
        <v>220.44408000000001</v>
      </c>
    </row>
    <row r="65" spans="1:20" x14ac:dyDescent="0.35">
      <c r="A65" s="7">
        <v>64</v>
      </c>
      <c r="B65" s="3">
        <v>42829</v>
      </c>
      <c r="C65" s="2">
        <v>222.98</v>
      </c>
      <c r="D65" s="14">
        <v>223.53</v>
      </c>
      <c r="E65" s="14">
        <v>222.56</v>
      </c>
      <c r="F65" s="2">
        <v>223.44</v>
      </c>
      <c r="G65" s="1">
        <v>59508952</v>
      </c>
      <c r="H65" s="6" t="s">
        <v>10</v>
      </c>
      <c r="I65" s="6">
        <f>IF(AND(H64="UP",testdataHighLow[[#This Row],[high]]&gt;I64),testdataHighLow[[#This Row],[high]],IF(AND(H64="DN",testdataHighLow[[#This Row],[low]]&lt;I64),testdataHighLow[[#This Row],[low]],I64))</f>
        <v>224.43</v>
      </c>
      <c r="J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-8.3322194002584532E-3</v>
      </c>
      <c r="K65" s="15">
        <f t="shared" ca="1" si="1"/>
        <v>221.37066350712217</v>
      </c>
      <c r="L65" s="6"/>
      <c r="M65" s="19">
        <f ca="1">IF(testdataHighLow[[#This Row],[type]]="H",testdataHighLow[[#This Row],[high]],AVERAGE(M64,M66))</f>
        <v>232.17746724885313</v>
      </c>
      <c r="N65" s="19">
        <f ca="1">IF(testdataHighLow[[#This Row],[type]]="L",testdataHighLow[[#This Row],[low]],AVERAGE(N64,N66))</f>
        <v>220.57889908258082</v>
      </c>
      <c r="Q65" s="7">
        <v>64</v>
      </c>
      <c r="R65" s="15">
        <v>221.3707</v>
      </c>
      <c r="S65" s="19">
        <v>232.17747</v>
      </c>
      <c r="T65" s="19">
        <v>220.5789</v>
      </c>
    </row>
    <row r="66" spans="1:20" x14ac:dyDescent="0.35">
      <c r="A66" s="7">
        <v>65</v>
      </c>
      <c r="B66" s="3">
        <v>42830</v>
      </c>
      <c r="C66" s="2">
        <v>224.18</v>
      </c>
      <c r="D66" s="14">
        <v>225.25</v>
      </c>
      <c r="E66" s="14">
        <v>222.55</v>
      </c>
      <c r="F66" s="2">
        <v>222.78</v>
      </c>
      <c r="G66" s="1">
        <v>114663488</v>
      </c>
      <c r="H66" s="6" t="s">
        <v>10</v>
      </c>
      <c r="I66" s="6">
        <f>IF(AND(H65="UP",testdataHighLow[[#This Row],[high]]&gt;I65),testdataHighLow[[#This Row],[high]],IF(AND(H65="DN",testdataHighLow[[#This Row],[low]]&lt;I65),testdataHighLow[[#This Row],[low]],I65))</f>
        <v>225.25</v>
      </c>
      <c r="J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-1.1986681465038795E-2</v>
      </c>
      <c r="K66" s="15">
        <f t="shared" ca="1" si="1"/>
        <v>221.63744075830914</v>
      </c>
      <c r="L66" s="6"/>
      <c r="M66" s="19">
        <f ca="1">IF(testdataHighLow[[#This Row],[type]]="H",testdataHighLow[[#This Row],[high]],AVERAGE(M65,M67))</f>
        <v>232.39152838422225</v>
      </c>
      <c r="N66" s="19">
        <f ca="1">IF(testdataHighLow[[#This Row],[type]]="L",testdataHighLow[[#This Row],[low]],AVERAGE(N65,N67))</f>
        <v>220.71371559634423</v>
      </c>
      <c r="Q66" s="7">
        <v>65</v>
      </c>
      <c r="R66" s="15">
        <v>221.63740000000001</v>
      </c>
      <c r="S66" s="19">
        <v>232.39152999999999</v>
      </c>
      <c r="T66" s="19">
        <v>220.71372</v>
      </c>
    </row>
    <row r="67" spans="1:20" x14ac:dyDescent="0.35">
      <c r="A67" s="7">
        <v>66</v>
      </c>
      <c r="B67" s="3">
        <v>42831</v>
      </c>
      <c r="C67" s="2">
        <v>222.93</v>
      </c>
      <c r="D67" s="14">
        <v>223.97</v>
      </c>
      <c r="E67" s="14">
        <v>222.44</v>
      </c>
      <c r="F67" s="2">
        <v>223.4</v>
      </c>
      <c r="G67" s="1">
        <v>72861232</v>
      </c>
      <c r="H67" s="6" t="s">
        <v>10</v>
      </c>
      <c r="I67" s="6">
        <f>IF(AND(H66="UP",testdataHighLow[[#This Row],[high]]&gt;I66),testdataHighLow[[#This Row],[high]],IF(AND(H66="DN",testdataHighLow[[#This Row],[low]]&lt;I66),testdataHighLow[[#This Row],[low]],I66))</f>
        <v>225.25</v>
      </c>
      <c r="J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-1.2475027746947845E-2</v>
      </c>
      <c r="K67" s="15">
        <f t="shared" ca="1" si="1"/>
        <v>221.90421800949608</v>
      </c>
      <c r="L67" s="6"/>
      <c r="M67" s="19">
        <f ca="1">IF(testdataHighLow[[#This Row],[type]]="H",testdataHighLow[[#This Row],[high]],AVERAGE(M66,M68))</f>
        <v>232.60558951959138</v>
      </c>
      <c r="N67" s="19">
        <f ca="1">IF(testdataHighLow[[#This Row],[type]]="L",testdataHighLow[[#This Row],[low]],AVERAGE(N66,N68))</f>
        <v>220.84853211010761</v>
      </c>
      <c r="Q67" s="7">
        <v>66</v>
      </c>
      <c r="R67" s="15">
        <v>221.9042</v>
      </c>
      <c r="S67" s="19">
        <v>232.60559000000001</v>
      </c>
      <c r="T67" s="19">
        <v>220.84853000000001</v>
      </c>
    </row>
    <row r="68" spans="1:20" x14ac:dyDescent="0.35">
      <c r="A68" s="7">
        <v>67</v>
      </c>
      <c r="B68" s="3">
        <v>42832</v>
      </c>
      <c r="C68" s="2">
        <v>223.13</v>
      </c>
      <c r="D68" s="14">
        <v>223.93</v>
      </c>
      <c r="E68" s="14">
        <v>222.64</v>
      </c>
      <c r="F68" s="2">
        <v>223.17</v>
      </c>
      <c r="G68" s="1">
        <v>78422128</v>
      </c>
      <c r="H68" s="6" t="s">
        <v>10</v>
      </c>
      <c r="I68" s="6">
        <f>IF(AND(H67="UP",testdataHighLow[[#This Row],[high]]&gt;I67),testdataHighLow[[#This Row],[high]],IF(AND(H67="DN",testdataHighLow[[#This Row],[low]]&lt;I67),testdataHighLow[[#This Row],[low]],I67))</f>
        <v>225.25</v>
      </c>
      <c r="J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-1.1587125416204278E-2</v>
      </c>
      <c r="K68" s="15">
        <f t="shared" ref="K68:K131" ca="1" si="2">AVERAGE(K67,K69)</f>
        <v>222.17099526068301</v>
      </c>
      <c r="L68" s="6"/>
      <c r="M68" s="19">
        <f ca="1">IF(testdataHighLow[[#This Row],[type]]="H",testdataHighLow[[#This Row],[high]],AVERAGE(M67,M69))</f>
        <v>232.81965065496053</v>
      </c>
      <c r="N68" s="19">
        <f ca="1">IF(testdataHighLow[[#This Row],[type]]="L",testdataHighLow[[#This Row],[low]],AVERAGE(N67,N69))</f>
        <v>220.98334862387097</v>
      </c>
      <c r="Q68" s="7">
        <v>67</v>
      </c>
      <c r="R68" s="15">
        <v>222.17099999999999</v>
      </c>
      <c r="S68" s="19">
        <v>232.81965</v>
      </c>
      <c r="T68" s="19">
        <v>220.98335</v>
      </c>
    </row>
    <row r="69" spans="1:20" x14ac:dyDescent="0.35">
      <c r="A69" s="7">
        <v>68</v>
      </c>
      <c r="B69" s="3">
        <v>42835</v>
      </c>
      <c r="C69" s="2">
        <v>223.33</v>
      </c>
      <c r="D69" s="14">
        <v>224.18</v>
      </c>
      <c r="E69" s="14">
        <v>222.73</v>
      </c>
      <c r="F69" s="2">
        <v>223.31</v>
      </c>
      <c r="G69" s="1">
        <v>71258848</v>
      </c>
      <c r="H69" s="6" t="s">
        <v>10</v>
      </c>
      <c r="I69" s="6">
        <f>IF(AND(H68="UP",testdataHighLow[[#This Row],[high]]&gt;I68),testdataHighLow[[#This Row],[high]],IF(AND(H68="DN",testdataHighLow[[#This Row],[low]]&lt;I68),testdataHighLow[[#This Row],[low]],I68))</f>
        <v>225.25</v>
      </c>
      <c r="J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-1.1187569367369634E-2</v>
      </c>
      <c r="K69" s="15">
        <f t="shared" ca="1" si="2"/>
        <v>222.43777251186992</v>
      </c>
      <c r="L69" s="6"/>
      <c r="M69" s="19">
        <f ca="1">IF(testdataHighLow[[#This Row],[type]]="H",testdataHighLow[[#This Row],[high]],AVERAGE(M68,M70))</f>
        <v>233.0337117903297</v>
      </c>
      <c r="N69" s="19">
        <f ca="1">IF(testdataHighLow[[#This Row],[type]]="L",testdataHighLow[[#This Row],[low]],AVERAGE(N68,N70))</f>
        <v>221.11816513763432</v>
      </c>
      <c r="Q69" s="7">
        <v>68</v>
      </c>
      <c r="R69" s="15">
        <v>222.43780000000001</v>
      </c>
      <c r="S69" s="19">
        <v>233.03371000000001</v>
      </c>
      <c r="T69" s="19">
        <v>221.11816999999999</v>
      </c>
    </row>
    <row r="70" spans="1:20" x14ac:dyDescent="0.35">
      <c r="A70" s="7">
        <v>69</v>
      </c>
      <c r="B70" s="3">
        <v>42836</v>
      </c>
      <c r="C70" s="2">
        <v>222.89</v>
      </c>
      <c r="D70" s="14">
        <v>223.15</v>
      </c>
      <c r="E70" s="14">
        <v>221.41</v>
      </c>
      <c r="F70" s="2">
        <v>223.04</v>
      </c>
      <c r="G70" s="1">
        <v>92789720</v>
      </c>
      <c r="H70" s="6" t="s">
        <v>10</v>
      </c>
      <c r="I70" s="6">
        <f>IF(AND(H69="UP",testdataHighLow[[#This Row],[high]]&gt;I69),testdataHighLow[[#This Row],[high]],IF(AND(H69="DN",testdataHighLow[[#This Row],[low]]&lt;I69),testdataHighLow[[#This Row],[low]],I69))</f>
        <v>225.25</v>
      </c>
      <c r="J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-1.7047724750277486E-2</v>
      </c>
      <c r="K70" s="15">
        <f t="shared" ca="1" si="2"/>
        <v>222.7045497630568</v>
      </c>
      <c r="L70" s="6"/>
      <c r="M70" s="19">
        <f ca="1">IF(testdataHighLow[[#This Row],[type]]="H",testdataHighLow[[#This Row],[high]],AVERAGE(M69,M71))</f>
        <v>233.24777292569888</v>
      </c>
      <c r="N70" s="19">
        <f ca="1">IF(testdataHighLow[[#This Row],[type]]="L",testdataHighLow[[#This Row],[low]],AVERAGE(N69,N71))</f>
        <v>221.25298165139765</v>
      </c>
      <c r="Q70" s="7">
        <v>69</v>
      </c>
      <c r="R70" s="15">
        <v>222.7045</v>
      </c>
      <c r="S70" s="19">
        <v>233.24777</v>
      </c>
      <c r="T70" s="19">
        <v>221.25298000000001</v>
      </c>
    </row>
    <row r="71" spans="1:20" x14ac:dyDescent="0.35">
      <c r="A71" s="7">
        <v>70</v>
      </c>
      <c r="B71" s="3">
        <v>42837</v>
      </c>
      <c r="C71" s="2">
        <v>222.74</v>
      </c>
      <c r="D71" s="14">
        <v>222.95</v>
      </c>
      <c r="E71" s="14">
        <v>221.82</v>
      </c>
      <c r="F71" s="2">
        <v>222.06</v>
      </c>
      <c r="G71" s="1">
        <v>86275816</v>
      </c>
      <c r="H71" s="6" t="s">
        <v>10</v>
      </c>
      <c r="I71" s="6">
        <f>IF(AND(H70="UP",testdataHighLow[[#This Row],[high]]&gt;I70),testdataHighLow[[#This Row],[high]],IF(AND(H70="DN",testdataHighLow[[#This Row],[low]]&lt;I70),testdataHighLow[[#This Row],[low]],I70))</f>
        <v>225.25</v>
      </c>
      <c r="J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-1.5227524972253083E-2</v>
      </c>
      <c r="K71" s="15">
        <f t="shared" ca="1" si="2"/>
        <v>222.97132701424368</v>
      </c>
      <c r="L71" s="6"/>
      <c r="M71" s="19">
        <f ca="1">IF(testdataHighLow[[#This Row],[type]]="H",testdataHighLow[[#This Row],[high]],AVERAGE(M70,M72))</f>
        <v>233.46183406106809</v>
      </c>
      <c r="N71" s="19">
        <f ca="1">IF(testdataHighLow[[#This Row],[type]]="L",testdataHighLow[[#This Row],[low]],AVERAGE(N70,N72))</f>
        <v>221.38779816516094</v>
      </c>
      <c r="Q71" s="7">
        <v>70</v>
      </c>
      <c r="R71" s="15">
        <v>222.97130000000001</v>
      </c>
      <c r="S71" s="19">
        <v>233.46182999999999</v>
      </c>
      <c r="T71" s="19">
        <v>221.3878</v>
      </c>
    </row>
    <row r="72" spans="1:20" x14ac:dyDescent="0.35">
      <c r="A72" s="7">
        <v>71</v>
      </c>
      <c r="B72" s="3">
        <v>42838</v>
      </c>
      <c r="C72" s="2">
        <v>221.69</v>
      </c>
      <c r="D72" s="14">
        <v>222.5</v>
      </c>
      <c r="E72" s="14">
        <v>220.62</v>
      </c>
      <c r="F72" s="2">
        <v>220.62</v>
      </c>
      <c r="G72" s="1">
        <v>97885392</v>
      </c>
      <c r="H72" s="6" t="s">
        <v>10</v>
      </c>
      <c r="I72" s="6">
        <f>IF(AND(H71="UP",testdataHighLow[[#This Row],[high]]&gt;I71),testdataHighLow[[#This Row],[high]],IF(AND(H71="DN",testdataHighLow[[#This Row],[low]]&lt;I71),testdataHighLow[[#This Row],[low]],I71))</f>
        <v>225.25</v>
      </c>
      <c r="J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-2.055493895671474E-2</v>
      </c>
      <c r="K72" s="15">
        <f t="shared" ca="1" si="2"/>
        <v>223.23810426543054</v>
      </c>
      <c r="L72" s="6"/>
      <c r="M72" s="19">
        <f ca="1">IF(testdataHighLow[[#This Row],[type]]="H",testdataHighLow[[#This Row],[high]],AVERAGE(M71,M73))</f>
        <v>233.67589519643732</v>
      </c>
      <c r="N72" s="19">
        <f ca="1">IF(testdataHighLow[[#This Row],[type]]="L",testdataHighLow[[#This Row],[low]],AVERAGE(N71,N73))</f>
        <v>221.52261467892424</v>
      </c>
      <c r="Q72" s="7">
        <v>71</v>
      </c>
      <c r="R72" s="15">
        <v>223.2381</v>
      </c>
      <c r="S72" s="19">
        <v>233.67590000000001</v>
      </c>
      <c r="T72" s="19">
        <v>221.52260999999999</v>
      </c>
    </row>
    <row r="73" spans="1:20" x14ac:dyDescent="0.35">
      <c r="A73" s="7">
        <v>72</v>
      </c>
      <c r="B73" s="3">
        <v>42842</v>
      </c>
      <c r="C73" s="2">
        <v>221.19</v>
      </c>
      <c r="D73" s="14">
        <v>222.58</v>
      </c>
      <c r="E73" s="14">
        <v>220.97</v>
      </c>
      <c r="F73" s="2">
        <v>222.58</v>
      </c>
      <c r="G73" s="1">
        <v>72091488</v>
      </c>
      <c r="H73" s="6" t="s">
        <v>10</v>
      </c>
      <c r="I73" s="6">
        <f>IF(AND(H72="UP",testdataHighLow[[#This Row],[high]]&gt;I72),testdataHighLow[[#This Row],[high]],IF(AND(H72="DN",testdataHighLow[[#This Row],[low]]&lt;I72),testdataHighLow[[#This Row],[low]],I72))</f>
        <v>225.25</v>
      </c>
      <c r="J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-1.9001109877913435E-2</v>
      </c>
      <c r="K73" s="15">
        <f t="shared" ca="1" si="2"/>
        <v>223.50488151661736</v>
      </c>
      <c r="L73" s="6"/>
      <c r="M73" s="19">
        <f ca="1">IF(testdataHighLow[[#This Row],[type]]="H",testdataHighLow[[#This Row],[high]],AVERAGE(M72,M74))</f>
        <v>233.88995633180656</v>
      </c>
      <c r="N73" s="19">
        <f ca="1">IF(testdataHighLow[[#This Row],[type]]="L",testdataHighLow[[#This Row],[low]],AVERAGE(N72,N74))</f>
        <v>221.65743119268751</v>
      </c>
      <c r="Q73" s="7">
        <v>72</v>
      </c>
      <c r="R73" s="15">
        <v>223.50489999999999</v>
      </c>
      <c r="S73" s="19">
        <v>233.88996</v>
      </c>
      <c r="T73" s="19">
        <v>221.65743000000001</v>
      </c>
    </row>
    <row r="74" spans="1:20" x14ac:dyDescent="0.35">
      <c r="A74" s="7">
        <v>73</v>
      </c>
      <c r="B74" s="3">
        <v>42843</v>
      </c>
      <c r="C74" s="2">
        <v>221.77</v>
      </c>
      <c r="D74" s="14">
        <v>222.5</v>
      </c>
      <c r="E74" s="14">
        <v>221.16</v>
      </c>
      <c r="F74" s="2">
        <v>221.91</v>
      </c>
      <c r="G74" s="1">
        <v>87710560</v>
      </c>
      <c r="H74" s="6" t="s">
        <v>10</v>
      </c>
      <c r="I74" s="6">
        <f>IF(AND(H73="UP",testdataHighLow[[#This Row],[high]]&gt;I73),testdataHighLow[[#This Row],[high]],IF(AND(H73="DN",testdataHighLow[[#This Row],[low]]&lt;I73),testdataHighLow[[#This Row],[low]],I73))</f>
        <v>225.25</v>
      </c>
      <c r="J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-1.8157602663707008E-2</v>
      </c>
      <c r="K74" s="15">
        <f t="shared" ca="1" si="2"/>
        <v>223.77165876780418</v>
      </c>
      <c r="L74" s="6"/>
      <c r="M74" s="19">
        <f ca="1">IF(testdataHighLow[[#This Row],[type]]="H",testdataHighLow[[#This Row],[high]],AVERAGE(M73,M75))</f>
        <v>234.10401746717582</v>
      </c>
      <c r="N74" s="19">
        <f ca="1">IF(testdataHighLow[[#This Row],[type]]="L",testdataHighLow[[#This Row],[low]],AVERAGE(N73,N75))</f>
        <v>221.79224770645075</v>
      </c>
      <c r="Q74" s="7">
        <v>73</v>
      </c>
      <c r="R74" s="15">
        <v>223.77170000000001</v>
      </c>
      <c r="S74" s="19">
        <v>234.10401999999999</v>
      </c>
      <c r="T74" s="19">
        <v>221.79225</v>
      </c>
    </row>
    <row r="75" spans="1:20" x14ac:dyDescent="0.35">
      <c r="A75" s="7">
        <v>74</v>
      </c>
      <c r="B75" s="3">
        <v>42844</v>
      </c>
      <c r="C75" s="2">
        <v>222.53</v>
      </c>
      <c r="D75" s="14">
        <v>222.94</v>
      </c>
      <c r="E75" s="14">
        <v>221.26</v>
      </c>
      <c r="F75" s="2">
        <v>221.5</v>
      </c>
      <c r="G75" s="1">
        <v>72401856</v>
      </c>
      <c r="H75" s="6" t="s">
        <v>10</v>
      </c>
      <c r="I75" s="6">
        <f>IF(AND(H74="UP",testdataHighLow[[#This Row],[high]]&gt;I74),testdataHighLow[[#This Row],[high]],IF(AND(H74="DN",testdataHighLow[[#This Row],[low]]&lt;I74),testdataHighLow[[#This Row],[low]],I74))</f>
        <v>225.25</v>
      </c>
      <c r="J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-1.7713651498335224E-2</v>
      </c>
      <c r="K75" s="15">
        <f t="shared" ca="1" si="2"/>
        <v>224.03843601899098</v>
      </c>
      <c r="L75" s="6"/>
      <c r="M75" s="19">
        <f ca="1">IF(testdataHighLow[[#This Row],[type]]="H",testdataHighLow[[#This Row],[high]],AVERAGE(M74,M76))</f>
        <v>234.31807860254511</v>
      </c>
      <c r="N75" s="19">
        <f ca="1">IF(testdataHighLow[[#This Row],[type]]="L",testdataHighLow[[#This Row],[low]],AVERAGE(N74,N76))</f>
        <v>221.92706422021399</v>
      </c>
      <c r="Q75" s="7">
        <v>74</v>
      </c>
      <c r="R75" s="15">
        <v>224.0384</v>
      </c>
      <c r="S75" s="19">
        <v>234.31808000000001</v>
      </c>
      <c r="T75" s="19">
        <v>221.92706000000001</v>
      </c>
    </row>
    <row r="76" spans="1:20" x14ac:dyDescent="0.35">
      <c r="A76" s="7">
        <v>75</v>
      </c>
      <c r="B76" s="3">
        <v>42845</v>
      </c>
      <c r="C76" s="2">
        <v>222.18</v>
      </c>
      <c r="D76" s="14">
        <v>223.79</v>
      </c>
      <c r="E76" s="14">
        <v>221.83</v>
      </c>
      <c r="F76" s="2">
        <v>223.31</v>
      </c>
      <c r="G76" s="1">
        <v>97560568</v>
      </c>
      <c r="H76" s="6" t="s">
        <v>10</v>
      </c>
      <c r="I76" s="6">
        <f>IF(AND(H75="UP",testdataHighLow[[#This Row],[high]]&gt;I75),testdataHighLow[[#This Row],[high]],IF(AND(H75="DN",testdataHighLow[[#This Row],[low]]&lt;I75),testdataHighLow[[#This Row],[low]],I75))</f>
        <v>225.25</v>
      </c>
      <c r="J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-1.5183129855715816E-2</v>
      </c>
      <c r="K76" s="15">
        <f t="shared" ca="1" si="2"/>
        <v>224.30521327017775</v>
      </c>
      <c r="L76" s="6"/>
      <c r="M76" s="19">
        <f ca="1">IF(testdataHighLow[[#This Row],[type]]="H",testdataHighLow[[#This Row],[high]],AVERAGE(M75,M77))</f>
        <v>234.53213973791441</v>
      </c>
      <c r="N76" s="19">
        <f ca="1">IF(testdataHighLow[[#This Row],[type]]="L",testdataHighLow[[#This Row],[low]],AVERAGE(N75,N77))</f>
        <v>222.0618807339772</v>
      </c>
      <c r="Q76" s="7">
        <v>75</v>
      </c>
      <c r="R76" s="15">
        <v>224.30520000000001</v>
      </c>
      <c r="S76" s="19">
        <v>234.53214</v>
      </c>
      <c r="T76" s="19">
        <v>222.06188</v>
      </c>
    </row>
    <row r="77" spans="1:20" x14ac:dyDescent="0.35">
      <c r="A77" s="7">
        <v>76</v>
      </c>
      <c r="B77" s="3">
        <v>42846</v>
      </c>
      <c r="C77" s="2">
        <v>223.22</v>
      </c>
      <c r="D77" s="14">
        <v>223.28</v>
      </c>
      <c r="E77" s="14">
        <v>222.16</v>
      </c>
      <c r="F77" s="2">
        <v>222.6</v>
      </c>
      <c r="G77" s="1">
        <v>116338368</v>
      </c>
      <c r="H77" s="6" t="s">
        <v>10</v>
      </c>
      <c r="I77" s="6">
        <f>IF(AND(H76="UP",testdataHighLow[[#This Row],[high]]&gt;I76),testdataHighLow[[#This Row],[high]],IF(AND(H76="DN",testdataHighLow[[#This Row],[low]]&lt;I76),testdataHighLow[[#This Row],[low]],I76))</f>
        <v>225.25</v>
      </c>
      <c r="J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-1.3718091009988916E-2</v>
      </c>
      <c r="K77" s="15">
        <f t="shared" ca="1" si="2"/>
        <v>224.57199052136451</v>
      </c>
      <c r="L77" s="6"/>
      <c r="M77" s="19">
        <f ca="1">IF(testdataHighLow[[#This Row],[type]]="H",testdataHighLow[[#This Row],[high]],AVERAGE(M76,M78))</f>
        <v>234.74620087328373</v>
      </c>
      <c r="N77" s="19">
        <f ca="1">IF(testdataHighLow[[#This Row],[type]]="L",testdataHighLow[[#This Row],[low]],AVERAGE(N76,N78))</f>
        <v>222.19669724774039</v>
      </c>
      <c r="Q77" s="7">
        <v>76</v>
      </c>
      <c r="R77" s="15">
        <v>224.572</v>
      </c>
      <c r="S77" s="19">
        <v>234.74619999999999</v>
      </c>
      <c r="T77" s="19">
        <v>222.19669999999999</v>
      </c>
    </row>
    <row r="78" spans="1:20" x14ac:dyDescent="0.35">
      <c r="A78" s="7">
        <v>77</v>
      </c>
      <c r="B78" s="3">
        <v>42849</v>
      </c>
      <c r="C78" s="2">
        <v>225.05</v>
      </c>
      <c r="D78" s="14">
        <v>225.27</v>
      </c>
      <c r="E78" s="14">
        <v>222.57</v>
      </c>
      <c r="F78" s="2">
        <v>225.04</v>
      </c>
      <c r="G78" s="1">
        <v>125633672</v>
      </c>
      <c r="H78" s="6" t="s">
        <v>10</v>
      </c>
      <c r="I78" s="6">
        <f>IF(AND(H77="UP",testdataHighLow[[#This Row],[high]]&gt;I77),testdataHighLow[[#This Row],[high]],IF(AND(H77="DN",testdataHighLow[[#This Row],[low]]&lt;I77),testdataHighLow[[#This Row],[low]],I77))</f>
        <v>225.27</v>
      </c>
      <c r="J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-1.1985617259288929E-2</v>
      </c>
      <c r="K78" s="15">
        <f t="shared" ca="1" si="2"/>
        <v>224.83876777255125</v>
      </c>
      <c r="L78" s="6"/>
      <c r="M78" s="19">
        <f ca="1">IF(testdataHighLow[[#This Row],[type]]="H",testdataHighLow[[#This Row],[high]],AVERAGE(M77,M79))</f>
        <v>234.96026200865307</v>
      </c>
      <c r="N78" s="19">
        <f ca="1">IF(testdataHighLow[[#This Row],[type]]="L",testdataHighLow[[#This Row],[low]],AVERAGE(N77,N79))</f>
        <v>222.33151376150357</v>
      </c>
      <c r="Q78" s="7">
        <v>77</v>
      </c>
      <c r="R78" s="15">
        <v>224.83879999999999</v>
      </c>
      <c r="S78" s="19">
        <v>234.96026000000001</v>
      </c>
      <c r="T78" s="19">
        <v>222.33151000000001</v>
      </c>
    </row>
    <row r="79" spans="1:20" x14ac:dyDescent="0.35">
      <c r="A79" s="7">
        <v>78</v>
      </c>
      <c r="B79" s="3">
        <v>42850</v>
      </c>
      <c r="C79" s="2">
        <v>225.75</v>
      </c>
      <c r="D79" s="14">
        <v>226.73</v>
      </c>
      <c r="E79" s="14">
        <v>225.65</v>
      </c>
      <c r="F79" s="2">
        <v>226.35</v>
      </c>
      <c r="G79" s="1">
        <v>80831256</v>
      </c>
      <c r="H79" s="6" t="s">
        <v>10</v>
      </c>
      <c r="I79" s="6">
        <f>IF(AND(H78="UP",testdataHighLow[[#This Row],[high]]&gt;I78),testdataHighLow[[#This Row],[high]],IF(AND(H78="DN",testdataHighLow[[#This Row],[low]]&lt;I78),testdataHighLow[[#This Row],[low]],I78))</f>
        <v>226.73</v>
      </c>
      <c r="J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-4.7633749393551101E-3</v>
      </c>
      <c r="K79" s="15">
        <f t="shared" ca="1" si="2"/>
        <v>225.10554502373796</v>
      </c>
      <c r="L79" s="6"/>
      <c r="M79" s="19">
        <f ca="1">IF(testdataHighLow[[#This Row],[type]]="H",testdataHighLow[[#This Row],[high]],AVERAGE(M78,M80))</f>
        <v>235.17432314402242</v>
      </c>
      <c r="N79" s="19">
        <f ca="1">IF(testdataHighLow[[#This Row],[type]]="L",testdataHighLow[[#This Row],[low]],AVERAGE(N78,N80))</f>
        <v>222.46633027526673</v>
      </c>
      <c r="Q79" s="7">
        <v>78</v>
      </c>
      <c r="R79" s="15">
        <v>225.10550000000001</v>
      </c>
      <c r="S79" s="19">
        <v>235.17431999999999</v>
      </c>
      <c r="T79" s="19">
        <v>222.46633</v>
      </c>
    </row>
    <row r="80" spans="1:20" x14ac:dyDescent="0.35">
      <c r="A80" s="7">
        <v>79</v>
      </c>
      <c r="B80" s="3">
        <v>42851</v>
      </c>
      <c r="C80" s="2">
        <v>226.31</v>
      </c>
      <c r="D80" s="14">
        <v>227.28</v>
      </c>
      <c r="E80" s="14">
        <v>226.16</v>
      </c>
      <c r="F80" s="2">
        <v>226.21</v>
      </c>
      <c r="G80" s="1">
        <v>89266768</v>
      </c>
      <c r="H80" s="6" t="s">
        <v>10</v>
      </c>
      <c r="I80" s="6">
        <f>IF(AND(H79="UP",testdataHighLow[[#This Row],[high]]&gt;I79),testdataHighLow[[#This Row],[high]],IF(AND(H79="DN",testdataHighLow[[#This Row],[low]]&lt;I79),testdataHighLow[[#This Row],[low]],I79))</f>
        <v>227.28</v>
      </c>
      <c r="J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-4.9278423090461307E-3</v>
      </c>
      <c r="K80" s="15">
        <f t="shared" ca="1" si="2"/>
        <v>225.37232227492467</v>
      </c>
      <c r="L80" s="6"/>
      <c r="M80" s="19">
        <f ca="1">IF(testdataHighLow[[#This Row],[type]]="H",testdataHighLow[[#This Row],[high]],AVERAGE(M79,M81))</f>
        <v>235.3883842793918</v>
      </c>
      <c r="N80" s="19">
        <f ca="1">IF(testdataHighLow[[#This Row],[type]]="L",testdataHighLow[[#This Row],[low]],AVERAGE(N79,N81))</f>
        <v>222.60114678902985</v>
      </c>
      <c r="Q80" s="7">
        <v>79</v>
      </c>
      <c r="R80" s="15">
        <v>225.3723</v>
      </c>
      <c r="S80" s="19">
        <v>235.38838000000001</v>
      </c>
      <c r="T80" s="19">
        <v>222.60114999999999</v>
      </c>
    </row>
    <row r="81" spans="1:20" x14ac:dyDescent="0.35">
      <c r="A81" s="7">
        <v>80</v>
      </c>
      <c r="B81" s="3">
        <v>42852</v>
      </c>
      <c r="C81" s="2">
        <v>226.56</v>
      </c>
      <c r="D81" s="14">
        <v>226.73</v>
      </c>
      <c r="E81" s="14">
        <v>225.81</v>
      </c>
      <c r="F81" s="2">
        <v>226.4</v>
      </c>
      <c r="G81" s="1">
        <v>60503960</v>
      </c>
      <c r="H81" s="6" t="s">
        <v>10</v>
      </c>
      <c r="I81" s="6">
        <f>IF(AND(H80="UP",testdataHighLow[[#This Row],[high]]&gt;I80),testdataHighLow[[#This Row],[high]],IF(AND(H80="DN",testdataHighLow[[#This Row],[low]]&lt;I80),testdataHighLow[[#This Row],[low]],I80))</f>
        <v>227.28</v>
      </c>
      <c r="J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-6.4677930306230149E-3</v>
      </c>
      <c r="K81" s="15">
        <f t="shared" ca="1" si="2"/>
        <v>225.63909952611135</v>
      </c>
      <c r="L81" s="6"/>
      <c r="M81" s="19">
        <f ca="1">IF(testdataHighLow[[#This Row],[type]]="H",testdataHighLow[[#This Row],[high]],AVERAGE(M80,M82))</f>
        <v>235.60244541476121</v>
      </c>
      <c r="N81" s="19">
        <f ca="1">IF(testdataHighLow[[#This Row],[type]]="L",testdataHighLow[[#This Row],[low]],AVERAGE(N80,N82))</f>
        <v>222.73596330279298</v>
      </c>
      <c r="Q81" s="7">
        <v>80</v>
      </c>
      <c r="R81" s="15">
        <v>225.63910000000001</v>
      </c>
      <c r="S81" s="19">
        <v>235.60245</v>
      </c>
      <c r="T81" s="19">
        <v>222.73596000000001</v>
      </c>
    </row>
    <row r="82" spans="1:20" x14ac:dyDescent="0.35">
      <c r="A82" s="7">
        <v>81</v>
      </c>
      <c r="B82" s="3">
        <v>42853</v>
      </c>
      <c r="C82" s="2">
        <v>226.68</v>
      </c>
      <c r="D82" s="14">
        <v>226.71</v>
      </c>
      <c r="E82" s="14">
        <v>225.76</v>
      </c>
      <c r="F82" s="2">
        <v>225.91</v>
      </c>
      <c r="G82" s="1">
        <v>66956400</v>
      </c>
      <c r="H82" s="6" t="s">
        <v>10</v>
      </c>
      <c r="I82" s="6">
        <f>IF(AND(H81="UP",testdataHighLow[[#This Row],[high]]&gt;I81),testdataHighLow[[#This Row],[high]],IF(AND(H81="DN",testdataHighLow[[#This Row],[low]]&lt;I81),testdataHighLow[[#This Row],[low]],I81))</f>
        <v>227.28</v>
      </c>
      <c r="J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-6.6877859908483382E-3</v>
      </c>
      <c r="K82" s="15">
        <f t="shared" ca="1" si="2"/>
        <v>225.905876777298</v>
      </c>
      <c r="L82" s="6"/>
      <c r="M82" s="19">
        <f ca="1">IF(testdataHighLow[[#This Row],[type]]="H",testdataHighLow[[#This Row],[high]],AVERAGE(M81,M83))</f>
        <v>235.81650655013061</v>
      </c>
      <c r="N82" s="19">
        <f ca="1">IF(testdataHighLow[[#This Row],[type]]="L",testdataHighLow[[#This Row],[low]],AVERAGE(N81,N83))</f>
        <v>222.87077981655608</v>
      </c>
      <c r="Q82" s="7">
        <v>81</v>
      </c>
      <c r="R82" s="15">
        <v>225.9059</v>
      </c>
      <c r="S82" s="19">
        <v>235.81650999999999</v>
      </c>
      <c r="T82" s="19">
        <v>222.87078</v>
      </c>
    </row>
    <row r="83" spans="1:20" x14ac:dyDescent="0.35">
      <c r="A83" s="7">
        <v>82</v>
      </c>
      <c r="B83" s="3">
        <v>42856</v>
      </c>
      <c r="C83" s="2">
        <v>226.48</v>
      </c>
      <c r="D83" s="14">
        <v>226.94</v>
      </c>
      <c r="E83" s="14">
        <v>226.02</v>
      </c>
      <c r="F83" s="2">
        <v>226.48</v>
      </c>
      <c r="G83" s="1">
        <v>70486576</v>
      </c>
      <c r="H83" s="6" t="s">
        <v>10</v>
      </c>
      <c r="I83" s="6">
        <f>IF(AND(H82="UP",testdataHighLow[[#This Row],[high]]&gt;I82),testdataHighLow[[#This Row],[high]],IF(AND(H82="DN",testdataHighLow[[#This Row],[low]]&lt;I82),testdataHighLow[[#This Row],[low]],I82))</f>
        <v>227.28</v>
      </c>
      <c r="J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-5.5438225976768346E-3</v>
      </c>
      <c r="K83" s="15">
        <f t="shared" ca="1" si="2"/>
        <v>226.17265402848466</v>
      </c>
      <c r="L83" s="6"/>
      <c r="M83" s="19">
        <f ca="1">IF(testdataHighLow[[#This Row],[type]]="H",testdataHighLow[[#This Row],[high]],AVERAGE(M82,M84))</f>
        <v>236.03056768550005</v>
      </c>
      <c r="N83" s="19">
        <f ca="1">IF(testdataHighLow[[#This Row],[type]]="L",testdataHighLow[[#This Row],[low]],AVERAGE(N82,N84))</f>
        <v>223.00559633031915</v>
      </c>
      <c r="Q83" s="7">
        <v>82</v>
      </c>
      <c r="R83" s="15">
        <v>226.17269999999999</v>
      </c>
      <c r="S83" s="19">
        <v>236.03057000000001</v>
      </c>
      <c r="T83" s="19">
        <v>223.00559999999999</v>
      </c>
    </row>
    <row r="84" spans="1:20" x14ac:dyDescent="0.35">
      <c r="A84" s="7">
        <v>83</v>
      </c>
      <c r="B84" s="3">
        <v>42857</v>
      </c>
      <c r="C84" s="2">
        <v>226.63</v>
      </c>
      <c r="D84" s="14">
        <v>226.76</v>
      </c>
      <c r="E84" s="14">
        <v>226.12</v>
      </c>
      <c r="F84" s="2">
        <v>226.56</v>
      </c>
      <c r="G84" s="1">
        <v>60467504</v>
      </c>
      <c r="H84" s="6" t="s">
        <v>10</v>
      </c>
      <c r="I84" s="6">
        <f>IF(AND(H83="UP",testdataHighLow[[#This Row],[high]]&gt;I83),testdataHighLow[[#This Row],[high]],IF(AND(H83="DN",testdataHighLow[[#This Row],[low]]&lt;I83),testdataHighLow[[#This Row],[low]],I83))</f>
        <v>227.28</v>
      </c>
      <c r="J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-5.1038366772263137E-3</v>
      </c>
      <c r="K84" s="15">
        <f t="shared" ca="1" si="2"/>
        <v>226.43943127967128</v>
      </c>
      <c r="L84" s="6"/>
      <c r="M84" s="19">
        <f ca="1">IF(testdataHighLow[[#This Row],[type]]="H",testdataHighLow[[#This Row],[high]],AVERAGE(M83,M85))</f>
        <v>236.24462882086951</v>
      </c>
      <c r="N84" s="19">
        <f ca="1">IF(testdataHighLow[[#This Row],[type]]="L",testdataHighLow[[#This Row],[low]],AVERAGE(N83,N85))</f>
        <v>223.14041284408222</v>
      </c>
      <c r="Q84" s="7">
        <v>83</v>
      </c>
      <c r="R84" s="15">
        <v>226.43940000000001</v>
      </c>
      <c r="S84" s="19">
        <v>236.24463</v>
      </c>
      <c r="T84" s="19">
        <v>223.14041</v>
      </c>
    </row>
    <row r="85" spans="1:20" x14ac:dyDescent="0.35">
      <c r="A85" s="7">
        <v>84</v>
      </c>
      <c r="B85" s="3">
        <v>42858</v>
      </c>
      <c r="C85" s="2">
        <v>226.11</v>
      </c>
      <c r="D85" s="14">
        <v>226.66</v>
      </c>
      <c r="E85" s="14">
        <v>225.55</v>
      </c>
      <c r="F85" s="2">
        <v>226.29</v>
      </c>
      <c r="G85" s="1">
        <v>77078864</v>
      </c>
      <c r="H85" s="6" t="s">
        <v>10</v>
      </c>
      <c r="I85" s="6">
        <f>IF(AND(H84="UP",testdataHighLow[[#This Row],[high]]&gt;I84),testdataHighLow[[#This Row],[high]],IF(AND(H84="DN",testdataHighLow[[#This Row],[low]]&lt;I84),testdataHighLow[[#This Row],[low]],I84))</f>
        <v>227.28</v>
      </c>
      <c r="J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-7.6117564237943936E-3</v>
      </c>
      <c r="K85" s="15">
        <f t="shared" ca="1" si="2"/>
        <v>226.70620853085788</v>
      </c>
      <c r="L85" s="6"/>
      <c r="M85" s="19">
        <f ca="1">IF(testdataHighLow[[#This Row],[type]]="H",testdataHighLow[[#This Row],[high]],AVERAGE(M84,M86))</f>
        <v>236.45868995623897</v>
      </c>
      <c r="N85" s="19">
        <f ca="1">IF(testdataHighLow[[#This Row],[type]]="L",testdataHighLow[[#This Row],[low]],AVERAGE(N84,N86))</f>
        <v>223.27522935784526</v>
      </c>
      <c r="Q85" s="7">
        <v>84</v>
      </c>
      <c r="R85" s="15">
        <v>226.7062</v>
      </c>
      <c r="S85" s="19">
        <v>236.45868999999999</v>
      </c>
      <c r="T85" s="19">
        <v>223.27522999999999</v>
      </c>
    </row>
    <row r="86" spans="1:20" x14ac:dyDescent="0.35">
      <c r="A86" s="7">
        <v>85</v>
      </c>
      <c r="B86" s="3">
        <v>42859</v>
      </c>
      <c r="C86" s="2">
        <v>226.62</v>
      </c>
      <c r="D86" s="14">
        <v>226.71</v>
      </c>
      <c r="E86" s="14">
        <v>225.62</v>
      </c>
      <c r="F86" s="2">
        <v>226.55</v>
      </c>
      <c r="G86" s="1">
        <v>64774736</v>
      </c>
      <c r="H86" s="6" t="s">
        <v>10</v>
      </c>
      <c r="I86" s="6">
        <f>IF(AND(H85="UP",testdataHighLow[[#This Row],[high]]&gt;I85),testdataHighLow[[#This Row],[high]],IF(AND(H85="DN",testdataHighLow[[#This Row],[low]]&lt;I85),testdataHighLow[[#This Row],[low]],I85))</f>
        <v>227.28</v>
      </c>
      <c r="J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-7.3037662794790412E-3</v>
      </c>
      <c r="K86" s="15">
        <f t="shared" ca="1" si="2"/>
        <v>226.97298578204447</v>
      </c>
      <c r="L86" s="6"/>
      <c r="M86" s="19">
        <f ca="1">IF(testdataHighLow[[#This Row],[type]]="H",testdataHighLow[[#This Row],[high]],AVERAGE(M85,M87))</f>
        <v>236.67275109160846</v>
      </c>
      <c r="N86" s="19">
        <f ca="1">IF(testdataHighLow[[#This Row],[type]]="L",testdataHighLow[[#This Row],[low]],AVERAGE(N85,N87))</f>
        <v>223.41004587160828</v>
      </c>
      <c r="Q86" s="7">
        <v>85</v>
      </c>
      <c r="R86" s="15">
        <v>226.97300000000001</v>
      </c>
      <c r="S86" s="19">
        <v>236.67275000000001</v>
      </c>
      <c r="T86" s="19">
        <v>223.41005000000001</v>
      </c>
    </row>
    <row r="87" spans="1:20" x14ac:dyDescent="0.35">
      <c r="A87" s="7">
        <v>86</v>
      </c>
      <c r="B87" s="3">
        <v>42860</v>
      </c>
      <c r="C87" s="2">
        <v>226.96</v>
      </c>
      <c r="D87" s="14">
        <v>227.46</v>
      </c>
      <c r="E87" s="14">
        <v>226.48</v>
      </c>
      <c r="F87" s="2">
        <v>227.44</v>
      </c>
      <c r="G87" s="1">
        <v>65342296</v>
      </c>
      <c r="H87" s="6" t="s">
        <v>10</v>
      </c>
      <c r="I87" s="6">
        <f>IF(AND(H86="UP",testdataHighLow[[#This Row],[high]]&gt;I86),testdataHighLow[[#This Row],[high]],IF(AND(H86="DN",testdataHighLow[[#This Row],[low]]&lt;I86),testdataHighLow[[#This Row],[low]],I86))</f>
        <v>227.46</v>
      </c>
      <c r="J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-4.3084498373341168E-3</v>
      </c>
      <c r="K87" s="15">
        <f t="shared" ca="1" si="2"/>
        <v>227.23976303323104</v>
      </c>
      <c r="L87" s="6"/>
      <c r="M87" s="19">
        <f ca="1">IF(testdataHighLow[[#This Row],[type]]="H",testdataHighLow[[#This Row],[high]],AVERAGE(M86,M88))</f>
        <v>236.88681222697798</v>
      </c>
      <c r="N87" s="19">
        <f ca="1">IF(testdataHighLow[[#This Row],[type]]="L",testdataHighLow[[#This Row],[low]],AVERAGE(N86,N88))</f>
        <v>223.54486238537129</v>
      </c>
      <c r="Q87" s="7">
        <v>86</v>
      </c>
      <c r="R87" s="15">
        <v>227.2398</v>
      </c>
      <c r="S87" s="19">
        <v>236.88681</v>
      </c>
      <c r="T87" s="19">
        <v>223.54486</v>
      </c>
    </row>
    <row r="88" spans="1:20" x14ac:dyDescent="0.35">
      <c r="A88" s="7">
        <v>87</v>
      </c>
      <c r="B88" s="3">
        <v>42863</v>
      </c>
      <c r="C88" s="2">
        <v>227.49</v>
      </c>
      <c r="D88" s="14">
        <v>227.65</v>
      </c>
      <c r="E88" s="14">
        <v>226.94</v>
      </c>
      <c r="F88" s="2">
        <v>227.41</v>
      </c>
      <c r="G88" s="1">
        <v>50993060</v>
      </c>
      <c r="H88" s="6" t="s">
        <v>10</v>
      </c>
      <c r="I88" s="6">
        <f>IF(AND(H87="UP",testdataHighLow[[#This Row],[high]]&gt;I87),testdataHighLow[[#This Row],[high]],IF(AND(H87="DN",testdataHighLow[[#This Row],[low]]&lt;I87),testdataHighLow[[#This Row],[low]],I87))</f>
        <v>227.65</v>
      </c>
      <c r="J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-3.1188227542280162E-3</v>
      </c>
      <c r="K88" s="15">
        <f t="shared" ca="1" si="2"/>
        <v>227.50654028441758</v>
      </c>
      <c r="L88" s="6"/>
      <c r="M88" s="19">
        <f ca="1">IF(testdataHighLow[[#This Row],[type]]="H",testdataHighLow[[#This Row],[high]],AVERAGE(M87,M89))</f>
        <v>237.1008733623475</v>
      </c>
      <c r="N88" s="19">
        <f ca="1">IF(testdataHighLow[[#This Row],[type]]="L",testdataHighLow[[#This Row],[low]],AVERAGE(N87,N89))</f>
        <v>223.67967889913427</v>
      </c>
      <c r="Q88" s="7">
        <v>87</v>
      </c>
      <c r="R88" s="15">
        <v>227.50649999999999</v>
      </c>
      <c r="S88" s="19">
        <v>237.10086999999999</v>
      </c>
      <c r="T88" s="19">
        <v>223.67967999999999</v>
      </c>
    </row>
    <row r="89" spans="1:20" x14ac:dyDescent="0.35">
      <c r="A89" s="7">
        <v>88</v>
      </c>
      <c r="B89" s="3">
        <v>42864</v>
      </c>
      <c r="C89" s="2">
        <v>227.69</v>
      </c>
      <c r="D89" s="14">
        <v>227.91</v>
      </c>
      <c r="E89" s="14">
        <v>226.82</v>
      </c>
      <c r="F89" s="2">
        <v>227.2</v>
      </c>
      <c r="G89" s="1">
        <v>54130976</v>
      </c>
      <c r="H89" s="6" t="s">
        <v>10</v>
      </c>
      <c r="I89" s="6">
        <f>IF(AND(H88="UP",testdataHighLow[[#This Row],[high]]&gt;I88),testdataHighLow[[#This Row],[high]],IF(AND(H88="DN",testdataHighLow[[#This Row],[low]]&lt;I88),testdataHighLow[[#This Row],[low]],I88))</f>
        <v>227.91</v>
      </c>
      <c r="J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-4.7825896187091545E-3</v>
      </c>
      <c r="K89" s="15">
        <f t="shared" ca="1" si="2"/>
        <v>227.77331753560412</v>
      </c>
      <c r="L89" s="6"/>
      <c r="M89" s="19">
        <f ca="1">IF(testdataHighLow[[#This Row],[type]]="H",testdataHighLow[[#This Row],[high]],AVERAGE(M88,M90))</f>
        <v>237.31493449771705</v>
      </c>
      <c r="N89" s="19">
        <f ca="1">IF(testdataHighLow[[#This Row],[type]]="L",testdataHighLow[[#This Row],[low]],AVERAGE(N88,N90))</f>
        <v>223.81449541289723</v>
      </c>
      <c r="Q89" s="7">
        <v>88</v>
      </c>
      <c r="R89" s="15">
        <v>227.77330000000001</v>
      </c>
      <c r="S89" s="19">
        <v>237.31493</v>
      </c>
      <c r="T89" s="19">
        <v>223.81450000000001</v>
      </c>
    </row>
    <row r="90" spans="1:20" x14ac:dyDescent="0.35">
      <c r="A90" s="7">
        <v>89</v>
      </c>
      <c r="B90" s="3">
        <v>42865</v>
      </c>
      <c r="C90" s="2">
        <v>227.15</v>
      </c>
      <c r="D90" s="14">
        <v>227.61</v>
      </c>
      <c r="E90" s="14">
        <v>226.92</v>
      </c>
      <c r="F90" s="2">
        <v>227.61</v>
      </c>
      <c r="G90" s="1">
        <v>57219496</v>
      </c>
      <c r="H90" s="6" t="s">
        <v>10</v>
      </c>
      <c r="I90" s="6">
        <f>IF(AND(H89="UP",testdataHighLow[[#This Row],[high]]&gt;I89),testdataHighLow[[#This Row],[high]],IF(AND(H89="DN",testdataHighLow[[#This Row],[low]]&lt;I89),testdataHighLow[[#This Row],[low]],I89))</f>
        <v>227.91</v>
      </c>
      <c r="J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-4.3438199289193499E-3</v>
      </c>
      <c r="K90" s="15">
        <f t="shared" ca="1" si="2"/>
        <v>228.04009478679063</v>
      </c>
      <c r="L90" s="6"/>
      <c r="M90" s="19">
        <f ca="1">IF(testdataHighLow[[#This Row],[type]]="H",testdataHighLow[[#This Row],[high]],AVERAGE(M89,M91))</f>
        <v>237.52899563308662</v>
      </c>
      <c r="N90" s="19">
        <f ca="1">IF(testdataHighLow[[#This Row],[type]]="L",testdataHighLow[[#This Row],[low]],AVERAGE(N89,N91))</f>
        <v>223.94931192666019</v>
      </c>
      <c r="Q90" s="7">
        <v>89</v>
      </c>
      <c r="R90" s="15">
        <v>228.0401</v>
      </c>
      <c r="S90" s="19">
        <v>237.529</v>
      </c>
      <c r="T90" s="19">
        <v>223.94931</v>
      </c>
    </row>
    <row r="91" spans="1:20" x14ac:dyDescent="0.35">
      <c r="A91" s="7">
        <v>90</v>
      </c>
      <c r="B91" s="3">
        <v>42866</v>
      </c>
      <c r="C91" s="2">
        <v>227.11</v>
      </c>
      <c r="D91" s="14">
        <v>227.32</v>
      </c>
      <c r="E91" s="14">
        <v>225.95</v>
      </c>
      <c r="F91" s="2">
        <v>227.14</v>
      </c>
      <c r="G91" s="1">
        <v>65718612</v>
      </c>
      <c r="H91" s="6" t="s">
        <v>10</v>
      </c>
      <c r="I91" s="6">
        <f>IF(AND(H90="UP",testdataHighLow[[#This Row],[high]]&gt;I90),testdataHighLow[[#This Row],[high]],IF(AND(H90="DN",testdataHighLow[[#This Row],[low]]&lt;I90),testdataHighLow[[#This Row],[low]],I90))</f>
        <v>227.91</v>
      </c>
      <c r="J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-8.5998859198806905E-3</v>
      </c>
      <c r="K91" s="15">
        <f t="shared" ca="1" si="2"/>
        <v>228.30687203797712</v>
      </c>
      <c r="L91" s="6"/>
      <c r="M91" s="19">
        <f ca="1">IF(testdataHighLow[[#This Row],[type]]="H",testdataHighLow[[#This Row],[high]],AVERAGE(M90,M92))</f>
        <v>237.7430567684562</v>
      </c>
      <c r="N91" s="19">
        <f ca="1">IF(testdataHighLow[[#This Row],[type]]="L",testdataHighLow[[#This Row],[low]],AVERAGE(N90,N92))</f>
        <v>224.08412844042311</v>
      </c>
      <c r="Q91" s="7">
        <v>90</v>
      </c>
      <c r="R91" s="15">
        <v>228.30690000000001</v>
      </c>
      <c r="S91" s="19">
        <v>237.74306000000001</v>
      </c>
      <c r="T91" s="19">
        <v>224.08412999999999</v>
      </c>
    </row>
    <row r="92" spans="1:20" x14ac:dyDescent="0.35">
      <c r="A92" s="7">
        <v>91</v>
      </c>
      <c r="B92" s="3">
        <v>42867</v>
      </c>
      <c r="C92" s="2">
        <v>226.87</v>
      </c>
      <c r="D92" s="14">
        <v>227.19</v>
      </c>
      <c r="E92" s="14">
        <v>226.47</v>
      </c>
      <c r="F92" s="2">
        <v>226.76</v>
      </c>
      <c r="G92" s="1">
        <v>56817892</v>
      </c>
      <c r="H92" s="6" t="s">
        <v>10</v>
      </c>
      <c r="I92" s="6">
        <f>IF(AND(H91="UP",testdataHighLow[[#This Row],[high]]&gt;I91),testdataHighLow[[#This Row],[high]],IF(AND(H91="DN",testdataHighLow[[#This Row],[low]]&lt;I91),testdataHighLow[[#This Row],[low]],I91))</f>
        <v>227.91</v>
      </c>
      <c r="J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-6.3182835329735326E-3</v>
      </c>
      <c r="K92" s="15">
        <f t="shared" ca="1" si="2"/>
        <v>228.5736492891636</v>
      </c>
      <c r="L92" s="6"/>
      <c r="M92" s="19">
        <f ca="1">IF(testdataHighLow[[#This Row],[type]]="H",testdataHighLow[[#This Row],[high]],AVERAGE(M91,M93))</f>
        <v>237.9571179038258</v>
      </c>
      <c r="N92" s="19">
        <f ca="1">IF(testdataHighLow[[#This Row],[type]]="L",testdataHighLow[[#This Row],[low]],AVERAGE(N91,N93))</f>
        <v>224.21894495418601</v>
      </c>
      <c r="Q92" s="7">
        <v>91</v>
      </c>
      <c r="R92" s="15">
        <v>228.5736</v>
      </c>
      <c r="S92" s="19">
        <v>237.95712</v>
      </c>
      <c r="T92" s="19">
        <v>224.21894</v>
      </c>
    </row>
    <row r="93" spans="1:20" x14ac:dyDescent="0.35">
      <c r="A93" s="7">
        <v>92</v>
      </c>
      <c r="B93" s="3">
        <v>42870</v>
      </c>
      <c r="C93" s="2">
        <v>227.23</v>
      </c>
      <c r="D93" s="14">
        <v>228.15</v>
      </c>
      <c r="E93" s="14">
        <v>227.21</v>
      </c>
      <c r="F93" s="2">
        <v>228.01</v>
      </c>
      <c r="G93" s="1">
        <v>65255528</v>
      </c>
      <c r="H93" s="6" t="s">
        <v>10</v>
      </c>
      <c r="I93" s="6">
        <f>IF(AND(H92="UP",testdataHighLow[[#This Row],[high]]&gt;I92),testdataHighLow[[#This Row],[high]],IF(AND(H92="DN",testdataHighLow[[#This Row],[low]]&lt;I92),testdataHighLow[[#This Row],[low]],I92))</f>
        <v>228.15</v>
      </c>
      <c r="J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-4.1200964277887256E-3</v>
      </c>
      <c r="K93" s="15">
        <f t="shared" ca="1" si="2"/>
        <v>228.84042654035005</v>
      </c>
      <c r="L93" s="6"/>
      <c r="M93" s="19">
        <f ca="1">IF(testdataHighLow[[#This Row],[type]]="H",testdataHighLow[[#This Row],[high]],AVERAGE(M92,M94))</f>
        <v>238.17117903919544</v>
      </c>
      <c r="N93" s="19">
        <f ca="1">IF(testdataHighLow[[#This Row],[type]]="L",testdataHighLow[[#This Row],[low]],AVERAGE(N92,N94))</f>
        <v>224.35376146794891</v>
      </c>
      <c r="Q93" s="7">
        <v>92</v>
      </c>
      <c r="R93" s="15">
        <v>228.84039999999999</v>
      </c>
      <c r="S93" s="19">
        <v>238.17117999999999</v>
      </c>
      <c r="T93" s="19">
        <v>224.35375999999999</v>
      </c>
    </row>
    <row r="94" spans="1:20" x14ac:dyDescent="0.35">
      <c r="A94" s="7">
        <v>93</v>
      </c>
      <c r="B94" s="3">
        <v>42871</v>
      </c>
      <c r="C94" s="2">
        <v>228.34</v>
      </c>
      <c r="D94" s="14">
        <v>228.36</v>
      </c>
      <c r="E94" s="14">
        <v>227.38</v>
      </c>
      <c r="F94" s="2">
        <v>227.8</v>
      </c>
      <c r="G94" s="1">
        <v>54003024</v>
      </c>
      <c r="H94" s="6" t="s">
        <v>10</v>
      </c>
      <c r="I94" s="6">
        <f>IF(AND(H93="UP",testdataHighLow[[#This Row],[high]]&gt;I93),testdataHighLow[[#This Row],[high]],IF(AND(H93="DN",testdataHighLow[[#This Row],[low]]&lt;I93),testdataHighLow[[#This Row],[low]],I93))</f>
        <v>228.36</v>
      </c>
      <c r="J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-4.2914696093887643E-3</v>
      </c>
      <c r="K94" s="15">
        <f t="shared" ca="1" si="2"/>
        <v>229.10720379153648</v>
      </c>
      <c r="L94" s="6"/>
      <c r="M94" s="19">
        <f ca="1">IF(testdataHighLow[[#This Row],[type]]="H",testdataHighLow[[#This Row],[high]],AVERAGE(M93,M95))</f>
        <v>238.38524017456507</v>
      </c>
      <c r="N94" s="19">
        <f ca="1">IF(testdataHighLow[[#This Row],[type]]="L",testdataHighLow[[#This Row],[low]],AVERAGE(N93,N95))</f>
        <v>224.48857798171179</v>
      </c>
      <c r="Q94" s="7">
        <v>93</v>
      </c>
      <c r="R94" s="15">
        <v>229.10720000000001</v>
      </c>
      <c r="S94" s="19">
        <v>238.38524000000001</v>
      </c>
      <c r="T94" s="19">
        <v>224.48858000000001</v>
      </c>
    </row>
    <row r="95" spans="1:20" x14ac:dyDescent="0.35">
      <c r="A95" s="7">
        <v>94</v>
      </c>
      <c r="B95" s="3">
        <v>42872</v>
      </c>
      <c r="C95" s="2">
        <v>225.93</v>
      </c>
      <c r="D95" s="14">
        <v>226.44</v>
      </c>
      <c r="E95" s="14">
        <v>223.7</v>
      </c>
      <c r="F95" s="2">
        <v>223.76</v>
      </c>
      <c r="G95" s="1">
        <v>181451968</v>
      </c>
      <c r="H95" s="6" t="s">
        <v>10</v>
      </c>
      <c r="I95" s="6">
        <f>IF(AND(H94="UP",testdataHighLow[[#This Row],[high]]&gt;I94),testdataHighLow[[#This Row],[high]],IF(AND(H94="DN",testdataHighLow[[#This Row],[low]]&lt;I94),testdataHighLow[[#This Row],[low]],I94))</f>
        <v>228.36</v>
      </c>
      <c r="J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-2.0406375897705487E-2</v>
      </c>
      <c r="K95" s="15">
        <f t="shared" ca="1" si="2"/>
        <v>229.3739810427229</v>
      </c>
      <c r="L95" s="6"/>
      <c r="M95" s="19">
        <f ca="1">IF(testdataHighLow[[#This Row],[type]]="H",testdataHighLow[[#This Row],[high]],AVERAGE(M94,M96))</f>
        <v>238.59930130993473</v>
      </c>
      <c r="N95" s="19">
        <f ca="1">IF(testdataHighLow[[#This Row],[type]]="L",testdataHighLow[[#This Row],[low]],AVERAGE(N94,N96))</f>
        <v>224.62339449547463</v>
      </c>
      <c r="Q95" s="7">
        <v>94</v>
      </c>
      <c r="R95" s="15">
        <v>229.374</v>
      </c>
      <c r="S95" s="19">
        <v>238.5993</v>
      </c>
      <c r="T95" s="19">
        <v>224.62339</v>
      </c>
    </row>
    <row r="96" spans="1:20" x14ac:dyDescent="0.35">
      <c r="A96" s="7">
        <v>95</v>
      </c>
      <c r="B96" s="3">
        <v>42873</v>
      </c>
      <c r="C96" s="2">
        <v>223.68</v>
      </c>
      <c r="D96" s="14">
        <v>225.59</v>
      </c>
      <c r="E96" s="14">
        <v>223.39</v>
      </c>
      <c r="F96" s="2">
        <v>224.66</v>
      </c>
      <c r="G96" s="1">
        <v>112816072</v>
      </c>
      <c r="H96" s="6" t="s">
        <v>10</v>
      </c>
      <c r="I96" s="6">
        <f>IF(AND(H95="UP",testdataHighLow[[#This Row],[high]]&gt;I95),testdataHighLow[[#This Row],[high]],IF(AND(H95="DN",testdataHighLow[[#This Row],[low]]&lt;I95),testdataHighLow[[#This Row],[low]],I95))</f>
        <v>228.36</v>
      </c>
      <c r="J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-2.1763881590471303E-2</v>
      </c>
      <c r="K96" s="15">
        <f t="shared" ca="1" si="2"/>
        <v>229.6407582939093</v>
      </c>
      <c r="L96" s="6"/>
      <c r="M96" s="19">
        <f ca="1">IF(testdataHighLow[[#This Row],[type]]="H",testdataHighLow[[#This Row],[high]],AVERAGE(M95,M97))</f>
        <v>238.81336244530442</v>
      </c>
      <c r="N96" s="19">
        <f ca="1">IF(testdataHighLow[[#This Row],[type]]="L",testdataHighLow[[#This Row],[low]],AVERAGE(N95,N97))</f>
        <v>224.75821100923747</v>
      </c>
      <c r="Q96" s="7">
        <v>95</v>
      </c>
      <c r="R96" s="15">
        <v>229.64080000000001</v>
      </c>
      <c r="S96" s="19">
        <v>238.81335999999999</v>
      </c>
      <c r="T96" s="19">
        <v>224.75820999999999</v>
      </c>
    </row>
    <row r="97" spans="1:20" x14ac:dyDescent="0.35">
      <c r="A97" s="7">
        <v>96</v>
      </c>
      <c r="B97" s="3">
        <v>42874</v>
      </c>
      <c r="C97" s="2">
        <v>225.2</v>
      </c>
      <c r="D97" s="14">
        <v>226.86</v>
      </c>
      <c r="E97" s="14">
        <v>225.14</v>
      </c>
      <c r="F97" s="2">
        <v>226.12</v>
      </c>
      <c r="G97" s="1">
        <v>121208928</v>
      </c>
      <c r="H97" s="6" t="s">
        <v>10</v>
      </c>
      <c r="I97" s="6">
        <f>IF(AND(H96="UP",testdataHighLow[[#This Row],[high]]&gt;I96),testdataHighLow[[#This Row],[high]],IF(AND(H96="DN",testdataHighLow[[#This Row],[low]]&lt;I96),testdataHighLow[[#This Row],[low]],I96))</f>
        <v>228.36</v>
      </c>
      <c r="J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-1.4100543002277225E-2</v>
      </c>
      <c r="K97" s="15">
        <f t="shared" ca="1" si="2"/>
        <v>229.90753554509567</v>
      </c>
      <c r="L97" s="6"/>
      <c r="M97" s="19">
        <f ca="1">IF(testdataHighLow[[#This Row],[type]]="H",testdataHighLow[[#This Row],[high]],AVERAGE(M96,M98))</f>
        <v>239.02742358067411</v>
      </c>
      <c r="N97" s="19">
        <f ca="1">IF(testdataHighLow[[#This Row],[type]]="L",testdataHighLow[[#This Row],[low]],AVERAGE(N96,N98))</f>
        <v>224.89302752300028</v>
      </c>
      <c r="Q97" s="7">
        <v>96</v>
      </c>
      <c r="R97" s="15">
        <v>229.9075</v>
      </c>
      <c r="S97" s="19">
        <v>239.02742000000001</v>
      </c>
      <c r="T97" s="19">
        <v>224.89303000000001</v>
      </c>
    </row>
    <row r="98" spans="1:20" x14ac:dyDescent="0.35">
      <c r="A98" s="7">
        <v>97</v>
      </c>
      <c r="B98" s="3">
        <v>42877</v>
      </c>
      <c r="C98" s="2">
        <v>226.68</v>
      </c>
      <c r="D98" s="14">
        <v>227.45</v>
      </c>
      <c r="E98" s="14">
        <v>226.61</v>
      </c>
      <c r="F98" s="2">
        <v>227.27</v>
      </c>
      <c r="G98" s="1">
        <v>64298244</v>
      </c>
      <c r="H98" s="6" t="s">
        <v>10</v>
      </c>
      <c r="I98" s="6">
        <f>IF(AND(H97="UP",testdataHighLow[[#This Row],[high]]&gt;I97),testdataHighLow[[#This Row],[high]],IF(AND(H97="DN",testdataHighLow[[#This Row],[low]]&lt;I97),testdataHighLow[[#This Row],[low]],I97))</f>
        <v>228.36</v>
      </c>
      <c r="J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-7.663338588194079E-3</v>
      </c>
      <c r="K98" s="15">
        <f t="shared" ca="1" si="2"/>
        <v>230.17431279628204</v>
      </c>
      <c r="L98" s="6"/>
      <c r="M98" s="19">
        <f ca="1">IF(testdataHighLow[[#This Row],[type]]="H",testdataHighLow[[#This Row],[high]],AVERAGE(M97,M99))</f>
        <v>239.24148471604383</v>
      </c>
      <c r="N98" s="19">
        <f ca="1">IF(testdataHighLow[[#This Row],[type]]="L",testdataHighLow[[#This Row],[low]],AVERAGE(N97,N99))</f>
        <v>225.02784403676307</v>
      </c>
      <c r="Q98" s="7">
        <v>97</v>
      </c>
      <c r="R98" s="15">
        <v>230.17429999999999</v>
      </c>
      <c r="S98" s="19">
        <v>239.24148</v>
      </c>
      <c r="T98" s="19">
        <v>225.02784</v>
      </c>
    </row>
    <row r="99" spans="1:20" x14ac:dyDescent="0.35">
      <c r="A99" s="7">
        <v>98</v>
      </c>
      <c r="B99" s="3">
        <v>42878</v>
      </c>
      <c r="C99" s="2">
        <v>227.68</v>
      </c>
      <c r="D99" s="14">
        <v>227.96</v>
      </c>
      <c r="E99" s="14">
        <v>227.26</v>
      </c>
      <c r="F99" s="2">
        <v>227.78</v>
      </c>
      <c r="G99" s="1">
        <v>50946640</v>
      </c>
      <c r="H99" s="6" t="s">
        <v>10</v>
      </c>
      <c r="I99" s="6">
        <f>IF(AND(H98="UP",testdataHighLow[[#This Row],[high]]&gt;I98),testdataHighLow[[#This Row],[high]],IF(AND(H98="DN",testdataHighLow[[#This Row],[low]]&lt;I98),testdataHighLow[[#This Row],[low]],I98))</f>
        <v>228.36</v>
      </c>
      <c r="J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-4.8169556840078065E-3</v>
      </c>
      <c r="K99" s="15">
        <f t="shared" ca="1" si="2"/>
        <v>230.44109004746838</v>
      </c>
      <c r="L99" s="6"/>
      <c r="M99" s="19">
        <f ca="1">IF(testdataHighLow[[#This Row],[type]]="H",testdataHighLow[[#This Row],[high]],AVERAGE(M98,M100))</f>
        <v>239.45554585141358</v>
      </c>
      <c r="N99" s="19">
        <f ca="1">IF(testdataHighLow[[#This Row],[type]]="L",testdataHighLow[[#This Row],[low]],AVERAGE(N98,N100))</f>
        <v>225.16266055052586</v>
      </c>
      <c r="Q99" s="7">
        <v>98</v>
      </c>
      <c r="R99" s="15">
        <v>230.44110000000001</v>
      </c>
      <c r="S99" s="19">
        <v>239.45554999999999</v>
      </c>
      <c r="T99" s="19">
        <v>225.16265999999999</v>
      </c>
    </row>
    <row r="100" spans="1:20" x14ac:dyDescent="0.35">
      <c r="A100" s="7">
        <v>99</v>
      </c>
      <c r="B100" s="3">
        <v>42879</v>
      </c>
      <c r="C100" s="2">
        <v>228.03</v>
      </c>
      <c r="D100" s="14">
        <v>228.42</v>
      </c>
      <c r="E100" s="14">
        <v>227.66</v>
      </c>
      <c r="F100" s="2">
        <v>228.31</v>
      </c>
      <c r="G100" s="1">
        <v>51831288</v>
      </c>
      <c r="H100" s="6" t="s">
        <v>10</v>
      </c>
      <c r="I100" s="6">
        <f>IF(AND(H99="UP",testdataHighLow[[#This Row],[high]]&gt;I99),testdataHighLow[[#This Row],[high]],IF(AND(H99="DN",testdataHighLow[[#This Row],[low]]&lt;I99),testdataHighLow[[#This Row],[low]],I99))</f>
        <v>228.42</v>
      </c>
      <c r="J1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-3.3272042728307106E-3</v>
      </c>
      <c r="K100" s="15">
        <f t="shared" ca="1" si="2"/>
        <v>230.70786729865469</v>
      </c>
      <c r="L100" s="6"/>
      <c r="M100" s="19">
        <f ca="1">IF(testdataHighLow[[#This Row],[type]]="H",testdataHighLow[[#This Row],[high]],AVERAGE(M99,M101))</f>
        <v>239.66960698678332</v>
      </c>
      <c r="N100" s="19">
        <f ca="1">IF(testdataHighLow[[#This Row],[type]]="L",testdataHighLow[[#This Row],[low]],AVERAGE(N99,N101))</f>
        <v>225.29747706428861</v>
      </c>
      <c r="Q100" s="7">
        <v>99</v>
      </c>
      <c r="R100" s="15">
        <v>230.7079</v>
      </c>
      <c r="S100" s="19">
        <v>239.66961000000001</v>
      </c>
      <c r="T100" s="19">
        <v>225.29748000000001</v>
      </c>
    </row>
    <row r="101" spans="1:20" x14ac:dyDescent="0.35">
      <c r="A101" s="7">
        <v>100</v>
      </c>
      <c r="B101" s="3">
        <v>42880</v>
      </c>
      <c r="C101" s="2">
        <v>228.87</v>
      </c>
      <c r="D101" s="14">
        <v>229.7</v>
      </c>
      <c r="E101" s="14">
        <v>228.64</v>
      </c>
      <c r="F101" s="2">
        <v>229.4</v>
      </c>
      <c r="G101" s="1">
        <v>67524256</v>
      </c>
      <c r="H101" s="6" t="s">
        <v>10</v>
      </c>
      <c r="I101" s="6">
        <f>IF(AND(H100="UP",testdataHighLow[[#This Row],[high]]&gt;I100),testdataHighLow[[#This Row],[high]],IF(AND(H100="DN",testdataHighLow[[#This Row],[low]]&lt;I100),testdataHighLow[[#This Row],[low]],I100))</f>
        <v>229.7</v>
      </c>
      <c r="J1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-4.6147148454505982E-3</v>
      </c>
      <c r="K101" s="15">
        <f t="shared" ca="1" si="2"/>
        <v>230.974644549841</v>
      </c>
      <c r="L101" s="6"/>
      <c r="M101" s="19">
        <f ca="1">IF(testdataHighLow[[#This Row],[type]]="H",testdataHighLow[[#This Row],[high]],AVERAGE(M100,M102))</f>
        <v>239.8836681221531</v>
      </c>
      <c r="N101" s="19">
        <f ca="1">IF(testdataHighLow[[#This Row],[type]]="L",testdataHighLow[[#This Row],[low]],AVERAGE(N100,N102))</f>
        <v>225.43229357805134</v>
      </c>
      <c r="Q101" s="7">
        <v>100</v>
      </c>
      <c r="R101" s="15">
        <v>230.97460000000001</v>
      </c>
      <c r="S101" s="19">
        <v>239.88367</v>
      </c>
      <c r="T101" s="19">
        <v>225.43228999999999</v>
      </c>
    </row>
    <row r="102" spans="1:20" x14ac:dyDescent="0.35">
      <c r="A102" s="7">
        <v>101</v>
      </c>
      <c r="B102" s="3">
        <v>42881</v>
      </c>
      <c r="C102" s="2">
        <v>229.19</v>
      </c>
      <c r="D102" s="14">
        <v>229.53</v>
      </c>
      <c r="E102" s="14">
        <v>229.1</v>
      </c>
      <c r="F102" s="2">
        <v>229.35</v>
      </c>
      <c r="G102" s="1">
        <v>49142620</v>
      </c>
      <c r="H102" s="6" t="s">
        <v>10</v>
      </c>
      <c r="I102" s="6">
        <f>IF(AND(H101="UP",testdataHighLow[[#This Row],[high]]&gt;I101),testdataHighLow[[#This Row],[high]],IF(AND(H101="DN",testdataHighLow[[#This Row],[low]]&lt;I101),testdataHighLow[[#This Row],[low]],I101))</f>
        <v>229.7</v>
      </c>
      <c r="J1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-2.6121027427078551E-3</v>
      </c>
      <c r="K102" s="15">
        <f t="shared" ca="1" si="2"/>
        <v>231.24142180102729</v>
      </c>
      <c r="L102" s="6"/>
      <c r="M102" s="19">
        <f ca="1">IF(testdataHighLow[[#This Row],[type]]="H",testdataHighLow[[#This Row],[high]],AVERAGE(M101,M103))</f>
        <v>240.0977292575229</v>
      </c>
      <c r="N102" s="19">
        <f ca="1">IF(testdataHighLow[[#This Row],[type]]="L",testdataHighLow[[#This Row],[low]],AVERAGE(N101,N103))</f>
        <v>225.56711009181407</v>
      </c>
      <c r="Q102" s="7">
        <v>101</v>
      </c>
      <c r="R102" s="15">
        <v>231.2414</v>
      </c>
      <c r="S102" s="19">
        <v>240.09773000000001</v>
      </c>
      <c r="T102" s="19">
        <v>225.56711000000001</v>
      </c>
    </row>
    <row r="103" spans="1:20" x14ac:dyDescent="0.35">
      <c r="A103" s="7">
        <v>102</v>
      </c>
      <c r="B103" s="3">
        <v>42885</v>
      </c>
      <c r="C103" s="2">
        <v>229</v>
      </c>
      <c r="D103" s="14">
        <v>229.43</v>
      </c>
      <c r="E103" s="14">
        <v>228.83</v>
      </c>
      <c r="F103" s="2">
        <v>229.15</v>
      </c>
      <c r="G103" s="1">
        <v>37098796</v>
      </c>
      <c r="H103" s="6" t="s">
        <v>10</v>
      </c>
      <c r="I103" s="6">
        <f>IF(AND(H102="UP",testdataHighLow[[#This Row],[high]]&gt;I102),testdataHighLow[[#This Row],[high]],IF(AND(H102="DN",testdataHighLow[[#This Row],[low]]&lt;I102),testdataHighLow[[#This Row],[low]],I102))</f>
        <v>229.7</v>
      </c>
      <c r="J1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-3.7875489769263219E-3</v>
      </c>
      <c r="K103" s="15">
        <f t="shared" ca="1" si="2"/>
        <v>231.50819905221354</v>
      </c>
      <c r="L103" s="6"/>
      <c r="M103" s="19">
        <f ca="1">IF(testdataHighLow[[#This Row],[type]]="H",testdataHighLow[[#This Row],[high]],AVERAGE(M102,M104))</f>
        <v>240.3117903928927</v>
      </c>
      <c r="N103" s="19">
        <f ca="1">IF(testdataHighLow[[#This Row],[type]]="L",testdataHighLow[[#This Row],[low]],AVERAGE(N102,N104))</f>
        <v>225.70192660557677</v>
      </c>
      <c r="Q103" s="7">
        <v>102</v>
      </c>
      <c r="R103" s="15">
        <v>231.50819999999999</v>
      </c>
      <c r="S103" s="19">
        <v>240.31179</v>
      </c>
      <c r="T103" s="19">
        <v>225.70193</v>
      </c>
    </row>
    <row r="104" spans="1:20" x14ac:dyDescent="0.35">
      <c r="A104" s="7">
        <v>103</v>
      </c>
      <c r="B104" s="3">
        <v>42886</v>
      </c>
      <c r="C104" s="2">
        <v>229.47</v>
      </c>
      <c r="D104" s="14">
        <v>229.51</v>
      </c>
      <c r="E104" s="14">
        <v>228.34</v>
      </c>
      <c r="F104" s="2">
        <v>229.09</v>
      </c>
      <c r="G104" s="1">
        <v>96742576</v>
      </c>
      <c r="H104" s="6" t="s">
        <v>10</v>
      </c>
      <c r="I104" s="6">
        <f>IF(AND(H103="UP",testdataHighLow[[#This Row],[high]]&gt;I103),testdataHighLow[[#This Row],[high]],IF(AND(H103="DN",testdataHighLow[[#This Row],[low]]&lt;I103),testdataHighLow[[#This Row],[low]],I103))</f>
        <v>229.7</v>
      </c>
      <c r="J1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-5.9207662168044633E-3</v>
      </c>
      <c r="K104" s="15">
        <f t="shared" ca="1" si="2"/>
        <v>231.7749763033998</v>
      </c>
      <c r="L104" s="6"/>
      <c r="M104" s="19">
        <f ca="1">IF(testdataHighLow[[#This Row],[type]]="H",testdataHighLow[[#This Row],[high]],AVERAGE(M103,M105))</f>
        <v>240.52585152826254</v>
      </c>
      <c r="N104" s="19">
        <f ca="1">IF(testdataHighLow[[#This Row],[type]]="L",testdataHighLow[[#This Row],[low]],AVERAGE(N103,N105))</f>
        <v>225.83674311933945</v>
      </c>
      <c r="Q104" s="7">
        <v>103</v>
      </c>
      <c r="R104" s="15">
        <v>231.77500000000001</v>
      </c>
      <c r="S104" s="19">
        <v>240.52584999999999</v>
      </c>
      <c r="T104" s="19">
        <v>225.83673999999999</v>
      </c>
    </row>
    <row r="105" spans="1:20" x14ac:dyDescent="0.35">
      <c r="A105" s="7">
        <v>104</v>
      </c>
      <c r="B105" s="3">
        <v>42887</v>
      </c>
      <c r="C105" s="2">
        <v>229.6</v>
      </c>
      <c r="D105" s="14">
        <v>230.94</v>
      </c>
      <c r="E105" s="14">
        <v>229.28</v>
      </c>
      <c r="F105" s="2">
        <v>230.92</v>
      </c>
      <c r="G105" s="1">
        <v>72678144</v>
      </c>
      <c r="H105" s="6" t="s">
        <v>10</v>
      </c>
      <c r="I105" s="6">
        <f>IF(AND(H104="UP",testdataHighLow[[#This Row],[high]]&gt;I104),testdataHighLow[[#This Row],[high]],IF(AND(H104="DN",testdataHighLow[[#This Row],[low]]&lt;I104),testdataHighLow[[#This Row],[low]],I104))</f>
        <v>230.94</v>
      </c>
      <c r="J1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-7.1880142028232291E-3</v>
      </c>
      <c r="K105" s="15">
        <f t="shared" ca="1" si="2"/>
        <v>232.04175355458602</v>
      </c>
      <c r="L105" s="6"/>
      <c r="M105" s="19">
        <f ca="1">IF(testdataHighLow[[#This Row],[type]]="H",testdataHighLow[[#This Row],[high]],AVERAGE(M104,M106))</f>
        <v>240.7399126636324</v>
      </c>
      <c r="N105" s="19">
        <f ca="1">IF(testdataHighLow[[#This Row],[type]]="L",testdataHighLow[[#This Row],[low]],AVERAGE(N104,N106))</f>
        <v>225.97155963310212</v>
      </c>
      <c r="Q105" s="7">
        <v>104</v>
      </c>
      <c r="R105" s="15">
        <v>232.04179999999999</v>
      </c>
      <c r="S105" s="19">
        <v>240.73991000000001</v>
      </c>
      <c r="T105" s="19">
        <v>225.97156000000001</v>
      </c>
    </row>
    <row r="106" spans="1:20" x14ac:dyDescent="0.35">
      <c r="A106" s="7">
        <v>105</v>
      </c>
      <c r="B106" s="3">
        <v>42888</v>
      </c>
      <c r="C106" s="2">
        <v>230.97</v>
      </c>
      <c r="D106" s="14">
        <v>231.86</v>
      </c>
      <c r="E106" s="14">
        <v>230.65</v>
      </c>
      <c r="F106" s="2">
        <v>231.69</v>
      </c>
      <c r="G106" s="1">
        <v>93444032</v>
      </c>
      <c r="H106" s="6" t="s">
        <v>10</v>
      </c>
      <c r="I106" s="6">
        <f>IF(AND(H105="UP",testdataHighLow[[#This Row],[high]]&gt;I105),testdataHighLow[[#This Row],[high]],IF(AND(H105="DN",testdataHighLow[[#This Row],[low]]&lt;I105),testdataHighLow[[#This Row],[low]],I105))</f>
        <v>231.86</v>
      </c>
      <c r="J1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-5.2186664366428359E-3</v>
      </c>
      <c r="K106" s="15">
        <f t="shared" ca="1" si="2"/>
        <v>232.30853080577222</v>
      </c>
      <c r="L106" s="6"/>
      <c r="M106" s="19">
        <f ca="1">IF(testdataHighLow[[#This Row],[type]]="H",testdataHighLow[[#This Row],[high]],AVERAGE(M105,M107))</f>
        <v>240.95397379900226</v>
      </c>
      <c r="N106" s="19">
        <f ca="1">IF(testdataHighLow[[#This Row],[type]]="L",testdataHighLow[[#This Row],[low]],AVERAGE(N105,N107))</f>
        <v>226.10637614686476</v>
      </c>
      <c r="Q106" s="7">
        <v>105</v>
      </c>
      <c r="R106" s="15">
        <v>232.30850000000001</v>
      </c>
      <c r="S106" s="19">
        <v>240.95397</v>
      </c>
      <c r="T106" s="19">
        <v>226.10638</v>
      </c>
    </row>
    <row r="107" spans="1:20" x14ac:dyDescent="0.35">
      <c r="A107" s="7">
        <v>106</v>
      </c>
      <c r="B107" s="3">
        <v>42891</v>
      </c>
      <c r="C107" s="2">
        <v>231.5</v>
      </c>
      <c r="D107" s="14">
        <v>231.81</v>
      </c>
      <c r="E107" s="14">
        <v>231.3</v>
      </c>
      <c r="F107" s="2">
        <v>231.51</v>
      </c>
      <c r="G107" s="1">
        <v>47107480</v>
      </c>
      <c r="H107" s="6" t="s">
        <v>10</v>
      </c>
      <c r="I107" s="6">
        <f>IF(AND(H106="UP",testdataHighLow[[#This Row],[high]]&gt;I106),testdataHighLow[[#This Row],[high]],IF(AND(H106="DN",testdataHighLow[[#This Row],[low]]&lt;I106),testdataHighLow[[#This Row],[low]],I106))</f>
        <v>231.86</v>
      </c>
      <c r="J1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-2.4152505822479177E-3</v>
      </c>
      <c r="K107" s="15">
        <f t="shared" ca="1" si="2"/>
        <v>232.57530805695842</v>
      </c>
      <c r="L107" s="6"/>
      <c r="M107" s="19">
        <f ca="1">IF(testdataHighLow[[#This Row],[type]]="H",testdataHighLow[[#This Row],[high]],AVERAGE(M106,M108))</f>
        <v>241.16803493437214</v>
      </c>
      <c r="N107" s="19">
        <f ca="1">IF(testdataHighLow[[#This Row],[type]]="L",testdataHighLow[[#This Row],[low]],AVERAGE(N106,N108))</f>
        <v>226.24119266062738</v>
      </c>
      <c r="Q107" s="7">
        <v>106</v>
      </c>
      <c r="R107" s="15">
        <v>232.5753</v>
      </c>
      <c r="S107" s="19">
        <v>241.16802999999999</v>
      </c>
      <c r="T107" s="19">
        <v>226.24118999999999</v>
      </c>
    </row>
    <row r="108" spans="1:20" x14ac:dyDescent="0.35">
      <c r="A108" s="7">
        <v>107</v>
      </c>
      <c r="B108" s="3">
        <v>42892</v>
      </c>
      <c r="C108" s="2">
        <v>230.9</v>
      </c>
      <c r="D108" s="14">
        <v>231.51</v>
      </c>
      <c r="E108" s="14">
        <v>230.69</v>
      </c>
      <c r="F108" s="2">
        <v>230.77</v>
      </c>
      <c r="G108" s="1">
        <v>53089976</v>
      </c>
      <c r="H108" s="6" t="s">
        <v>10</v>
      </c>
      <c r="I108" s="6">
        <f>IF(AND(H107="UP",testdataHighLow[[#This Row],[high]]&gt;I107),testdataHighLow[[#This Row],[high]],IF(AND(H107="DN",testdataHighLow[[#This Row],[low]]&lt;I107),testdataHighLow[[#This Row],[low]],I107))</f>
        <v>231.86</v>
      </c>
      <c r="J1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-5.0461485379108767E-3</v>
      </c>
      <c r="K108" s="15">
        <f t="shared" ca="1" si="2"/>
        <v>232.84208530814459</v>
      </c>
      <c r="L108" s="6"/>
      <c r="M108" s="19">
        <f ca="1">IF(testdataHighLow[[#This Row],[type]]="H",testdataHighLow[[#This Row],[high]],AVERAGE(M107,M109))</f>
        <v>241.38209606974206</v>
      </c>
      <c r="N108" s="19">
        <f ca="1">IF(testdataHighLow[[#This Row],[type]]="L",testdataHighLow[[#This Row],[low]],AVERAGE(N107,N109))</f>
        <v>226.37600917438999</v>
      </c>
      <c r="Q108" s="7">
        <v>107</v>
      </c>
      <c r="R108" s="15">
        <v>232.84209999999999</v>
      </c>
      <c r="S108" s="19">
        <v>241.38210000000001</v>
      </c>
      <c r="T108" s="19">
        <v>226.37601000000001</v>
      </c>
    </row>
    <row r="109" spans="1:20" x14ac:dyDescent="0.35">
      <c r="A109" s="7">
        <v>108</v>
      </c>
      <c r="B109" s="3">
        <v>42893</v>
      </c>
      <c r="C109" s="2">
        <v>231.14</v>
      </c>
      <c r="D109" s="14">
        <v>231.45</v>
      </c>
      <c r="E109" s="14">
        <v>230.41</v>
      </c>
      <c r="F109" s="2">
        <v>231.2</v>
      </c>
      <c r="G109" s="1">
        <v>57061952</v>
      </c>
      <c r="H109" s="6" t="s">
        <v>10</v>
      </c>
      <c r="I109" s="6">
        <f>IF(AND(H108="UP",testdataHighLow[[#This Row],[high]]&gt;I108),testdataHighLow[[#This Row],[high]],IF(AND(H108="DN",testdataHighLow[[#This Row],[low]]&lt;I108),testdataHighLow[[#This Row],[low]],I108))</f>
        <v>231.86</v>
      </c>
      <c r="J1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-6.2537738290348354E-3</v>
      </c>
      <c r="K109" s="15">
        <f t="shared" ca="1" si="2"/>
        <v>233.10886255933073</v>
      </c>
      <c r="L109" s="6"/>
      <c r="M109" s="19">
        <f ca="1">IF(testdataHighLow[[#This Row],[type]]="H",testdataHighLow[[#This Row],[high]],AVERAGE(M108,M110))</f>
        <v>241.59615720511198</v>
      </c>
      <c r="N109" s="19">
        <f ca="1">IF(testdataHighLow[[#This Row],[type]]="L",testdataHighLow[[#This Row],[low]],AVERAGE(N108,N110))</f>
        <v>226.51082568815258</v>
      </c>
      <c r="Q109" s="7">
        <v>108</v>
      </c>
      <c r="R109" s="15">
        <v>233.10890000000001</v>
      </c>
      <c r="S109" s="19">
        <v>241.59616</v>
      </c>
      <c r="T109" s="19">
        <v>226.51083</v>
      </c>
    </row>
    <row r="110" spans="1:20" x14ac:dyDescent="0.35">
      <c r="A110" s="7">
        <v>109</v>
      </c>
      <c r="B110" s="3">
        <v>42894</v>
      </c>
      <c r="C110" s="2">
        <v>231.31</v>
      </c>
      <c r="D110" s="14">
        <v>231.84</v>
      </c>
      <c r="E110" s="14">
        <v>230.74</v>
      </c>
      <c r="F110" s="2">
        <v>231.32</v>
      </c>
      <c r="G110" s="1">
        <v>69504536</v>
      </c>
      <c r="H110" s="6" t="s">
        <v>10</v>
      </c>
      <c r="I110" s="6">
        <f>IF(AND(H109="UP",testdataHighLow[[#This Row],[high]]&gt;I109),testdataHighLow[[#This Row],[high]],IF(AND(H109="DN",testdataHighLow[[#This Row],[low]]&lt;I109),testdataHighLow[[#This Row],[low]],I109))</f>
        <v>231.86</v>
      </c>
      <c r="J1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-4.8305011644958354E-3</v>
      </c>
      <c r="K110" s="15">
        <f t="shared" ca="1" si="2"/>
        <v>233.37563981051687</v>
      </c>
      <c r="L110" s="6"/>
      <c r="M110" s="19">
        <f ca="1">IF(testdataHighLow[[#This Row],[type]]="H",testdataHighLow[[#This Row],[high]],AVERAGE(M109,M111))</f>
        <v>241.81021834048192</v>
      </c>
      <c r="N110" s="19">
        <f ca="1">IF(testdataHighLow[[#This Row],[type]]="L",testdataHighLow[[#This Row],[low]],AVERAGE(N109,N111))</f>
        <v>226.64564220191514</v>
      </c>
      <c r="Q110" s="7">
        <v>109</v>
      </c>
      <c r="R110" s="15">
        <v>233.37559999999999</v>
      </c>
      <c r="S110" s="19">
        <v>241.81021999999999</v>
      </c>
      <c r="T110" s="19">
        <v>226.64563999999999</v>
      </c>
    </row>
    <row r="111" spans="1:20" x14ac:dyDescent="0.35">
      <c r="A111" s="7">
        <v>110</v>
      </c>
      <c r="B111" s="3">
        <v>42895</v>
      </c>
      <c r="C111" s="2">
        <v>231.61</v>
      </c>
      <c r="D111" s="14">
        <v>232.48</v>
      </c>
      <c r="E111" s="14">
        <v>229.58</v>
      </c>
      <c r="F111" s="2">
        <v>230.96</v>
      </c>
      <c r="G111" s="1">
        <v>139383184</v>
      </c>
      <c r="H111" s="6" t="s">
        <v>10</v>
      </c>
      <c r="I111" s="6">
        <f>IF(AND(H110="UP",testdataHighLow[[#This Row],[high]]&gt;I110),testdataHighLow[[#This Row],[high]],IF(AND(H110="DN",testdataHighLow[[#This Row],[low]]&lt;I110),testdataHighLow[[#This Row],[low]],I110))</f>
        <v>232.48</v>
      </c>
      <c r="J1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-1.2474191328286206E-2</v>
      </c>
      <c r="K111" s="15">
        <f t="shared" ca="1" si="2"/>
        <v>233.64241706170299</v>
      </c>
      <c r="L111" s="6"/>
      <c r="M111" s="19">
        <f ca="1">IF(testdataHighLow[[#This Row],[type]]="H",testdataHighLow[[#This Row],[high]],AVERAGE(M110,M112))</f>
        <v>242.0242794758519</v>
      </c>
      <c r="N111" s="19">
        <f ca="1">IF(testdataHighLow[[#This Row],[type]]="L",testdataHighLow[[#This Row],[low]],AVERAGE(N110,N112))</f>
        <v>226.7804587156777</v>
      </c>
      <c r="Q111" s="7">
        <v>110</v>
      </c>
      <c r="R111" s="15">
        <v>233.64240000000001</v>
      </c>
      <c r="S111" s="19">
        <v>242.02428</v>
      </c>
      <c r="T111" s="19">
        <v>226.78046000000001</v>
      </c>
    </row>
    <row r="112" spans="1:20" x14ac:dyDescent="0.35">
      <c r="A112" s="7">
        <v>111</v>
      </c>
      <c r="B112" s="3">
        <v>42898</v>
      </c>
      <c r="C112" s="2">
        <v>230.7</v>
      </c>
      <c r="D112" s="14">
        <v>230.97</v>
      </c>
      <c r="E112" s="14">
        <v>229.99</v>
      </c>
      <c r="F112" s="2">
        <v>230.92</v>
      </c>
      <c r="G112" s="1">
        <v>90748160</v>
      </c>
      <c r="H112" s="6" t="s">
        <v>10</v>
      </c>
      <c r="I112" s="6">
        <f>IF(AND(H111="UP",testdataHighLow[[#This Row],[high]]&gt;I111),testdataHighLow[[#This Row],[high]],IF(AND(H111="DN",testdataHighLow[[#This Row],[low]]&lt;I111),testdataHighLow[[#This Row],[low]],I111))</f>
        <v>232.48</v>
      </c>
      <c r="J1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-1.0710598761183675E-2</v>
      </c>
      <c r="K112" s="15">
        <f t="shared" ca="1" si="2"/>
        <v>233.90919431288907</v>
      </c>
      <c r="L112" s="6"/>
      <c r="M112" s="19">
        <f ca="1">IF(testdataHighLow[[#This Row],[type]]="H",testdataHighLow[[#This Row],[high]],AVERAGE(M111,M113))</f>
        <v>242.23834061122187</v>
      </c>
      <c r="N112" s="19">
        <f ca="1">IF(testdataHighLow[[#This Row],[type]]="L",testdataHighLow[[#This Row],[low]],AVERAGE(N111,N113))</f>
        <v>226.91527522944023</v>
      </c>
      <c r="Q112" s="7">
        <v>111</v>
      </c>
      <c r="R112" s="15">
        <v>233.9092</v>
      </c>
      <c r="S112" s="19">
        <v>242.23833999999999</v>
      </c>
      <c r="T112" s="19">
        <v>226.91528</v>
      </c>
    </row>
    <row r="113" spans="1:20" x14ac:dyDescent="0.35">
      <c r="A113" s="7">
        <v>112</v>
      </c>
      <c r="B113" s="3">
        <v>42899</v>
      </c>
      <c r="C113" s="2">
        <v>231.51</v>
      </c>
      <c r="D113" s="14">
        <v>232.1</v>
      </c>
      <c r="E113" s="14">
        <v>231.13</v>
      </c>
      <c r="F113" s="2">
        <v>232.05</v>
      </c>
      <c r="G113" s="1">
        <v>63303744</v>
      </c>
      <c r="H113" s="6" t="s">
        <v>10</v>
      </c>
      <c r="I113" s="6">
        <f>IF(AND(H112="UP",testdataHighLow[[#This Row],[high]]&gt;I112),testdataHighLow[[#This Row],[high]],IF(AND(H112="DN",testdataHighLow[[#This Row],[low]]&lt;I112),testdataHighLow[[#This Row],[low]],I112))</f>
        <v>232.48</v>
      </c>
      <c r="J1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-5.8069511355815315E-3</v>
      </c>
      <c r="K113" s="15">
        <f t="shared" ca="1" si="2"/>
        <v>234.17597156407516</v>
      </c>
      <c r="L113" s="6"/>
      <c r="M113" s="19">
        <f ca="1">IF(testdataHighLow[[#This Row],[type]]="H",testdataHighLow[[#This Row],[high]],AVERAGE(M112,M114))</f>
        <v>242.45240174659187</v>
      </c>
      <c r="N113" s="19">
        <f ca="1">IF(testdataHighLow[[#This Row],[type]]="L",testdataHighLow[[#This Row],[low]],AVERAGE(N112,N114))</f>
        <v>227.05009174320273</v>
      </c>
      <c r="Q113" s="7">
        <v>112</v>
      </c>
      <c r="R113" s="15">
        <v>234.17599999999999</v>
      </c>
      <c r="S113" s="19">
        <v>242.45240000000001</v>
      </c>
      <c r="T113" s="19">
        <v>227.05009000000001</v>
      </c>
    </row>
    <row r="114" spans="1:20" x14ac:dyDescent="0.35">
      <c r="A114" s="7">
        <v>113</v>
      </c>
      <c r="B114" s="3">
        <v>42900</v>
      </c>
      <c r="C114" s="2">
        <v>232.34</v>
      </c>
      <c r="D114" s="14">
        <v>232.35</v>
      </c>
      <c r="E114" s="14">
        <v>230.85</v>
      </c>
      <c r="F114" s="2">
        <v>231.75</v>
      </c>
      <c r="G114" s="1">
        <v>82837904</v>
      </c>
      <c r="H114" s="6" t="s">
        <v>10</v>
      </c>
      <c r="I114" s="6">
        <f>IF(AND(H113="UP",testdataHighLow[[#This Row],[high]]&gt;I113),testdataHighLow[[#This Row],[high]],IF(AND(H113="DN",testdataHighLow[[#This Row],[low]]&lt;I113),testdataHighLow[[#This Row],[low]],I113))</f>
        <v>232.48</v>
      </c>
      <c r="J1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-7.0113558155540066E-3</v>
      </c>
      <c r="K114" s="15">
        <f t="shared" ca="1" si="2"/>
        <v>234.44274881526121</v>
      </c>
      <c r="L114" s="6"/>
      <c r="M114" s="19">
        <f ca="1">IF(testdataHighLow[[#This Row],[type]]="H",testdataHighLow[[#This Row],[high]],AVERAGE(M113,M115))</f>
        <v>242.66646288196191</v>
      </c>
      <c r="N114" s="19">
        <f ca="1">IF(testdataHighLow[[#This Row],[type]]="L",testdataHighLow[[#This Row],[low]],AVERAGE(N113,N115))</f>
        <v>227.18490825696523</v>
      </c>
      <c r="Q114" s="7">
        <v>113</v>
      </c>
      <c r="R114" s="15">
        <v>234.4427</v>
      </c>
      <c r="S114" s="19">
        <v>242.66646</v>
      </c>
      <c r="T114" s="19">
        <v>227.18491</v>
      </c>
    </row>
    <row r="115" spans="1:20" x14ac:dyDescent="0.35">
      <c r="A115" s="7">
        <v>114</v>
      </c>
      <c r="B115" s="3">
        <v>42901</v>
      </c>
      <c r="C115" s="2">
        <v>230.27</v>
      </c>
      <c r="D115" s="14">
        <v>231.44</v>
      </c>
      <c r="E115" s="14">
        <v>229.97</v>
      </c>
      <c r="F115" s="2">
        <v>231.31</v>
      </c>
      <c r="G115" s="1">
        <v>70046440</v>
      </c>
      <c r="H115" s="6" t="s">
        <v>10</v>
      </c>
      <c r="I115" s="6">
        <f>IF(AND(H114="UP",testdataHighLow[[#This Row],[high]]&gt;I114),testdataHighLow[[#This Row],[high]],IF(AND(H114="DN",testdataHighLow[[#This Row],[low]]&lt;I114),testdataHighLow[[#This Row],[low]],I114))</f>
        <v>232.48</v>
      </c>
      <c r="J1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-1.0796627666896038E-2</v>
      </c>
      <c r="K115" s="15">
        <f t="shared" ca="1" si="2"/>
        <v>234.70952606644724</v>
      </c>
      <c r="L115" s="6"/>
      <c r="M115" s="19">
        <f ca="1">IF(testdataHighLow[[#This Row],[type]]="H",testdataHighLow[[#This Row],[high]],AVERAGE(M114,M116))</f>
        <v>242.88052401733194</v>
      </c>
      <c r="N115" s="19">
        <f ca="1">IF(testdataHighLow[[#This Row],[type]]="L",testdataHighLow[[#This Row],[low]],AVERAGE(N114,N116))</f>
        <v>227.3197247707277</v>
      </c>
      <c r="Q115" s="7">
        <v>114</v>
      </c>
      <c r="R115" s="15">
        <v>234.70949999999999</v>
      </c>
      <c r="S115" s="19">
        <v>242.88051999999999</v>
      </c>
      <c r="T115" s="19">
        <v>227.31971999999999</v>
      </c>
    </row>
    <row r="116" spans="1:20" x14ac:dyDescent="0.35">
      <c r="A116" s="7">
        <v>115</v>
      </c>
      <c r="B116" s="3">
        <v>42902</v>
      </c>
      <c r="C116" s="2">
        <v>231.48</v>
      </c>
      <c r="D116" s="14">
        <v>231.54</v>
      </c>
      <c r="E116" s="14">
        <v>230.4</v>
      </c>
      <c r="F116" s="2">
        <v>231.36</v>
      </c>
      <c r="G116" s="1">
        <v>88676880</v>
      </c>
      <c r="H116" s="6" t="s">
        <v>10</v>
      </c>
      <c r="I116" s="6">
        <f>IF(AND(H115="UP",testdataHighLow[[#This Row],[high]]&gt;I115),testdataHighLow[[#This Row],[high]],IF(AND(H115="DN",testdataHighLow[[#This Row],[low]]&lt;I115),testdataHighLow[[#This Row],[low]],I115))</f>
        <v>232.48</v>
      </c>
      <c r="J1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-8.9470061940811439E-3</v>
      </c>
      <c r="K116" s="15">
        <f t="shared" ca="1" si="2"/>
        <v>234.97630331763327</v>
      </c>
      <c r="L116" s="6"/>
      <c r="M116" s="19">
        <f ca="1">IF(testdataHighLow[[#This Row],[type]]="H",testdataHighLow[[#This Row],[high]],AVERAGE(M115,M117))</f>
        <v>243.094585152702</v>
      </c>
      <c r="N116" s="19">
        <f ca="1">IF(testdataHighLow[[#This Row],[type]]="L",testdataHighLow[[#This Row],[low]],AVERAGE(N115,N117))</f>
        <v>227.45454128449015</v>
      </c>
      <c r="Q116" s="7">
        <v>115</v>
      </c>
      <c r="R116" s="15">
        <v>234.97630000000001</v>
      </c>
      <c r="S116" s="19">
        <v>243.09459000000001</v>
      </c>
      <c r="T116" s="19">
        <v>227.45454000000001</v>
      </c>
    </row>
    <row r="117" spans="1:20" x14ac:dyDescent="0.35">
      <c r="A117" s="7">
        <v>116</v>
      </c>
      <c r="B117" s="3">
        <v>42905</v>
      </c>
      <c r="C117" s="2">
        <v>232.26</v>
      </c>
      <c r="D117" s="14">
        <v>233.35</v>
      </c>
      <c r="E117" s="14">
        <v>232.16</v>
      </c>
      <c r="F117" s="2">
        <v>233.28</v>
      </c>
      <c r="G117" s="1">
        <v>68299992</v>
      </c>
      <c r="H117" s="6" t="s">
        <v>10</v>
      </c>
      <c r="I117" s="6">
        <f>IF(AND(H116="UP",testdataHighLow[[#This Row],[high]]&gt;I116),testdataHighLow[[#This Row],[high]],IF(AND(H116="DN",testdataHighLow[[#This Row],[low]]&lt;I116),testdataHighLow[[#This Row],[low]],I116))</f>
        <v>233.35</v>
      </c>
      <c r="J1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-5.0996357403042545E-3</v>
      </c>
      <c r="K117" s="15">
        <f t="shared" ca="1" si="2"/>
        <v>235.24308056881927</v>
      </c>
      <c r="L117" s="6"/>
      <c r="M117" s="19">
        <f ca="1">IF(testdataHighLow[[#This Row],[type]]="H",testdataHighLow[[#This Row],[high]],AVERAGE(M116,M118))</f>
        <v>243.30864628807208</v>
      </c>
      <c r="N117" s="19">
        <f ca="1">IF(testdataHighLow[[#This Row],[type]]="L",testdataHighLow[[#This Row],[low]],AVERAGE(N116,N118))</f>
        <v>227.58935779825259</v>
      </c>
      <c r="Q117" s="7">
        <v>116</v>
      </c>
      <c r="R117" s="15">
        <v>235.2431</v>
      </c>
      <c r="S117" s="19">
        <v>243.30865</v>
      </c>
      <c r="T117" s="19">
        <v>227.58936</v>
      </c>
    </row>
    <row r="118" spans="1:20" x14ac:dyDescent="0.35">
      <c r="A118" s="7">
        <v>117</v>
      </c>
      <c r="B118" s="3">
        <v>42906</v>
      </c>
      <c r="C118" s="2">
        <v>232.89</v>
      </c>
      <c r="D118" s="14">
        <v>232.9</v>
      </c>
      <c r="E118" s="14">
        <v>231.69</v>
      </c>
      <c r="F118" s="2">
        <v>231.71</v>
      </c>
      <c r="G118" s="1">
        <v>59681776</v>
      </c>
      <c r="H118" s="6" t="s">
        <v>10</v>
      </c>
      <c r="I118" s="6">
        <f>IF(AND(H117="UP",testdataHighLow[[#This Row],[high]]&gt;I117),testdataHighLow[[#This Row],[high]],IF(AND(H117="DN",testdataHighLow[[#This Row],[low]]&lt;I117),testdataHighLow[[#This Row],[low]],I117))</f>
        <v>233.35</v>
      </c>
      <c r="J1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-7.1137775873151773E-3</v>
      </c>
      <c r="K118" s="15">
        <f t="shared" ca="1" si="2"/>
        <v>235.50985782000524</v>
      </c>
      <c r="L118" s="6"/>
      <c r="M118" s="19">
        <f ca="1">IF(testdataHighLow[[#This Row],[type]]="H",testdataHighLow[[#This Row],[high]],AVERAGE(M117,M119))</f>
        <v>243.52270742344217</v>
      </c>
      <c r="N118" s="19">
        <f ca="1">IF(testdataHighLow[[#This Row],[type]]="L",testdataHighLow[[#This Row],[low]],AVERAGE(N117,N119))</f>
        <v>227.72417431201501</v>
      </c>
      <c r="Q118" s="7">
        <v>117</v>
      </c>
      <c r="R118" s="15">
        <v>235.50989999999999</v>
      </c>
      <c r="S118" s="19">
        <v>243.52270999999999</v>
      </c>
      <c r="T118" s="19">
        <v>227.72416999999999</v>
      </c>
    </row>
    <row r="119" spans="1:20" x14ac:dyDescent="0.35">
      <c r="A119" s="7">
        <v>118</v>
      </c>
      <c r="B119" s="3">
        <v>42907</v>
      </c>
      <c r="C119" s="2">
        <v>232.1</v>
      </c>
      <c r="D119" s="14">
        <v>232.26</v>
      </c>
      <c r="E119" s="14">
        <v>231.14</v>
      </c>
      <c r="F119" s="2">
        <v>231.65</v>
      </c>
      <c r="G119" s="1">
        <v>58707680</v>
      </c>
      <c r="H119" s="6" t="s">
        <v>10</v>
      </c>
      <c r="I119" s="6">
        <f>IF(AND(H118="UP",testdataHighLow[[#This Row],[high]]&gt;I118),testdataHighLow[[#This Row],[high]],IF(AND(H118="DN",testdataHighLow[[#This Row],[low]]&lt;I118),testdataHighLow[[#This Row],[low]],I118))</f>
        <v>233.35</v>
      </c>
      <c r="J1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-9.4707520891365252E-3</v>
      </c>
      <c r="K119" s="15">
        <f t="shared" ca="1" si="2"/>
        <v>235.77663507119121</v>
      </c>
      <c r="L119" s="6"/>
      <c r="M119" s="19">
        <f ca="1">IF(testdataHighLow[[#This Row],[type]]="H",testdataHighLow[[#This Row],[high]],AVERAGE(M118,M120))</f>
        <v>243.73676855881229</v>
      </c>
      <c r="N119" s="19">
        <f ca="1">IF(testdataHighLow[[#This Row],[type]]="L",testdataHighLow[[#This Row],[low]],AVERAGE(N118,N120))</f>
        <v>227.8589908257774</v>
      </c>
      <c r="Q119" s="7">
        <v>118</v>
      </c>
      <c r="R119" s="15">
        <v>235.7766</v>
      </c>
      <c r="S119" s="19">
        <v>243.73677000000001</v>
      </c>
      <c r="T119" s="19">
        <v>227.85899000000001</v>
      </c>
    </row>
    <row r="120" spans="1:20" x14ac:dyDescent="0.35">
      <c r="A120" s="7">
        <v>119</v>
      </c>
      <c r="B120" s="3">
        <v>42908</v>
      </c>
      <c r="C120" s="2">
        <v>231.66</v>
      </c>
      <c r="D120" s="14">
        <v>232.21</v>
      </c>
      <c r="E120" s="14">
        <v>231.36</v>
      </c>
      <c r="F120" s="2">
        <v>231.55</v>
      </c>
      <c r="G120" s="1">
        <v>46301224</v>
      </c>
      <c r="H120" s="6" t="s">
        <v>10</v>
      </c>
      <c r="I120" s="6">
        <f>IF(AND(H119="UP",testdataHighLow[[#This Row],[high]]&gt;I119),testdataHighLow[[#This Row],[high]],IF(AND(H119="DN",testdataHighLow[[#This Row],[low]]&lt;I119),testdataHighLow[[#This Row],[low]],I119))</f>
        <v>233.35</v>
      </c>
      <c r="J1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-8.5279622884078879E-3</v>
      </c>
      <c r="K120" s="15">
        <f t="shared" ca="1" si="2"/>
        <v>236.04341232237715</v>
      </c>
      <c r="L120" s="6"/>
      <c r="M120" s="19">
        <f ca="1">IF(testdataHighLow[[#This Row],[type]]="H",testdataHighLow[[#This Row],[high]],AVERAGE(M119,M121))</f>
        <v>243.95082969418243</v>
      </c>
      <c r="N120" s="19">
        <f ca="1">IF(testdataHighLow[[#This Row],[type]]="L",testdataHighLow[[#This Row],[low]],AVERAGE(N119,N121))</f>
        <v>227.99380733953979</v>
      </c>
      <c r="Q120" s="7">
        <v>119</v>
      </c>
      <c r="R120" s="15">
        <v>236.04339999999999</v>
      </c>
      <c r="S120" s="19">
        <v>243.95083</v>
      </c>
      <c r="T120" s="19">
        <v>227.99381</v>
      </c>
    </row>
    <row r="121" spans="1:20" x14ac:dyDescent="0.35">
      <c r="A121" s="7">
        <v>120</v>
      </c>
      <c r="B121" s="3">
        <v>42909</v>
      </c>
      <c r="C121" s="2">
        <v>231.61</v>
      </c>
      <c r="D121" s="14">
        <v>232.19</v>
      </c>
      <c r="E121" s="14">
        <v>231.19</v>
      </c>
      <c r="F121" s="2">
        <v>231.82</v>
      </c>
      <c r="G121" s="1">
        <v>70253848</v>
      </c>
      <c r="H121" s="6" t="s">
        <v>10</v>
      </c>
      <c r="I121" s="6">
        <f>IF(AND(H120="UP",testdataHighLow[[#This Row],[high]]&gt;I120),testdataHighLow[[#This Row],[high]],IF(AND(H120="DN",testdataHighLow[[#This Row],[low]]&lt;I120),testdataHighLow[[#This Row],[low]],I120))</f>
        <v>233.35</v>
      </c>
      <c r="J1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-9.2564816798799947E-3</v>
      </c>
      <c r="K121" s="15">
        <f t="shared" ca="1" si="2"/>
        <v>236.31018957356306</v>
      </c>
      <c r="L121" s="6"/>
      <c r="M121" s="19">
        <f ca="1">IF(testdataHighLow[[#This Row],[type]]="H",testdataHighLow[[#This Row],[high]],AVERAGE(M120,M122))</f>
        <v>244.16489082955258</v>
      </c>
      <c r="N121" s="19">
        <f ca="1">IF(testdataHighLow[[#This Row],[type]]="L",testdataHighLow[[#This Row],[low]],AVERAGE(N120,N122))</f>
        <v>228.12862385330214</v>
      </c>
      <c r="Q121" s="7">
        <v>120</v>
      </c>
      <c r="R121" s="15">
        <v>236.31020000000001</v>
      </c>
      <c r="S121" s="19">
        <v>244.16489000000001</v>
      </c>
      <c r="T121" s="19">
        <v>228.12862000000001</v>
      </c>
    </row>
    <row r="122" spans="1:20" x14ac:dyDescent="0.35">
      <c r="A122" s="7">
        <v>121</v>
      </c>
      <c r="B122" s="3">
        <v>42912</v>
      </c>
      <c r="C122" s="2">
        <v>232.56</v>
      </c>
      <c r="D122" s="14">
        <v>233.02</v>
      </c>
      <c r="E122" s="14">
        <v>231.74</v>
      </c>
      <c r="F122" s="2">
        <v>231.98</v>
      </c>
      <c r="G122" s="1">
        <v>59465848</v>
      </c>
      <c r="H122" s="6" t="s">
        <v>10</v>
      </c>
      <c r="I122" s="6">
        <f>IF(AND(H121="UP",testdataHighLow[[#This Row],[high]]&gt;I121),testdataHighLow[[#This Row],[high]],IF(AND(H121="DN",testdataHighLow[[#This Row],[low]]&lt;I121),testdataHighLow[[#This Row],[low]],I121))</f>
        <v>233.35</v>
      </c>
      <c r="J1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-6.8995071780586469E-3</v>
      </c>
      <c r="K122" s="15">
        <f t="shared" ca="1" si="2"/>
        <v>236.57696682474898</v>
      </c>
      <c r="L122" s="6"/>
      <c r="M122" s="19">
        <f ca="1">IF(testdataHighLow[[#This Row],[type]]="H",testdataHighLow[[#This Row],[high]],AVERAGE(M121,M123))</f>
        <v>244.37895196492275</v>
      </c>
      <c r="N122" s="19">
        <f ca="1">IF(testdataHighLow[[#This Row],[type]]="L",testdataHighLow[[#This Row],[low]],AVERAGE(N121,N123))</f>
        <v>228.26344036706448</v>
      </c>
      <c r="Q122" s="7">
        <v>121</v>
      </c>
      <c r="R122" s="15">
        <v>236.577</v>
      </c>
      <c r="S122" s="19">
        <v>244.37895</v>
      </c>
      <c r="T122" s="19">
        <v>228.26344</v>
      </c>
    </row>
    <row r="123" spans="1:20" x14ac:dyDescent="0.35">
      <c r="A123" s="7">
        <v>122</v>
      </c>
      <c r="B123" s="3">
        <v>42913</v>
      </c>
      <c r="C123" s="2">
        <v>231.74</v>
      </c>
      <c r="D123" s="14">
        <v>232.06</v>
      </c>
      <c r="E123" s="14">
        <v>230.09</v>
      </c>
      <c r="F123" s="2">
        <v>230.11</v>
      </c>
      <c r="G123" s="1">
        <v>86259016</v>
      </c>
      <c r="H123" s="6" t="s">
        <v>10</v>
      </c>
      <c r="I123" s="6">
        <f>IF(AND(H122="UP",testdataHighLow[[#This Row],[high]]&gt;I122),testdataHighLow[[#This Row],[high]],IF(AND(H122="DN",testdataHighLow[[#This Row],[low]]&lt;I122),testdataHighLow[[#This Row],[low]],I122))</f>
        <v>233.35</v>
      </c>
      <c r="J1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-1.3970430683522567E-2</v>
      </c>
      <c r="K123" s="15">
        <f t="shared" ca="1" si="2"/>
        <v>236.84374407593486</v>
      </c>
      <c r="L123" s="6"/>
      <c r="M123" s="19">
        <f ca="1">IF(testdataHighLow[[#This Row],[type]]="H",testdataHighLow[[#This Row],[high]],AVERAGE(M122,M124))</f>
        <v>244.59301310029295</v>
      </c>
      <c r="N123" s="19">
        <f ca="1">IF(testdataHighLow[[#This Row],[type]]="L",testdataHighLow[[#This Row],[low]],AVERAGE(N122,N124))</f>
        <v>228.39825688082681</v>
      </c>
      <c r="Q123" s="7">
        <v>122</v>
      </c>
      <c r="R123" s="15">
        <v>236.84370000000001</v>
      </c>
      <c r="S123" s="19">
        <v>244.59300999999999</v>
      </c>
      <c r="T123" s="19">
        <v>228.39825999999999</v>
      </c>
    </row>
    <row r="124" spans="1:20" x14ac:dyDescent="0.35">
      <c r="A124" s="7">
        <v>123</v>
      </c>
      <c r="B124" s="3">
        <v>42914</v>
      </c>
      <c r="C124" s="2">
        <v>231.22</v>
      </c>
      <c r="D124" s="14">
        <v>232.38</v>
      </c>
      <c r="E124" s="14">
        <v>230.97</v>
      </c>
      <c r="F124" s="2">
        <v>232.17</v>
      </c>
      <c r="G124" s="1">
        <v>73458688</v>
      </c>
      <c r="H124" s="6" t="s">
        <v>10</v>
      </c>
      <c r="I124" s="6">
        <f>IF(AND(H123="UP",testdataHighLow[[#This Row],[high]]&gt;I123),testdataHighLow[[#This Row],[high]],IF(AND(H123="DN",testdataHighLow[[#This Row],[low]]&lt;I123),testdataHighLow[[#This Row],[low]],I123))</f>
        <v>233.35</v>
      </c>
      <c r="J1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-1.0199271480608509E-2</v>
      </c>
      <c r="K124" s="15">
        <f t="shared" ca="1" si="2"/>
        <v>237.11052132712072</v>
      </c>
      <c r="L124" s="6"/>
      <c r="M124" s="19">
        <f ca="1">IF(testdataHighLow[[#This Row],[type]]="H",testdataHighLow[[#This Row],[high]],AVERAGE(M123,M125))</f>
        <v>244.80707423566315</v>
      </c>
      <c r="N124" s="19">
        <f ca="1">IF(testdataHighLow[[#This Row],[type]]="L",testdataHighLow[[#This Row],[low]],AVERAGE(N123,N125))</f>
        <v>228.53307339458911</v>
      </c>
      <c r="Q124" s="7">
        <v>123</v>
      </c>
      <c r="R124" s="15">
        <v>237.1105</v>
      </c>
      <c r="S124" s="19">
        <v>244.80707000000001</v>
      </c>
      <c r="T124" s="19">
        <v>228.53307000000001</v>
      </c>
    </row>
    <row r="125" spans="1:20" x14ac:dyDescent="0.35">
      <c r="A125" s="7">
        <v>124</v>
      </c>
      <c r="B125" s="3">
        <v>42915</v>
      </c>
      <c r="C125" s="2">
        <v>232.33</v>
      </c>
      <c r="D125" s="14">
        <v>232.39</v>
      </c>
      <c r="E125" s="14">
        <v>228.8</v>
      </c>
      <c r="F125" s="2">
        <v>230.13</v>
      </c>
      <c r="G125" s="1">
        <v>112165824</v>
      </c>
      <c r="H125" s="6" t="s">
        <v>10</v>
      </c>
      <c r="I125" s="6">
        <f>IF(AND(H124="UP",testdataHighLow[[#This Row],[high]]&gt;I124),testdataHighLow[[#This Row],[high]],IF(AND(H124="DN",testdataHighLow[[#This Row],[low]]&lt;I124),testdataHighLow[[#This Row],[low]],I124))</f>
        <v>233.35</v>
      </c>
      <c r="J1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-1.9498607242339761E-2</v>
      </c>
      <c r="K125" s="15">
        <f t="shared" ca="1" si="2"/>
        <v>237.37729857830658</v>
      </c>
      <c r="L125" s="6"/>
      <c r="M125" s="19">
        <f ca="1">IF(testdataHighLow[[#This Row],[type]]="H",testdataHighLow[[#This Row],[high]],AVERAGE(M124,M126))</f>
        <v>245.02113537103338</v>
      </c>
      <c r="N125" s="19">
        <f ca="1">IF(testdataHighLow[[#This Row],[type]]="L",testdataHighLow[[#This Row],[low]],AVERAGE(N124,N126))</f>
        <v>228.66788990835138</v>
      </c>
      <c r="Q125" s="7">
        <v>124</v>
      </c>
      <c r="R125" s="15">
        <v>237.37729999999999</v>
      </c>
      <c r="S125" s="19">
        <v>245.02114</v>
      </c>
      <c r="T125" s="19">
        <v>228.66789</v>
      </c>
    </row>
    <row r="126" spans="1:20" x14ac:dyDescent="0.35">
      <c r="A126" s="7">
        <v>125</v>
      </c>
      <c r="B126" s="3">
        <v>42916</v>
      </c>
      <c r="C126" s="2">
        <v>231.01</v>
      </c>
      <c r="D126" s="14">
        <v>231.42</v>
      </c>
      <c r="E126" s="14">
        <v>230.34</v>
      </c>
      <c r="F126" s="2">
        <v>230.56</v>
      </c>
      <c r="G126" s="1">
        <v>91055080</v>
      </c>
      <c r="H126" s="6" t="s">
        <v>10</v>
      </c>
      <c r="I126" s="6">
        <f>IF(AND(H125="UP",testdataHighLow[[#This Row],[high]]&gt;I125),testdataHighLow[[#This Row],[high]],IF(AND(H125="DN",testdataHighLow[[#This Row],[low]]&lt;I125),testdataHighLow[[#This Row],[low]],I125))</f>
        <v>233.35</v>
      </c>
      <c r="J1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-1.2899078637240158E-2</v>
      </c>
      <c r="K126" s="15">
        <f t="shared" ca="1" si="2"/>
        <v>237.64407582949241</v>
      </c>
      <c r="L126" s="6"/>
      <c r="M126" s="19">
        <f ca="1">IF(testdataHighLow[[#This Row],[type]]="H",testdataHighLow[[#This Row],[high]],AVERAGE(M125,M127))</f>
        <v>245.23519650640364</v>
      </c>
      <c r="N126" s="19">
        <f ca="1">IF(testdataHighLow[[#This Row],[type]]="L",testdataHighLow[[#This Row],[low]],AVERAGE(N125,N127))</f>
        <v>228.80270642211366</v>
      </c>
      <c r="Q126" s="7">
        <v>125</v>
      </c>
      <c r="R126" s="15">
        <v>237.64410000000001</v>
      </c>
      <c r="S126" s="19">
        <v>245.23519999999999</v>
      </c>
      <c r="T126" s="19">
        <v>228.80270999999999</v>
      </c>
    </row>
    <row r="127" spans="1:20" x14ac:dyDescent="0.35">
      <c r="A127" s="7">
        <v>126</v>
      </c>
      <c r="B127" s="3">
        <v>42919</v>
      </c>
      <c r="C127" s="2">
        <v>231.59</v>
      </c>
      <c r="D127" s="14">
        <v>232.06</v>
      </c>
      <c r="E127" s="14">
        <v>230.95</v>
      </c>
      <c r="F127" s="2">
        <v>230.95</v>
      </c>
      <c r="G127" s="1">
        <v>41063396</v>
      </c>
      <c r="H127" s="6" t="s">
        <v>10</v>
      </c>
      <c r="I127" s="6">
        <f>IF(AND(H126="UP",testdataHighLow[[#This Row],[high]]&gt;I126),testdataHighLow[[#This Row],[high]],IF(AND(H126="DN",testdataHighLow[[#This Row],[low]]&lt;I126),testdataHighLow[[#This Row],[low]],I126))</f>
        <v>233.35</v>
      </c>
      <c r="J1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-1.0284979644311146E-2</v>
      </c>
      <c r="K127" s="15">
        <f t="shared" ca="1" si="2"/>
        <v>237.91085308067821</v>
      </c>
      <c r="L127" s="6"/>
      <c r="M127" s="19">
        <f ca="1">IF(testdataHighLow[[#This Row],[type]]="H",testdataHighLow[[#This Row],[high]],AVERAGE(M126,M128))</f>
        <v>245.4492576417739</v>
      </c>
      <c r="N127" s="19">
        <f ca="1">IF(testdataHighLow[[#This Row],[type]]="L",testdataHighLow[[#This Row],[low]],AVERAGE(N126,N128))</f>
        <v>228.9375229358759</v>
      </c>
      <c r="Q127" s="7">
        <v>126</v>
      </c>
      <c r="R127" s="15">
        <v>237.9109</v>
      </c>
      <c r="S127" s="19">
        <v>245.44926000000001</v>
      </c>
      <c r="T127" s="19">
        <v>228.93752000000001</v>
      </c>
    </row>
    <row r="128" spans="1:20" x14ac:dyDescent="0.35">
      <c r="A128" s="7">
        <v>127</v>
      </c>
      <c r="B128" s="3">
        <v>42921</v>
      </c>
      <c r="C128" s="2">
        <v>231.35</v>
      </c>
      <c r="D128" s="14">
        <v>231.71</v>
      </c>
      <c r="E128" s="14">
        <v>230.46</v>
      </c>
      <c r="F128" s="2">
        <v>231.48</v>
      </c>
      <c r="G128" s="1">
        <v>57082112</v>
      </c>
      <c r="H128" s="6" t="s">
        <v>10</v>
      </c>
      <c r="I128" s="6">
        <f>IF(AND(H127="UP",testdataHighLow[[#This Row],[high]]&gt;I127),testdataHighLow[[#This Row],[high]],IF(AND(H127="DN",testdataHighLow[[#This Row],[low]]&lt;I127),testdataHighLow[[#This Row],[low]],I127))</f>
        <v>233.35</v>
      </c>
      <c r="J1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-1.2384829655024583E-2</v>
      </c>
      <c r="K128" s="15">
        <f t="shared" ca="1" si="2"/>
        <v>238.17763033186401</v>
      </c>
      <c r="L128" s="6"/>
      <c r="M128" s="19">
        <f ca="1">IF(testdataHighLow[[#This Row],[type]]="H",testdataHighLow[[#This Row],[high]],AVERAGE(M127,M129))</f>
        <v>245.66331877714418</v>
      </c>
      <c r="N128" s="19">
        <f ca="1">IF(testdataHighLow[[#This Row],[type]]="L",testdataHighLow[[#This Row],[low]],AVERAGE(N127,N129))</f>
        <v>229.07233944963812</v>
      </c>
      <c r="Q128" s="7">
        <v>127</v>
      </c>
      <c r="R128" s="15">
        <v>238.17760000000001</v>
      </c>
      <c r="S128" s="19">
        <v>245.66332</v>
      </c>
      <c r="T128" s="19">
        <v>229.07234</v>
      </c>
    </row>
    <row r="129" spans="1:20" x14ac:dyDescent="0.35">
      <c r="A129" s="7">
        <v>128</v>
      </c>
      <c r="B129" s="3">
        <v>42922</v>
      </c>
      <c r="C129" s="2">
        <v>230.64</v>
      </c>
      <c r="D129" s="14">
        <v>230.77</v>
      </c>
      <c r="E129" s="14">
        <v>229.16</v>
      </c>
      <c r="F129" s="2">
        <v>229.36</v>
      </c>
      <c r="G129" s="1">
        <v>69339864</v>
      </c>
      <c r="H129" s="6" t="s">
        <v>10</v>
      </c>
      <c r="I129" s="6">
        <f>IF(AND(H128="UP",testdataHighLow[[#This Row],[high]]&gt;I128),testdataHighLow[[#This Row],[high]],IF(AND(H128="DN",testdataHighLow[[#This Row],[low]]&lt;I128),testdataHighLow[[#This Row],[low]],I128))</f>
        <v>233.35</v>
      </c>
      <c r="J1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-1.7955860295693155E-2</v>
      </c>
      <c r="K129" s="15">
        <f t="shared" ca="1" si="2"/>
        <v>238.44440758304978</v>
      </c>
      <c r="L129" s="6"/>
      <c r="M129" s="19">
        <f ca="1">IF(testdataHighLow[[#This Row],[type]]="H",testdataHighLow[[#This Row],[high]],AVERAGE(M128,M130))</f>
        <v>245.8773799125145</v>
      </c>
      <c r="N129" s="19">
        <f ca="1">IF(testdataHighLow[[#This Row],[type]]="L",testdataHighLow[[#This Row],[low]],AVERAGE(N128,N130))</f>
        <v>229.20715596340034</v>
      </c>
      <c r="Q129" s="7">
        <v>128</v>
      </c>
      <c r="R129" s="15">
        <v>238.4444</v>
      </c>
      <c r="S129" s="19">
        <v>245.87737999999999</v>
      </c>
      <c r="T129" s="19">
        <v>229.20715999999999</v>
      </c>
    </row>
    <row r="130" spans="1:20" x14ac:dyDescent="0.35">
      <c r="A130" s="7">
        <v>129</v>
      </c>
      <c r="B130" s="3">
        <v>42923</v>
      </c>
      <c r="C130" s="2">
        <v>229.99</v>
      </c>
      <c r="D130" s="14">
        <v>231.01</v>
      </c>
      <c r="E130" s="14">
        <v>229.38</v>
      </c>
      <c r="F130" s="2">
        <v>230.85</v>
      </c>
      <c r="G130" s="1">
        <v>60799664</v>
      </c>
      <c r="H130" s="6" t="s">
        <v>10</v>
      </c>
      <c r="I130" s="6">
        <f>IF(AND(H129="UP",testdataHighLow[[#This Row],[high]]&gt;I129),testdataHighLow[[#This Row],[high]],IF(AND(H129="DN",testdataHighLow[[#This Row],[low]]&lt;I129),testdataHighLow[[#This Row],[low]],I129))</f>
        <v>233.35</v>
      </c>
      <c r="J1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-1.701307049496464E-2</v>
      </c>
      <c r="K130" s="15">
        <f t="shared" ca="1" si="2"/>
        <v>238.71118483423552</v>
      </c>
      <c r="L130" s="6"/>
      <c r="M130" s="19">
        <f ca="1">IF(testdataHighLow[[#This Row],[type]]="H",testdataHighLow[[#This Row],[high]],AVERAGE(M129,M131))</f>
        <v>246.09144104788481</v>
      </c>
      <c r="N130" s="19">
        <f ca="1">IF(testdataHighLow[[#This Row],[type]]="L",testdataHighLow[[#This Row],[low]],AVERAGE(N129,N131))</f>
        <v>229.34197247716253</v>
      </c>
      <c r="Q130" s="7">
        <v>129</v>
      </c>
      <c r="R130" s="15">
        <v>238.71119999999999</v>
      </c>
      <c r="S130" s="19">
        <v>246.09144000000001</v>
      </c>
      <c r="T130" s="19">
        <v>229.34197</v>
      </c>
    </row>
    <row r="131" spans="1:20" x14ac:dyDescent="0.35">
      <c r="A131" s="7">
        <v>130</v>
      </c>
      <c r="B131" s="3">
        <v>42926</v>
      </c>
      <c r="C131" s="2">
        <v>230.7</v>
      </c>
      <c r="D131" s="14">
        <v>231.51</v>
      </c>
      <c r="E131" s="14">
        <v>230.52</v>
      </c>
      <c r="F131" s="2">
        <v>231.1</v>
      </c>
      <c r="G131" s="1">
        <v>38451396</v>
      </c>
      <c r="H131" s="6" t="s">
        <v>10</v>
      </c>
      <c r="I131" s="6">
        <f>IF(AND(H130="UP",testdataHighLow[[#This Row],[high]]&gt;I130),testdataHighLow[[#This Row],[high]],IF(AND(H130="DN",testdataHighLow[[#This Row],[low]]&lt;I130),testdataHighLow[[#This Row],[low]],I130))</f>
        <v>233.35</v>
      </c>
      <c r="J1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-1.2127705163916796E-2</v>
      </c>
      <c r="K131" s="15">
        <f t="shared" ca="1" si="2"/>
        <v>238.97796208542127</v>
      </c>
      <c r="L131" s="6"/>
      <c r="M131" s="19">
        <f ca="1">IF(testdataHighLow[[#This Row],[type]]="H",testdataHighLow[[#This Row],[high]],AVERAGE(M130,M132))</f>
        <v>246.30550218325516</v>
      </c>
      <c r="N131" s="19">
        <f ca="1">IF(testdataHighLow[[#This Row],[type]]="L",testdataHighLow[[#This Row],[low]],AVERAGE(N130,N132))</f>
        <v>229.47678899092469</v>
      </c>
      <c r="Q131" s="7">
        <v>130</v>
      </c>
      <c r="R131" s="15">
        <v>238.97800000000001</v>
      </c>
      <c r="S131" s="19">
        <v>246.30549999999999</v>
      </c>
      <c r="T131" s="19">
        <v>229.47678999999999</v>
      </c>
    </row>
    <row r="132" spans="1:20" x14ac:dyDescent="0.35">
      <c r="A132" s="7">
        <v>131</v>
      </c>
      <c r="B132" s="3">
        <v>42927</v>
      </c>
      <c r="C132" s="2">
        <v>230.9</v>
      </c>
      <c r="D132" s="14">
        <v>231.27</v>
      </c>
      <c r="E132" s="14">
        <v>229.65</v>
      </c>
      <c r="F132" s="2">
        <v>230.93</v>
      </c>
      <c r="G132" s="1">
        <v>52810484</v>
      </c>
      <c r="H132" s="6" t="s">
        <v>10</v>
      </c>
      <c r="I132" s="6">
        <f>IF(AND(H131="UP",testdataHighLow[[#This Row],[high]]&gt;I131),testdataHighLow[[#This Row],[high]],IF(AND(H131="DN",testdataHighLow[[#This Row],[low]]&lt;I131),testdataHighLow[[#This Row],[low]],I131))</f>
        <v>233.35</v>
      </c>
      <c r="J1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-1.5856010284979596E-2</v>
      </c>
      <c r="K132" s="15">
        <f t="shared" ref="K132:K195" ca="1" si="3">AVERAGE(K131,K133)</f>
        <v>239.24473933660698</v>
      </c>
      <c r="L132" s="6"/>
      <c r="M132" s="19">
        <f ca="1">IF(testdataHighLow[[#This Row],[type]]="H",testdataHighLow[[#This Row],[high]],AVERAGE(M131,M133))</f>
        <v>246.51956331862553</v>
      </c>
      <c r="N132" s="19">
        <f ca="1">IF(testdataHighLow[[#This Row],[type]]="L",testdataHighLow[[#This Row],[low]],AVERAGE(N131,N133))</f>
        <v>229.61160550468685</v>
      </c>
      <c r="Q132" s="7">
        <v>131</v>
      </c>
      <c r="R132" s="15">
        <v>239.24469999999999</v>
      </c>
      <c r="S132" s="19">
        <v>246.51956000000001</v>
      </c>
      <c r="T132" s="19">
        <v>229.61161000000001</v>
      </c>
    </row>
    <row r="133" spans="1:20" x14ac:dyDescent="0.35">
      <c r="A133" s="7">
        <v>132</v>
      </c>
      <c r="B133" s="3">
        <v>42928</v>
      </c>
      <c r="C133" s="2">
        <v>231.99</v>
      </c>
      <c r="D133" s="14">
        <v>232.84</v>
      </c>
      <c r="E133" s="14">
        <v>231.99</v>
      </c>
      <c r="F133" s="2">
        <v>232.66</v>
      </c>
      <c r="G133" s="1">
        <v>62517696</v>
      </c>
      <c r="H133" s="6" t="s">
        <v>10</v>
      </c>
      <c r="I133" s="6">
        <f>IF(AND(H132="UP",testdataHighLow[[#This Row],[high]]&gt;I132),testdataHighLow[[#This Row],[high]],IF(AND(H132="DN",testdataHighLow[[#This Row],[low]]&lt;I132),testdataHighLow[[#This Row],[low]],I132))</f>
        <v>233.35</v>
      </c>
      <c r="J1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-5.8281551317762382E-3</v>
      </c>
      <c r="K133" s="15">
        <f t="shared" ca="1" si="3"/>
        <v>239.51151658779267</v>
      </c>
      <c r="L133" s="6"/>
      <c r="M133" s="19">
        <f ca="1">IF(testdataHighLow[[#This Row],[type]]="H",testdataHighLow[[#This Row],[high]],AVERAGE(M132,M134))</f>
        <v>246.7336244539959</v>
      </c>
      <c r="N133" s="19">
        <f ca="1">IF(testdataHighLow[[#This Row],[type]]="L",testdataHighLow[[#This Row],[low]],AVERAGE(N132,N134))</f>
        <v>229.74642201844898</v>
      </c>
      <c r="Q133" s="7">
        <v>132</v>
      </c>
      <c r="R133" s="15">
        <v>239.51150000000001</v>
      </c>
      <c r="S133" s="19">
        <v>246.73362</v>
      </c>
      <c r="T133" s="19">
        <v>229.74642</v>
      </c>
    </row>
    <row r="134" spans="1:20" x14ac:dyDescent="0.35">
      <c r="A134" s="7">
        <v>133</v>
      </c>
      <c r="B134" s="3">
        <v>42929</v>
      </c>
      <c r="C134" s="2">
        <v>232.67</v>
      </c>
      <c r="D134" s="14">
        <v>233.18</v>
      </c>
      <c r="E134" s="14">
        <v>232.42</v>
      </c>
      <c r="F134" s="2">
        <v>233.05</v>
      </c>
      <c r="G134" s="1">
        <v>41396728</v>
      </c>
      <c r="H134" s="6" t="s">
        <v>10</v>
      </c>
      <c r="I134" s="6">
        <f>IF(AND(H133="UP",testdataHighLow[[#This Row],[high]]&gt;I133),testdataHighLow[[#This Row],[high]],IF(AND(H133="DN",testdataHighLow[[#This Row],[low]]&lt;I133),testdataHighLow[[#This Row],[low]],I133))</f>
        <v>233.35</v>
      </c>
      <c r="J1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-3.9854296121705889E-3</v>
      </c>
      <c r="K134" s="15">
        <f t="shared" ca="1" si="3"/>
        <v>239.77829383897836</v>
      </c>
      <c r="L134" s="6"/>
      <c r="M134" s="19">
        <f ca="1">IF(testdataHighLow[[#This Row],[type]]="H",testdataHighLow[[#This Row],[high]],AVERAGE(M133,M135))</f>
        <v>246.9476855893663</v>
      </c>
      <c r="N134" s="19">
        <f ca="1">IF(testdataHighLow[[#This Row],[type]]="L",testdataHighLow[[#This Row],[low]],AVERAGE(N133,N135))</f>
        <v>229.88123853221109</v>
      </c>
      <c r="Q134" s="7">
        <v>133</v>
      </c>
      <c r="R134" s="15">
        <v>239.7783</v>
      </c>
      <c r="S134" s="19">
        <v>246.94768999999999</v>
      </c>
      <c r="T134" s="19">
        <v>229.88123999999999</v>
      </c>
    </row>
    <row r="135" spans="1:20" x14ac:dyDescent="0.35">
      <c r="A135" s="7">
        <v>134</v>
      </c>
      <c r="B135" s="3">
        <v>42930</v>
      </c>
      <c r="C135" s="2">
        <v>233.06</v>
      </c>
      <c r="D135" s="14">
        <v>234.53</v>
      </c>
      <c r="E135" s="14">
        <v>232.95</v>
      </c>
      <c r="F135" s="2">
        <v>234.14</v>
      </c>
      <c r="G135" s="1">
        <v>63201796</v>
      </c>
      <c r="H135" s="6" t="s">
        <v>10</v>
      </c>
      <c r="I135" s="6">
        <f>IF(AND(H134="UP",testdataHighLow[[#This Row],[high]]&gt;I134),testdataHighLow[[#This Row],[high]],IF(AND(H134="DN",testdataHighLow[[#This Row],[low]]&lt;I134),testdataHighLow[[#This Row],[low]],I134))</f>
        <v>234.53</v>
      </c>
      <c r="J1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-6.7368780113418857E-3</v>
      </c>
      <c r="K135" s="15">
        <f t="shared" ca="1" si="3"/>
        <v>240.04507109016402</v>
      </c>
      <c r="L135" s="6"/>
      <c r="M135" s="19">
        <f ca="1">IF(testdataHighLow[[#This Row],[type]]="H",testdataHighLow[[#This Row],[high]],AVERAGE(M134,M136))</f>
        <v>247.16174672473673</v>
      </c>
      <c r="N135" s="19">
        <f ca="1">IF(testdataHighLow[[#This Row],[type]]="L",testdataHighLow[[#This Row],[low]],AVERAGE(N134,N136))</f>
        <v>230.01605504597319</v>
      </c>
      <c r="Q135" s="7">
        <v>134</v>
      </c>
      <c r="R135" s="15">
        <v>240.04509999999999</v>
      </c>
      <c r="S135" s="19">
        <v>247.16175000000001</v>
      </c>
      <c r="T135" s="19">
        <v>230.01606000000001</v>
      </c>
    </row>
    <row r="136" spans="1:20" x14ac:dyDescent="0.35">
      <c r="A136" s="7">
        <v>135</v>
      </c>
      <c r="B136" s="3">
        <v>42933</v>
      </c>
      <c r="C136" s="2">
        <v>234.05</v>
      </c>
      <c r="D136" s="14">
        <v>234.47</v>
      </c>
      <c r="E136" s="14">
        <v>233.92</v>
      </c>
      <c r="F136" s="2">
        <v>234.11</v>
      </c>
      <c r="G136" s="1">
        <v>35167316</v>
      </c>
      <c r="H136" s="6" t="s">
        <v>10</v>
      </c>
      <c r="I136" s="6">
        <f>IF(AND(H135="UP",testdataHighLow[[#This Row],[high]]&gt;I135),testdataHighLow[[#This Row],[high]],IF(AND(H135="DN",testdataHighLow[[#This Row],[low]]&lt;I135),testdataHighLow[[#This Row],[low]],I135))</f>
        <v>234.53</v>
      </c>
      <c r="J1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-2.6009465739991202E-3</v>
      </c>
      <c r="K136" s="15">
        <f t="shared" ca="1" si="3"/>
        <v>240.31184834134964</v>
      </c>
      <c r="L136" s="6"/>
      <c r="M136" s="19">
        <f ca="1">IF(testdataHighLow[[#This Row],[type]]="H",testdataHighLow[[#This Row],[high]],AVERAGE(M135,M137))</f>
        <v>247.37580786010716</v>
      </c>
      <c r="N136" s="19">
        <f ca="1">IF(testdataHighLow[[#This Row],[type]]="L",testdataHighLow[[#This Row],[low]],AVERAGE(N135,N137))</f>
        <v>230.15087155973526</v>
      </c>
      <c r="Q136" s="7">
        <v>135</v>
      </c>
      <c r="R136" s="15">
        <v>240.31180000000001</v>
      </c>
      <c r="S136" s="19">
        <v>247.37581</v>
      </c>
      <c r="T136" s="19">
        <v>230.15087</v>
      </c>
    </row>
    <row r="137" spans="1:20" x14ac:dyDescent="0.35">
      <c r="A137" s="7">
        <v>136</v>
      </c>
      <c r="B137" s="3">
        <v>42934</v>
      </c>
      <c r="C137" s="2">
        <v>233.66</v>
      </c>
      <c r="D137" s="14">
        <v>234.29</v>
      </c>
      <c r="E137" s="14">
        <v>233.29</v>
      </c>
      <c r="F137" s="2">
        <v>234.24</v>
      </c>
      <c r="G137" s="1">
        <v>44827112</v>
      </c>
      <c r="H137" s="6" t="s">
        <v>10</v>
      </c>
      <c r="I137" s="6">
        <f>IF(AND(H136="UP",testdataHighLow[[#This Row],[high]]&gt;I136),testdataHighLow[[#This Row],[high]],IF(AND(H136="DN",testdataHighLow[[#This Row],[low]]&lt;I136),testdataHighLow[[#This Row],[low]],I136))</f>
        <v>234.53</v>
      </c>
      <c r="J1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-5.2871700848505909E-3</v>
      </c>
      <c r="K137" s="15">
        <f t="shared" ca="1" si="3"/>
        <v>240.57862559253527</v>
      </c>
      <c r="L137" s="6"/>
      <c r="M137" s="19">
        <f ca="1">IF(testdataHighLow[[#This Row],[type]]="H",testdataHighLow[[#This Row],[high]],AVERAGE(M136,M138))</f>
        <v>247.58986899547762</v>
      </c>
      <c r="N137" s="19">
        <f ca="1">IF(testdataHighLow[[#This Row],[type]]="L",testdataHighLow[[#This Row],[low]],AVERAGE(N136,N138))</f>
        <v>230.28568807349731</v>
      </c>
      <c r="Q137" s="7">
        <v>136</v>
      </c>
      <c r="R137" s="15">
        <v>240.57859999999999</v>
      </c>
      <c r="S137" s="19">
        <v>247.58986999999999</v>
      </c>
      <c r="T137" s="19">
        <v>230.28568999999999</v>
      </c>
    </row>
    <row r="138" spans="1:20" x14ac:dyDescent="0.35">
      <c r="A138" s="7">
        <v>137</v>
      </c>
      <c r="B138" s="3">
        <v>42935</v>
      </c>
      <c r="C138" s="2">
        <v>234.58</v>
      </c>
      <c r="D138" s="14">
        <v>235.51</v>
      </c>
      <c r="E138" s="14">
        <v>234.57</v>
      </c>
      <c r="F138" s="2">
        <v>235.5</v>
      </c>
      <c r="G138" s="1">
        <v>53523280</v>
      </c>
      <c r="H138" s="6" t="s">
        <v>10</v>
      </c>
      <c r="I138" s="6">
        <f>IF(AND(H137="UP",testdataHighLow[[#This Row],[high]]&gt;I137),testdataHighLow[[#This Row],[high]],IF(AND(H137="DN",testdataHighLow[[#This Row],[low]]&lt;I137),testdataHighLow[[#This Row],[low]],I137))</f>
        <v>235.51</v>
      </c>
      <c r="J1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-3.9913379474332206E-3</v>
      </c>
      <c r="K138" s="15">
        <f t="shared" ca="1" si="3"/>
        <v>240.84540284372088</v>
      </c>
      <c r="L138" s="6"/>
      <c r="M138" s="19">
        <f ca="1">IF(testdataHighLow[[#This Row],[type]]="H",testdataHighLow[[#This Row],[high]],AVERAGE(M137,M139))</f>
        <v>247.8039301308481</v>
      </c>
      <c r="N138" s="19">
        <f ca="1">IF(testdataHighLow[[#This Row],[type]]="L",testdataHighLow[[#This Row],[low]],AVERAGE(N137,N139))</f>
        <v>230.42050458725936</v>
      </c>
      <c r="Q138" s="7">
        <v>137</v>
      </c>
      <c r="R138" s="15">
        <v>240.84540000000001</v>
      </c>
      <c r="S138" s="19">
        <v>247.80393000000001</v>
      </c>
      <c r="T138" s="19">
        <v>230.4205</v>
      </c>
    </row>
    <row r="139" spans="1:20" x14ac:dyDescent="0.35">
      <c r="A139" s="7">
        <v>138</v>
      </c>
      <c r="B139" s="3">
        <v>42936</v>
      </c>
      <c r="C139" s="2">
        <v>235.78</v>
      </c>
      <c r="D139" s="14">
        <v>235.91</v>
      </c>
      <c r="E139" s="14">
        <v>235.01</v>
      </c>
      <c r="F139" s="2">
        <v>235.61</v>
      </c>
      <c r="G139" s="1">
        <v>49434036</v>
      </c>
      <c r="H139" s="6" t="s">
        <v>10</v>
      </c>
      <c r="I139" s="6">
        <f>IF(AND(H138="UP",testdataHighLow[[#This Row],[high]]&gt;I138),testdataHighLow[[#This Row],[high]],IF(AND(H138="DN",testdataHighLow[[#This Row],[low]]&lt;I138),testdataHighLow[[#This Row],[low]],I138))</f>
        <v>235.91</v>
      </c>
      <c r="J1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-3.8150142003306586E-3</v>
      </c>
      <c r="K139" s="15">
        <f t="shared" ca="1" si="3"/>
        <v>241.11218009490645</v>
      </c>
      <c r="L139" s="6"/>
      <c r="M139" s="19">
        <f ca="1">IF(testdataHighLow[[#This Row],[type]]="H",testdataHighLow[[#This Row],[high]],AVERAGE(M138,M140))</f>
        <v>248.01799126621859</v>
      </c>
      <c r="N139" s="19">
        <f ca="1">IF(testdataHighLow[[#This Row],[type]]="L",testdataHighLow[[#This Row],[low]],AVERAGE(N138,N140))</f>
        <v>230.55532110102138</v>
      </c>
      <c r="Q139" s="7">
        <v>138</v>
      </c>
      <c r="R139" s="15">
        <v>241.1122</v>
      </c>
      <c r="S139" s="19">
        <v>248.01799</v>
      </c>
      <c r="T139" s="19">
        <v>230.55531999999999</v>
      </c>
    </row>
    <row r="140" spans="1:20" x14ac:dyDescent="0.35">
      <c r="A140" s="7">
        <v>139</v>
      </c>
      <c r="B140" s="3">
        <v>42937</v>
      </c>
      <c r="C140" s="2">
        <v>234.98</v>
      </c>
      <c r="D140" s="14">
        <v>235.43</v>
      </c>
      <c r="E140" s="14">
        <v>234.73</v>
      </c>
      <c r="F140" s="2">
        <v>235.4</v>
      </c>
      <c r="G140" s="1">
        <v>93037592</v>
      </c>
      <c r="H140" s="6" t="s">
        <v>10</v>
      </c>
      <c r="I140" s="6">
        <f>IF(AND(H139="UP",testdataHighLow[[#This Row],[high]]&gt;I139),testdataHighLow[[#This Row],[high]],IF(AND(H139="DN",testdataHighLow[[#This Row],[low]]&lt;I139),testdataHighLow[[#This Row],[low]],I139))</f>
        <v>235.91</v>
      </c>
      <c r="J1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-5.0019075071001942E-3</v>
      </c>
      <c r="K140" s="15">
        <f t="shared" ca="1" si="3"/>
        <v>241.37895734609202</v>
      </c>
      <c r="L140" s="6"/>
      <c r="M140" s="19">
        <f ca="1">IF(testdataHighLow[[#This Row],[type]]="H",testdataHighLow[[#This Row],[high]],AVERAGE(M139,M141))</f>
        <v>248.2320524015891</v>
      </c>
      <c r="N140" s="19">
        <f ca="1">IF(testdataHighLow[[#This Row],[type]]="L",testdataHighLow[[#This Row],[low]],AVERAGE(N139,N141))</f>
        <v>230.69013761478337</v>
      </c>
      <c r="Q140" s="7">
        <v>139</v>
      </c>
      <c r="R140" s="15">
        <v>241.37899999999999</v>
      </c>
      <c r="S140" s="19">
        <v>248.23204999999999</v>
      </c>
      <c r="T140" s="19">
        <v>230.69014000000001</v>
      </c>
    </row>
    <row r="141" spans="1:20" x14ac:dyDescent="0.35">
      <c r="A141" s="7">
        <v>140</v>
      </c>
      <c r="B141" s="3">
        <v>42940</v>
      </c>
      <c r="C141" s="2">
        <v>235.31</v>
      </c>
      <c r="D141" s="14">
        <v>235.49</v>
      </c>
      <c r="E141" s="14">
        <v>234.83</v>
      </c>
      <c r="F141" s="2">
        <v>235.34</v>
      </c>
      <c r="G141" s="1">
        <v>48896096</v>
      </c>
      <c r="H141" s="6" t="s">
        <v>10</v>
      </c>
      <c r="I141" s="6">
        <f>IF(AND(H140="UP",testdataHighLow[[#This Row],[high]]&gt;I140),testdataHighLow[[#This Row],[high]],IF(AND(H140="DN",testdataHighLow[[#This Row],[low]]&lt;I140),testdataHighLow[[#This Row],[low]],I140))</f>
        <v>235.91</v>
      </c>
      <c r="J1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-4.578017040396694E-3</v>
      </c>
      <c r="K141" s="15">
        <f t="shared" ca="1" si="3"/>
        <v>241.64573459727757</v>
      </c>
      <c r="L141" s="6"/>
      <c r="M141" s="19">
        <f ca="1">IF(testdataHighLow[[#This Row],[type]]="H",testdataHighLow[[#This Row],[high]],AVERAGE(M140,M142))</f>
        <v>248.44611353695964</v>
      </c>
      <c r="N141" s="19">
        <f ca="1">IF(testdataHighLow[[#This Row],[type]]="L",testdataHighLow[[#This Row],[low]],AVERAGE(N140,N142))</f>
        <v>230.82495412854536</v>
      </c>
      <c r="Q141" s="7">
        <v>140</v>
      </c>
      <c r="R141" s="15">
        <v>241.64570000000001</v>
      </c>
      <c r="S141" s="19">
        <v>248.44611</v>
      </c>
      <c r="T141" s="19">
        <v>230.82495</v>
      </c>
    </row>
    <row r="142" spans="1:20" x14ac:dyDescent="0.35">
      <c r="A142" s="7">
        <v>141</v>
      </c>
      <c r="B142" s="3">
        <v>42941</v>
      </c>
      <c r="C142" s="2">
        <v>236.16</v>
      </c>
      <c r="D142" s="14">
        <v>236.28</v>
      </c>
      <c r="E142" s="14">
        <v>235.67</v>
      </c>
      <c r="F142" s="2">
        <v>235.91</v>
      </c>
      <c r="G142" s="1">
        <v>57593908</v>
      </c>
      <c r="H142" s="6" t="s">
        <v>10</v>
      </c>
      <c r="I142" s="6">
        <f>IF(AND(H141="UP",testdataHighLow[[#This Row],[high]]&gt;I141),testdataHighLow[[#This Row],[high]],IF(AND(H141="DN",testdataHighLow[[#This Row],[low]]&lt;I141),testdataHighLow[[#This Row],[low]],I141))</f>
        <v>236.28</v>
      </c>
      <c r="J1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-2.5816827492805726E-3</v>
      </c>
      <c r="K142" s="15">
        <f t="shared" ca="1" si="3"/>
        <v>241.91251184846308</v>
      </c>
      <c r="L142" s="6"/>
      <c r="M142" s="19">
        <f ca="1">IF(testdataHighLow[[#This Row],[type]]="H",testdataHighLow[[#This Row],[high]],AVERAGE(M141,M143))</f>
        <v>248.66017467233019</v>
      </c>
      <c r="N142" s="19">
        <f ca="1">IF(testdataHighLow[[#This Row],[type]]="L",testdataHighLow[[#This Row],[low]],AVERAGE(N141,N143))</f>
        <v>230.95977064230732</v>
      </c>
      <c r="Q142" s="7">
        <v>141</v>
      </c>
      <c r="R142" s="15">
        <v>241.91249999999999</v>
      </c>
      <c r="S142" s="19">
        <v>248.66016999999999</v>
      </c>
      <c r="T142" s="19">
        <v>230.95976999999999</v>
      </c>
    </row>
    <row r="143" spans="1:20" x14ac:dyDescent="0.35">
      <c r="A143" s="7">
        <v>142</v>
      </c>
      <c r="B143" s="3">
        <v>42942</v>
      </c>
      <c r="C143" s="2">
        <v>236.23</v>
      </c>
      <c r="D143" s="14">
        <v>236.27</v>
      </c>
      <c r="E143" s="14">
        <v>235.64</v>
      </c>
      <c r="F143" s="2">
        <v>235.92</v>
      </c>
      <c r="G143" s="1">
        <v>49895744</v>
      </c>
      <c r="H143" s="6" t="s">
        <v>10</v>
      </c>
      <c r="I143" s="6">
        <f>IF(AND(H142="UP",testdataHighLow[[#This Row],[high]]&gt;I142),testdataHighLow[[#This Row],[high]],IF(AND(H142="DN",testdataHighLow[[#This Row],[low]]&lt;I142),testdataHighLow[[#This Row],[low]],I142))</f>
        <v>236.28</v>
      </c>
      <c r="J1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-2.7086507533435533E-3</v>
      </c>
      <c r="K143" s="15">
        <f t="shared" ca="1" si="3"/>
        <v>242.1792890996486</v>
      </c>
      <c r="L143" s="6"/>
      <c r="M143" s="19">
        <f ca="1">IF(testdataHighLow[[#This Row],[type]]="H",testdataHighLow[[#This Row],[high]],AVERAGE(M142,M144))</f>
        <v>248.87423580770076</v>
      </c>
      <c r="N143" s="19">
        <f ca="1">IF(testdataHighLow[[#This Row],[type]]="L",testdataHighLow[[#This Row],[low]],AVERAGE(N142,N144))</f>
        <v>231.09458715606925</v>
      </c>
      <c r="Q143" s="7">
        <v>142</v>
      </c>
      <c r="R143" s="15">
        <v>242.17930000000001</v>
      </c>
      <c r="S143" s="19">
        <v>248.87423999999999</v>
      </c>
      <c r="T143" s="19">
        <v>231.09459000000001</v>
      </c>
    </row>
    <row r="144" spans="1:20" x14ac:dyDescent="0.35">
      <c r="A144" s="7">
        <v>143</v>
      </c>
      <c r="B144" s="3">
        <v>42943</v>
      </c>
      <c r="C144" s="2">
        <v>236.43</v>
      </c>
      <c r="D144" s="14">
        <v>236.47</v>
      </c>
      <c r="E144" s="14">
        <v>234.26</v>
      </c>
      <c r="F144" s="2">
        <v>235.7</v>
      </c>
      <c r="G144" s="1">
        <v>74217968</v>
      </c>
      <c r="H144" s="6" t="s">
        <v>10</v>
      </c>
      <c r="I144" s="6">
        <f>IF(AND(H143="UP",testdataHighLow[[#This Row],[high]]&gt;I143),testdataHighLow[[#This Row],[high]],IF(AND(H143="DN",testdataHighLow[[#This Row],[low]]&lt;I143),testdataHighLow[[#This Row],[low]],I143))</f>
        <v>236.47</v>
      </c>
      <c r="J1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-9.3457943925233985E-3</v>
      </c>
      <c r="K144" s="15">
        <f t="shared" ca="1" si="3"/>
        <v>242.44606635083409</v>
      </c>
      <c r="L144" s="6"/>
      <c r="M144" s="19">
        <f ca="1">IF(testdataHighLow[[#This Row],[type]]="H",testdataHighLow[[#This Row],[high]],AVERAGE(M143,M145))</f>
        <v>249.08829694307136</v>
      </c>
      <c r="N144" s="19">
        <f ca="1">IF(testdataHighLow[[#This Row],[type]]="L",testdataHighLow[[#This Row],[low]],AVERAGE(N143,N145))</f>
        <v>231.22940366983119</v>
      </c>
      <c r="Q144" s="7">
        <v>143</v>
      </c>
      <c r="R144" s="15">
        <v>242.4461</v>
      </c>
      <c r="S144" s="19">
        <v>249.0883</v>
      </c>
      <c r="T144" s="19">
        <v>231.2294</v>
      </c>
    </row>
    <row r="145" spans="1:20" x14ac:dyDescent="0.35">
      <c r="A145" s="7">
        <v>144</v>
      </c>
      <c r="B145" s="3">
        <v>42944</v>
      </c>
      <c r="C145" s="2">
        <v>235.18</v>
      </c>
      <c r="D145" s="14">
        <v>235.57</v>
      </c>
      <c r="E145" s="14">
        <v>234.68</v>
      </c>
      <c r="F145" s="2">
        <v>235.43</v>
      </c>
      <c r="G145" s="1">
        <v>52531244</v>
      </c>
      <c r="H145" s="6" t="s">
        <v>10</v>
      </c>
      <c r="I145" s="6">
        <f>IF(AND(H144="UP",testdataHighLow[[#This Row],[high]]&gt;I144),testdataHighLow[[#This Row],[high]],IF(AND(H144="DN",testdataHighLow[[#This Row],[low]]&lt;I144),testdataHighLow[[#This Row],[low]],I144))</f>
        <v>236.47</v>
      </c>
      <c r="J1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-7.5696705713197959E-3</v>
      </c>
      <c r="K145" s="15">
        <f t="shared" ca="1" si="3"/>
        <v>242.71284360201955</v>
      </c>
      <c r="L145" s="6"/>
      <c r="M145" s="19">
        <f ca="1">IF(testdataHighLow[[#This Row],[type]]="H",testdataHighLow[[#This Row],[high]],AVERAGE(M144,M146))</f>
        <v>249.30235807844196</v>
      </c>
      <c r="N145" s="19">
        <f ca="1">IF(testdataHighLow[[#This Row],[type]]="L",testdataHighLow[[#This Row],[low]],AVERAGE(N144,N146))</f>
        <v>231.36422018359309</v>
      </c>
      <c r="Q145" s="7">
        <v>144</v>
      </c>
      <c r="R145" s="15">
        <v>242.71279999999999</v>
      </c>
      <c r="S145" s="19">
        <v>249.30235999999999</v>
      </c>
      <c r="T145" s="19">
        <v>231.36421999999999</v>
      </c>
    </row>
    <row r="146" spans="1:20" x14ac:dyDescent="0.35">
      <c r="A146" s="7">
        <v>145</v>
      </c>
      <c r="B146" s="3">
        <v>42947</v>
      </c>
      <c r="C146" s="2">
        <v>235.87</v>
      </c>
      <c r="D146" s="14">
        <v>235.97</v>
      </c>
      <c r="E146" s="14">
        <v>235.07</v>
      </c>
      <c r="F146" s="2">
        <v>235.29</v>
      </c>
      <c r="G146" s="1">
        <v>69049712</v>
      </c>
      <c r="H146" s="6" t="s">
        <v>10</v>
      </c>
      <c r="I146" s="6">
        <f>IF(AND(H145="UP",testdataHighLow[[#This Row],[high]]&gt;I145),testdataHighLow[[#This Row],[high]],IF(AND(H145="DN",testdataHighLow[[#This Row],[low]]&lt;I145),testdataHighLow[[#This Row],[low]],I145))</f>
        <v>236.47</v>
      </c>
      <c r="J1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-5.9204127373451414E-3</v>
      </c>
      <c r="K146" s="15">
        <f t="shared" ca="1" si="3"/>
        <v>242.97962085320501</v>
      </c>
      <c r="L146" s="6"/>
      <c r="M146" s="19">
        <f ca="1">IF(testdataHighLow[[#This Row],[type]]="H",testdataHighLow[[#This Row],[high]],AVERAGE(M145,M147))</f>
        <v>249.51641921381258</v>
      </c>
      <c r="N146" s="19">
        <f ca="1">IF(testdataHighLow[[#This Row],[type]]="L",testdataHighLow[[#This Row],[low]],AVERAGE(N145,N147))</f>
        <v>231.49903669735497</v>
      </c>
      <c r="Q146" s="7">
        <v>145</v>
      </c>
      <c r="R146" s="15">
        <v>242.9796</v>
      </c>
      <c r="S146" s="19">
        <v>249.51642000000001</v>
      </c>
      <c r="T146" s="19">
        <v>231.49904000000001</v>
      </c>
    </row>
    <row r="147" spans="1:20" x14ac:dyDescent="0.35">
      <c r="A147" s="7">
        <v>146</v>
      </c>
      <c r="B147" s="3">
        <v>42948</v>
      </c>
      <c r="C147" s="2">
        <v>235.95</v>
      </c>
      <c r="D147" s="14">
        <v>235.99</v>
      </c>
      <c r="E147" s="14">
        <v>235.24</v>
      </c>
      <c r="F147" s="2">
        <v>235.82</v>
      </c>
      <c r="G147" s="1">
        <v>57735292</v>
      </c>
      <c r="H147" s="6" t="s">
        <v>10</v>
      </c>
      <c r="I147" s="6">
        <f>IF(AND(H146="UP",testdataHighLow[[#This Row],[high]]&gt;I146),testdataHighLow[[#This Row],[high]],IF(AND(H146="DN",testdataHighLow[[#This Row],[low]]&lt;I146),testdataHighLow[[#This Row],[low]],I146))</f>
        <v>236.47</v>
      </c>
      <c r="J1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-5.2015054763817391E-3</v>
      </c>
      <c r="K147" s="15">
        <f t="shared" ca="1" si="3"/>
        <v>243.24639810439044</v>
      </c>
      <c r="L147" s="6"/>
      <c r="M147" s="19">
        <f ca="1">IF(testdataHighLow[[#This Row],[type]]="H",testdataHighLow[[#This Row],[high]],AVERAGE(M146,M148))</f>
        <v>249.73048034918324</v>
      </c>
      <c r="N147" s="19">
        <f ca="1">IF(testdataHighLow[[#This Row],[type]]="L",testdataHighLow[[#This Row],[low]],AVERAGE(N146,N148))</f>
        <v>231.63385321111684</v>
      </c>
      <c r="Q147" s="7">
        <v>146</v>
      </c>
      <c r="R147" s="15">
        <v>243.24639999999999</v>
      </c>
      <c r="S147" s="19">
        <v>249.73048</v>
      </c>
      <c r="T147" s="19">
        <v>231.63385</v>
      </c>
    </row>
    <row r="148" spans="1:20" x14ac:dyDescent="0.35">
      <c r="A148" s="7">
        <v>147</v>
      </c>
      <c r="B148" s="3">
        <v>42949</v>
      </c>
      <c r="C148" s="2">
        <v>235.96</v>
      </c>
      <c r="D148" s="14">
        <v>236.09</v>
      </c>
      <c r="E148" s="14">
        <v>234.91</v>
      </c>
      <c r="F148" s="2">
        <v>235.93</v>
      </c>
      <c r="G148" s="1">
        <v>49513776</v>
      </c>
      <c r="H148" s="6" t="s">
        <v>10</v>
      </c>
      <c r="I148" s="6">
        <f>IF(AND(H147="UP",testdataHighLow[[#This Row],[high]]&gt;I147),testdataHighLow[[#This Row],[high]],IF(AND(H147="DN",testdataHighLow[[#This Row],[low]]&lt;I147),testdataHighLow[[#This Row],[low]],I147))</f>
        <v>236.47</v>
      </c>
      <c r="J1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-6.5970313358988553E-3</v>
      </c>
      <c r="K148" s="15">
        <f t="shared" ca="1" si="3"/>
        <v>243.51317535557584</v>
      </c>
      <c r="L148" s="6"/>
      <c r="M148" s="19">
        <f ca="1">IF(testdataHighLow[[#This Row],[type]]="H",testdataHighLow[[#This Row],[high]],AVERAGE(M147,M149))</f>
        <v>249.94454148455389</v>
      </c>
      <c r="N148" s="19">
        <f ca="1">IF(testdataHighLow[[#This Row],[type]]="L",testdataHighLow[[#This Row],[low]],AVERAGE(N147,N149))</f>
        <v>231.76866972487869</v>
      </c>
      <c r="Q148" s="7">
        <v>147</v>
      </c>
      <c r="R148" s="15">
        <v>243.51320000000001</v>
      </c>
      <c r="S148" s="19">
        <v>249.94453999999999</v>
      </c>
      <c r="T148" s="19">
        <v>231.76866999999999</v>
      </c>
    </row>
    <row r="149" spans="1:20" x14ac:dyDescent="0.35">
      <c r="A149" s="7">
        <v>148</v>
      </c>
      <c r="B149" s="3">
        <v>42950</v>
      </c>
      <c r="C149" s="2">
        <v>235.81</v>
      </c>
      <c r="D149" s="14">
        <v>235.84</v>
      </c>
      <c r="E149" s="14">
        <v>235.17</v>
      </c>
      <c r="F149" s="2">
        <v>235.48</v>
      </c>
      <c r="G149" s="1">
        <v>42848608</v>
      </c>
      <c r="H149" s="6" t="s">
        <v>10</v>
      </c>
      <c r="I149" s="6">
        <f>IF(AND(H148="UP",testdataHighLow[[#This Row],[high]]&gt;I148),testdataHighLow[[#This Row],[high]],IF(AND(H148="DN",testdataHighLow[[#This Row],[low]]&lt;I148),testdataHighLow[[#This Row],[low]],I148))</f>
        <v>236.47</v>
      </c>
      <c r="J1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-5.4975261132490863E-3</v>
      </c>
      <c r="K149" s="15">
        <f t="shared" ca="1" si="3"/>
        <v>243.77995260676124</v>
      </c>
      <c r="L149" s="6"/>
      <c r="M149" s="19">
        <f ca="1">IF(testdataHighLow[[#This Row],[type]]="H",testdataHighLow[[#This Row],[high]],AVERAGE(M148,M150))</f>
        <v>250.15860261992458</v>
      </c>
      <c r="N149" s="19">
        <f ca="1">IF(testdataHighLow[[#This Row],[type]]="L",testdataHighLow[[#This Row],[low]],AVERAGE(N148,N150))</f>
        <v>231.90348623864051</v>
      </c>
      <c r="Q149" s="7">
        <v>148</v>
      </c>
      <c r="R149" s="15">
        <v>243.78</v>
      </c>
      <c r="S149" s="19">
        <v>250.15860000000001</v>
      </c>
      <c r="T149" s="19">
        <v>231.90349000000001</v>
      </c>
    </row>
    <row r="150" spans="1:20" x14ac:dyDescent="0.35">
      <c r="A150" s="7">
        <v>149</v>
      </c>
      <c r="B150" s="3">
        <v>42951</v>
      </c>
      <c r="C150" s="2">
        <v>236.01</v>
      </c>
      <c r="D150" s="14">
        <v>236.27</v>
      </c>
      <c r="E150" s="14">
        <v>235.49</v>
      </c>
      <c r="F150" s="2">
        <v>235.9</v>
      </c>
      <c r="G150" s="1">
        <v>63127488</v>
      </c>
      <c r="H150" s="6" t="s">
        <v>10</v>
      </c>
      <c r="I150" s="6">
        <f>IF(AND(H149="UP",testdataHighLow[[#This Row],[high]]&gt;I149),testdataHighLow[[#This Row],[high]],IF(AND(H149="DN",testdataHighLow[[#This Row],[low]]&lt;I149),testdataHighLow[[#This Row],[low]],I149))</f>
        <v>236.47</v>
      </c>
      <c r="J1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-4.1442889161415388E-3</v>
      </c>
      <c r="K150" s="15">
        <f t="shared" ca="1" si="3"/>
        <v>244.04672985794662</v>
      </c>
      <c r="L150" s="6"/>
      <c r="M150" s="19">
        <f ca="1">IF(testdataHighLow[[#This Row],[type]]="H",testdataHighLow[[#This Row],[high]],AVERAGE(M149,M151))</f>
        <v>250.37266375529529</v>
      </c>
      <c r="N150" s="19">
        <f ca="1">IF(testdataHighLow[[#This Row],[type]]="L",testdataHighLow[[#This Row],[low]],AVERAGE(N149,N151))</f>
        <v>232.03830275240233</v>
      </c>
      <c r="Q150" s="7">
        <v>149</v>
      </c>
      <c r="R150" s="15">
        <v>244.04669999999999</v>
      </c>
      <c r="S150" s="19">
        <v>250.37266</v>
      </c>
      <c r="T150" s="19">
        <v>232.03829999999999</v>
      </c>
    </row>
    <row r="151" spans="1:20" x14ac:dyDescent="0.35">
      <c r="A151" s="7">
        <v>150</v>
      </c>
      <c r="B151" s="3">
        <v>42954</v>
      </c>
      <c r="C151" s="2">
        <v>235.98</v>
      </c>
      <c r="D151" s="14">
        <v>236.34</v>
      </c>
      <c r="E151" s="14">
        <v>235.87</v>
      </c>
      <c r="F151" s="2">
        <v>236.34</v>
      </c>
      <c r="G151" s="1">
        <v>33555464</v>
      </c>
      <c r="H151" s="6" t="s">
        <v>10</v>
      </c>
      <c r="I151" s="6">
        <f>IF(AND(H150="UP",testdataHighLow[[#This Row],[high]]&gt;I150),testdataHighLow[[#This Row],[high]],IF(AND(H150="DN",testdataHighLow[[#This Row],[low]]&lt;I150),testdataHighLow[[#This Row],[low]],I150))</f>
        <v>236.47</v>
      </c>
      <c r="J1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-2.5373197445764549E-3</v>
      </c>
      <c r="K151" s="15">
        <f t="shared" ca="1" si="3"/>
        <v>244.31350710913196</v>
      </c>
      <c r="L151" s="6"/>
      <c r="M151" s="19">
        <f ca="1">IF(testdataHighLow[[#This Row],[type]]="H",testdataHighLow[[#This Row],[high]],AVERAGE(M150,M152))</f>
        <v>250.58672489066601</v>
      </c>
      <c r="N151" s="19">
        <f ca="1">IF(testdataHighLow[[#This Row],[type]]="L",testdataHighLow[[#This Row],[low]],AVERAGE(N150,N152))</f>
        <v>232.17311926616412</v>
      </c>
      <c r="Q151" s="7">
        <v>150</v>
      </c>
      <c r="R151" s="15">
        <v>244.3135</v>
      </c>
      <c r="S151" s="19">
        <v>250.58672000000001</v>
      </c>
      <c r="T151" s="19">
        <v>232.17312000000001</v>
      </c>
    </row>
    <row r="152" spans="1:20" x14ac:dyDescent="0.35">
      <c r="A152" s="7">
        <v>151</v>
      </c>
      <c r="B152" s="3">
        <v>42955</v>
      </c>
      <c r="C152" s="2">
        <v>236</v>
      </c>
      <c r="D152" s="14">
        <v>237.33</v>
      </c>
      <c r="E152" s="14">
        <v>235.35</v>
      </c>
      <c r="F152" s="2">
        <v>235.76</v>
      </c>
      <c r="G152" s="1">
        <v>64729500</v>
      </c>
      <c r="H152" s="6" t="s">
        <v>10</v>
      </c>
      <c r="I152" s="6">
        <f>IF(AND(H151="UP",testdataHighLow[[#This Row],[high]]&gt;I151),testdataHighLow[[#This Row],[high]],IF(AND(H151="DN",testdataHighLow[[#This Row],[low]]&lt;I151),testdataHighLow[[#This Row],[low]],I151))</f>
        <v>237.33</v>
      </c>
      <c r="J1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-8.3428138035647331E-3</v>
      </c>
      <c r="K152" s="15">
        <f t="shared" ca="1" si="3"/>
        <v>244.58028436031731</v>
      </c>
      <c r="L152" s="6"/>
      <c r="M152" s="19">
        <f ca="1">IF(testdataHighLow[[#This Row],[type]]="H",testdataHighLow[[#This Row],[high]],AVERAGE(M151,M153))</f>
        <v>250.80078602603675</v>
      </c>
      <c r="N152" s="19">
        <f ca="1">IF(testdataHighLow[[#This Row],[type]]="L",testdataHighLow[[#This Row],[low]],AVERAGE(N151,N153))</f>
        <v>232.30793577992588</v>
      </c>
      <c r="Q152" s="7">
        <v>151</v>
      </c>
      <c r="R152" s="15">
        <v>244.58029999999999</v>
      </c>
      <c r="S152" s="19">
        <v>250.80079000000001</v>
      </c>
      <c r="T152" s="19">
        <v>232.30794</v>
      </c>
    </row>
    <row r="153" spans="1:20" x14ac:dyDescent="0.35">
      <c r="A153" s="7">
        <v>152</v>
      </c>
      <c r="B153" s="3">
        <v>42956</v>
      </c>
      <c r="C153" s="2">
        <v>235.01</v>
      </c>
      <c r="D153" s="14">
        <v>235.81</v>
      </c>
      <c r="E153" s="14">
        <v>234.62</v>
      </c>
      <c r="F153" s="2">
        <v>235.75</v>
      </c>
      <c r="G153" s="1">
        <v>65687312</v>
      </c>
      <c r="H153" s="6" t="s">
        <v>10</v>
      </c>
      <c r="I153" s="6">
        <f>IF(AND(H152="UP",testdataHighLow[[#This Row],[high]]&gt;I152),testdataHighLow[[#This Row],[high]],IF(AND(H152="DN",testdataHighLow[[#This Row],[low]]&lt;I152),testdataHighLow[[#This Row],[low]],I152))</f>
        <v>237.33</v>
      </c>
      <c r="J1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-1.1418699700838527E-2</v>
      </c>
      <c r="K153" s="15">
        <f t="shared" ca="1" si="3"/>
        <v>244.84706161150262</v>
      </c>
      <c r="L153" s="6"/>
      <c r="M153" s="19">
        <f ca="1">IF(testdataHighLow[[#This Row],[type]]="H",testdataHighLow[[#This Row],[high]],AVERAGE(M152,M154))</f>
        <v>251.01484716140752</v>
      </c>
      <c r="N153" s="19">
        <f ca="1">IF(testdataHighLow[[#This Row],[type]]="L",testdataHighLow[[#This Row],[low]],AVERAGE(N152,N154))</f>
        <v>232.44275229368765</v>
      </c>
      <c r="Q153" s="7">
        <v>152</v>
      </c>
      <c r="R153" s="15">
        <v>244.84710000000001</v>
      </c>
      <c r="S153" s="19">
        <v>251.01485</v>
      </c>
      <c r="T153" s="19">
        <v>232.44274999999999</v>
      </c>
    </row>
    <row r="154" spans="1:20" x14ac:dyDescent="0.35">
      <c r="A154" s="7">
        <v>153</v>
      </c>
      <c r="B154" s="3">
        <v>42957</v>
      </c>
      <c r="C154" s="2">
        <v>234.84</v>
      </c>
      <c r="D154" s="14">
        <v>234.98</v>
      </c>
      <c r="E154" s="14">
        <v>232.37</v>
      </c>
      <c r="F154" s="2">
        <v>232.42</v>
      </c>
      <c r="G154" s="1">
        <v>126355448</v>
      </c>
      <c r="H154" s="6" t="s">
        <v>10</v>
      </c>
      <c r="I154" s="6">
        <f>IF(AND(H153="UP",testdataHighLow[[#This Row],[high]]&gt;I153),testdataHighLow[[#This Row],[high]],IF(AND(H153="DN",testdataHighLow[[#This Row],[low]]&lt;I153),testdataHighLow[[#This Row],[low]],I153))</f>
        <v>237.33</v>
      </c>
      <c r="J1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-2.0899169932162003E-2</v>
      </c>
      <c r="K154" s="15">
        <f t="shared" ca="1" si="3"/>
        <v>245.11383886268791</v>
      </c>
      <c r="L154" s="6"/>
      <c r="M154" s="19">
        <f ca="1">IF(testdataHighLow[[#This Row],[type]]="H",testdataHighLow[[#This Row],[high]],AVERAGE(M153,M155))</f>
        <v>251.22890829677829</v>
      </c>
      <c r="N154" s="19">
        <f ca="1">IF(testdataHighLow[[#This Row],[type]]="L",testdataHighLow[[#This Row],[low]],AVERAGE(N153,N155))</f>
        <v>232.57756880744938</v>
      </c>
      <c r="Q154" s="7">
        <v>153</v>
      </c>
      <c r="R154" s="15">
        <v>245.1138</v>
      </c>
      <c r="S154" s="19">
        <v>251.22891000000001</v>
      </c>
      <c r="T154" s="19">
        <v>232.57757000000001</v>
      </c>
    </row>
    <row r="155" spans="1:20" x14ac:dyDescent="0.35">
      <c r="A155" s="7">
        <v>154</v>
      </c>
      <c r="B155" s="3">
        <v>42958</v>
      </c>
      <c r="C155" s="2">
        <v>232.67</v>
      </c>
      <c r="D155" s="14">
        <v>233.42</v>
      </c>
      <c r="E155" s="14">
        <v>232.41</v>
      </c>
      <c r="F155" s="2">
        <v>232.77</v>
      </c>
      <c r="G155" s="1">
        <v>78521472</v>
      </c>
      <c r="H155" s="6" t="s">
        <v>10</v>
      </c>
      <c r="I155" s="6">
        <f>IF(AND(H154="UP",testdataHighLow[[#This Row],[high]]&gt;I154),testdataHighLow[[#This Row],[high]],IF(AND(H154="DN",testdataHighLow[[#This Row],[low]]&lt;I154),testdataHighLow[[#This Row],[low]],I154))</f>
        <v>237.33</v>
      </c>
      <c r="J1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-2.0730628239160727E-2</v>
      </c>
      <c r="K155" s="15">
        <f t="shared" ca="1" si="3"/>
        <v>245.3806161138732</v>
      </c>
      <c r="L155" s="6"/>
      <c r="M155" s="19">
        <f ca="1">IF(testdataHighLow[[#This Row],[type]]="H",testdataHighLow[[#This Row],[high]],AVERAGE(M154,M156))</f>
        <v>251.44296943214908</v>
      </c>
      <c r="N155" s="19">
        <f ca="1">IF(testdataHighLow[[#This Row],[type]]="L",testdataHighLow[[#This Row],[low]],AVERAGE(N154,N156))</f>
        <v>232.71238532121109</v>
      </c>
      <c r="Q155" s="7">
        <v>154</v>
      </c>
      <c r="R155" s="15">
        <v>245.38059999999999</v>
      </c>
      <c r="S155" s="19">
        <v>251.44297</v>
      </c>
      <c r="T155" s="19">
        <v>232.71239</v>
      </c>
    </row>
    <row r="156" spans="1:20" x14ac:dyDescent="0.35">
      <c r="A156" s="7">
        <v>155</v>
      </c>
      <c r="B156" s="3">
        <v>42961</v>
      </c>
      <c r="C156" s="2">
        <v>234.17</v>
      </c>
      <c r="D156" s="14">
        <v>235.31</v>
      </c>
      <c r="E156" s="14">
        <v>234.13</v>
      </c>
      <c r="F156" s="2">
        <v>235.07</v>
      </c>
      <c r="G156" s="1">
        <v>76866480</v>
      </c>
      <c r="H156" s="6" t="s">
        <v>10</v>
      </c>
      <c r="I156" s="6">
        <f>IF(AND(H155="UP",testdataHighLow[[#This Row],[high]]&gt;I155),testdataHighLow[[#This Row],[high]],IF(AND(H155="DN",testdataHighLow[[#This Row],[low]]&lt;I155),testdataHighLow[[#This Row],[low]],I155))</f>
        <v>237.33</v>
      </c>
      <c r="J1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-1.3483335440104566E-2</v>
      </c>
      <c r="K156" s="15">
        <f t="shared" ca="1" si="3"/>
        <v>245.64739336505846</v>
      </c>
      <c r="L156" s="6"/>
      <c r="M156" s="19">
        <f ca="1">IF(testdataHighLow[[#This Row],[type]]="H",testdataHighLow[[#This Row],[high]],AVERAGE(M155,M157))</f>
        <v>251.65703056751991</v>
      </c>
      <c r="N156" s="19">
        <f ca="1">IF(testdataHighLow[[#This Row],[type]]="L",testdataHighLow[[#This Row],[low]],AVERAGE(N155,N157))</f>
        <v>232.84720183497279</v>
      </c>
      <c r="Q156" s="7">
        <v>155</v>
      </c>
      <c r="R156" s="15">
        <v>245.6474</v>
      </c>
      <c r="S156" s="19">
        <v>251.65702999999999</v>
      </c>
      <c r="T156" s="19">
        <v>232.84719999999999</v>
      </c>
    </row>
    <row r="157" spans="1:20" x14ac:dyDescent="0.35">
      <c r="A157" s="7">
        <v>156</v>
      </c>
      <c r="B157" s="3">
        <v>42962</v>
      </c>
      <c r="C157" s="2">
        <v>235.49</v>
      </c>
      <c r="D157" s="14">
        <v>235.51</v>
      </c>
      <c r="E157" s="14">
        <v>234.71</v>
      </c>
      <c r="F157" s="2">
        <v>235.05</v>
      </c>
      <c r="G157" s="1">
        <v>57937020</v>
      </c>
      <c r="H157" s="6" t="s">
        <v>10</v>
      </c>
      <c r="I157" s="6">
        <f>IF(AND(H156="UP",testdataHighLow[[#This Row],[high]]&gt;I156),testdataHighLow[[#This Row],[high]],IF(AND(H156="DN",testdataHighLow[[#This Row],[low]]&lt;I156),testdataHighLow[[#This Row],[low]],I156))</f>
        <v>237.33</v>
      </c>
      <c r="J1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-1.1039480891585575E-2</v>
      </c>
      <c r="K157" s="15">
        <f t="shared" ca="1" si="3"/>
        <v>245.91417061624369</v>
      </c>
      <c r="L157" s="6"/>
      <c r="M157" s="19">
        <f ca="1">IF(testdataHighLow[[#This Row],[type]]="H",testdataHighLow[[#This Row],[high]],AVERAGE(M156,M158))</f>
        <v>251.87109170289074</v>
      </c>
      <c r="N157" s="19">
        <f ca="1">IF(testdataHighLow[[#This Row],[type]]="L",testdataHighLow[[#This Row],[low]],AVERAGE(N156,N158))</f>
        <v>232.98201834873447</v>
      </c>
      <c r="Q157" s="7">
        <v>156</v>
      </c>
      <c r="R157" s="15">
        <v>245.91419999999999</v>
      </c>
      <c r="S157" s="19">
        <v>251.87109000000001</v>
      </c>
      <c r="T157" s="19">
        <v>232.98202000000001</v>
      </c>
    </row>
    <row r="158" spans="1:20" x14ac:dyDescent="0.35">
      <c r="A158" s="7">
        <v>157</v>
      </c>
      <c r="B158" s="3">
        <v>42963</v>
      </c>
      <c r="C158" s="2">
        <v>235.62</v>
      </c>
      <c r="D158" s="14">
        <v>236.06</v>
      </c>
      <c r="E158" s="14">
        <v>234.99</v>
      </c>
      <c r="F158" s="2">
        <v>235.46</v>
      </c>
      <c r="G158" s="1">
        <v>59481648</v>
      </c>
      <c r="H158" s="6" t="s">
        <v>10</v>
      </c>
      <c r="I158" s="6">
        <f>IF(AND(H157="UP",testdataHighLow[[#This Row],[high]]&gt;I157),testdataHighLow[[#This Row],[high]],IF(AND(H157="DN",testdataHighLow[[#This Row],[low]]&lt;I157),testdataHighLow[[#This Row],[low]],I157))</f>
        <v>237.33</v>
      </c>
      <c r="J1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-9.8596890405764272E-3</v>
      </c>
      <c r="K158" s="15">
        <f t="shared" ca="1" si="3"/>
        <v>246.18094786742893</v>
      </c>
      <c r="L158" s="6"/>
      <c r="M158" s="19">
        <f ca="1">IF(testdataHighLow[[#This Row],[type]]="H",testdataHighLow[[#This Row],[high]],AVERAGE(M157,M159))</f>
        <v>252.08515283826159</v>
      </c>
      <c r="N158" s="19">
        <f ca="1">IF(testdataHighLow[[#This Row],[type]]="L",testdataHighLow[[#This Row],[low]],AVERAGE(N157,N159))</f>
        <v>233.11683486249612</v>
      </c>
      <c r="Q158" s="7">
        <v>157</v>
      </c>
      <c r="R158" s="15">
        <v>246.18090000000001</v>
      </c>
      <c r="S158" s="19">
        <v>252.08515</v>
      </c>
      <c r="T158" s="19">
        <v>233.11682999999999</v>
      </c>
    </row>
    <row r="159" spans="1:20" x14ac:dyDescent="0.35">
      <c r="A159" s="7">
        <v>158</v>
      </c>
      <c r="B159" s="3">
        <v>42964</v>
      </c>
      <c r="C159" s="2">
        <v>234.79</v>
      </c>
      <c r="D159" s="14">
        <v>235.13</v>
      </c>
      <c r="E159" s="14">
        <v>231.79</v>
      </c>
      <c r="F159" s="2">
        <v>231.79</v>
      </c>
      <c r="G159" s="1">
        <v>134757072</v>
      </c>
      <c r="H159" s="6" t="s">
        <v>10</v>
      </c>
      <c r="I159" s="6">
        <f>IF(AND(H158="UP",testdataHighLow[[#This Row],[high]]&gt;I158),testdataHighLow[[#This Row],[high]],IF(AND(H158="DN",testdataHighLow[[#This Row],[low]]&lt;I158),testdataHighLow[[#This Row],[low]],I158))</f>
        <v>237.33</v>
      </c>
      <c r="J1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-2.3343024480680992E-2</v>
      </c>
      <c r="K159" s="15">
        <f t="shared" ca="1" si="3"/>
        <v>246.44772511861413</v>
      </c>
      <c r="L159" s="6"/>
      <c r="M159" s="19">
        <f ca="1">IF(testdataHighLow[[#This Row],[type]]="H",testdataHighLow[[#This Row],[high]],AVERAGE(M158,M160))</f>
        <v>252.29921397363248</v>
      </c>
      <c r="N159" s="19">
        <f ca="1">IF(testdataHighLow[[#This Row],[type]]="L",testdataHighLow[[#This Row],[low]],AVERAGE(N158,N160))</f>
        <v>233.25165137625777</v>
      </c>
      <c r="Q159" s="7">
        <v>158</v>
      </c>
      <c r="R159" s="15">
        <v>246.4477</v>
      </c>
      <c r="S159" s="19">
        <v>252.29920999999999</v>
      </c>
      <c r="T159" s="19">
        <v>233.25165000000001</v>
      </c>
    </row>
    <row r="160" spans="1:20" x14ac:dyDescent="0.35">
      <c r="A160" s="7">
        <v>159</v>
      </c>
      <c r="B160" s="3">
        <v>42965</v>
      </c>
      <c r="C160" s="2">
        <v>231.6</v>
      </c>
      <c r="D160" s="14">
        <v>232.83</v>
      </c>
      <c r="E160" s="14">
        <v>230.94</v>
      </c>
      <c r="F160" s="2">
        <v>231.42</v>
      </c>
      <c r="G160" s="1">
        <v>143417408</v>
      </c>
      <c r="H160" s="6" t="s">
        <v>10</v>
      </c>
      <c r="I160" s="6">
        <f>IF(AND(H159="UP",testdataHighLow[[#This Row],[high]]&gt;I159),testdataHighLow[[#This Row],[high]],IF(AND(H159="DN",testdataHighLow[[#This Row],[low]]&lt;I159),testdataHighLow[[#This Row],[low]],I159))</f>
        <v>237.33</v>
      </c>
      <c r="J1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-2.6924535456958727E-2</v>
      </c>
      <c r="K160" s="15">
        <f t="shared" ca="1" si="3"/>
        <v>246.71450236979931</v>
      </c>
      <c r="L160" s="6"/>
      <c r="M160" s="19">
        <f ca="1">IF(testdataHighLow[[#This Row],[type]]="H",testdataHighLow[[#This Row],[high]],AVERAGE(M159,M161))</f>
        <v>252.51327510900336</v>
      </c>
      <c r="N160" s="19">
        <f ca="1">IF(testdataHighLow[[#This Row],[type]]="L",testdataHighLow[[#This Row],[low]],AVERAGE(N159,N161))</f>
        <v>233.38646789001939</v>
      </c>
      <c r="Q160" s="7">
        <v>159</v>
      </c>
      <c r="R160" s="15">
        <v>246.71449999999999</v>
      </c>
      <c r="S160" s="19">
        <v>252.51328000000001</v>
      </c>
      <c r="T160" s="19">
        <v>233.38647</v>
      </c>
    </row>
    <row r="161" spans="1:20" x14ac:dyDescent="0.35">
      <c r="A161" s="7">
        <v>160</v>
      </c>
      <c r="B161" s="3">
        <v>42968</v>
      </c>
      <c r="C161" s="2">
        <v>231.36</v>
      </c>
      <c r="D161" s="14">
        <v>231.89</v>
      </c>
      <c r="E161" s="14">
        <v>230.58</v>
      </c>
      <c r="F161" s="2">
        <v>231.6</v>
      </c>
      <c r="G161" s="1">
        <v>68662792</v>
      </c>
      <c r="H161" s="6" t="s">
        <v>10</v>
      </c>
      <c r="I161" s="6">
        <f>IF(AND(H160="UP",testdataHighLow[[#This Row],[high]]&gt;I160),testdataHighLow[[#This Row],[high]],IF(AND(H160="DN",testdataHighLow[[#This Row],[low]]&lt;I160),testdataHighLow[[#This Row],[low]],I160))</f>
        <v>237.33</v>
      </c>
      <c r="J1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-2.844141069397042E-2</v>
      </c>
      <c r="K161" s="15">
        <f t="shared" ca="1" si="3"/>
        <v>246.98127962098448</v>
      </c>
      <c r="L161" s="6"/>
      <c r="M161" s="19">
        <f ca="1">IF(testdataHighLow[[#This Row],[type]]="H",testdataHighLow[[#This Row],[high]],AVERAGE(M160,M162))</f>
        <v>252.72733624437427</v>
      </c>
      <c r="N161" s="19">
        <f ca="1">IF(testdataHighLow[[#This Row],[type]]="L",testdataHighLow[[#This Row],[low]],AVERAGE(N160,N162))</f>
        <v>233.52128440378098</v>
      </c>
      <c r="Q161" s="7">
        <v>160</v>
      </c>
      <c r="R161" s="15">
        <v>246.9813</v>
      </c>
      <c r="S161" s="19">
        <v>252.72734</v>
      </c>
      <c r="T161" s="19">
        <v>233.52127999999999</v>
      </c>
    </row>
    <row r="162" spans="1:20" x14ac:dyDescent="0.35">
      <c r="A162" s="7">
        <v>161</v>
      </c>
      <c r="B162" s="3">
        <v>42969</v>
      </c>
      <c r="C162" s="2">
        <v>232.24</v>
      </c>
      <c r="D162" s="14">
        <v>234.2</v>
      </c>
      <c r="E162" s="14">
        <v>232.22</v>
      </c>
      <c r="F162" s="2">
        <v>234.03</v>
      </c>
      <c r="G162" s="1">
        <v>66219544</v>
      </c>
      <c r="H162" s="6" t="s">
        <v>10</v>
      </c>
      <c r="I162" s="6">
        <f>IF(AND(H161="UP",testdataHighLow[[#This Row],[high]]&gt;I161),testdataHighLow[[#This Row],[high]],IF(AND(H161="DN",testdataHighLow[[#This Row],[low]]&lt;I161),testdataHighLow[[#This Row],[low]],I161))</f>
        <v>237.33</v>
      </c>
      <c r="J1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-2.1531201280916921E-2</v>
      </c>
      <c r="K162" s="15">
        <f t="shared" ca="1" si="3"/>
        <v>247.24805687216963</v>
      </c>
      <c r="L162" s="6"/>
      <c r="M162" s="19">
        <f ca="1">IF(testdataHighLow[[#This Row],[type]]="H",testdataHighLow[[#This Row],[high]],AVERAGE(M161,M163))</f>
        <v>252.94139737974521</v>
      </c>
      <c r="N162" s="19">
        <f ca="1">IF(testdataHighLow[[#This Row],[type]]="L",testdataHighLow[[#This Row],[low]],AVERAGE(N161,N163))</f>
        <v>233.65610091754257</v>
      </c>
      <c r="Q162" s="7">
        <v>161</v>
      </c>
      <c r="R162" s="15">
        <v>247.24809999999999</v>
      </c>
      <c r="S162" s="19">
        <v>252.94139999999999</v>
      </c>
      <c r="T162" s="19">
        <v>233.65610000000001</v>
      </c>
    </row>
    <row r="163" spans="1:20" x14ac:dyDescent="0.35">
      <c r="A163" s="7">
        <v>162</v>
      </c>
      <c r="B163" s="3">
        <v>42970</v>
      </c>
      <c r="C163" s="2">
        <v>232.97</v>
      </c>
      <c r="D163" s="14">
        <v>233.65</v>
      </c>
      <c r="E163" s="14">
        <v>232.81</v>
      </c>
      <c r="F163" s="2">
        <v>233.19</v>
      </c>
      <c r="G163" s="1">
        <v>52652352</v>
      </c>
      <c r="H163" s="6" t="s">
        <v>10</v>
      </c>
      <c r="I163" s="6">
        <f>IF(AND(H162="UP",testdataHighLow[[#This Row],[high]]&gt;I162),testdataHighLow[[#This Row],[high]],IF(AND(H162="DN",testdataHighLow[[#This Row],[low]]&lt;I162),testdataHighLow[[#This Row],[low]],I162))</f>
        <v>237.33</v>
      </c>
      <c r="J1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-1.9045211309147641E-2</v>
      </c>
      <c r="K163" s="15">
        <f t="shared" ca="1" si="3"/>
        <v>247.51483412335475</v>
      </c>
      <c r="L163" s="6"/>
      <c r="M163" s="19">
        <f ca="1">IF(testdataHighLow[[#This Row],[type]]="H",testdataHighLow[[#This Row],[high]],AVERAGE(M162,M164))</f>
        <v>253.15545851511615</v>
      </c>
      <c r="N163" s="19">
        <f ca="1">IF(testdataHighLow[[#This Row],[type]]="L",testdataHighLow[[#This Row],[low]],AVERAGE(N162,N164))</f>
        <v>233.79091743130414</v>
      </c>
      <c r="Q163" s="7">
        <v>162</v>
      </c>
      <c r="R163" s="15">
        <v>247.51480000000001</v>
      </c>
      <c r="S163" s="19">
        <v>253.15546000000001</v>
      </c>
      <c r="T163" s="19">
        <v>233.79092</v>
      </c>
    </row>
    <row r="164" spans="1:20" x14ac:dyDescent="0.35">
      <c r="A164" s="7">
        <v>163</v>
      </c>
      <c r="B164" s="3">
        <v>42971</v>
      </c>
      <c r="C164" s="2">
        <v>233.61</v>
      </c>
      <c r="D164" s="14">
        <v>233.78</v>
      </c>
      <c r="E164" s="14">
        <v>232.41</v>
      </c>
      <c r="F164" s="2">
        <v>232.64</v>
      </c>
      <c r="G164" s="1">
        <v>53216420</v>
      </c>
      <c r="H164" s="6" t="s">
        <v>10</v>
      </c>
      <c r="I164" s="6">
        <f>IF(AND(H163="UP",testdataHighLow[[#This Row],[high]]&gt;I163),testdataHighLow[[#This Row],[high]],IF(AND(H163="DN",testdataHighLow[[#This Row],[low]]&lt;I163),testdataHighLow[[#This Row],[low]],I163))</f>
        <v>237.33</v>
      </c>
      <c r="J1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-2.0730628239160727E-2</v>
      </c>
      <c r="K164" s="15">
        <f t="shared" ca="1" si="3"/>
        <v>247.78161137453986</v>
      </c>
      <c r="L164" s="6"/>
      <c r="M164" s="19">
        <f ca="1">IF(testdataHighLow[[#This Row],[type]]="H",testdataHighLow[[#This Row],[high]],AVERAGE(M163,M165))</f>
        <v>253.36951965048712</v>
      </c>
      <c r="N164" s="19">
        <f ca="1">IF(testdataHighLow[[#This Row],[type]]="L",testdataHighLow[[#This Row],[low]],AVERAGE(N163,N165))</f>
        <v>233.92573394506567</v>
      </c>
      <c r="Q164" s="7">
        <v>163</v>
      </c>
      <c r="R164" s="15">
        <v>247.7816</v>
      </c>
      <c r="S164" s="19">
        <v>253.36951999999999</v>
      </c>
      <c r="T164" s="19">
        <v>233.92572999999999</v>
      </c>
    </row>
    <row r="165" spans="1:20" x14ac:dyDescent="0.35">
      <c r="A165" s="7">
        <v>164</v>
      </c>
      <c r="B165" s="3">
        <v>42972</v>
      </c>
      <c r="C165" s="2">
        <v>233.51</v>
      </c>
      <c r="D165" s="14">
        <v>234.19</v>
      </c>
      <c r="E165" s="14">
        <v>233.02</v>
      </c>
      <c r="F165" s="2">
        <v>233.19</v>
      </c>
      <c r="G165" s="1">
        <v>67589040</v>
      </c>
      <c r="H165" s="6" t="s">
        <v>10</v>
      </c>
      <c r="I165" s="6">
        <f>IF(AND(H164="UP",testdataHighLow[[#This Row],[high]]&gt;I164),testdataHighLow[[#This Row],[high]],IF(AND(H164="DN",testdataHighLow[[#This Row],[low]]&lt;I164),testdataHighLow[[#This Row],[low]],I164))</f>
        <v>237.33</v>
      </c>
      <c r="J1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-1.8160367420890753E-2</v>
      </c>
      <c r="K165" s="15">
        <f t="shared" ca="1" si="3"/>
        <v>248.04838862572495</v>
      </c>
      <c r="L165" s="6"/>
      <c r="M165" s="19">
        <f ca="1">IF(testdataHighLow[[#This Row],[type]]="H",testdataHighLow[[#This Row],[high]],AVERAGE(M164,M166))</f>
        <v>253.58358078585812</v>
      </c>
      <c r="N165" s="19">
        <f ca="1">IF(testdataHighLow[[#This Row],[type]]="L",testdataHighLow[[#This Row],[low]],AVERAGE(N164,N166))</f>
        <v>234.06055045882721</v>
      </c>
      <c r="Q165" s="7">
        <v>164</v>
      </c>
      <c r="R165" s="15">
        <v>248.04839999999999</v>
      </c>
      <c r="S165" s="19">
        <v>253.58358000000001</v>
      </c>
      <c r="T165" s="19">
        <v>234.06055000000001</v>
      </c>
    </row>
    <row r="166" spans="1:20" x14ac:dyDescent="0.35">
      <c r="A166" s="7">
        <v>165</v>
      </c>
      <c r="B166" s="3">
        <v>42975</v>
      </c>
      <c r="C166" s="2">
        <v>233.77</v>
      </c>
      <c r="D166" s="14">
        <v>233.8</v>
      </c>
      <c r="E166" s="14">
        <v>232.74</v>
      </c>
      <c r="F166" s="2">
        <v>233.2</v>
      </c>
      <c r="G166" s="1">
        <v>42544052</v>
      </c>
      <c r="H166" s="6" t="s">
        <v>10</v>
      </c>
      <c r="I166" s="6">
        <f>IF(AND(H165="UP",testdataHighLow[[#This Row],[high]]&gt;I165),testdataHighLow[[#This Row],[high]],IF(AND(H165="DN",testdataHighLow[[#This Row],[low]]&lt;I165),testdataHighLow[[#This Row],[low]],I165))</f>
        <v>237.33</v>
      </c>
      <c r="J1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-1.9340159271899901E-2</v>
      </c>
      <c r="K166" s="15">
        <f t="shared" ca="1" si="3"/>
        <v>248.31516587691002</v>
      </c>
      <c r="L166" s="6"/>
      <c r="M166" s="19">
        <f ca="1">IF(testdataHighLow[[#This Row],[type]]="H",testdataHighLow[[#This Row],[high]],AVERAGE(M165,M167))</f>
        <v>253.79764192122911</v>
      </c>
      <c r="N166" s="19">
        <f ca="1">IF(testdataHighLow[[#This Row],[type]]="L",testdataHighLow[[#This Row],[low]],AVERAGE(N165,N167))</f>
        <v>234.19536697258872</v>
      </c>
      <c r="Q166" s="7">
        <v>165</v>
      </c>
      <c r="R166" s="15">
        <v>248.3152</v>
      </c>
      <c r="S166" s="19">
        <v>253.79764</v>
      </c>
      <c r="T166" s="19">
        <v>234.19537</v>
      </c>
    </row>
    <row r="167" spans="1:20" x14ac:dyDescent="0.35">
      <c r="A167" s="7">
        <v>166</v>
      </c>
      <c r="B167" s="3">
        <v>42976</v>
      </c>
      <c r="C167" s="2">
        <v>231.76</v>
      </c>
      <c r="D167" s="14">
        <v>233.75</v>
      </c>
      <c r="E167" s="14">
        <v>231.63</v>
      </c>
      <c r="F167" s="2">
        <v>233.46</v>
      </c>
      <c r="G167" s="1">
        <v>53629680</v>
      </c>
      <c r="H167" s="6" t="s">
        <v>10</v>
      </c>
      <c r="I167" s="6">
        <f>IF(AND(H166="UP",testdataHighLow[[#This Row],[high]]&gt;I166),testdataHighLow[[#This Row],[high]],IF(AND(H166="DN",testdataHighLow[[#This Row],[low]]&lt;I166),testdataHighLow[[#This Row],[low]],I166))</f>
        <v>237.33</v>
      </c>
      <c r="J1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-2.4017191252686206E-2</v>
      </c>
      <c r="K167" s="15">
        <f t="shared" ca="1" si="3"/>
        <v>248.58194312809508</v>
      </c>
      <c r="L167" s="6"/>
      <c r="M167" s="19">
        <f ca="1">IF(testdataHighLow[[#This Row],[type]]="H",testdataHighLow[[#This Row],[high]],AVERAGE(M166,M168))</f>
        <v>254.01170305660014</v>
      </c>
      <c r="N167" s="19">
        <f ca="1">IF(testdataHighLow[[#This Row],[type]]="L",testdataHighLow[[#This Row],[low]],AVERAGE(N166,N168))</f>
        <v>234.33018348635019</v>
      </c>
      <c r="Q167" s="7">
        <v>166</v>
      </c>
      <c r="R167" s="15">
        <v>248.58189999999999</v>
      </c>
      <c r="S167" s="19">
        <v>254.01169999999999</v>
      </c>
      <c r="T167" s="19">
        <v>234.33018000000001</v>
      </c>
    </row>
    <row r="168" spans="1:20" x14ac:dyDescent="0.35">
      <c r="A168" s="7">
        <v>167</v>
      </c>
      <c r="B168" s="3">
        <v>42977</v>
      </c>
      <c r="C168" s="2">
        <v>233.44</v>
      </c>
      <c r="D168" s="14">
        <v>234.87</v>
      </c>
      <c r="E168" s="14">
        <v>233.24</v>
      </c>
      <c r="F168" s="2">
        <v>234.57</v>
      </c>
      <c r="G168" s="1">
        <v>65056144</v>
      </c>
      <c r="H168" s="6" t="s">
        <v>10</v>
      </c>
      <c r="I168" s="6">
        <f>IF(AND(H167="UP",testdataHighLow[[#This Row],[high]]&gt;I167),testdataHighLow[[#This Row],[high]],IF(AND(H167="DN",testdataHighLow[[#This Row],[low]]&lt;I167),testdataHighLow[[#This Row],[low]],I167))</f>
        <v>237.33</v>
      </c>
      <c r="J1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-1.7233388109383574E-2</v>
      </c>
      <c r="K168" s="15">
        <f t="shared" ca="1" si="3"/>
        <v>248.84872037928011</v>
      </c>
      <c r="L168" s="6"/>
      <c r="M168" s="19">
        <f ca="1">IF(testdataHighLow[[#This Row],[type]]="H",testdataHighLow[[#This Row],[high]],AVERAGE(M167,M169))</f>
        <v>254.22576419197119</v>
      </c>
      <c r="N168" s="19">
        <f ca="1">IF(testdataHighLow[[#This Row],[type]]="L",testdataHighLow[[#This Row],[low]],AVERAGE(N167,N169))</f>
        <v>234.46500000011167</v>
      </c>
      <c r="Q168" s="7">
        <v>167</v>
      </c>
      <c r="R168" s="15">
        <v>248.84870000000001</v>
      </c>
      <c r="S168" s="19">
        <v>254.22576000000001</v>
      </c>
      <c r="T168" s="19">
        <v>234.465</v>
      </c>
    </row>
    <row r="169" spans="1:20" x14ac:dyDescent="0.35">
      <c r="A169" s="7">
        <v>168</v>
      </c>
      <c r="B169" s="3">
        <v>42978</v>
      </c>
      <c r="C169" s="2">
        <v>235.25</v>
      </c>
      <c r="D169" s="14">
        <v>236.25</v>
      </c>
      <c r="E169" s="14">
        <v>234.61</v>
      </c>
      <c r="F169" s="2">
        <v>235.98</v>
      </c>
      <c r="G169" s="1">
        <v>108866560</v>
      </c>
      <c r="H169" s="6" t="s">
        <v>10</v>
      </c>
      <c r="I169" s="6">
        <f>IF(AND(H168="UP",testdataHighLow[[#This Row],[high]]&gt;I168),testdataHighLow[[#This Row],[high]],IF(AND(H168="DN",testdataHighLow[[#This Row],[low]]&lt;I168),testdataHighLow[[#This Row],[low]],I168))</f>
        <v>237.33</v>
      </c>
      <c r="J1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-1.1460835124088816E-2</v>
      </c>
      <c r="K169" s="15">
        <f t="shared" ca="1" si="3"/>
        <v>249.11549763046511</v>
      </c>
      <c r="L169" s="6"/>
      <c r="M169" s="19">
        <f ca="1">IF(testdataHighLow[[#This Row],[type]]="H",testdataHighLow[[#This Row],[high]],AVERAGE(M168,M170))</f>
        <v>254.43982532734225</v>
      </c>
      <c r="N169" s="19">
        <f ca="1">IF(testdataHighLow[[#This Row],[type]]="L",testdataHighLow[[#This Row],[low]],AVERAGE(N168,N170))</f>
        <v>234.59981651387312</v>
      </c>
      <c r="Q169" s="7">
        <v>168</v>
      </c>
      <c r="R169" s="15">
        <v>249.1155</v>
      </c>
      <c r="S169" s="19">
        <v>254.43983</v>
      </c>
      <c r="T169" s="19">
        <v>234.59981999999999</v>
      </c>
    </row>
    <row r="170" spans="1:20" x14ac:dyDescent="0.35">
      <c r="A170" s="7">
        <v>169</v>
      </c>
      <c r="B170" s="3">
        <v>42979</v>
      </c>
      <c r="C170" s="2">
        <v>236.39</v>
      </c>
      <c r="D170" s="14">
        <v>236.78</v>
      </c>
      <c r="E170" s="14">
        <v>236.15</v>
      </c>
      <c r="F170" s="2">
        <v>236.31</v>
      </c>
      <c r="G170" s="1">
        <v>65031164</v>
      </c>
      <c r="H170" s="6" t="s">
        <v>10</v>
      </c>
      <c r="I170" s="6">
        <f>IF(AND(H169="UP",testdataHighLow[[#This Row],[high]]&gt;I169),testdataHighLow[[#This Row],[high]],IF(AND(H169="DN",testdataHighLow[[#This Row],[low]]&lt;I169),testdataHighLow[[#This Row],[low]],I169))</f>
        <v>237.33</v>
      </c>
      <c r="J1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-4.9719799435385612E-3</v>
      </c>
      <c r="K170" s="15">
        <f t="shared" ca="1" si="3"/>
        <v>249.38227488165012</v>
      </c>
      <c r="L170" s="6"/>
      <c r="M170" s="19">
        <f ca="1">IF(testdataHighLow[[#This Row],[type]]="H",testdataHighLow[[#This Row],[high]],AVERAGE(M169,M171))</f>
        <v>254.65388646271333</v>
      </c>
      <c r="N170" s="19">
        <f ca="1">IF(testdataHighLow[[#This Row],[type]]="L",testdataHighLow[[#This Row],[low]],AVERAGE(N169,N171))</f>
        <v>234.73463302763454</v>
      </c>
      <c r="Q170" s="7">
        <v>169</v>
      </c>
      <c r="R170" s="15">
        <v>249.38229999999999</v>
      </c>
      <c r="S170" s="19">
        <v>254.65388999999999</v>
      </c>
      <c r="T170" s="19">
        <v>234.73463000000001</v>
      </c>
    </row>
    <row r="171" spans="1:20" x14ac:dyDescent="0.35">
      <c r="A171" s="7">
        <v>170</v>
      </c>
      <c r="B171" s="3">
        <v>42983</v>
      </c>
      <c r="C171" s="2">
        <v>235.76</v>
      </c>
      <c r="D171" s="14">
        <v>236.01</v>
      </c>
      <c r="E171" s="14">
        <v>233.56</v>
      </c>
      <c r="F171" s="2">
        <v>234.62</v>
      </c>
      <c r="G171" s="1">
        <v>95856440</v>
      </c>
      <c r="H171" s="6" t="s">
        <v>10</v>
      </c>
      <c r="I171" s="6">
        <f>IF(AND(H170="UP",testdataHighLow[[#This Row],[high]]&gt;I170),testdataHighLow[[#This Row],[high]],IF(AND(H170="DN",testdataHighLow[[#This Row],[low]]&lt;I170),testdataHighLow[[#This Row],[low]],I170))</f>
        <v>237.33</v>
      </c>
      <c r="J1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-1.588505456537315E-2</v>
      </c>
      <c r="K171" s="15">
        <f t="shared" ca="1" si="3"/>
        <v>249.6490521328351</v>
      </c>
      <c r="L171" s="6"/>
      <c r="M171" s="19">
        <f ca="1">IF(testdataHighLow[[#This Row],[type]]="H",testdataHighLow[[#This Row],[high]],AVERAGE(M170,M172))</f>
        <v>254.86794759808444</v>
      </c>
      <c r="N171" s="19">
        <f ca="1">IF(testdataHighLow[[#This Row],[type]]="L",testdataHighLow[[#This Row],[low]],AVERAGE(N170,N172))</f>
        <v>234.86944954139597</v>
      </c>
      <c r="Q171" s="7">
        <v>170</v>
      </c>
      <c r="R171" s="15">
        <v>249.6491</v>
      </c>
      <c r="S171" s="19">
        <v>254.86795000000001</v>
      </c>
      <c r="T171" s="19">
        <v>234.86945</v>
      </c>
    </row>
    <row r="172" spans="1:20" x14ac:dyDescent="0.35">
      <c r="A172" s="7">
        <v>171</v>
      </c>
      <c r="B172" s="3">
        <v>42984</v>
      </c>
      <c r="C172" s="2">
        <v>235.36</v>
      </c>
      <c r="D172" s="14">
        <v>235.78</v>
      </c>
      <c r="E172" s="14">
        <v>234.78</v>
      </c>
      <c r="F172" s="2">
        <v>235.42</v>
      </c>
      <c r="G172" s="1">
        <v>60741564</v>
      </c>
      <c r="H172" s="6" t="s">
        <v>10</v>
      </c>
      <c r="I172" s="6">
        <f>IF(AND(H171="UP",testdataHighLow[[#This Row],[high]]&gt;I171),testdataHighLow[[#This Row],[high]],IF(AND(H171="DN",testdataHighLow[[#This Row],[low]]&lt;I171),testdataHighLow[[#This Row],[low]],I171))</f>
        <v>237.33</v>
      </c>
      <c r="J1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-1.0744532928833317E-2</v>
      </c>
      <c r="K172" s="15">
        <f t="shared" ca="1" si="3"/>
        <v>249.91582938402004</v>
      </c>
      <c r="L172" s="6"/>
      <c r="M172" s="19">
        <f ca="1">IF(testdataHighLow[[#This Row],[type]]="H",testdataHighLow[[#This Row],[high]],AVERAGE(M171,M173))</f>
        <v>255.08200873345555</v>
      </c>
      <c r="N172" s="19">
        <f ca="1">IF(testdataHighLow[[#This Row],[type]]="L",testdataHighLow[[#This Row],[low]],AVERAGE(N171,N173))</f>
        <v>235.00426605515736</v>
      </c>
      <c r="Q172" s="7">
        <v>171</v>
      </c>
      <c r="R172" s="15">
        <v>249.91579999999999</v>
      </c>
      <c r="S172" s="19">
        <v>255.08201</v>
      </c>
      <c r="T172" s="19">
        <v>235.00426999999999</v>
      </c>
    </row>
    <row r="173" spans="1:20" x14ac:dyDescent="0.35">
      <c r="A173" s="7">
        <v>172</v>
      </c>
      <c r="B173" s="3">
        <v>42985</v>
      </c>
      <c r="C173" s="2">
        <v>235.75</v>
      </c>
      <c r="D173" s="14">
        <v>235.77</v>
      </c>
      <c r="E173" s="14">
        <v>234.94</v>
      </c>
      <c r="F173" s="2">
        <v>235.39</v>
      </c>
      <c r="G173" s="1">
        <v>60865172</v>
      </c>
      <c r="H173" s="6" t="s">
        <v>10</v>
      </c>
      <c r="I173" s="6">
        <f>IF(AND(H172="UP",testdataHighLow[[#This Row],[high]]&gt;I172),testdataHighLow[[#This Row],[high]],IF(AND(H172="DN",testdataHighLow[[#This Row],[low]]&lt;I172),testdataHighLow[[#This Row],[low]],I172))</f>
        <v>237.33</v>
      </c>
      <c r="J1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-1.0070366156828107E-2</v>
      </c>
      <c r="K173" s="15">
        <f t="shared" ca="1" si="3"/>
        <v>250.18260663520499</v>
      </c>
      <c r="L173" s="6"/>
      <c r="M173" s="19">
        <f ca="1">IF(testdataHighLow[[#This Row],[type]]="H",testdataHighLow[[#This Row],[high]],AVERAGE(M172,M174))</f>
        <v>255.29606986882669</v>
      </c>
      <c r="N173" s="19">
        <f ca="1">IF(testdataHighLow[[#This Row],[type]]="L",testdataHighLow[[#This Row],[low]],AVERAGE(N172,N174))</f>
        <v>235.13908256891872</v>
      </c>
      <c r="Q173" s="7">
        <v>172</v>
      </c>
      <c r="R173" s="15">
        <v>250.18260000000001</v>
      </c>
      <c r="S173" s="19">
        <v>255.29606999999999</v>
      </c>
      <c r="T173" s="19">
        <v>235.13908000000001</v>
      </c>
    </row>
    <row r="174" spans="1:20" x14ac:dyDescent="0.35">
      <c r="A174" s="7">
        <v>173</v>
      </c>
      <c r="B174" s="3">
        <v>42986</v>
      </c>
      <c r="C174" s="2">
        <v>235.07</v>
      </c>
      <c r="D174" s="14">
        <v>235.62</v>
      </c>
      <c r="E174" s="14">
        <v>234.85</v>
      </c>
      <c r="F174" s="2">
        <v>235.11</v>
      </c>
      <c r="G174" s="1">
        <v>66946052</v>
      </c>
      <c r="H174" s="6" t="s">
        <v>10</v>
      </c>
      <c r="I174" s="6">
        <f>IF(AND(H173="UP",testdataHighLow[[#This Row],[high]]&gt;I173),testdataHighLow[[#This Row],[high]],IF(AND(H173="DN",testdataHighLow[[#This Row],[low]]&lt;I173),testdataHighLow[[#This Row],[low]],I173))</f>
        <v>237.33</v>
      </c>
      <c r="J1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-1.044958496608106E-2</v>
      </c>
      <c r="K174" s="15">
        <f t="shared" ca="1" si="3"/>
        <v>250.44938388638991</v>
      </c>
      <c r="L174" s="6"/>
      <c r="M174" s="19">
        <f ca="1">IF(testdataHighLow[[#This Row],[type]]="H",testdataHighLow[[#This Row],[high]],AVERAGE(M173,M175))</f>
        <v>255.51013100419786</v>
      </c>
      <c r="N174" s="19">
        <f ca="1">IF(testdataHighLow[[#This Row],[type]]="L",testdataHighLow[[#This Row],[low]],AVERAGE(N173,N175))</f>
        <v>235.27389908268009</v>
      </c>
      <c r="Q174" s="7">
        <v>173</v>
      </c>
      <c r="R174" s="15">
        <v>250.4494</v>
      </c>
      <c r="S174" s="19">
        <v>255.51013</v>
      </c>
      <c r="T174" s="19">
        <v>235.2739</v>
      </c>
    </row>
    <row r="175" spans="1:20" x14ac:dyDescent="0.35">
      <c r="A175" s="7">
        <v>174</v>
      </c>
      <c r="B175" s="3">
        <v>42989</v>
      </c>
      <c r="C175" s="2">
        <v>236.51</v>
      </c>
      <c r="D175" s="14">
        <v>237.71</v>
      </c>
      <c r="E175" s="14">
        <v>236.49</v>
      </c>
      <c r="F175" s="2">
        <v>237.62</v>
      </c>
      <c r="G175" s="1">
        <v>74845424</v>
      </c>
      <c r="H175" s="6" t="s">
        <v>10</v>
      </c>
      <c r="I175" s="6">
        <f>IF(AND(H174="UP",testdataHighLow[[#This Row],[high]]&gt;I174),testdataHighLow[[#This Row],[high]],IF(AND(H174="DN",testdataHighLow[[#This Row],[low]]&lt;I174),testdataHighLow[[#This Row],[low]],I174))</f>
        <v>237.71</v>
      </c>
      <c r="J1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-5.1323040679819897E-3</v>
      </c>
      <c r="K175" s="15">
        <f t="shared" ca="1" si="3"/>
        <v>250.7161611375748</v>
      </c>
      <c r="L175" s="6"/>
      <c r="M175" s="19">
        <f ca="1">IF(testdataHighLow[[#This Row],[type]]="H",testdataHighLow[[#This Row],[high]],AVERAGE(M174,M176))</f>
        <v>255.72419213956903</v>
      </c>
      <c r="N175" s="19">
        <f ca="1">IF(testdataHighLow[[#This Row],[type]]="L",testdataHighLow[[#This Row],[low]],AVERAGE(N174,N176))</f>
        <v>235.40871559644143</v>
      </c>
      <c r="Q175" s="7">
        <v>174</v>
      </c>
      <c r="R175" s="15">
        <v>250.71619999999999</v>
      </c>
      <c r="S175" s="19">
        <v>255.72418999999999</v>
      </c>
      <c r="T175" s="19">
        <v>235.40871999999999</v>
      </c>
    </row>
    <row r="176" spans="1:20" x14ac:dyDescent="0.35">
      <c r="A176" s="7">
        <v>175</v>
      </c>
      <c r="B176" s="3">
        <v>42990</v>
      </c>
      <c r="C176" s="2">
        <v>238.02</v>
      </c>
      <c r="D176" s="14">
        <v>238.46</v>
      </c>
      <c r="E176" s="14">
        <v>237.82</v>
      </c>
      <c r="F176" s="2">
        <v>238.42</v>
      </c>
      <c r="G176" s="1">
        <v>59670932</v>
      </c>
      <c r="H176" s="6" t="s">
        <v>10</v>
      </c>
      <c r="I176" s="6">
        <f>IF(AND(H175="UP",testdataHighLow[[#This Row],[high]]&gt;I175),testdataHighLow[[#This Row],[high]],IF(AND(H175="DN",testdataHighLow[[#This Row],[low]]&lt;I175),testdataHighLow[[#This Row],[low]],I175))</f>
        <v>238.46</v>
      </c>
      <c r="J1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-2.683888283150276E-3</v>
      </c>
      <c r="K176" s="15">
        <f t="shared" ca="1" si="3"/>
        <v>250.98293838875969</v>
      </c>
      <c r="L176" s="6"/>
      <c r="M176" s="19">
        <f ca="1">IF(testdataHighLow[[#This Row],[type]]="H",testdataHighLow[[#This Row],[high]],AVERAGE(M175,M177))</f>
        <v>255.93825327494022</v>
      </c>
      <c r="N176" s="19">
        <f ca="1">IF(testdataHighLow[[#This Row],[type]]="L",testdataHighLow[[#This Row],[low]],AVERAGE(N175,N177))</f>
        <v>235.54353211020273</v>
      </c>
      <c r="Q176" s="7">
        <v>175</v>
      </c>
      <c r="R176" s="15">
        <v>250.9829</v>
      </c>
      <c r="S176" s="19">
        <v>255.93825000000001</v>
      </c>
      <c r="T176" s="19">
        <v>235.54353</v>
      </c>
    </row>
    <row r="177" spans="1:20" x14ac:dyDescent="0.35">
      <c r="A177" s="7">
        <v>176</v>
      </c>
      <c r="B177" s="3">
        <v>42991</v>
      </c>
      <c r="C177" s="2">
        <v>238.11</v>
      </c>
      <c r="D177" s="14">
        <v>238.57</v>
      </c>
      <c r="E177" s="14">
        <v>237.98</v>
      </c>
      <c r="F177" s="2">
        <v>238.54</v>
      </c>
      <c r="G177" s="1">
        <v>62116640</v>
      </c>
      <c r="H177" s="6" t="s">
        <v>10</v>
      </c>
      <c r="I177" s="6">
        <f>IF(AND(H176="UP",testdataHighLow[[#This Row],[high]]&gt;I176),testdataHighLow[[#This Row],[high]],IF(AND(H176="DN",testdataHighLow[[#This Row],[low]]&lt;I176),testdataHighLow[[#This Row],[low]],I176))</f>
        <v>238.57</v>
      </c>
      <c r="J1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-2.4730687010102001E-3</v>
      </c>
      <c r="K177" s="15">
        <f t="shared" ca="1" si="3"/>
        <v>251.24971563994455</v>
      </c>
      <c r="L177" s="6"/>
      <c r="M177" s="19">
        <f ca="1">IF(testdataHighLow[[#This Row],[type]]="H",testdataHighLow[[#This Row],[high]],AVERAGE(M176,M178))</f>
        <v>256.15231441031142</v>
      </c>
      <c r="N177" s="19">
        <f ca="1">IF(testdataHighLow[[#This Row],[type]]="L",testdataHighLow[[#This Row],[low]],AVERAGE(N176,N178))</f>
        <v>235.67834862396404</v>
      </c>
      <c r="Q177" s="7">
        <v>176</v>
      </c>
      <c r="R177" s="15">
        <v>251.24969999999999</v>
      </c>
      <c r="S177" s="19">
        <v>256.15231</v>
      </c>
      <c r="T177" s="19">
        <v>235.67834999999999</v>
      </c>
    </row>
    <row r="178" spans="1:20" x14ac:dyDescent="0.35">
      <c r="A178" s="7">
        <v>177</v>
      </c>
      <c r="B178" s="3">
        <v>42992</v>
      </c>
      <c r="C178" s="2">
        <v>238.18</v>
      </c>
      <c r="D178" s="14">
        <v>238.68</v>
      </c>
      <c r="E178" s="14">
        <v>237.99</v>
      </c>
      <c r="F178" s="2">
        <v>238.46</v>
      </c>
      <c r="G178" s="1">
        <v>100101416</v>
      </c>
      <c r="H178" s="6" t="s">
        <v>10</v>
      </c>
      <c r="I178" s="6">
        <f>IF(AND(H177="UP",testdataHighLow[[#This Row],[high]]&gt;I177),testdataHighLow[[#This Row],[high]],IF(AND(H177="DN",testdataHighLow[[#This Row],[low]]&lt;I177),testdataHighLow[[#This Row],[low]],I177))</f>
        <v>238.68</v>
      </c>
      <c r="J1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-2.8908999497234697E-3</v>
      </c>
      <c r="K178" s="15">
        <f t="shared" ca="1" si="3"/>
        <v>251.51649289112939</v>
      </c>
      <c r="L178" s="6"/>
      <c r="M178" s="19">
        <f ca="1">IF(testdataHighLow[[#This Row],[type]]="H",testdataHighLow[[#This Row],[high]],AVERAGE(M177,M179))</f>
        <v>256.36637554568267</v>
      </c>
      <c r="N178" s="19">
        <f ca="1">IF(testdataHighLow[[#This Row],[type]]="L",testdataHighLow[[#This Row],[low]],AVERAGE(N177,N179))</f>
        <v>235.81316513772532</v>
      </c>
      <c r="Q178" s="7">
        <v>177</v>
      </c>
      <c r="R178" s="15">
        <v>251.51650000000001</v>
      </c>
      <c r="S178" s="19">
        <v>256.36637999999999</v>
      </c>
      <c r="T178" s="19">
        <v>235.81317000000001</v>
      </c>
    </row>
    <row r="179" spans="1:20" x14ac:dyDescent="0.35">
      <c r="A179" s="7">
        <v>178</v>
      </c>
      <c r="B179" s="3">
        <v>42993</v>
      </c>
      <c r="C179" s="2">
        <v>238.3</v>
      </c>
      <c r="D179" s="14">
        <v>238.88</v>
      </c>
      <c r="E179" s="14">
        <v>238.19</v>
      </c>
      <c r="F179" s="2">
        <v>238.78</v>
      </c>
      <c r="G179" s="1">
        <v>99592680</v>
      </c>
      <c r="H179" s="6" t="s">
        <v>10</v>
      </c>
      <c r="I179" s="6">
        <f>IF(AND(H178="UP",testdataHighLow[[#This Row],[high]]&gt;I178),testdataHighLow[[#This Row],[high]],IF(AND(H178="DN",testdataHighLow[[#This Row],[low]]&lt;I178),testdataHighLow[[#This Row],[low]],I178))</f>
        <v>238.88</v>
      </c>
      <c r="J1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-2.8884795713328775E-3</v>
      </c>
      <c r="K179" s="15">
        <f t="shared" ca="1" si="3"/>
        <v>251.78327014231422</v>
      </c>
      <c r="L179" s="6"/>
      <c r="M179" s="19">
        <f ca="1">IF(testdataHighLow[[#This Row],[type]]="H",testdataHighLow[[#This Row],[high]],AVERAGE(M178,M180))</f>
        <v>256.58043668105398</v>
      </c>
      <c r="N179" s="19">
        <f ca="1">IF(testdataHighLow[[#This Row],[type]]="L",testdataHighLow[[#This Row],[low]],AVERAGE(N178,N180))</f>
        <v>235.94798165148657</v>
      </c>
      <c r="Q179" s="7">
        <v>178</v>
      </c>
      <c r="R179" s="15">
        <v>251.7833</v>
      </c>
      <c r="S179" s="19">
        <v>256.58044000000001</v>
      </c>
      <c r="T179" s="19">
        <v>235.94798</v>
      </c>
    </row>
    <row r="180" spans="1:20" x14ac:dyDescent="0.35">
      <c r="A180" s="7">
        <v>179</v>
      </c>
      <c r="B180" s="3">
        <v>42996</v>
      </c>
      <c r="C180" s="2">
        <v>239.18</v>
      </c>
      <c r="D180" s="14">
        <v>239.67</v>
      </c>
      <c r="E180" s="14">
        <v>238.87</v>
      </c>
      <c r="F180" s="2">
        <v>239.29</v>
      </c>
      <c r="G180" s="1">
        <v>48250824</v>
      </c>
      <c r="H180" s="6" t="s">
        <v>10</v>
      </c>
      <c r="I180" s="6">
        <f>IF(AND(H179="UP",testdataHighLow[[#This Row],[high]]&gt;I179),testdataHighLow[[#This Row],[high]],IF(AND(H179="DN",testdataHighLow[[#This Row],[low]]&lt;I179),testdataHighLow[[#This Row],[low]],I179))</f>
        <v>239.67</v>
      </c>
      <c r="J1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-3.3379229774272248E-3</v>
      </c>
      <c r="K180" s="15">
        <f t="shared" ca="1" si="3"/>
        <v>252.05004739349903</v>
      </c>
      <c r="L180" s="6"/>
      <c r="M180" s="19">
        <f ca="1">IF(testdataHighLow[[#This Row],[type]]="H",testdataHighLow[[#This Row],[high]],AVERAGE(M179,M181))</f>
        <v>256.79449781642529</v>
      </c>
      <c r="N180" s="19">
        <f ca="1">IF(testdataHighLow[[#This Row],[type]]="L",testdataHighLow[[#This Row],[low]],AVERAGE(N179,N181))</f>
        <v>236.08279816524782</v>
      </c>
      <c r="Q180" s="7">
        <v>179</v>
      </c>
      <c r="R180" s="15">
        <v>252.05</v>
      </c>
      <c r="S180" s="19">
        <v>256.79450000000003</v>
      </c>
      <c r="T180" s="19">
        <v>236.08279999999999</v>
      </c>
    </row>
    <row r="181" spans="1:20" x14ac:dyDescent="0.35">
      <c r="A181" s="7">
        <v>180</v>
      </c>
      <c r="B181" s="3">
        <v>42997</v>
      </c>
      <c r="C181" s="2">
        <v>239.56</v>
      </c>
      <c r="D181" s="14">
        <v>239.62</v>
      </c>
      <c r="E181" s="14">
        <v>239.17</v>
      </c>
      <c r="F181" s="2">
        <v>239.53</v>
      </c>
      <c r="G181" s="1">
        <v>49161788</v>
      </c>
      <c r="H181" s="6" t="s">
        <v>10</v>
      </c>
      <c r="I181" s="6">
        <f>IF(AND(H180="UP",testdataHighLow[[#This Row],[high]]&gt;I180),testdataHighLow[[#This Row],[high]],IF(AND(H180="DN",testdataHighLow[[#This Row],[low]]&lt;I180),testdataHighLow[[#This Row],[low]],I180))</f>
        <v>239.67</v>
      </c>
      <c r="J1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-2.0862018608920601E-3</v>
      </c>
      <c r="K181" s="15">
        <f t="shared" ca="1" si="3"/>
        <v>252.31682464468381</v>
      </c>
      <c r="L181" s="6"/>
      <c r="M181" s="19">
        <f ca="1">IF(testdataHighLow[[#This Row],[type]]="H",testdataHighLow[[#This Row],[high]],AVERAGE(M180,M182))</f>
        <v>257.00855895179666</v>
      </c>
      <c r="N181" s="19">
        <f ca="1">IF(testdataHighLow[[#This Row],[type]]="L",testdataHighLow[[#This Row],[low]],AVERAGE(N180,N182))</f>
        <v>236.21761467900905</v>
      </c>
      <c r="Q181" s="7">
        <v>180</v>
      </c>
      <c r="R181" s="15">
        <v>252.3168</v>
      </c>
      <c r="S181" s="19">
        <v>257.00855999999999</v>
      </c>
      <c r="T181" s="19">
        <v>236.21761000000001</v>
      </c>
    </row>
    <row r="182" spans="1:20" x14ac:dyDescent="0.35">
      <c r="A182" s="7">
        <v>181</v>
      </c>
      <c r="B182" s="3">
        <v>42998</v>
      </c>
      <c r="C182" s="2">
        <v>239.62</v>
      </c>
      <c r="D182" s="14">
        <v>239.74</v>
      </c>
      <c r="E182" s="14">
        <v>238.52</v>
      </c>
      <c r="F182" s="2">
        <v>239.61</v>
      </c>
      <c r="G182" s="1">
        <v>62171164</v>
      </c>
      <c r="H182" s="6" t="s">
        <v>10</v>
      </c>
      <c r="I182" s="6">
        <f>IF(AND(H181="UP",testdataHighLow[[#This Row],[high]]&gt;I181),testdataHighLow[[#This Row],[high]],IF(AND(H181="DN",testdataHighLow[[#This Row],[low]]&lt;I181),testdataHighLow[[#This Row],[low]],I181))</f>
        <v>239.74</v>
      </c>
      <c r="J1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-5.0888462501042751E-3</v>
      </c>
      <c r="K182" s="15">
        <f t="shared" ca="1" si="3"/>
        <v>252.58360189586858</v>
      </c>
      <c r="L182" s="6"/>
      <c r="M182" s="19">
        <f ca="1">IF(testdataHighLow[[#This Row],[type]]="H",testdataHighLow[[#This Row],[high]],AVERAGE(M181,M183))</f>
        <v>257.22262008716808</v>
      </c>
      <c r="N182" s="19">
        <f ca="1">IF(testdataHighLow[[#This Row],[type]]="L",testdataHighLow[[#This Row],[low]],AVERAGE(N181,N183))</f>
        <v>236.35243119277024</v>
      </c>
      <c r="Q182" s="7">
        <v>181</v>
      </c>
      <c r="R182" s="15">
        <v>252.58359999999999</v>
      </c>
      <c r="S182" s="19">
        <v>257.22262000000001</v>
      </c>
      <c r="T182" s="19">
        <v>236.35243</v>
      </c>
    </row>
    <row r="183" spans="1:20" x14ac:dyDescent="0.35">
      <c r="A183" s="7">
        <v>182</v>
      </c>
      <c r="B183" s="3">
        <v>42999</v>
      </c>
      <c r="C183" s="2">
        <v>239.44</v>
      </c>
      <c r="D183" s="14">
        <v>239.54</v>
      </c>
      <c r="E183" s="14">
        <v>238.78</v>
      </c>
      <c r="F183" s="2">
        <v>238.97</v>
      </c>
      <c r="G183" s="1">
        <v>50313136</v>
      </c>
      <c r="H183" s="6" t="s">
        <v>10</v>
      </c>
      <c r="I183" s="6">
        <f>IF(AND(H182="UP",testdataHighLow[[#This Row],[high]]&gt;I182),testdataHighLow[[#This Row],[high]],IF(AND(H182="DN",testdataHighLow[[#This Row],[low]]&lt;I182),testdataHighLow[[#This Row],[low]],I182))</f>
        <v>239.74</v>
      </c>
      <c r="J1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-4.0043380328689746E-3</v>
      </c>
      <c r="K183" s="15">
        <f t="shared" ca="1" si="3"/>
        <v>252.85037914705333</v>
      </c>
      <c r="L183" s="6"/>
      <c r="M183" s="19">
        <f ca="1">IF(testdataHighLow[[#This Row],[type]]="H",testdataHighLow[[#This Row],[high]],AVERAGE(M182,M184))</f>
        <v>257.43668122253951</v>
      </c>
      <c r="N183" s="19">
        <f ca="1">IF(testdataHighLow[[#This Row],[type]]="L",testdataHighLow[[#This Row],[low]],AVERAGE(N182,N184))</f>
        <v>236.48724770653143</v>
      </c>
      <c r="Q183" s="7">
        <v>182</v>
      </c>
      <c r="R183" s="15">
        <v>252.85040000000001</v>
      </c>
      <c r="S183" s="19">
        <v>257.43668000000002</v>
      </c>
      <c r="T183" s="19">
        <v>236.48724999999999</v>
      </c>
    </row>
    <row r="184" spans="1:20" x14ac:dyDescent="0.35">
      <c r="A184" s="7">
        <v>183</v>
      </c>
      <c r="B184" s="3">
        <v>43000</v>
      </c>
      <c r="C184" s="2">
        <v>238.65</v>
      </c>
      <c r="D184" s="14">
        <v>239.2</v>
      </c>
      <c r="E184" s="14">
        <v>238.62</v>
      </c>
      <c r="F184" s="2">
        <v>239.02</v>
      </c>
      <c r="G184" s="1">
        <v>53446664</v>
      </c>
      <c r="H184" s="6" t="s">
        <v>10</v>
      </c>
      <c r="I184" s="6">
        <f>IF(AND(H183="UP",testdataHighLow[[#This Row],[high]]&gt;I183),testdataHighLow[[#This Row],[high]],IF(AND(H183="DN",testdataHighLow[[#This Row],[low]]&lt;I183),testdataHighLow[[#This Row],[low]],I183))</f>
        <v>239.74</v>
      </c>
      <c r="J1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-4.671727705013784E-3</v>
      </c>
      <c r="K184" s="15">
        <f t="shared" ca="1" si="3"/>
        <v>253.11715639823805</v>
      </c>
      <c r="L184" s="6"/>
      <c r="M184" s="19">
        <f ca="1">IF(testdataHighLow[[#This Row],[type]]="H",testdataHighLow[[#This Row],[high]],AVERAGE(M183,M185))</f>
        <v>257.65074235791099</v>
      </c>
      <c r="N184" s="19">
        <f ca="1">IF(testdataHighLow[[#This Row],[type]]="L",testdataHighLow[[#This Row],[low]],AVERAGE(N183,N185))</f>
        <v>236.6220642202926</v>
      </c>
      <c r="Q184" s="7">
        <v>183</v>
      </c>
      <c r="R184" s="15">
        <v>253.1172</v>
      </c>
      <c r="S184" s="19">
        <v>257.65073999999998</v>
      </c>
      <c r="T184" s="19">
        <v>236.62206</v>
      </c>
    </row>
    <row r="185" spans="1:20" x14ac:dyDescent="0.35">
      <c r="A185" s="7">
        <v>184</v>
      </c>
      <c r="B185" s="3">
        <v>43003</v>
      </c>
      <c r="C185" s="2">
        <v>238.74</v>
      </c>
      <c r="D185" s="14">
        <v>239.13</v>
      </c>
      <c r="E185" s="14">
        <v>237.72</v>
      </c>
      <c r="F185" s="2">
        <v>238.53</v>
      </c>
      <c r="G185" s="1">
        <v>59552032</v>
      </c>
      <c r="H185" s="6" t="s">
        <v>10</v>
      </c>
      <c r="I185" s="6">
        <f>IF(AND(H184="UP",testdataHighLow[[#This Row],[high]]&gt;I184),testdataHighLow[[#This Row],[high]],IF(AND(H184="DN",testdataHighLow[[#This Row],[low]]&lt;I184),testdataHighLow[[#This Row],[low]],I184))</f>
        <v>239.74</v>
      </c>
      <c r="J1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-8.4257946108284403E-3</v>
      </c>
      <c r="K185" s="15">
        <f t="shared" ca="1" si="3"/>
        <v>253.38393364942277</v>
      </c>
      <c r="L185" s="6"/>
      <c r="M185" s="19">
        <f ca="1">IF(testdataHighLow[[#This Row],[type]]="H",testdataHighLow[[#This Row],[high]],AVERAGE(M184,M186))</f>
        <v>257.86480349328252</v>
      </c>
      <c r="N185" s="19">
        <f ca="1">IF(testdataHighLow[[#This Row],[type]]="L",testdataHighLow[[#This Row],[low]],AVERAGE(N184,N186))</f>
        <v>236.75688073405377</v>
      </c>
      <c r="Q185" s="7">
        <v>184</v>
      </c>
      <c r="R185" s="15">
        <v>253.38390000000001</v>
      </c>
      <c r="S185" s="19">
        <v>257.8648</v>
      </c>
      <c r="T185" s="19">
        <v>236.75688</v>
      </c>
    </row>
    <row r="186" spans="1:20" x14ac:dyDescent="0.35">
      <c r="A186" s="7">
        <v>185</v>
      </c>
      <c r="B186" s="3">
        <v>43004</v>
      </c>
      <c r="C186" s="2">
        <v>239</v>
      </c>
      <c r="D186" s="14">
        <v>239.27</v>
      </c>
      <c r="E186" s="14">
        <v>238.41</v>
      </c>
      <c r="F186" s="2">
        <v>238.68</v>
      </c>
      <c r="G186" s="1">
        <v>56439616</v>
      </c>
      <c r="H186" s="6" t="s">
        <v>10</v>
      </c>
      <c r="I186" s="6">
        <f>IF(AND(H185="UP",testdataHighLow[[#This Row],[high]]&gt;I185),testdataHighLow[[#This Row],[high]],IF(AND(H185="DN",testdataHighLow[[#This Row],[low]]&lt;I185),testdataHighLow[[#This Row],[low]],I185))</f>
        <v>239.74</v>
      </c>
      <c r="J1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-5.547676649703898E-3</v>
      </c>
      <c r="K186" s="15">
        <f t="shared" ca="1" si="3"/>
        <v>253.65071090060746</v>
      </c>
      <c r="L186" s="6"/>
      <c r="M186" s="19">
        <f ca="1">IF(testdataHighLow[[#This Row],[type]]="H",testdataHighLow[[#This Row],[high]],AVERAGE(M185,M187))</f>
        <v>258.07886462865406</v>
      </c>
      <c r="N186" s="19">
        <f ca="1">IF(testdataHighLow[[#This Row],[type]]="L",testdataHighLow[[#This Row],[low]],AVERAGE(N185,N187))</f>
        <v>236.8916972478149</v>
      </c>
      <c r="Q186" s="7">
        <v>185</v>
      </c>
      <c r="R186" s="15">
        <v>253.6507</v>
      </c>
      <c r="S186" s="19">
        <v>258.07886000000002</v>
      </c>
      <c r="T186" s="19">
        <v>236.89169999999999</v>
      </c>
    </row>
    <row r="187" spans="1:20" x14ac:dyDescent="0.35">
      <c r="A187" s="7">
        <v>186</v>
      </c>
      <c r="B187" s="3">
        <v>43005</v>
      </c>
      <c r="C187" s="2">
        <v>239.44</v>
      </c>
      <c r="D187" s="14">
        <v>240.03</v>
      </c>
      <c r="E187" s="14">
        <v>238.47</v>
      </c>
      <c r="F187" s="2">
        <v>239.6</v>
      </c>
      <c r="G187" s="1">
        <v>84532616</v>
      </c>
      <c r="H187" s="6" t="s">
        <v>10</v>
      </c>
      <c r="I187" s="6">
        <f>IF(AND(H186="UP",testdataHighLow[[#This Row],[high]]&gt;I186),testdataHighLow[[#This Row],[high]],IF(AND(H186="DN",testdataHighLow[[#This Row],[low]]&lt;I186),testdataHighLow[[#This Row],[low]],I186))</f>
        <v>240.03</v>
      </c>
      <c r="J1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-6.4991876015498161E-3</v>
      </c>
      <c r="K187" s="15">
        <f t="shared" ca="1" si="3"/>
        <v>253.91748815179213</v>
      </c>
      <c r="L187" s="6"/>
      <c r="M187" s="19">
        <f ca="1">IF(testdataHighLow[[#This Row],[type]]="H",testdataHighLow[[#This Row],[high]],AVERAGE(M186,M188))</f>
        <v>258.29292576402565</v>
      </c>
      <c r="N187" s="19">
        <f ca="1">IF(testdataHighLow[[#This Row],[type]]="L",testdataHighLow[[#This Row],[low]],AVERAGE(N186,N188))</f>
        <v>237.02651376157604</v>
      </c>
      <c r="Q187" s="7">
        <v>186</v>
      </c>
      <c r="R187" s="15">
        <v>253.91749999999999</v>
      </c>
      <c r="S187" s="19">
        <v>258.29293000000001</v>
      </c>
      <c r="T187" s="19">
        <v>237.02651</v>
      </c>
    </row>
    <row r="188" spans="1:20" x14ac:dyDescent="0.35">
      <c r="A188" s="7">
        <v>187</v>
      </c>
      <c r="B188" s="3">
        <v>43006</v>
      </c>
      <c r="C188" s="2">
        <v>239.3</v>
      </c>
      <c r="D188" s="14">
        <v>239.98</v>
      </c>
      <c r="E188" s="14">
        <v>239.2</v>
      </c>
      <c r="F188" s="2">
        <v>239.89</v>
      </c>
      <c r="G188" s="1">
        <v>46730936</v>
      </c>
      <c r="H188" s="6" t="s">
        <v>10</v>
      </c>
      <c r="I188" s="6">
        <f>IF(AND(H187="UP",testdataHighLow[[#This Row],[high]]&gt;I187),testdataHighLow[[#This Row],[high]],IF(AND(H187="DN",testdataHighLow[[#This Row],[low]]&lt;I187),testdataHighLow[[#This Row],[low]],I187))</f>
        <v>240.03</v>
      </c>
      <c r="J1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-3.4579010956964232E-3</v>
      </c>
      <c r="K188" s="15">
        <f t="shared" ca="1" si="3"/>
        <v>254.18426540297679</v>
      </c>
      <c r="L188" s="6"/>
      <c r="M188" s="19">
        <f ca="1">IF(testdataHighLow[[#This Row],[type]]="H",testdataHighLow[[#This Row],[high]],AVERAGE(M187,M189))</f>
        <v>258.5069868993973</v>
      </c>
      <c r="N188" s="19">
        <f ca="1">IF(testdataHighLow[[#This Row],[type]]="L",testdataHighLow[[#This Row],[low]],AVERAGE(N187,N189))</f>
        <v>237.16133027533715</v>
      </c>
      <c r="Q188" s="7">
        <v>187</v>
      </c>
      <c r="R188" s="15">
        <v>254.18430000000001</v>
      </c>
      <c r="S188" s="19">
        <v>258.50698999999997</v>
      </c>
      <c r="T188" s="19">
        <v>237.16132999999999</v>
      </c>
    </row>
    <row r="189" spans="1:20" x14ac:dyDescent="0.35">
      <c r="A189" s="7">
        <v>188</v>
      </c>
      <c r="B189" s="3">
        <v>43007</v>
      </c>
      <c r="C189" s="2">
        <v>239.88</v>
      </c>
      <c r="D189" s="14">
        <v>240.82</v>
      </c>
      <c r="E189" s="14">
        <v>239.68</v>
      </c>
      <c r="F189" s="2">
        <v>240.74</v>
      </c>
      <c r="G189" s="1">
        <v>89308704</v>
      </c>
      <c r="H189" s="6" t="s">
        <v>10</v>
      </c>
      <c r="I189" s="6">
        <f>IF(AND(H188="UP",testdataHighLow[[#This Row],[high]]&gt;I188),testdataHighLow[[#This Row],[high]],IF(AND(H188="DN",testdataHighLow[[#This Row],[low]]&lt;I188),testdataHighLow[[#This Row],[low]],I188))</f>
        <v>240.82</v>
      </c>
      <c r="J1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-4.7338260941781679E-3</v>
      </c>
      <c r="K189" s="15">
        <f t="shared" ca="1" si="3"/>
        <v>254.45104265416143</v>
      </c>
      <c r="L189" s="6"/>
      <c r="M189" s="19">
        <f ca="1">IF(testdataHighLow[[#This Row],[type]]="H",testdataHighLow[[#This Row],[high]],AVERAGE(M188,M190))</f>
        <v>258.72104803476896</v>
      </c>
      <c r="N189" s="19">
        <f ca="1">IF(testdataHighLow[[#This Row],[type]]="L",testdataHighLow[[#This Row],[low]],AVERAGE(N188,N190))</f>
        <v>237.29614678909823</v>
      </c>
      <c r="Q189" s="7">
        <v>188</v>
      </c>
      <c r="R189" s="15">
        <v>254.45099999999999</v>
      </c>
      <c r="S189" s="19">
        <v>258.72104999999999</v>
      </c>
      <c r="T189" s="19">
        <v>237.29615000000001</v>
      </c>
    </row>
    <row r="190" spans="1:20" x14ac:dyDescent="0.35">
      <c r="A190" s="7">
        <v>189</v>
      </c>
      <c r="B190" s="3">
        <v>43010</v>
      </c>
      <c r="C190" s="2">
        <v>240.98</v>
      </c>
      <c r="D190" s="14">
        <v>241.78</v>
      </c>
      <c r="E190" s="14">
        <v>240.8</v>
      </c>
      <c r="F190" s="2">
        <v>241.78</v>
      </c>
      <c r="G190" s="1">
        <v>61596044</v>
      </c>
      <c r="H190" s="6" t="s">
        <v>10</v>
      </c>
      <c r="I190" s="6">
        <f>IF(AND(H189="UP",testdataHighLow[[#This Row],[high]]&gt;I189),testdataHighLow[[#This Row],[high]],IF(AND(H189="DN",testdataHighLow[[#This Row],[low]]&lt;I189),testdataHighLow[[#This Row],[low]],I189))</f>
        <v>241.78</v>
      </c>
      <c r="J1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-4.0532715691950936E-3</v>
      </c>
      <c r="K190" s="15">
        <f t="shared" ca="1" si="3"/>
        <v>254.71781990534603</v>
      </c>
      <c r="L190" s="6"/>
      <c r="M190" s="19">
        <f ca="1">IF(testdataHighLow[[#This Row],[type]]="H",testdataHighLow[[#This Row],[high]],AVERAGE(M189,M191))</f>
        <v>258.93510917014066</v>
      </c>
      <c r="N190" s="19">
        <f ca="1">IF(testdataHighLow[[#This Row],[type]]="L",testdataHighLow[[#This Row],[low]],AVERAGE(N189,N191))</f>
        <v>237.43096330285931</v>
      </c>
      <c r="Q190" s="7">
        <v>189</v>
      </c>
      <c r="R190" s="15">
        <v>254.71780000000001</v>
      </c>
      <c r="S190" s="19">
        <v>258.93511000000001</v>
      </c>
      <c r="T190" s="19">
        <v>237.43096</v>
      </c>
    </row>
    <row r="191" spans="1:20" x14ac:dyDescent="0.35">
      <c r="A191" s="7">
        <v>190</v>
      </c>
      <c r="B191" s="3">
        <v>43011</v>
      </c>
      <c r="C191" s="2">
        <v>241.91</v>
      </c>
      <c r="D191" s="14">
        <v>242.33</v>
      </c>
      <c r="E191" s="14">
        <v>241.69</v>
      </c>
      <c r="F191" s="2">
        <v>242.3</v>
      </c>
      <c r="G191" s="1">
        <v>69722704</v>
      </c>
      <c r="H191" s="6" t="s">
        <v>10</v>
      </c>
      <c r="I191" s="6">
        <f>IF(AND(H190="UP",testdataHighLow[[#This Row],[high]]&gt;I190),testdataHighLow[[#This Row],[high]],IF(AND(H190="DN",testdataHighLow[[#This Row],[low]]&lt;I190),testdataHighLow[[#This Row],[low]],I190))</f>
        <v>242.33</v>
      </c>
      <c r="J1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-2.6410266991293472E-3</v>
      </c>
      <c r="K191" s="15">
        <f t="shared" ca="1" si="3"/>
        <v>254.98459715653064</v>
      </c>
      <c r="L191" s="6"/>
      <c r="M191" s="19">
        <f ca="1">IF(testdataHighLow[[#This Row],[type]]="H",testdataHighLow[[#This Row],[high]],AVERAGE(M190,M192))</f>
        <v>259.14917030551243</v>
      </c>
      <c r="N191" s="19">
        <f ca="1">IF(testdataHighLow[[#This Row],[type]]="L",testdataHighLow[[#This Row],[low]],AVERAGE(N190,N192))</f>
        <v>237.56577981662036</v>
      </c>
      <c r="Q191" s="7">
        <v>190</v>
      </c>
      <c r="R191" s="15">
        <v>254.9846</v>
      </c>
      <c r="S191" s="19">
        <v>259.14917000000003</v>
      </c>
      <c r="T191" s="19">
        <v>237.56577999999999</v>
      </c>
    </row>
    <row r="192" spans="1:20" x14ac:dyDescent="0.35">
      <c r="A192" s="7">
        <v>191</v>
      </c>
      <c r="B192" s="3">
        <v>43012</v>
      </c>
      <c r="C192" s="2">
        <v>242.13</v>
      </c>
      <c r="D192" s="14">
        <v>242.85</v>
      </c>
      <c r="E192" s="14">
        <v>242.01</v>
      </c>
      <c r="F192" s="2">
        <v>242.58</v>
      </c>
      <c r="G192" s="1">
        <v>58392872</v>
      </c>
      <c r="H192" s="6" t="s">
        <v>10</v>
      </c>
      <c r="I192" s="6">
        <f>IF(AND(H191="UP",testdataHighLow[[#This Row],[high]]&gt;I191),testdataHighLow[[#This Row],[high]],IF(AND(H191="DN",testdataHighLow[[#This Row],[low]]&lt;I191),testdataHighLow[[#This Row],[low]],I191))</f>
        <v>242.85</v>
      </c>
      <c r="J1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-3.458925262507735E-3</v>
      </c>
      <c r="K192" s="15">
        <f t="shared" ca="1" si="3"/>
        <v>255.25137440771522</v>
      </c>
      <c r="L192" s="6"/>
      <c r="M192" s="19">
        <f ca="1">IF(testdataHighLow[[#This Row],[type]]="H",testdataHighLow[[#This Row],[high]],AVERAGE(M191,M193))</f>
        <v>259.36323144088419</v>
      </c>
      <c r="N192" s="19">
        <f ca="1">IF(testdataHighLow[[#This Row],[type]]="L",testdataHighLow[[#This Row],[low]],AVERAGE(N191,N193))</f>
        <v>237.70059633038139</v>
      </c>
      <c r="Q192" s="7">
        <v>191</v>
      </c>
      <c r="R192" s="15">
        <v>255.25139999999999</v>
      </c>
      <c r="S192" s="19">
        <v>259.36322999999999</v>
      </c>
      <c r="T192" s="19">
        <v>237.70060000000001</v>
      </c>
    </row>
    <row r="193" spans="1:20" x14ac:dyDescent="0.35">
      <c r="A193" s="7">
        <v>192</v>
      </c>
      <c r="B193" s="3">
        <v>43013</v>
      </c>
      <c r="C193" s="2">
        <v>242.95</v>
      </c>
      <c r="D193" s="14">
        <v>244.04</v>
      </c>
      <c r="E193" s="14">
        <v>242.62</v>
      </c>
      <c r="F193" s="2">
        <v>244.02</v>
      </c>
      <c r="G193" s="1">
        <v>66291980</v>
      </c>
      <c r="H193" s="6" t="s">
        <v>10</v>
      </c>
      <c r="I193" s="6">
        <f>IF(AND(H192="UP",testdataHighLow[[#This Row],[high]]&gt;I192),testdataHighLow[[#This Row],[high]],IF(AND(H192="DN",testdataHighLow[[#This Row],[low]]&lt;I192),testdataHighLow[[#This Row],[low]],I192))</f>
        <v>244.04</v>
      </c>
      <c r="J1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-5.8187182429109471E-3</v>
      </c>
      <c r="K193" s="15">
        <f t="shared" ca="1" si="3"/>
        <v>255.51815165889977</v>
      </c>
      <c r="L193" s="6"/>
      <c r="M193" s="19">
        <f ca="1">IF(testdataHighLow[[#This Row],[type]]="H",testdataHighLow[[#This Row],[high]],AVERAGE(M192,M194))</f>
        <v>259.57729257625601</v>
      </c>
      <c r="N193" s="19">
        <f ca="1">IF(testdataHighLow[[#This Row],[type]]="L",testdataHighLow[[#This Row],[low]],AVERAGE(N192,N194))</f>
        <v>237.83541284414241</v>
      </c>
      <c r="Q193" s="7">
        <v>192</v>
      </c>
      <c r="R193" s="15">
        <v>255.51820000000001</v>
      </c>
      <c r="S193" s="19">
        <v>259.57729</v>
      </c>
      <c r="T193" s="19">
        <v>237.83541</v>
      </c>
    </row>
    <row r="194" spans="1:20" x14ac:dyDescent="0.35">
      <c r="A194" s="7">
        <v>193</v>
      </c>
      <c r="B194" s="3">
        <v>43014</v>
      </c>
      <c r="C194" s="2">
        <v>243.53</v>
      </c>
      <c r="D194" s="14">
        <v>244.06</v>
      </c>
      <c r="E194" s="14">
        <v>243.25</v>
      </c>
      <c r="F194" s="2">
        <v>243.74</v>
      </c>
      <c r="G194" s="1">
        <v>84161696</v>
      </c>
      <c r="H194" s="6" t="s">
        <v>10</v>
      </c>
      <c r="I194" s="6">
        <f>IF(AND(H193="UP",testdataHighLow[[#This Row],[high]]&gt;I193),testdataHighLow[[#This Row],[high]],IF(AND(H193="DN",testdataHighLow[[#This Row],[low]]&lt;I193),testdataHighLow[[#This Row],[low]],I193))</f>
        <v>244.06</v>
      </c>
      <c r="J1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-3.3188560190117278E-3</v>
      </c>
      <c r="K194" s="15">
        <f t="shared" ca="1" si="3"/>
        <v>255.78492891008432</v>
      </c>
      <c r="L194" s="6"/>
      <c r="M194" s="19">
        <f ca="1">IF(testdataHighLow[[#This Row],[type]]="H",testdataHighLow[[#This Row],[high]],AVERAGE(M193,M195))</f>
        <v>259.79135371162789</v>
      </c>
      <c r="N194" s="19">
        <f ca="1">IF(testdataHighLow[[#This Row],[type]]="L",testdataHighLow[[#This Row],[low]],AVERAGE(N193,N195))</f>
        <v>237.97022935790341</v>
      </c>
      <c r="Q194" s="7">
        <v>193</v>
      </c>
      <c r="R194" s="15">
        <v>255.78489999999999</v>
      </c>
      <c r="S194" s="19">
        <v>259.79135000000002</v>
      </c>
      <c r="T194" s="19">
        <v>237.97022999999999</v>
      </c>
    </row>
    <row r="195" spans="1:20" x14ac:dyDescent="0.35">
      <c r="A195" s="7">
        <v>194</v>
      </c>
      <c r="B195" s="3">
        <v>43017</v>
      </c>
      <c r="C195" s="2">
        <v>243.99</v>
      </c>
      <c r="D195" s="14">
        <v>244.06</v>
      </c>
      <c r="E195" s="14">
        <v>243.05</v>
      </c>
      <c r="F195" s="2">
        <v>243.34</v>
      </c>
      <c r="G195" s="1">
        <v>37363944</v>
      </c>
      <c r="H195" s="6" t="s">
        <v>10</v>
      </c>
      <c r="I195" s="6">
        <f>IF(AND(H194="UP",testdataHighLow[[#This Row],[high]]&gt;I194),testdataHighLow[[#This Row],[high]],IF(AND(H194="DN",testdataHighLow[[#This Row],[low]]&lt;I194),testdataHighLow[[#This Row],[low]],I194))</f>
        <v>244.06</v>
      </c>
      <c r="J1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-4.138326640989883E-3</v>
      </c>
      <c r="K195" s="15">
        <f t="shared" ca="1" si="3"/>
        <v>256.05170616126884</v>
      </c>
      <c r="L195" s="6"/>
      <c r="M195" s="19">
        <f ca="1">IF(testdataHighLow[[#This Row],[type]]="H",testdataHighLow[[#This Row],[high]],AVERAGE(M194,M196))</f>
        <v>260.00541484699977</v>
      </c>
      <c r="N195" s="19">
        <f ca="1">IF(testdataHighLow[[#This Row],[type]]="L",testdataHighLow[[#This Row],[low]],AVERAGE(N194,N196))</f>
        <v>238.10504587166437</v>
      </c>
      <c r="Q195" s="7">
        <v>194</v>
      </c>
      <c r="R195" s="15">
        <v>256.05169999999998</v>
      </c>
      <c r="S195" s="19">
        <v>260.00540999999998</v>
      </c>
      <c r="T195" s="19">
        <v>238.10505000000001</v>
      </c>
    </row>
    <row r="196" spans="1:20" x14ac:dyDescent="0.35">
      <c r="A196" s="7">
        <v>195</v>
      </c>
      <c r="B196" s="3">
        <v>43018</v>
      </c>
      <c r="C196" s="2">
        <v>243.96</v>
      </c>
      <c r="D196" s="14">
        <v>244.4</v>
      </c>
      <c r="E196" s="14">
        <v>243.37</v>
      </c>
      <c r="F196" s="2">
        <v>243.98</v>
      </c>
      <c r="G196" s="1">
        <v>44934412</v>
      </c>
      <c r="H196" s="6" t="s">
        <v>10</v>
      </c>
      <c r="I196" s="6">
        <f>IF(AND(H195="UP",testdataHighLow[[#This Row],[high]]&gt;I195),testdataHighLow[[#This Row],[high]],IF(AND(H195="DN",testdataHighLow[[#This Row],[low]]&lt;I195),testdataHighLow[[#This Row],[low]],I195))</f>
        <v>244.4</v>
      </c>
      <c r="J1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-4.2144026186579425E-3</v>
      </c>
      <c r="K196" s="15">
        <f t="shared" ref="K196:K259" ca="1" si="4">AVERAGE(K195,K197)</f>
        <v>256.3184834124533</v>
      </c>
      <c r="L196" s="6"/>
      <c r="M196" s="19">
        <f ca="1">IF(testdataHighLow[[#This Row],[type]]="H",testdataHighLow[[#This Row],[high]],AVERAGE(M195,M197))</f>
        <v>260.2194759823717</v>
      </c>
      <c r="N196" s="19">
        <f ca="1">IF(testdataHighLow[[#This Row],[type]]="L",testdataHighLow[[#This Row],[low]],AVERAGE(N195,N197))</f>
        <v>238.23986238542534</v>
      </c>
      <c r="Q196" s="7">
        <v>195</v>
      </c>
      <c r="R196" s="15">
        <v>256.31849999999997</v>
      </c>
      <c r="S196" s="19">
        <v>260.21947999999998</v>
      </c>
      <c r="T196" s="19">
        <v>238.23985999999999</v>
      </c>
    </row>
    <row r="197" spans="1:20" x14ac:dyDescent="0.35">
      <c r="A197" s="7">
        <v>196</v>
      </c>
      <c r="B197" s="3">
        <v>43019</v>
      </c>
      <c r="C197" s="2">
        <v>243.88</v>
      </c>
      <c r="D197" s="14">
        <v>244.37</v>
      </c>
      <c r="E197" s="14">
        <v>243.7</v>
      </c>
      <c r="F197" s="2">
        <v>244.37</v>
      </c>
      <c r="G197" s="1">
        <v>49752644</v>
      </c>
      <c r="H197" s="6" t="s">
        <v>10</v>
      </c>
      <c r="I197" s="6">
        <f>IF(AND(H196="UP",testdataHighLow[[#This Row],[high]]&gt;I196),testdataHighLow[[#This Row],[high]],IF(AND(H196="DN",testdataHighLow[[#This Row],[low]]&lt;I196),testdataHighLow[[#This Row],[low]],I196))</f>
        <v>244.4</v>
      </c>
      <c r="J1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-2.8641571194763381E-3</v>
      </c>
      <c r="K197" s="15">
        <f t="shared" ca="1" si="4"/>
        <v>256.58526066363777</v>
      </c>
      <c r="L197" s="6"/>
      <c r="M197" s="19">
        <f ca="1">IF(testdataHighLow[[#This Row],[type]]="H",testdataHighLow[[#This Row],[high]],AVERAGE(M196,M198))</f>
        <v>260.4335371177437</v>
      </c>
      <c r="N197" s="19">
        <f ca="1">IF(testdataHighLow[[#This Row],[type]]="L",testdataHighLow[[#This Row],[low]],AVERAGE(N196,N198))</f>
        <v>238.37467889918628</v>
      </c>
      <c r="Q197" s="7">
        <v>196</v>
      </c>
      <c r="R197" s="15">
        <v>256.58530000000002</v>
      </c>
      <c r="S197" s="19">
        <v>260.43353999999999</v>
      </c>
      <c r="T197" s="19">
        <v>238.37468000000001</v>
      </c>
    </row>
    <row r="198" spans="1:20" x14ac:dyDescent="0.35">
      <c r="A198" s="7">
        <v>197</v>
      </c>
      <c r="B198" s="3">
        <v>43020</v>
      </c>
      <c r="C198" s="2">
        <v>244.02</v>
      </c>
      <c r="D198" s="14">
        <v>244.41</v>
      </c>
      <c r="E198" s="14">
        <v>243.74</v>
      </c>
      <c r="F198" s="2">
        <v>244</v>
      </c>
      <c r="G198" s="1">
        <v>49116908</v>
      </c>
      <c r="H198" s="6" t="s">
        <v>10</v>
      </c>
      <c r="I198" s="6">
        <f>IF(AND(H197="UP",testdataHighLow[[#This Row],[high]]&gt;I197),testdataHighLow[[#This Row],[high]],IF(AND(H197="DN",testdataHighLow[[#This Row],[low]]&lt;I197),testdataHighLow[[#This Row],[low]],I197))</f>
        <v>244.41</v>
      </c>
      <c r="J1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-2.7412953643467432E-3</v>
      </c>
      <c r="K198" s="15">
        <f t="shared" ca="1" si="4"/>
        <v>256.85203791482218</v>
      </c>
      <c r="L198" s="6"/>
      <c r="M198" s="19">
        <f ca="1">IF(testdataHighLow[[#This Row],[type]]="H",testdataHighLow[[#This Row],[high]],AVERAGE(M197,M199))</f>
        <v>260.64759825311569</v>
      </c>
      <c r="N198" s="19">
        <f ca="1">IF(testdataHighLow[[#This Row],[type]]="L",testdataHighLow[[#This Row],[low]],AVERAGE(N197,N199))</f>
        <v>238.50949541294719</v>
      </c>
      <c r="Q198" s="7">
        <v>197</v>
      </c>
      <c r="R198" s="15">
        <v>256.85199999999998</v>
      </c>
      <c r="S198" s="19">
        <v>260.64760000000001</v>
      </c>
      <c r="T198" s="19">
        <v>238.5095</v>
      </c>
    </row>
    <row r="199" spans="1:20" x14ac:dyDescent="0.35">
      <c r="A199" s="7">
        <v>198</v>
      </c>
      <c r="B199" s="3">
        <v>43021</v>
      </c>
      <c r="C199" s="2">
        <v>244.48</v>
      </c>
      <c r="D199" s="14">
        <v>244.61</v>
      </c>
      <c r="E199" s="14">
        <v>244</v>
      </c>
      <c r="F199" s="2">
        <v>244.3</v>
      </c>
      <c r="G199" s="1">
        <v>57189416</v>
      </c>
      <c r="H199" s="6" t="s">
        <v>10</v>
      </c>
      <c r="I199" s="6">
        <f>IF(AND(H198="UP",testdataHighLow[[#This Row],[high]]&gt;I198),testdataHighLow[[#This Row],[high]],IF(AND(H198="DN",testdataHighLow[[#This Row],[low]]&lt;I198),testdataHighLow[[#This Row],[low]],I198))</f>
        <v>244.61</v>
      </c>
      <c r="J1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-2.4937655860349682E-3</v>
      </c>
      <c r="K199" s="15">
        <f t="shared" ca="1" si="4"/>
        <v>257.11881516600653</v>
      </c>
      <c r="L199" s="6"/>
      <c r="M199" s="19">
        <f ca="1">IF(testdataHighLow[[#This Row],[type]]="H",testdataHighLow[[#This Row],[high]],AVERAGE(M198,M200))</f>
        <v>260.86165938848774</v>
      </c>
      <c r="N199" s="19">
        <f ca="1">IF(testdataHighLow[[#This Row],[type]]="L",testdataHighLow[[#This Row],[low]],AVERAGE(N198,N200))</f>
        <v>238.6443119267081</v>
      </c>
      <c r="Q199" s="7">
        <v>198</v>
      </c>
      <c r="R199" s="15">
        <v>257.11880000000002</v>
      </c>
      <c r="S199" s="19">
        <v>260.86165999999997</v>
      </c>
      <c r="T199" s="19">
        <v>238.64430999999999</v>
      </c>
    </row>
    <row r="200" spans="1:20" x14ac:dyDescent="0.35">
      <c r="A200" s="7">
        <v>199</v>
      </c>
      <c r="B200" s="3">
        <v>43024</v>
      </c>
      <c r="C200" s="2">
        <v>244.55</v>
      </c>
      <c r="D200" s="14">
        <v>244.84</v>
      </c>
      <c r="E200" s="14">
        <v>244.18</v>
      </c>
      <c r="F200" s="2">
        <v>244.63</v>
      </c>
      <c r="G200" s="1">
        <v>39887916</v>
      </c>
      <c r="H200" s="6" t="s">
        <v>10</v>
      </c>
      <c r="I200" s="6">
        <f>IF(AND(H199="UP",testdataHighLow[[#This Row],[high]]&gt;I199),testdataHighLow[[#This Row],[high]],IF(AND(H199="DN",testdataHighLow[[#This Row],[low]]&lt;I199),testdataHighLow[[#This Row],[low]],I199))</f>
        <v>244.84</v>
      </c>
      <c r="J2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-2.6956379676523305E-3</v>
      </c>
      <c r="K200" s="15">
        <f t="shared" ca="1" si="4"/>
        <v>257.38559241719088</v>
      </c>
      <c r="L200" s="6"/>
      <c r="M200" s="19">
        <f ca="1">IF(testdataHighLow[[#This Row],[type]]="H",testdataHighLow[[#This Row],[high]],AVERAGE(M199,M201))</f>
        <v>261.07572052385984</v>
      </c>
      <c r="N200" s="19">
        <f ca="1">IF(testdataHighLow[[#This Row],[type]]="L",testdataHighLow[[#This Row],[low]],AVERAGE(N199,N201))</f>
        <v>238.77912844046898</v>
      </c>
      <c r="Q200" s="7">
        <v>199</v>
      </c>
      <c r="R200" s="15">
        <v>257.38560000000001</v>
      </c>
      <c r="S200" s="19">
        <v>261.07571999999999</v>
      </c>
      <c r="T200" s="19">
        <v>238.77913000000001</v>
      </c>
    </row>
    <row r="201" spans="1:20" x14ac:dyDescent="0.35">
      <c r="A201" s="7">
        <v>200</v>
      </c>
      <c r="B201" s="3">
        <v>43025</v>
      </c>
      <c r="C201" s="2">
        <v>244.57</v>
      </c>
      <c r="D201" s="14">
        <v>244.85</v>
      </c>
      <c r="E201" s="14">
        <v>244.33</v>
      </c>
      <c r="F201" s="2">
        <v>244.8</v>
      </c>
      <c r="G201" s="1">
        <v>32936836</v>
      </c>
      <c r="H201" s="6" t="s">
        <v>10</v>
      </c>
      <c r="I201" s="6">
        <f>IF(AND(H200="UP",testdataHighLow[[#This Row],[high]]&gt;I200),testdataHighLow[[#This Row],[high]],IF(AND(H200="DN",testdataHighLow[[#This Row],[low]]&lt;I200),testdataHighLow[[#This Row],[low]],I200))</f>
        <v>244.85</v>
      </c>
      <c r="J2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-2.1237492342249613E-3</v>
      </c>
      <c r="K201" s="15">
        <f t="shared" ca="1" si="4"/>
        <v>257.65236966837517</v>
      </c>
      <c r="L201" s="6"/>
      <c r="M201" s="19">
        <f ca="1">IF(testdataHighLow[[#This Row],[type]]="H",testdataHighLow[[#This Row],[high]],AVERAGE(M200,M202))</f>
        <v>261.28978165923195</v>
      </c>
      <c r="N201" s="19">
        <f ca="1">IF(testdataHighLow[[#This Row],[type]]="L",testdataHighLow[[#This Row],[low]],AVERAGE(N200,N202))</f>
        <v>238.91394495422983</v>
      </c>
      <c r="Q201" s="7">
        <v>200</v>
      </c>
      <c r="R201" s="15">
        <v>257.6524</v>
      </c>
      <c r="S201" s="19">
        <v>261.28978000000001</v>
      </c>
      <c r="T201" s="19">
        <v>238.91394</v>
      </c>
    </row>
    <row r="202" spans="1:20" x14ac:dyDescent="0.35">
      <c r="A202" s="7">
        <v>201</v>
      </c>
      <c r="B202" s="3">
        <v>43026</v>
      </c>
      <c r="C202" s="2">
        <v>245.21</v>
      </c>
      <c r="D202" s="14">
        <v>245.26</v>
      </c>
      <c r="E202" s="14">
        <v>244.83</v>
      </c>
      <c r="F202" s="2">
        <v>245.04</v>
      </c>
      <c r="G202" s="1">
        <v>42670820</v>
      </c>
      <c r="H202" s="6" t="s">
        <v>10</v>
      </c>
      <c r="I202" s="6">
        <f>IF(AND(H201="UP",testdataHighLow[[#This Row],[high]]&gt;I201),testdataHighLow[[#This Row],[high]],IF(AND(H201="DN",testdataHighLow[[#This Row],[low]]&lt;I201),testdataHighLow[[#This Row],[low]],I201))</f>
        <v>245.26</v>
      </c>
      <c r="J2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-1.7532414580444361E-3</v>
      </c>
      <c r="K202" s="15">
        <f t="shared" ca="1" si="4"/>
        <v>257.91914691955941</v>
      </c>
      <c r="L202" s="6"/>
      <c r="M202" s="19">
        <f ca="1">IF(testdataHighLow[[#This Row],[type]]="H",testdataHighLow[[#This Row],[high]],AVERAGE(M201,M203))</f>
        <v>261.50384279460411</v>
      </c>
      <c r="N202" s="19">
        <f ca="1">IF(testdataHighLow[[#This Row],[type]]="L",testdataHighLow[[#This Row],[low]],AVERAGE(N201,N203))</f>
        <v>239.04876146799069</v>
      </c>
      <c r="Q202" s="7">
        <v>201</v>
      </c>
      <c r="R202" s="15">
        <v>257.91910000000001</v>
      </c>
      <c r="S202" s="19">
        <v>261.50384000000003</v>
      </c>
      <c r="T202" s="19">
        <v>239.04875999999999</v>
      </c>
    </row>
    <row r="203" spans="1:20" x14ac:dyDescent="0.35">
      <c r="A203" s="7">
        <v>202</v>
      </c>
      <c r="B203" s="3">
        <v>43027</v>
      </c>
      <c r="C203" s="2">
        <v>244.18</v>
      </c>
      <c r="D203" s="14">
        <v>245.14</v>
      </c>
      <c r="E203" s="14">
        <v>243.72</v>
      </c>
      <c r="F203" s="2">
        <v>245.1</v>
      </c>
      <c r="G203" s="1">
        <v>64602432</v>
      </c>
      <c r="H203" s="6" t="s">
        <v>10</v>
      </c>
      <c r="I203" s="6">
        <f>IF(AND(H202="UP",testdataHighLow[[#This Row],[high]]&gt;I202),testdataHighLow[[#This Row],[high]],IF(AND(H202="DN",testdataHighLow[[#This Row],[low]]&lt;I202),testdataHighLow[[#This Row],[low]],I202))</f>
        <v>245.26</v>
      </c>
      <c r="J2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-6.2790508032291937E-3</v>
      </c>
      <c r="K203" s="15">
        <f t="shared" ca="1" si="4"/>
        <v>258.18592417074365</v>
      </c>
      <c r="L203" s="6"/>
      <c r="M203" s="19">
        <f ca="1">IF(testdataHighLow[[#This Row],[type]]="H",testdataHighLow[[#This Row],[high]],AVERAGE(M202,M204))</f>
        <v>261.71790392997633</v>
      </c>
      <c r="N203" s="19">
        <f ca="1">IF(testdataHighLow[[#This Row],[type]]="L",testdataHighLow[[#This Row],[low]],AVERAGE(N202,N204))</f>
        <v>239.18357798175151</v>
      </c>
      <c r="Q203" s="7">
        <v>202</v>
      </c>
      <c r="R203" s="15">
        <v>258.1859</v>
      </c>
      <c r="S203" s="19">
        <v>261.71789999999999</v>
      </c>
      <c r="T203" s="19">
        <v>239.18358000000001</v>
      </c>
    </row>
    <row r="204" spans="1:20" x14ac:dyDescent="0.35">
      <c r="A204" s="7">
        <v>203</v>
      </c>
      <c r="B204" s="3">
        <v>43028</v>
      </c>
      <c r="C204" s="2">
        <v>245.98</v>
      </c>
      <c r="D204" s="14">
        <v>246.4</v>
      </c>
      <c r="E204" s="14">
        <v>245.09</v>
      </c>
      <c r="F204" s="2">
        <v>246.37</v>
      </c>
      <c r="G204" s="1">
        <v>93063952</v>
      </c>
      <c r="H204" s="6" t="s">
        <v>10</v>
      </c>
      <c r="I204" s="6">
        <f>IF(AND(H203="UP",testdataHighLow[[#This Row],[high]]&gt;I203),testdataHighLow[[#This Row],[high]],IF(AND(H203="DN",testdataHighLow[[#This Row],[low]]&lt;I203),testdataHighLow[[#This Row],[low]],I203))</f>
        <v>246.4</v>
      </c>
      <c r="J2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-5.3165584415584503E-3</v>
      </c>
      <c r="K204" s="15">
        <f t="shared" ca="1" si="4"/>
        <v>258.45270142192783</v>
      </c>
      <c r="L204" s="6"/>
      <c r="M204" s="19">
        <f ca="1">IF(testdataHighLow[[#This Row],[type]]="H",testdataHighLow[[#This Row],[high]],AVERAGE(M203,M205))</f>
        <v>261.93196506534855</v>
      </c>
      <c r="N204" s="19">
        <f ca="1">IF(testdataHighLow[[#This Row],[type]]="L",testdataHighLow[[#This Row],[low]],AVERAGE(N203,N205))</f>
        <v>239.31839449551231</v>
      </c>
      <c r="Q204" s="7">
        <v>203</v>
      </c>
      <c r="R204" s="15">
        <v>258.45269999999999</v>
      </c>
      <c r="S204" s="19">
        <v>261.93196999999998</v>
      </c>
      <c r="T204" s="19">
        <v>239.31838999999999</v>
      </c>
    </row>
    <row r="205" spans="1:20" x14ac:dyDescent="0.35">
      <c r="A205" s="7">
        <v>204</v>
      </c>
      <c r="B205" s="3">
        <v>43031</v>
      </c>
      <c r="C205" s="2">
        <v>246.72</v>
      </c>
      <c r="D205" s="14">
        <v>246.75</v>
      </c>
      <c r="E205" s="14">
        <v>245.33</v>
      </c>
      <c r="F205" s="2">
        <v>245.41</v>
      </c>
      <c r="G205" s="1">
        <v>66701640</v>
      </c>
      <c r="H205" s="6" t="s">
        <v>10</v>
      </c>
      <c r="I205" s="6">
        <f>IF(AND(H204="UP",testdataHighLow[[#This Row],[high]]&gt;I204),testdataHighLow[[#This Row],[high]],IF(AND(H204="DN",testdataHighLow[[#This Row],[low]]&lt;I204),testdataHighLow[[#This Row],[low]],I204))</f>
        <v>246.75</v>
      </c>
      <c r="J2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-5.7548125633231509E-3</v>
      </c>
      <c r="K205" s="15">
        <f t="shared" ca="1" si="4"/>
        <v>258.71947867311195</v>
      </c>
      <c r="L205" s="6"/>
      <c r="M205" s="19">
        <f ca="1">IF(testdataHighLow[[#This Row],[type]]="H",testdataHighLow[[#This Row],[high]],AVERAGE(M204,M206))</f>
        <v>262.14602620072083</v>
      </c>
      <c r="N205" s="19">
        <f ca="1">IF(testdataHighLow[[#This Row],[type]]="L",testdataHighLow[[#This Row],[low]],AVERAGE(N204,N206))</f>
        <v>239.4532110092731</v>
      </c>
      <c r="Q205" s="7">
        <v>204</v>
      </c>
      <c r="R205" s="15">
        <v>258.71949999999998</v>
      </c>
      <c r="S205" s="19">
        <v>262.14603</v>
      </c>
      <c r="T205" s="19">
        <v>239.45321000000001</v>
      </c>
    </row>
    <row r="206" spans="1:20" x14ac:dyDescent="0.35">
      <c r="A206" s="7">
        <v>205</v>
      </c>
      <c r="B206" s="3">
        <v>43032</v>
      </c>
      <c r="C206" s="2">
        <v>245.88</v>
      </c>
      <c r="D206" s="14">
        <v>246.1</v>
      </c>
      <c r="E206" s="14">
        <v>245.45</v>
      </c>
      <c r="F206" s="2">
        <v>245.84</v>
      </c>
      <c r="G206" s="1">
        <v>69853928</v>
      </c>
      <c r="H206" s="6" t="s">
        <v>10</v>
      </c>
      <c r="I206" s="6">
        <f>IF(AND(H205="UP",testdataHighLow[[#This Row],[high]]&gt;I205),testdataHighLow[[#This Row],[high]],IF(AND(H205="DN",testdataHighLow[[#This Row],[low]]&lt;I205),testdataHighLow[[#This Row],[low]],I205))</f>
        <v>246.75</v>
      </c>
      <c r="J2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-5.2684903748733995E-3</v>
      </c>
      <c r="K206" s="15">
        <f t="shared" ca="1" si="4"/>
        <v>258.98625592429607</v>
      </c>
      <c r="L206" s="6"/>
      <c r="M206" s="19">
        <f ca="1">IF(testdataHighLow[[#This Row],[type]]="H",testdataHighLow[[#This Row],[high]],AVERAGE(M205,M207))</f>
        <v>262.36008733609316</v>
      </c>
      <c r="N206" s="19">
        <f ca="1">IF(testdataHighLow[[#This Row],[type]]="L",testdataHighLow[[#This Row],[low]],AVERAGE(N205,N207))</f>
        <v>239.58802752303387</v>
      </c>
      <c r="Q206" s="7">
        <v>205</v>
      </c>
      <c r="R206" s="15">
        <v>258.98630000000003</v>
      </c>
      <c r="S206" s="19">
        <v>262.36009000000001</v>
      </c>
      <c r="T206" s="19">
        <v>239.58803</v>
      </c>
    </row>
    <row r="207" spans="1:20" x14ac:dyDescent="0.35">
      <c r="A207" s="7">
        <v>206</v>
      </c>
      <c r="B207" s="3">
        <v>43033</v>
      </c>
      <c r="C207" s="2">
        <v>245.48</v>
      </c>
      <c r="D207" s="14">
        <v>245.6</v>
      </c>
      <c r="E207" s="14">
        <v>243.39</v>
      </c>
      <c r="F207" s="2">
        <v>244.63</v>
      </c>
      <c r="G207" s="1">
        <v>108236672</v>
      </c>
      <c r="H207" s="6" t="s">
        <v>10</v>
      </c>
      <c r="I207" s="6">
        <f>IF(AND(H206="UP",testdataHighLow[[#This Row],[high]]&gt;I206),testdataHighLow[[#This Row],[high]],IF(AND(H206="DN",testdataHighLow[[#This Row],[low]]&lt;I206),testdataHighLow[[#This Row],[low]],I206))</f>
        <v>246.75</v>
      </c>
      <c r="J2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-1.36170212765958E-2</v>
      </c>
      <c r="K207" s="15">
        <f t="shared" ca="1" si="4"/>
        <v>259.25303317548014</v>
      </c>
      <c r="L207" s="6"/>
      <c r="M207" s="19">
        <f ca="1">IF(testdataHighLow[[#This Row],[type]]="H",testdataHighLow[[#This Row],[high]],AVERAGE(M206,M208))</f>
        <v>262.57414847146549</v>
      </c>
      <c r="N207" s="19">
        <f ca="1">IF(testdataHighLow[[#This Row],[type]]="L",testdataHighLow[[#This Row],[low]],AVERAGE(N206,N208))</f>
        <v>239.72284403679461</v>
      </c>
      <c r="Q207" s="7">
        <v>206</v>
      </c>
      <c r="R207" s="15">
        <v>259.25299999999999</v>
      </c>
      <c r="S207" s="19">
        <v>262.57414999999997</v>
      </c>
      <c r="T207" s="19">
        <v>239.72283999999999</v>
      </c>
    </row>
    <row r="208" spans="1:20" x14ac:dyDescent="0.35">
      <c r="A208" s="7">
        <v>207</v>
      </c>
      <c r="B208" s="3">
        <v>43034</v>
      </c>
      <c r="C208" s="2">
        <v>245.3</v>
      </c>
      <c r="D208" s="14">
        <v>245.59</v>
      </c>
      <c r="E208" s="14">
        <v>244.81</v>
      </c>
      <c r="F208" s="2">
        <v>244.94</v>
      </c>
      <c r="G208" s="1">
        <v>72840760</v>
      </c>
      <c r="H208" s="6" t="s">
        <v>10</v>
      </c>
      <c r="I208" s="6">
        <f>IF(AND(H207="UP",testdataHighLow[[#This Row],[high]]&gt;I207),testdataHighLow[[#This Row],[high]],IF(AND(H207="DN",testdataHighLow[[#This Row],[low]]&lt;I207),testdataHighLow[[#This Row],[low]],I207))</f>
        <v>246.75</v>
      </c>
      <c r="J2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-7.8622087132725338E-3</v>
      </c>
      <c r="K208" s="15">
        <f t="shared" ca="1" si="4"/>
        <v>259.51981042666415</v>
      </c>
      <c r="L208" s="6"/>
      <c r="M208" s="19">
        <f ca="1">IF(testdataHighLow[[#This Row],[type]]="H",testdataHighLow[[#This Row],[high]],AVERAGE(M207,M209))</f>
        <v>262.78820960683788</v>
      </c>
      <c r="N208" s="19">
        <f ca="1">IF(testdataHighLow[[#This Row],[type]]="L",testdataHighLow[[#This Row],[low]],AVERAGE(N207,N209))</f>
        <v>239.85766055055535</v>
      </c>
      <c r="Q208" s="7">
        <v>207</v>
      </c>
      <c r="R208" s="15">
        <v>259.51979999999998</v>
      </c>
      <c r="S208" s="19">
        <v>262.78820999999999</v>
      </c>
      <c r="T208" s="19">
        <v>239.85766000000001</v>
      </c>
    </row>
    <row r="209" spans="1:20" x14ac:dyDescent="0.35">
      <c r="A209" s="7">
        <v>208</v>
      </c>
      <c r="B209" s="3">
        <v>43035</v>
      </c>
      <c r="C209" s="2">
        <v>245.76</v>
      </c>
      <c r="D209" s="14">
        <v>247.12</v>
      </c>
      <c r="E209" s="14">
        <v>244.95</v>
      </c>
      <c r="F209" s="2">
        <v>246.94</v>
      </c>
      <c r="G209" s="1">
        <v>89292576</v>
      </c>
      <c r="H209" s="6" t="s">
        <v>10</v>
      </c>
      <c r="I209" s="6">
        <f>IF(AND(H208="UP",testdataHighLow[[#This Row],[high]]&gt;I208),testdataHighLow[[#This Row],[high]],IF(AND(H208="DN",testdataHighLow[[#This Row],[low]]&lt;I208),testdataHighLow[[#This Row],[low]],I208))</f>
        <v>247.12</v>
      </c>
      <c r="J2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-8.7811589511169307E-3</v>
      </c>
      <c r="K209" s="15">
        <f t="shared" ca="1" si="4"/>
        <v>259.78658767784816</v>
      </c>
      <c r="L209" s="6"/>
      <c r="M209" s="19">
        <f ca="1">IF(testdataHighLow[[#This Row],[type]]="H",testdataHighLow[[#This Row],[high]],AVERAGE(M208,M210))</f>
        <v>263.00227074221033</v>
      </c>
      <c r="N209" s="19">
        <f ca="1">IF(testdataHighLow[[#This Row],[type]]="L",testdataHighLow[[#This Row],[low]],AVERAGE(N208,N210))</f>
        <v>239.99247706431606</v>
      </c>
      <c r="Q209" s="7">
        <v>208</v>
      </c>
      <c r="R209" s="15">
        <v>259.78660000000002</v>
      </c>
      <c r="S209" s="19">
        <v>263.00227000000001</v>
      </c>
      <c r="T209" s="19">
        <v>239.99248</v>
      </c>
    </row>
    <row r="210" spans="1:20" x14ac:dyDescent="0.35">
      <c r="A210" s="7">
        <v>209</v>
      </c>
      <c r="B210" s="3">
        <v>43038</v>
      </c>
      <c r="C210" s="2">
        <v>246.33</v>
      </c>
      <c r="D210" s="14">
        <v>246.84</v>
      </c>
      <c r="E210" s="14">
        <v>245.7</v>
      </c>
      <c r="F210" s="2">
        <v>246.02</v>
      </c>
      <c r="G210" s="1">
        <v>56652224</v>
      </c>
      <c r="H210" s="6" t="s">
        <v>10</v>
      </c>
      <c r="I210" s="6">
        <f>IF(AND(H209="UP",testdataHighLow[[#This Row],[high]]&gt;I209),testdataHighLow[[#This Row],[high]],IF(AND(H209="DN",testdataHighLow[[#This Row],[low]]&lt;I209),testdataHighLow[[#This Row],[low]],I209))</f>
        <v>247.12</v>
      </c>
      <c r="J2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-5.7461961799935898E-3</v>
      </c>
      <c r="K210" s="15">
        <f t="shared" ca="1" si="4"/>
        <v>260.05336492903211</v>
      </c>
      <c r="L210" s="6"/>
      <c r="M210" s="19">
        <f ca="1">IF(testdataHighLow[[#This Row],[type]]="H",testdataHighLow[[#This Row],[high]],AVERAGE(M209,M211))</f>
        <v>263.21633187758277</v>
      </c>
      <c r="N210" s="19">
        <f ca="1">IF(testdataHighLow[[#This Row],[type]]="L",testdataHighLow[[#This Row],[low]],AVERAGE(N209,N211))</f>
        <v>240.12729357807675</v>
      </c>
      <c r="Q210" s="7">
        <v>209</v>
      </c>
      <c r="R210" s="15">
        <v>260.05340000000001</v>
      </c>
      <c r="S210" s="19">
        <v>263.21633000000003</v>
      </c>
      <c r="T210" s="19">
        <v>240.12728999999999</v>
      </c>
    </row>
    <row r="211" spans="1:20" x14ac:dyDescent="0.35">
      <c r="A211" s="7">
        <v>210</v>
      </c>
      <c r="B211" s="3">
        <v>43039</v>
      </c>
      <c r="C211" s="2">
        <v>246.44</v>
      </c>
      <c r="D211" s="14">
        <v>246.69</v>
      </c>
      <c r="E211" s="14">
        <v>246.08</v>
      </c>
      <c r="F211" s="2">
        <v>246.41</v>
      </c>
      <c r="G211" s="1">
        <v>62933720</v>
      </c>
      <c r="H211" s="6" t="s">
        <v>10</v>
      </c>
      <c r="I211" s="6">
        <f>IF(AND(H210="UP",testdataHighLow[[#This Row],[high]]&gt;I210),testdataHighLow[[#This Row],[high]],IF(AND(H210="DN",testdataHighLow[[#This Row],[low]]&lt;I210),testdataHighLow[[#This Row],[low]],I210))</f>
        <v>247.12</v>
      </c>
      <c r="J2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-4.2084817092910001E-3</v>
      </c>
      <c r="K211" s="15">
        <f t="shared" ca="1" si="4"/>
        <v>260.32014218021601</v>
      </c>
      <c r="L211" s="6"/>
      <c r="M211" s="19">
        <f ca="1">IF(testdataHighLow[[#This Row],[type]]="H",testdataHighLow[[#This Row],[high]],AVERAGE(M210,M212))</f>
        <v>263.43039301295528</v>
      </c>
      <c r="N211" s="19">
        <f ca="1">IF(testdataHighLow[[#This Row],[type]]="L",testdataHighLow[[#This Row],[low]],AVERAGE(N210,N212))</f>
        <v>240.26211009183743</v>
      </c>
      <c r="Q211" s="7">
        <v>210</v>
      </c>
      <c r="R211" s="15">
        <v>260.32010000000002</v>
      </c>
      <c r="S211" s="19">
        <v>263.43038999999999</v>
      </c>
      <c r="T211" s="19">
        <v>240.26211000000001</v>
      </c>
    </row>
    <row r="212" spans="1:20" x14ac:dyDescent="0.35">
      <c r="A212" s="7">
        <v>211</v>
      </c>
      <c r="B212" s="3">
        <v>43040</v>
      </c>
      <c r="C212" s="2">
        <v>247.26</v>
      </c>
      <c r="D212" s="14">
        <v>247.63</v>
      </c>
      <c r="E212" s="14">
        <v>246.33</v>
      </c>
      <c r="F212" s="2">
        <v>246.73</v>
      </c>
      <c r="G212" s="1">
        <v>56565660</v>
      </c>
      <c r="H212" s="6" t="s">
        <v>10</v>
      </c>
      <c r="I212" s="6">
        <f>IF(AND(H211="UP",testdataHighLow[[#This Row],[high]]&gt;I211),testdataHighLow[[#This Row],[high]],IF(AND(H211="DN",testdataHighLow[[#This Row],[low]]&lt;I211),testdataHighLow[[#This Row],[low]],I211))</f>
        <v>247.63</v>
      </c>
      <c r="J2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-5.2497677987319103E-3</v>
      </c>
      <c r="K212" s="15">
        <f t="shared" ca="1" si="4"/>
        <v>260.58691943139991</v>
      </c>
      <c r="L212" s="6"/>
      <c r="M212" s="19">
        <f ca="1">IF(testdataHighLow[[#This Row],[type]]="H",testdataHighLow[[#This Row],[high]],AVERAGE(M211,M213))</f>
        <v>263.64445414832784</v>
      </c>
      <c r="N212" s="19">
        <f ca="1">IF(testdataHighLow[[#This Row],[type]]="L",testdataHighLow[[#This Row],[low]],AVERAGE(N211,N213))</f>
        <v>240.39692660559808</v>
      </c>
      <c r="Q212" s="7">
        <v>211</v>
      </c>
      <c r="R212" s="15">
        <v>260.58690000000001</v>
      </c>
      <c r="S212" s="19">
        <v>263.64445000000001</v>
      </c>
      <c r="T212" s="19">
        <v>240.39693</v>
      </c>
    </row>
    <row r="213" spans="1:20" x14ac:dyDescent="0.35">
      <c r="A213" s="7">
        <v>212</v>
      </c>
      <c r="B213" s="3">
        <v>43041</v>
      </c>
      <c r="C213" s="2">
        <v>246.66</v>
      </c>
      <c r="D213" s="14">
        <v>246.98</v>
      </c>
      <c r="E213" s="14">
        <v>245.49</v>
      </c>
      <c r="F213" s="2">
        <v>246.83</v>
      </c>
      <c r="G213" s="1">
        <v>58910404</v>
      </c>
      <c r="H213" s="6" t="s">
        <v>10</v>
      </c>
      <c r="I213" s="6">
        <f>IF(AND(H212="UP",testdataHighLow[[#This Row],[high]]&gt;I212),testdataHighLow[[#This Row],[high]],IF(AND(H212="DN",testdataHighLow[[#This Row],[low]]&lt;I212),testdataHighLow[[#This Row],[low]],I212))</f>
        <v>247.63</v>
      </c>
      <c r="J2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-8.6419254532972035E-3</v>
      </c>
      <c r="K213" s="15">
        <f t="shared" ca="1" si="4"/>
        <v>260.85369668258375</v>
      </c>
      <c r="L213" s="6"/>
      <c r="M213" s="19">
        <f ca="1">IF(testdataHighLow[[#This Row],[type]]="H",testdataHighLow[[#This Row],[high]],AVERAGE(M212,M214))</f>
        <v>263.8585152837004</v>
      </c>
      <c r="N213" s="19">
        <f ca="1">IF(testdataHighLow[[#This Row],[type]]="L",testdataHighLow[[#This Row],[low]],AVERAGE(N212,N214))</f>
        <v>240.53174311935871</v>
      </c>
      <c r="Q213" s="7">
        <v>212</v>
      </c>
      <c r="R213" s="15">
        <v>260.8537</v>
      </c>
      <c r="S213" s="19">
        <v>263.85852</v>
      </c>
      <c r="T213" s="19">
        <v>240.53174000000001</v>
      </c>
    </row>
    <row r="214" spans="1:20" x14ac:dyDescent="0.35">
      <c r="A214" s="7">
        <v>213</v>
      </c>
      <c r="B214" s="3">
        <v>43042</v>
      </c>
      <c r="C214" s="2">
        <v>247</v>
      </c>
      <c r="D214" s="14">
        <v>247.7</v>
      </c>
      <c r="E214" s="14">
        <v>246.55</v>
      </c>
      <c r="F214" s="2">
        <v>247.65</v>
      </c>
      <c r="G214" s="1">
        <v>62187496</v>
      </c>
      <c r="H214" s="6" t="s">
        <v>10</v>
      </c>
      <c r="I214" s="6">
        <f>IF(AND(H213="UP",testdataHighLow[[#This Row],[high]]&gt;I213),testdataHighLow[[#This Row],[high]],IF(AND(H213="DN",testdataHighLow[[#This Row],[low]]&lt;I213),testdataHighLow[[#This Row],[low]],I213))</f>
        <v>247.7</v>
      </c>
      <c r="J2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-4.6427129592247771E-3</v>
      </c>
      <c r="K214" s="15">
        <f t="shared" ca="1" si="4"/>
        <v>261.12047393376753</v>
      </c>
      <c r="L214" s="6"/>
      <c r="M214" s="19">
        <f ca="1">IF(testdataHighLow[[#This Row],[type]]="H",testdataHighLow[[#This Row],[high]],AVERAGE(M213,M215))</f>
        <v>264.07257641907302</v>
      </c>
      <c r="N214" s="19">
        <f ca="1">IF(testdataHighLow[[#This Row],[type]]="L",testdataHighLow[[#This Row],[low]],AVERAGE(N213,N215))</f>
        <v>240.66655963311933</v>
      </c>
      <c r="Q214" s="7">
        <v>213</v>
      </c>
      <c r="R214" s="15">
        <v>261.12049999999999</v>
      </c>
      <c r="S214" s="19">
        <v>264.07258000000002</v>
      </c>
      <c r="T214" s="19">
        <v>240.66656</v>
      </c>
    </row>
    <row r="215" spans="1:20" x14ac:dyDescent="0.35">
      <c r="A215" s="7">
        <v>214</v>
      </c>
      <c r="B215" s="3">
        <v>43045</v>
      </c>
      <c r="C215" s="2">
        <v>247.51</v>
      </c>
      <c r="D215" s="14">
        <v>248.18</v>
      </c>
      <c r="E215" s="14">
        <v>247.43</v>
      </c>
      <c r="F215" s="2">
        <v>248.04</v>
      </c>
      <c r="G215" s="1">
        <v>51817160</v>
      </c>
      <c r="H215" s="6" t="s">
        <v>10</v>
      </c>
      <c r="I215" s="6">
        <f>IF(AND(H214="UP",testdataHighLow[[#This Row],[high]]&gt;I214),testdataHighLow[[#This Row],[high]],IF(AND(H214="DN",testdataHighLow[[#This Row],[low]]&lt;I214),testdataHighLow[[#This Row],[low]],I214))</f>
        <v>248.18</v>
      </c>
      <c r="J2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-3.022000161173342E-3</v>
      </c>
      <c r="K215" s="15">
        <f t="shared" ca="1" si="4"/>
        <v>261.38725118495131</v>
      </c>
      <c r="L215" s="6"/>
      <c r="M215" s="19">
        <f ca="1">IF(testdataHighLow[[#This Row],[type]]="H",testdataHighLow[[#This Row],[high]],AVERAGE(M214,M216))</f>
        <v>264.28663755444569</v>
      </c>
      <c r="N215" s="19">
        <f ca="1">IF(testdataHighLow[[#This Row],[type]]="L",testdataHighLow[[#This Row],[low]],AVERAGE(N214,N216))</f>
        <v>240.80137614687993</v>
      </c>
      <c r="Q215" s="7">
        <v>214</v>
      </c>
      <c r="R215" s="15">
        <v>261.38729999999998</v>
      </c>
      <c r="S215" s="19">
        <v>264.28663999999998</v>
      </c>
      <c r="T215" s="19">
        <v>240.80137999999999</v>
      </c>
    </row>
    <row r="216" spans="1:20" x14ac:dyDescent="0.35">
      <c r="A216" s="7">
        <v>215</v>
      </c>
      <c r="B216" s="3">
        <v>43046</v>
      </c>
      <c r="C216" s="2">
        <v>248.15</v>
      </c>
      <c r="D216" s="14">
        <v>248.52</v>
      </c>
      <c r="E216" s="14">
        <v>247.31</v>
      </c>
      <c r="F216" s="2">
        <v>247.86</v>
      </c>
      <c r="G216" s="1">
        <v>60008920</v>
      </c>
      <c r="H216" s="6" t="s">
        <v>10</v>
      </c>
      <c r="I216" s="6">
        <f>IF(AND(H215="UP",testdataHighLow[[#This Row],[high]]&gt;I215),testdataHighLow[[#This Row],[high]],IF(AND(H215="DN",testdataHighLow[[#This Row],[low]]&lt;I215),testdataHighLow[[#This Row],[low]],I215))</f>
        <v>248.52</v>
      </c>
      <c r="J2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-4.8688234347336549E-3</v>
      </c>
      <c r="K216" s="15">
        <f t="shared" ca="1" si="4"/>
        <v>261.65402843613504</v>
      </c>
      <c r="L216" s="6"/>
      <c r="M216" s="19">
        <f ca="1">IF(testdataHighLow[[#This Row],[type]]="H",testdataHighLow[[#This Row],[high]],AVERAGE(M215,M217))</f>
        <v>264.50069868981836</v>
      </c>
      <c r="N216" s="19">
        <f ca="1">IF(testdataHighLow[[#This Row],[type]]="L",testdataHighLow[[#This Row],[low]],AVERAGE(N215,N217))</f>
        <v>240.9361926606405</v>
      </c>
      <c r="Q216" s="7">
        <v>215</v>
      </c>
      <c r="R216" s="15">
        <v>261.654</v>
      </c>
      <c r="S216" s="19">
        <v>264.50069999999999</v>
      </c>
      <c r="T216" s="19">
        <v>240.93619000000001</v>
      </c>
    </row>
    <row r="217" spans="1:20" x14ac:dyDescent="0.35">
      <c r="A217" s="7">
        <v>216</v>
      </c>
      <c r="B217" s="3">
        <v>43047</v>
      </c>
      <c r="C217" s="2">
        <v>247.67</v>
      </c>
      <c r="D217" s="14">
        <v>248.39</v>
      </c>
      <c r="E217" s="14">
        <v>247.37</v>
      </c>
      <c r="F217" s="2">
        <v>248.29</v>
      </c>
      <c r="G217" s="1">
        <v>52669760</v>
      </c>
      <c r="H217" s="6" t="s">
        <v>10</v>
      </c>
      <c r="I217" s="6">
        <f>IF(AND(H216="UP",testdataHighLow[[#This Row],[high]]&gt;I216),testdataHighLow[[#This Row],[high]],IF(AND(H216="DN",testdataHighLow[[#This Row],[low]]&lt;I216),testdataHighLow[[#This Row],[low]],I216))</f>
        <v>248.52</v>
      </c>
      <c r="J2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-4.6273941735071851E-3</v>
      </c>
      <c r="K217" s="15">
        <f t="shared" ca="1" si="4"/>
        <v>261.9208056873187</v>
      </c>
      <c r="L217" s="6"/>
      <c r="M217" s="19">
        <f ca="1">IF(testdataHighLow[[#This Row],[type]]="H",testdataHighLow[[#This Row],[high]],AVERAGE(M216,M218))</f>
        <v>264.71475982519109</v>
      </c>
      <c r="N217" s="19">
        <f ca="1">IF(testdataHighLow[[#This Row],[type]]="L",testdataHighLow[[#This Row],[low]],AVERAGE(N216,N218))</f>
        <v>241.07100917440107</v>
      </c>
      <c r="Q217" s="7">
        <v>216</v>
      </c>
      <c r="R217" s="15">
        <v>261.92079999999999</v>
      </c>
      <c r="S217" s="19">
        <v>264.71476000000001</v>
      </c>
      <c r="T217" s="19">
        <v>241.07101</v>
      </c>
    </row>
    <row r="218" spans="1:20" x14ac:dyDescent="0.35">
      <c r="A218" s="7">
        <v>217</v>
      </c>
      <c r="B218" s="3">
        <v>43048</v>
      </c>
      <c r="C218" s="2">
        <v>246.96</v>
      </c>
      <c r="D218" s="14">
        <v>247.6</v>
      </c>
      <c r="E218" s="14">
        <v>245.65</v>
      </c>
      <c r="F218" s="2">
        <v>247.39</v>
      </c>
      <c r="G218" s="1">
        <v>99230672</v>
      </c>
      <c r="H218" s="6" t="s">
        <v>10</v>
      </c>
      <c r="I218" s="6">
        <f>IF(AND(H217="UP",testdataHighLow[[#This Row],[high]]&gt;I217),testdataHighLow[[#This Row],[high]],IF(AND(H217="DN",testdataHighLow[[#This Row],[low]]&lt;I217),testdataHighLow[[#This Row],[low]],I217))</f>
        <v>248.52</v>
      </c>
      <c r="J2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-1.1548366328665719E-2</v>
      </c>
      <c r="K218" s="15">
        <f t="shared" ca="1" si="4"/>
        <v>262.18758293850237</v>
      </c>
      <c r="L218" s="6"/>
      <c r="M218" s="19">
        <f ca="1">IF(testdataHighLow[[#This Row],[type]]="H",testdataHighLow[[#This Row],[high]],AVERAGE(M217,M219))</f>
        <v>264.92882096056388</v>
      </c>
      <c r="N218" s="19">
        <f ca="1">IF(testdataHighLow[[#This Row],[type]]="L",testdataHighLow[[#This Row],[low]],AVERAGE(N217,N219))</f>
        <v>241.20582568816161</v>
      </c>
      <c r="Q218" s="7">
        <v>217</v>
      </c>
      <c r="R218" s="15">
        <v>262.18759999999997</v>
      </c>
      <c r="S218" s="19">
        <v>264.92881999999997</v>
      </c>
      <c r="T218" s="19">
        <v>241.20582999999999</v>
      </c>
    </row>
    <row r="219" spans="1:20" x14ac:dyDescent="0.35">
      <c r="A219" s="7">
        <v>218</v>
      </c>
      <c r="B219" s="3">
        <v>43049</v>
      </c>
      <c r="C219" s="2">
        <v>246.96</v>
      </c>
      <c r="D219" s="14">
        <v>247.5</v>
      </c>
      <c r="E219" s="14">
        <v>246.62</v>
      </c>
      <c r="F219" s="2">
        <v>247.31</v>
      </c>
      <c r="G219" s="1">
        <v>62599644</v>
      </c>
      <c r="H219" s="6" t="s">
        <v>10</v>
      </c>
      <c r="I219" s="6">
        <f>IF(AND(H218="UP",testdataHighLow[[#This Row],[high]]&gt;I218),testdataHighLow[[#This Row],[high]],IF(AND(H218="DN",testdataHighLow[[#This Row],[low]]&lt;I218),testdataHighLow[[#This Row],[low]],I218))</f>
        <v>248.52</v>
      </c>
      <c r="J2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-7.6452599388379429E-3</v>
      </c>
      <c r="K219" s="15">
        <f t="shared" ca="1" si="4"/>
        <v>262.45436018968599</v>
      </c>
      <c r="L219" s="6"/>
      <c r="M219" s="19">
        <f ca="1">IF(testdataHighLow[[#This Row],[type]]="H",testdataHighLow[[#This Row],[high]],AVERAGE(M218,M220))</f>
        <v>265.14288209593667</v>
      </c>
      <c r="N219" s="19">
        <f ca="1">IF(testdataHighLow[[#This Row],[type]]="L",testdataHighLow[[#This Row],[low]],AVERAGE(N218,N220))</f>
        <v>241.34064220192212</v>
      </c>
      <c r="Q219" s="7">
        <v>218</v>
      </c>
      <c r="R219" s="15">
        <v>262.45440000000002</v>
      </c>
      <c r="S219" s="19">
        <v>265.14287999999999</v>
      </c>
      <c r="T219" s="19">
        <v>241.34064000000001</v>
      </c>
    </row>
    <row r="220" spans="1:20" x14ac:dyDescent="0.35">
      <c r="A220" s="7">
        <v>219</v>
      </c>
      <c r="B220" s="3">
        <v>43052</v>
      </c>
      <c r="C220" s="2">
        <v>246.56</v>
      </c>
      <c r="D220" s="14">
        <v>247.79</v>
      </c>
      <c r="E220" s="14">
        <v>246.52</v>
      </c>
      <c r="F220" s="2">
        <v>247.54</v>
      </c>
      <c r="G220" s="1">
        <v>52418324</v>
      </c>
      <c r="H220" s="6" t="s">
        <v>10</v>
      </c>
      <c r="I220" s="6">
        <f>IF(AND(H219="UP",testdataHighLow[[#This Row],[high]]&gt;I219),testdataHighLow[[#This Row],[high]],IF(AND(H219="DN",testdataHighLow[[#This Row],[low]]&lt;I219),testdataHighLow[[#This Row],[low]],I219))</f>
        <v>248.52</v>
      </c>
      <c r="J2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-8.0476420408820207E-3</v>
      </c>
      <c r="K220" s="15">
        <f t="shared" ca="1" si="4"/>
        <v>262.72113744086954</v>
      </c>
      <c r="L220" s="6"/>
      <c r="M220" s="19">
        <f ca="1">IF(testdataHighLow[[#This Row],[type]]="H",testdataHighLow[[#This Row],[high]],AVERAGE(M219,M221))</f>
        <v>265.35694323130951</v>
      </c>
      <c r="N220" s="19">
        <f ca="1">IF(testdataHighLow[[#This Row],[type]]="L",testdataHighLow[[#This Row],[low]],AVERAGE(N219,N221))</f>
        <v>241.47545871568263</v>
      </c>
      <c r="Q220" s="7">
        <v>219</v>
      </c>
      <c r="R220" s="15">
        <v>262.72109999999998</v>
      </c>
      <c r="S220" s="19">
        <v>265.35694000000001</v>
      </c>
      <c r="T220" s="19">
        <v>241.47546</v>
      </c>
    </row>
    <row r="221" spans="1:20" x14ac:dyDescent="0.35">
      <c r="A221" s="7">
        <v>220</v>
      </c>
      <c r="B221" s="3">
        <v>43053</v>
      </c>
      <c r="C221" s="2">
        <v>246.66</v>
      </c>
      <c r="D221" s="14">
        <v>247.08</v>
      </c>
      <c r="E221" s="14">
        <v>245.8</v>
      </c>
      <c r="F221" s="2">
        <v>246.96</v>
      </c>
      <c r="G221" s="1">
        <v>63988136</v>
      </c>
      <c r="H221" s="6" t="s">
        <v>10</v>
      </c>
      <c r="I221" s="6">
        <f>IF(AND(H220="UP",testdataHighLow[[#This Row],[high]]&gt;I220),testdataHighLow[[#This Row],[high]],IF(AND(H220="DN",testdataHighLow[[#This Row],[low]]&lt;I220),testdataHighLow[[#This Row],[low]],I220))</f>
        <v>248.52</v>
      </c>
      <c r="J2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-1.0944793175599545E-2</v>
      </c>
      <c r="K221" s="15">
        <f t="shared" ca="1" si="4"/>
        <v>262.9879146920531</v>
      </c>
      <c r="L221" s="6"/>
      <c r="M221" s="19">
        <f ca="1">IF(testdataHighLow[[#This Row],[type]]="H",testdataHighLow[[#This Row],[high]],AVERAGE(M220,M222))</f>
        <v>265.57100436668242</v>
      </c>
      <c r="N221" s="19">
        <f ca="1">IF(testdataHighLow[[#This Row],[type]]="L",testdataHighLow[[#This Row],[low]],AVERAGE(N220,N222))</f>
        <v>241.61027522944312</v>
      </c>
      <c r="Q221" s="7">
        <v>220</v>
      </c>
      <c r="R221" s="15">
        <v>262.98790000000002</v>
      </c>
      <c r="S221" s="19">
        <v>265.57100000000003</v>
      </c>
      <c r="T221" s="19">
        <v>241.61027999999999</v>
      </c>
    </row>
    <row r="222" spans="1:20" x14ac:dyDescent="0.35">
      <c r="A222" s="7">
        <v>221</v>
      </c>
      <c r="B222" s="3">
        <v>43054</v>
      </c>
      <c r="C222" s="2">
        <v>245.9</v>
      </c>
      <c r="D222" s="14">
        <v>246.48</v>
      </c>
      <c r="E222" s="14">
        <v>244.95</v>
      </c>
      <c r="F222" s="2">
        <v>245.73</v>
      </c>
      <c r="G222" s="1">
        <v>84334432</v>
      </c>
      <c r="H222" s="6" t="s">
        <v>10</v>
      </c>
      <c r="I222" s="6">
        <f>IF(AND(H221="UP",testdataHighLow[[#This Row],[high]]&gt;I221),testdataHighLow[[#This Row],[high]],IF(AND(H221="DN",testdataHighLow[[#This Row],[low]]&lt;I221),testdataHighLow[[#This Row],[low]],I221))</f>
        <v>248.52</v>
      </c>
      <c r="J2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-1.4365041042974494E-2</v>
      </c>
      <c r="K222" s="15">
        <f t="shared" ca="1" si="4"/>
        <v>263.25469194323659</v>
      </c>
      <c r="L222" s="6"/>
      <c r="M222" s="19">
        <f ca="1">IF(testdataHighLow[[#This Row],[type]]="H",testdataHighLow[[#This Row],[high]],AVERAGE(M221,M223))</f>
        <v>265.78506550205532</v>
      </c>
      <c r="N222" s="19">
        <f ca="1">IF(testdataHighLow[[#This Row],[type]]="L",testdataHighLow[[#This Row],[low]],AVERAGE(N221,N223))</f>
        <v>241.74509174320357</v>
      </c>
      <c r="Q222" s="7">
        <v>221</v>
      </c>
      <c r="R222" s="15">
        <v>263.25470000000001</v>
      </c>
      <c r="S222" s="19">
        <v>265.78507000000002</v>
      </c>
      <c r="T222" s="19">
        <v>241.74509</v>
      </c>
    </row>
    <row r="223" spans="1:20" x14ac:dyDescent="0.35">
      <c r="A223" s="7">
        <v>222</v>
      </c>
      <c r="B223" s="3">
        <v>43055</v>
      </c>
      <c r="C223" s="2">
        <v>246.76</v>
      </c>
      <c r="D223" s="14">
        <v>248.22</v>
      </c>
      <c r="E223" s="14">
        <v>246.72</v>
      </c>
      <c r="F223" s="2">
        <v>247.82</v>
      </c>
      <c r="G223" s="1">
        <v>70731712</v>
      </c>
      <c r="H223" s="6" t="s">
        <v>10</v>
      </c>
      <c r="I223" s="6">
        <f>IF(AND(H222="UP",testdataHighLow[[#This Row],[high]]&gt;I222),testdataHighLow[[#This Row],[high]],IF(AND(H222="DN",testdataHighLow[[#This Row],[low]]&lt;I222),testdataHighLow[[#This Row],[low]],I222))</f>
        <v>248.52</v>
      </c>
      <c r="J2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-7.2428778367938651E-3</v>
      </c>
      <c r="K223" s="15">
        <f t="shared" ca="1" si="4"/>
        <v>263.52146919442004</v>
      </c>
      <c r="L223" s="6"/>
      <c r="M223" s="19">
        <f ca="1">IF(testdataHighLow[[#This Row],[type]]="H",testdataHighLow[[#This Row],[high]],AVERAGE(M222,M224))</f>
        <v>265.99912663742828</v>
      </c>
      <c r="N223" s="19">
        <f ca="1">IF(testdataHighLow[[#This Row],[type]]="L",testdataHighLow[[#This Row],[low]],AVERAGE(N222,N224))</f>
        <v>241.87990825696403</v>
      </c>
      <c r="Q223" s="7">
        <v>222</v>
      </c>
      <c r="R223" s="15">
        <v>263.5215</v>
      </c>
      <c r="S223" s="19">
        <v>265.99912999999998</v>
      </c>
      <c r="T223" s="19">
        <v>241.87991</v>
      </c>
    </row>
    <row r="224" spans="1:20" x14ac:dyDescent="0.35">
      <c r="A224" s="7">
        <v>223</v>
      </c>
      <c r="B224" s="3">
        <v>43056</v>
      </c>
      <c r="C224" s="2">
        <v>247.43</v>
      </c>
      <c r="D224" s="14">
        <v>247.79</v>
      </c>
      <c r="E224" s="14">
        <v>247</v>
      </c>
      <c r="F224" s="2">
        <v>247.09</v>
      </c>
      <c r="G224" s="1">
        <v>79059392</v>
      </c>
      <c r="H224" s="6" t="s">
        <v>10</v>
      </c>
      <c r="I224" s="6">
        <f>IF(AND(H223="UP",testdataHighLow[[#This Row],[high]]&gt;I223),testdataHighLow[[#This Row],[high]],IF(AND(H223="DN",testdataHighLow[[#This Row],[low]]&lt;I223),testdataHighLow[[#This Row],[low]],I223))</f>
        <v>248.52</v>
      </c>
      <c r="J2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-6.1162079510703772E-3</v>
      </c>
      <c r="K224" s="15">
        <f t="shared" ca="1" si="4"/>
        <v>263.78824644560348</v>
      </c>
      <c r="L224" s="6"/>
      <c r="M224" s="19">
        <f ca="1">IF(testdataHighLow[[#This Row],[type]]="H",testdataHighLow[[#This Row],[high]],AVERAGE(M223,M225))</f>
        <v>266.21318777280129</v>
      </c>
      <c r="N224" s="19">
        <f ca="1">IF(testdataHighLow[[#This Row],[type]]="L",testdataHighLow[[#This Row],[low]],AVERAGE(N223,N225))</f>
        <v>242.01472477072446</v>
      </c>
      <c r="Q224" s="7">
        <v>223</v>
      </c>
      <c r="R224" s="15">
        <v>263.78820000000002</v>
      </c>
      <c r="S224" s="19">
        <v>266.21319</v>
      </c>
      <c r="T224" s="19">
        <v>242.01472000000001</v>
      </c>
    </row>
    <row r="225" spans="1:20" x14ac:dyDescent="0.35">
      <c r="A225" s="7">
        <v>224</v>
      </c>
      <c r="B225" s="3">
        <v>43059</v>
      </c>
      <c r="C225" s="2">
        <v>247.36</v>
      </c>
      <c r="D225" s="14">
        <v>247.73</v>
      </c>
      <c r="E225" s="14">
        <v>247.09</v>
      </c>
      <c r="F225" s="2">
        <v>247.51</v>
      </c>
      <c r="G225" s="1">
        <v>50171324</v>
      </c>
      <c r="H225" s="6" t="s">
        <v>10</v>
      </c>
      <c r="I225" s="6">
        <f>IF(AND(H224="UP",testdataHighLow[[#This Row],[high]]&gt;I224),testdataHighLow[[#This Row],[high]],IF(AND(H224="DN",testdataHighLow[[#This Row],[low]]&lt;I224),testdataHighLow[[#This Row],[low]],I224))</f>
        <v>248.52</v>
      </c>
      <c r="J2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-5.754064059230673E-3</v>
      </c>
      <c r="K225" s="15">
        <f t="shared" ca="1" si="4"/>
        <v>264.05502369678686</v>
      </c>
      <c r="L225" s="6"/>
      <c r="M225" s="19">
        <f ca="1">IF(testdataHighLow[[#This Row],[type]]="H",testdataHighLow[[#This Row],[high]],AVERAGE(M224,M226))</f>
        <v>266.42724890817431</v>
      </c>
      <c r="N225" s="19">
        <f ca="1">IF(testdataHighLow[[#This Row],[type]]="L",testdataHighLow[[#This Row],[low]],AVERAGE(N224,N226))</f>
        <v>242.14954128448485</v>
      </c>
      <c r="Q225" s="7">
        <v>224</v>
      </c>
      <c r="R225" s="15">
        <v>264.05500000000001</v>
      </c>
      <c r="S225" s="19">
        <v>266.42725000000002</v>
      </c>
      <c r="T225" s="19">
        <v>242.14954</v>
      </c>
    </row>
    <row r="226" spans="1:20" x14ac:dyDescent="0.35">
      <c r="A226" s="7">
        <v>225</v>
      </c>
      <c r="B226" s="3">
        <v>43060</v>
      </c>
      <c r="C226" s="2">
        <v>248.35</v>
      </c>
      <c r="D226" s="14">
        <v>249.33</v>
      </c>
      <c r="E226" s="14">
        <v>247.47</v>
      </c>
      <c r="F226" s="2">
        <v>249.13</v>
      </c>
      <c r="G226" s="1">
        <v>72192504</v>
      </c>
      <c r="H226" s="6" t="s">
        <v>10</v>
      </c>
      <c r="I226" s="6">
        <f>IF(AND(H225="UP",testdataHighLow[[#This Row],[high]]&gt;I225),testdataHighLow[[#This Row],[high]],IF(AND(H225="DN",testdataHighLow[[#This Row],[low]]&lt;I225),testdataHighLow[[#This Row],[low]],I225))</f>
        <v>249.33</v>
      </c>
      <c r="J2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-7.4599927806522021E-3</v>
      </c>
      <c r="K226" s="15">
        <f t="shared" ca="1" si="4"/>
        <v>264.32180094797019</v>
      </c>
      <c r="L226" s="6"/>
      <c r="M226" s="19">
        <f ca="1">IF(testdataHighLow[[#This Row],[type]]="H",testdataHighLow[[#This Row],[high]],AVERAGE(M225,M227))</f>
        <v>266.64131004354738</v>
      </c>
      <c r="N226" s="19">
        <f ca="1">IF(testdataHighLow[[#This Row],[type]]="L",testdataHighLow[[#This Row],[low]],AVERAGE(N225,N227))</f>
        <v>242.28435779824525</v>
      </c>
      <c r="Q226" s="7">
        <v>225</v>
      </c>
      <c r="R226" s="15">
        <v>264.3218</v>
      </c>
      <c r="S226" s="19">
        <v>266.64130999999998</v>
      </c>
      <c r="T226" s="19">
        <v>242.28435999999999</v>
      </c>
    </row>
    <row r="227" spans="1:20" x14ac:dyDescent="0.35">
      <c r="A227" s="7">
        <v>226</v>
      </c>
      <c r="B227" s="3">
        <v>43061</v>
      </c>
      <c r="C227" s="2">
        <v>249.14</v>
      </c>
      <c r="D227" s="14">
        <v>249.28</v>
      </c>
      <c r="E227" s="14">
        <v>248.73</v>
      </c>
      <c r="F227" s="2">
        <v>248.91</v>
      </c>
      <c r="G227" s="1">
        <v>46996584</v>
      </c>
      <c r="H227" s="6" t="s">
        <v>10</v>
      </c>
      <c r="I227" s="6">
        <f>IF(AND(H226="UP",testdataHighLow[[#This Row],[high]]&gt;I226),testdataHighLow[[#This Row],[high]],IF(AND(H226="DN",testdataHighLow[[#This Row],[low]]&lt;I226),testdataHighLow[[#This Row],[low]],I226))</f>
        <v>249.33</v>
      </c>
      <c r="J2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-2.4064492840814291E-3</v>
      </c>
      <c r="K227" s="15">
        <f t="shared" ca="1" si="4"/>
        <v>264.58857819915352</v>
      </c>
      <c r="L227" s="6"/>
      <c r="M227" s="19">
        <f ca="1">IF(testdataHighLow[[#This Row],[type]]="H",testdataHighLow[[#This Row],[high]],AVERAGE(M226,M228))</f>
        <v>266.85537117892051</v>
      </c>
      <c r="N227" s="19">
        <f ca="1">IF(testdataHighLow[[#This Row],[type]]="L",testdataHighLow[[#This Row],[low]],AVERAGE(N226,N228))</f>
        <v>242.41917431200562</v>
      </c>
      <c r="Q227" s="7">
        <v>226</v>
      </c>
      <c r="R227" s="15">
        <v>264.58859999999999</v>
      </c>
      <c r="S227" s="19">
        <v>266.85536999999999</v>
      </c>
      <c r="T227" s="19">
        <v>242.41917000000001</v>
      </c>
    </row>
    <row r="228" spans="1:20" x14ac:dyDescent="0.35">
      <c r="A228" s="7">
        <v>227</v>
      </c>
      <c r="B228" s="3">
        <v>43063</v>
      </c>
      <c r="C228" s="2">
        <v>249.45</v>
      </c>
      <c r="D228" s="14">
        <v>249.6</v>
      </c>
      <c r="E228" s="14">
        <v>249.29</v>
      </c>
      <c r="F228" s="2">
        <v>249.48</v>
      </c>
      <c r="G228" s="1">
        <v>29070892</v>
      </c>
      <c r="H228" s="6" t="s">
        <v>10</v>
      </c>
      <c r="I228" s="6">
        <f>IF(AND(H227="UP",testdataHighLow[[#This Row],[high]]&gt;I227),testdataHighLow[[#This Row],[high]],IF(AND(H227="DN",testdataHighLow[[#This Row],[low]]&lt;I227),testdataHighLow[[#This Row],[low]],I227))</f>
        <v>249.6</v>
      </c>
      <c r="J2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-1.2419871794871885E-3</v>
      </c>
      <c r="K228" s="15">
        <f t="shared" ca="1" si="4"/>
        <v>264.85535545033679</v>
      </c>
      <c r="L228" s="6"/>
      <c r="M228" s="19">
        <f ca="1">IF(testdataHighLow[[#This Row],[type]]="H",testdataHighLow[[#This Row],[high]],AVERAGE(M227,M229))</f>
        <v>267.06943231429364</v>
      </c>
      <c r="N228" s="19">
        <f ca="1">IF(testdataHighLow[[#This Row],[type]]="L",testdataHighLow[[#This Row],[low]],AVERAGE(N227,N229))</f>
        <v>242.55399082576596</v>
      </c>
      <c r="Q228" s="7">
        <v>227</v>
      </c>
      <c r="R228" s="15">
        <v>264.85539999999997</v>
      </c>
      <c r="S228" s="19">
        <v>267.06943000000001</v>
      </c>
      <c r="T228" s="19">
        <v>242.55399</v>
      </c>
    </row>
    <row r="229" spans="1:20" x14ac:dyDescent="0.35">
      <c r="A229" s="7">
        <v>228</v>
      </c>
      <c r="B229" s="3">
        <v>43066</v>
      </c>
      <c r="C229" s="2">
        <v>249.53</v>
      </c>
      <c r="D229" s="14">
        <v>249.86</v>
      </c>
      <c r="E229" s="14">
        <v>249.14</v>
      </c>
      <c r="F229" s="2">
        <v>249.36</v>
      </c>
      <c r="G229" s="1">
        <v>54553804</v>
      </c>
      <c r="H229" s="6" t="s">
        <v>10</v>
      </c>
      <c r="I229" s="6">
        <f>IF(AND(H228="UP",testdataHighLow[[#This Row],[high]]&gt;I228),testdataHighLow[[#This Row],[high]],IF(AND(H228="DN",testdataHighLow[[#This Row],[low]]&lt;I228),testdataHighLow[[#This Row],[low]],I228))</f>
        <v>249.86</v>
      </c>
      <c r="J2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-2.8816137036741666E-3</v>
      </c>
      <c r="K229" s="15">
        <f t="shared" ca="1" si="4"/>
        <v>265.12213270152</v>
      </c>
      <c r="L229" s="6"/>
      <c r="M229" s="19">
        <f ca="1">IF(testdataHighLow[[#This Row],[type]]="H",testdataHighLow[[#This Row],[high]],AVERAGE(M228,M230))</f>
        <v>267.28349344966682</v>
      </c>
      <c r="N229" s="19">
        <f ca="1">IF(testdataHighLow[[#This Row],[type]]="L",testdataHighLow[[#This Row],[low]],AVERAGE(N228,N230))</f>
        <v>242.68880733952631</v>
      </c>
      <c r="Q229" s="7">
        <v>228</v>
      </c>
      <c r="R229" s="15">
        <v>265.12209999999999</v>
      </c>
      <c r="S229" s="19">
        <v>267.28348999999997</v>
      </c>
      <c r="T229" s="19">
        <v>242.68880999999999</v>
      </c>
    </row>
    <row r="230" spans="1:20" x14ac:dyDescent="0.35">
      <c r="A230" s="7">
        <v>229</v>
      </c>
      <c r="B230" s="3">
        <v>43067</v>
      </c>
      <c r="C230" s="2">
        <v>249.87</v>
      </c>
      <c r="D230" s="14">
        <v>251.92</v>
      </c>
      <c r="E230" s="14">
        <v>249.77</v>
      </c>
      <c r="F230" s="2">
        <v>251.89</v>
      </c>
      <c r="G230" s="1">
        <v>103286312</v>
      </c>
      <c r="H230" s="6" t="s">
        <v>10</v>
      </c>
      <c r="I230" s="6">
        <f>IF(AND(H229="UP",testdataHighLow[[#This Row],[high]]&gt;I229),testdataHighLow[[#This Row],[high]],IF(AND(H229="DN",testdataHighLow[[#This Row],[low]]&lt;I229),testdataHighLow[[#This Row],[low]],I229))</f>
        <v>251.92</v>
      </c>
      <c r="J2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-8.5344553826610728E-3</v>
      </c>
      <c r="K230" s="15">
        <f t="shared" ca="1" si="4"/>
        <v>265.38890995270322</v>
      </c>
      <c r="L230" s="6"/>
      <c r="M230" s="19">
        <f ca="1">IF(testdataHighLow[[#This Row],[type]]="H",testdataHighLow[[#This Row],[high]],AVERAGE(M229,M231))</f>
        <v>267.49755458504006</v>
      </c>
      <c r="N230" s="19">
        <f ca="1">IF(testdataHighLow[[#This Row],[type]]="L",testdataHighLow[[#This Row],[low]],AVERAGE(N229,N231))</f>
        <v>242.82362385328662</v>
      </c>
      <c r="Q230" s="7">
        <v>229</v>
      </c>
      <c r="R230" s="15">
        <v>265.38889999999998</v>
      </c>
      <c r="S230" s="19">
        <v>267.49754999999999</v>
      </c>
      <c r="T230" s="19">
        <v>242.82362000000001</v>
      </c>
    </row>
    <row r="231" spans="1:20" x14ac:dyDescent="0.35">
      <c r="A231" s="7">
        <v>230</v>
      </c>
      <c r="B231" s="3">
        <v>43068</v>
      </c>
      <c r="C231" s="2">
        <v>252.03</v>
      </c>
      <c r="D231" s="14">
        <v>252.62</v>
      </c>
      <c r="E231" s="14">
        <v>251.25</v>
      </c>
      <c r="F231" s="2">
        <v>251.74</v>
      </c>
      <c r="G231" s="1">
        <v>80891176</v>
      </c>
      <c r="H231" s="6" t="s">
        <v>10</v>
      </c>
      <c r="I231" s="6">
        <f>IF(AND(H230="UP",testdataHighLow[[#This Row],[high]]&gt;I230),testdataHighLow[[#This Row],[high]],IF(AND(H230="DN",testdataHighLow[[#This Row],[low]]&lt;I230),testdataHighLow[[#This Row],[low]],I230))</f>
        <v>252.62</v>
      </c>
      <c r="J2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-5.4231652284063197E-3</v>
      </c>
      <c r="K231" s="15">
        <f t="shared" ca="1" si="4"/>
        <v>265.65568720388637</v>
      </c>
      <c r="L231" s="6"/>
      <c r="M231" s="19">
        <f ca="1">IF(testdataHighLow[[#This Row],[type]]="H",testdataHighLow[[#This Row],[high]],AVERAGE(M230,M232))</f>
        <v>267.71161572041331</v>
      </c>
      <c r="N231" s="19">
        <f ca="1">IF(testdataHighLow[[#This Row],[type]]="L",testdataHighLow[[#This Row],[low]],AVERAGE(N230,N232))</f>
        <v>242.9584403670469</v>
      </c>
      <c r="Q231" s="7">
        <v>230</v>
      </c>
      <c r="R231" s="15">
        <v>265.65570000000002</v>
      </c>
      <c r="S231" s="19">
        <v>267.71161999999998</v>
      </c>
      <c r="T231" s="19">
        <v>242.95844</v>
      </c>
    </row>
    <row r="232" spans="1:20" x14ac:dyDescent="0.35">
      <c r="A232" s="7">
        <v>231</v>
      </c>
      <c r="B232" s="3">
        <v>43069</v>
      </c>
      <c r="C232" s="2">
        <v>252.74</v>
      </c>
      <c r="D232" s="14">
        <v>254.94</v>
      </c>
      <c r="E232" s="14">
        <v>252.66</v>
      </c>
      <c r="F232" s="2">
        <v>253.94</v>
      </c>
      <c r="G232" s="1">
        <v>133469840</v>
      </c>
      <c r="H232" s="6" t="s">
        <v>10</v>
      </c>
      <c r="I232" s="6">
        <f>IF(AND(H231="UP",testdataHighLow[[#This Row],[high]]&gt;I231),testdataHighLow[[#This Row],[high]],IF(AND(H231="DN",testdataHighLow[[#This Row],[low]]&lt;I231),testdataHighLow[[#This Row],[low]],I231))</f>
        <v>254.94</v>
      </c>
      <c r="J2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-8.943280771946345E-3</v>
      </c>
      <c r="K232" s="15">
        <f t="shared" ca="1" si="4"/>
        <v>265.92246445506947</v>
      </c>
      <c r="L232" s="6"/>
      <c r="M232" s="19">
        <f ca="1">IF(testdataHighLow[[#This Row],[type]]="H",testdataHighLow[[#This Row],[high]],AVERAGE(M231,M233))</f>
        <v>267.92567685578661</v>
      </c>
      <c r="N232" s="19">
        <f ca="1">IF(testdataHighLow[[#This Row],[type]]="L",testdataHighLow[[#This Row],[low]],AVERAGE(N231,N233))</f>
        <v>243.09325688080719</v>
      </c>
      <c r="Q232" s="7">
        <v>231</v>
      </c>
      <c r="R232" s="15">
        <v>265.92250000000001</v>
      </c>
      <c r="S232" s="19">
        <v>267.92568</v>
      </c>
      <c r="T232" s="19">
        <v>243.09325999999999</v>
      </c>
    </row>
    <row r="233" spans="1:20" x14ac:dyDescent="0.35">
      <c r="A233" s="7">
        <v>232</v>
      </c>
      <c r="B233" s="3">
        <v>43070</v>
      </c>
      <c r="C233" s="2">
        <v>253.7</v>
      </c>
      <c r="D233" s="14">
        <v>254.23</v>
      </c>
      <c r="E233" s="14">
        <v>249.87</v>
      </c>
      <c r="F233" s="2">
        <v>253.41</v>
      </c>
      <c r="G233" s="1">
        <v>171557392</v>
      </c>
      <c r="H233" s="6" t="s">
        <v>10</v>
      </c>
      <c r="I233" s="6">
        <f>IF(AND(H232="UP",testdataHighLow[[#This Row],[high]]&gt;I232),testdataHighLow[[#This Row],[high]],IF(AND(H232="DN",testdataHighLow[[#This Row],[low]]&lt;I232),testdataHighLow[[#This Row],[low]],I232))</f>
        <v>254.94</v>
      </c>
      <c r="J2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-1.9887032242880652E-2</v>
      </c>
      <c r="K233" s="15">
        <f t="shared" ca="1" si="4"/>
        <v>266.18924170625257</v>
      </c>
      <c r="L233" s="6"/>
      <c r="M233" s="19">
        <f ca="1">IF(testdataHighLow[[#This Row],[type]]="H",testdataHighLow[[#This Row],[high]],AVERAGE(M232,M234))</f>
        <v>268.13973799115996</v>
      </c>
      <c r="N233" s="19">
        <f ca="1">IF(testdataHighLow[[#This Row],[type]]="L",testdataHighLow[[#This Row],[low]],AVERAGE(N232,N234))</f>
        <v>243.22807339456745</v>
      </c>
      <c r="Q233" s="7">
        <v>232</v>
      </c>
      <c r="R233" s="15">
        <v>266.18920000000003</v>
      </c>
      <c r="S233" s="19">
        <v>268.13974000000002</v>
      </c>
      <c r="T233" s="19">
        <v>243.22807</v>
      </c>
    </row>
    <row r="234" spans="1:20" x14ac:dyDescent="0.35">
      <c r="A234" s="7">
        <v>233</v>
      </c>
      <c r="B234" s="3">
        <v>43073</v>
      </c>
      <c r="C234" s="2">
        <v>255.19</v>
      </c>
      <c r="D234" s="14">
        <v>255.65</v>
      </c>
      <c r="E234" s="14">
        <v>253.05</v>
      </c>
      <c r="F234" s="2">
        <v>253.11</v>
      </c>
      <c r="G234" s="1">
        <v>98140184</v>
      </c>
      <c r="H234" s="6" t="s">
        <v>10</v>
      </c>
      <c r="I234" s="6">
        <f>IF(AND(H233="UP",testdataHighLow[[#This Row],[high]]&gt;I233),testdataHighLow[[#This Row],[high]],IF(AND(H233="DN",testdataHighLow[[#This Row],[low]]&lt;I233),testdataHighLow[[#This Row],[low]],I233))</f>
        <v>255.65</v>
      </c>
      <c r="J2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-1.0170154508116543E-2</v>
      </c>
      <c r="K234" s="15">
        <f t="shared" ca="1" si="4"/>
        <v>266.45601895743562</v>
      </c>
      <c r="L234" s="6"/>
      <c r="M234" s="19">
        <f ca="1">IF(testdataHighLow[[#This Row],[type]]="H",testdataHighLow[[#This Row],[high]],AVERAGE(M233,M235))</f>
        <v>268.35379912653332</v>
      </c>
      <c r="N234" s="19">
        <f ca="1">IF(testdataHighLow[[#This Row],[type]]="L",testdataHighLow[[#This Row],[low]],AVERAGE(N233,N235))</f>
        <v>243.36288990832767</v>
      </c>
      <c r="Q234" s="7">
        <v>233</v>
      </c>
      <c r="R234" s="15">
        <v>266.45600000000002</v>
      </c>
      <c r="S234" s="19">
        <v>268.35379999999998</v>
      </c>
      <c r="T234" s="19">
        <v>243.36288999999999</v>
      </c>
    </row>
    <row r="235" spans="1:20" x14ac:dyDescent="0.35">
      <c r="A235" s="7">
        <v>234</v>
      </c>
      <c r="B235" s="3">
        <v>43074</v>
      </c>
      <c r="C235" s="2">
        <v>253.38</v>
      </c>
      <c r="D235" s="14">
        <v>254.07</v>
      </c>
      <c r="E235" s="14">
        <v>252.05</v>
      </c>
      <c r="F235" s="2">
        <v>252.2</v>
      </c>
      <c r="G235" s="1">
        <v>81394656</v>
      </c>
      <c r="H235" s="6" t="s">
        <v>10</v>
      </c>
      <c r="I235" s="6">
        <f>IF(AND(H234="UP",testdataHighLow[[#This Row],[high]]&gt;I234),testdataHighLow[[#This Row],[high]],IF(AND(H234="DN",testdataHighLow[[#This Row],[low]]&lt;I234),testdataHighLow[[#This Row],[low]],I234))</f>
        <v>255.65</v>
      </c>
      <c r="J2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-1.4081752395853684E-2</v>
      </c>
      <c r="K235" s="15">
        <f t="shared" ca="1" si="4"/>
        <v>266.7227962086186</v>
      </c>
      <c r="L235" s="6"/>
      <c r="M235" s="19">
        <f ca="1">IF(testdataHighLow[[#This Row],[type]]="H",testdataHighLow[[#This Row],[high]],AVERAGE(M234,M236))</f>
        <v>268.56786026190673</v>
      </c>
      <c r="N235" s="19">
        <f ca="1">IF(testdataHighLow[[#This Row],[type]]="L",testdataHighLow[[#This Row],[low]],AVERAGE(N234,N236))</f>
        <v>243.4977064220879</v>
      </c>
      <c r="Q235" s="7">
        <v>234</v>
      </c>
      <c r="R235" s="15">
        <v>266.72280000000001</v>
      </c>
      <c r="S235" s="19">
        <v>268.56786</v>
      </c>
      <c r="T235" s="19">
        <v>243.49771000000001</v>
      </c>
    </row>
    <row r="236" spans="1:20" x14ac:dyDescent="0.35">
      <c r="A236" s="7">
        <v>235</v>
      </c>
      <c r="B236" s="3">
        <v>43075</v>
      </c>
      <c r="C236" s="2">
        <v>251.89</v>
      </c>
      <c r="D236" s="14">
        <v>252.71</v>
      </c>
      <c r="E236" s="14">
        <v>251.74</v>
      </c>
      <c r="F236" s="2">
        <v>252.24</v>
      </c>
      <c r="G236" s="1">
        <v>79207304</v>
      </c>
      <c r="H236" s="6" t="s">
        <v>10</v>
      </c>
      <c r="I236" s="6">
        <f>IF(AND(H235="UP",testdataHighLow[[#This Row],[high]]&gt;I235),testdataHighLow[[#This Row],[high]],IF(AND(H235="DN",testdataHighLow[[#This Row],[low]]&lt;I235),testdataHighLow[[#This Row],[low]],I235))</f>
        <v>255.65</v>
      </c>
      <c r="J2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-1.5294347741052206E-2</v>
      </c>
      <c r="K236" s="15">
        <f t="shared" ca="1" si="4"/>
        <v>266.98957345980159</v>
      </c>
      <c r="L236" s="6"/>
      <c r="M236" s="19">
        <f ca="1">IF(testdataHighLow[[#This Row],[type]]="H",testdataHighLow[[#This Row],[high]],AVERAGE(M235,M237))</f>
        <v>268.7819213972802</v>
      </c>
      <c r="N236" s="19">
        <f ca="1">IF(testdataHighLow[[#This Row],[type]]="L",testdataHighLow[[#This Row],[low]],AVERAGE(N235,N237))</f>
        <v>243.6325229358481</v>
      </c>
      <c r="Q236" s="7">
        <v>235</v>
      </c>
      <c r="R236" s="15">
        <v>266.9896</v>
      </c>
      <c r="S236" s="19">
        <v>268.78192000000001</v>
      </c>
      <c r="T236" s="19">
        <v>243.63252</v>
      </c>
    </row>
    <row r="237" spans="1:20" x14ac:dyDescent="0.35">
      <c r="A237" s="7">
        <v>236</v>
      </c>
      <c r="B237" s="3">
        <v>43076</v>
      </c>
      <c r="C237" s="2">
        <v>252.1</v>
      </c>
      <c r="D237" s="14">
        <v>253.38</v>
      </c>
      <c r="E237" s="14">
        <v>251.96</v>
      </c>
      <c r="F237" s="2">
        <v>253.04</v>
      </c>
      <c r="G237" s="1">
        <v>80584848</v>
      </c>
      <c r="H237" s="6" t="s">
        <v>10</v>
      </c>
      <c r="I237" s="6">
        <f>IF(AND(H236="UP",testdataHighLow[[#This Row],[high]]&gt;I236),testdataHighLow[[#This Row],[high]],IF(AND(H236="DN",testdataHighLow[[#This Row],[low]]&lt;I236),testdataHighLow[[#This Row],[low]],I236))</f>
        <v>255.65</v>
      </c>
      <c r="J2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-1.4433796205750039E-2</v>
      </c>
      <c r="K237" s="15">
        <f t="shared" ca="1" si="4"/>
        <v>267.25635071098452</v>
      </c>
      <c r="L237" s="6"/>
      <c r="M237" s="19">
        <f ca="1">IF(testdataHighLow[[#This Row],[type]]="H",testdataHighLow[[#This Row],[high]],AVERAGE(M236,M238))</f>
        <v>268.99598253265367</v>
      </c>
      <c r="N237" s="19">
        <f ca="1">IF(testdataHighLow[[#This Row],[type]]="L",testdataHighLow[[#This Row],[low]],AVERAGE(N236,N238))</f>
        <v>243.76733944960827</v>
      </c>
      <c r="Q237" s="7">
        <v>236</v>
      </c>
      <c r="R237" s="15">
        <v>267.25639999999999</v>
      </c>
      <c r="S237" s="19">
        <v>268.99597999999997</v>
      </c>
      <c r="T237" s="19">
        <v>243.76733999999999</v>
      </c>
    </row>
    <row r="238" spans="1:20" x14ac:dyDescent="0.35">
      <c r="A238" s="7">
        <v>237</v>
      </c>
      <c r="B238" s="3">
        <v>43077</v>
      </c>
      <c r="C238" s="2">
        <v>253.92</v>
      </c>
      <c r="D238" s="14">
        <v>254.43</v>
      </c>
      <c r="E238" s="14">
        <v>253</v>
      </c>
      <c r="F238" s="2">
        <v>254.42</v>
      </c>
      <c r="G238" s="1">
        <v>79901608</v>
      </c>
      <c r="H238" s="6" t="s">
        <v>10</v>
      </c>
      <c r="I238" s="6">
        <f>IF(AND(H237="UP",testdataHighLow[[#This Row],[high]]&gt;I237),testdataHighLow[[#This Row],[high]],IF(AND(H237="DN",testdataHighLow[[#This Row],[low]]&lt;I237),testdataHighLow[[#This Row],[low]],I237))</f>
        <v>255.65</v>
      </c>
      <c r="J2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-1.0365734402503445E-2</v>
      </c>
      <c r="K238" s="15">
        <f t="shared" ca="1" si="4"/>
        <v>267.52312796216739</v>
      </c>
      <c r="L238" s="6"/>
      <c r="M238" s="19">
        <f ca="1">IF(testdataHighLow[[#This Row],[type]]="H",testdataHighLow[[#This Row],[high]],AVERAGE(M237,M239))</f>
        <v>269.2100436680272</v>
      </c>
      <c r="N238" s="19">
        <f ca="1">IF(testdataHighLow[[#This Row],[type]]="L",testdataHighLow[[#This Row],[low]],AVERAGE(N237,N239))</f>
        <v>243.90215596336844</v>
      </c>
      <c r="Q238" s="7">
        <v>237</v>
      </c>
      <c r="R238" s="15">
        <v>267.5231</v>
      </c>
      <c r="S238" s="19">
        <v>269.21003999999999</v>
      </c>
      <c r="T238" s="19">
        <v>243.90216000000001</v>
      </c>
    </row>
    <row r="239" spans="1:20" x14ac:dyDescent="0.35">
      <c r="A239" s="7">
        <v>238</v>
      </c>
      <c r="B239" s="3">
        <v>43080</v>
      </c>
      <c r="C239" s="2">
        <v>254.49</v>
      </c>
      <c r="D239" s="14">
        <v>255.25</v>
      </c>
      <c r="E239" s="14">
        <v>254.39</v>
      </c>
      <c r="F239" s="2">
        <v>255.19</v>
      </c>
      <c r="G239" s="1">
        <v>86699232</v>
      </c>
      <c r="H239" s="6" t="s">
        <v>10</v>
      </c>
      <c r="I239" s="6">
        <f>IF(AND(H238="UP",testdataHighLow[[#This Row],[high]]&gt;I238),testdataHighLow[[#This Row],[high]],IF(AND(H238="DN",testdataHighLow[[#This Row],[low]]&lt;I238),testdataHighLow[[#This Row],[low]],I238))</f>
        <v>255.65</v>
      </c>
      <c r="J2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-4.9286133385488731E-3</v>
      </c>
      <c r="K239" s="15">
        <f t="shared" ca="1" si="4"/>
        <v>267.78990521335027</v>
      </c>
      <c r="L239" s="6"/>
      <c r="M239" s="19">
        <f ca="1">IF(testdataHighLow[[#This Row],[type]]="H",testdataHighLow[[#This Row],[high]],AVERAGE(M238,M240))</f>
        <v>269.42410480340078</v>
      </c>
      <c r="N239" s="19">
        <f ca="1">IF(testdataHighLow[[#This Row],[type]]="L",testdataHighLow[[#This Row],[low]],AVERAGE(N238,N240))</f>
        <v>244.03697247712859</v>
      </c>
      <c r="Q239" s="7">
        <v>238</v>
      </c>
      <c r="R239" s="15">
        <v>267.78989999999999</v>
      </c>
      <c r="S239" s="19">
        <v>269.42410000000001</v>
      </c>
      <c r="T239" s="19">
        <v>244.03697</v>
      </c>
    </row>
    <row r="240" spans="1:20" x14ac:dyDescent="0.35">
      <c r="A240" s="7">
        <v>239</v>
      </c>
      <c r="B240" s="3">
        <v>43081</v>
      </c>
      <c r="C240" s="2">
        <v>255.43</v>
      </c>
      <c r="D240" s="14">
        <v>256.14999999999998</v>
      </c>
      <c r="E240" s="14">
        <v>255.22</v>
      </c>
      <c r="F240" s="2">
        <v>255.64</v>
      </c>
      <c r="G240" s="1">
        <v>88909792</v>
      </c>
      <c r="H240" s="6" t="s">
        <v>10</v>
      </c>
      <c r="I240" s="6">
        <f>IF(AND(H239="UP",testdataHighLow[[#This Row],[high]]&gt;I239),testdataHighLow[[#This Row],[high]],IF(AND(H239="DN",testdataHighLow[[#This Row],[low]]&lt;I239),testdataHighLow[[#This Row],[low]],I239))</f>
        <v>256.14999999999998</v>
      </c>
      <c r="J2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-3.6306851454225198E-3</v>
      </c>
      <c r="K240" s="15">
        <f t="shared" ca="1" si="4"/>
        <v>268.05668246453308</v>
      </c>
      <c r="L240" s="6"/>
      <c r="M240" s="19">
        <f ca="1">IF(testdataHighLow[[#This Row],[type]]="H",testdataHighLow[[#This Row],[high]],AVERAGE(M239,M241))</f>
        <v>269.63816593877436</v>
      </c>
      <c r="N240" s="19">
        <f ca="1">IF(testdataHighLow[[#This Row],[type]]="L",testdataHighLow[[#This Row],[low]],AVERAGE(N239,N241))</f>
        <v>244.1717889908887</v>
      </c>
      <c r="Q240" s="7">
        <v>239</v>
      </c>
      <c r="R240" s="15">
        <v>268.05669999999998</v>
      </c>
      <c r="S240" s="19">
        <v>269.63817</v>
      </c>
      <c r="T240" s="19">
        <v>244.17178999999999</v>
      </c>
    </row>
    <row r="241" spans="1:20" x14ac:dyDescent="0.35">
      <c r="A241" s="7">
        <v>240</v>
      </c>
      <c r="B241" s="3">
        <v>43082</v>
      </c>
      <c r="C241" s="2">
        <v>255.9</v>
      </c>
      <c r="D241" s="14">
        <v>256.38</v>
      </c>
      <c r="E241" s="14">
        <v>255.51</v>
      </c>
      <c r="F241" s="2">
        <v>255.61</v>
      </c>
      <c r="G241" s="1">
        <v>107391488</v>
      </c>
      <c r="H241" s="6" t="s">
        <v>10</v>
      </c>
      <c r="I241" s="6">
        <f>IF(AND(H240="UP",testdataHighLow[[#This Row],[high]]&gt;I240),testdataHighLow[[#This Row],[high]],IF(AND(H240="DN",testdataHighLow[[#This Row],[low]]&lt;I240),testdataHighLow[[#This Row],[low]],I240))</f>
        <v>256.38</v>
      </c>
      <c r="J2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-3.3934004212497252E-3</v>
      </c>
      <c r="K241" s="15">
        <f t="shared" ca="1" si="4"/>
        <v>268.32345971571584</v>
      </c>
      <c r="L241" s="6"/>
      <c r="M241" s="19">
        <f ca="1">IF(testdataHighLow[[#This Row],[type]]="H",testdataHighLow[[#This Row],[high]],AVERAGE(M240,M242))</f>
        <v>269.852227074148</v>
      </c>
      <c r="N241" s="19">
        <f ca="1">IF(testdataHighLow[[#This Row],[type]]="L",testdataHighLow[[#This Row],[low]],AVERAGE(N240,N242))</f>
        <v>244.30660550464881</v>
      </c>
      <c r="Q241" s="7">
        <v>240</v>
      </c>
      <c r="R241" s="15">
        <v>268.32350000000002</v>
      </c>
      <c r="S241" s="19">
        <v>269.85223000000002</v>
      </c>
      <c r="T241" s="19">
        <v>244.30661000000001</v>
      </c>
    </row>
    <row r="242" spans="1:20" x14ac:dyDescent="0.35">
      <c r="A242" s="7">
        <v>241</v>
      </c>
      <c r="B242" s="3">
        <v>43083</v>
      </c>
      <c r="C242" s="2">
        <v>255.93</v>
      </c>
      <c r="D242" s="14">
        <v>256.06</v>
      </c>
      <c r="E242" s="14">
        <v>254.51</v>
      </c>
      <c r="F242" s="2">
        <v>254.56</v>
      </c>
      <c r="G242" s="1">
        <v>105055176</v>
      </c>
      <c r="H242" s="6" t="s">
        <v>10</v>
      </c>
      <c r="I242" s="6">
        <f>IF(AND(H241="UP",testdataHighLow[[#This Row],[high]]&gt;I241),testdataHighLow[[#This Row],[high]],IF(AND(H241="DN",testdataHighLow[[#This Row],[low]]&lt;I241),testdataHighLow[[#This Row],[low]],I241))</f>
        <v>256.38</v>
      </c>
      <c r="J2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-7.2938606755597341E-3</v>
      </c>
      <c r="K242" s="15">
        <f t="shared" ca="1" si="4"/>
        <v>268.5902369668986</v>
      </c>
      <c r="L242" s="6"/>
      <c r="M242" s="19">
        <f ca="1">IF(testdataHighLow[[#This Row],[type]]="H",testdataHighLow[[#This Row],[high]],AVERAGE(M241,M243))</f>
        <v>270.0662882095217</v>
      </c>
      <c r="N242" s="19">
        <f ca="1">IF(testdataHighLow[[#This Row],[type]]="L",testdataHighLow[[#This Row],[low]],AVERAGE(N241,N243))</f>
        <v>244.4414220184089</v>
      </c>
      <c r="Q242" s="7">
        <v>241</v>
      </c>
      <c r="R242" s="15">
        <v>268.59019999999998</v>
      </c>
      <c r="S242" s="19">
        <v>270.06628999999998</v>
      </c>
      <c r="T242" s="19">
        <v>244.44141999999999</v>
      </c>
    </row>
    <row r="243" spans="1:20" x14ac:dyDescent="0.35">
      <c r="A243" s="7">
        <v>242</v>
      </c>
      <c r="B243" s="3">
        <v>43084</v>
      </c>
      <c r="C243" s="2">
        <v>255.66</v>
      </c>
      <c r="D243" s="14">
        <v>257.19</v>
      </c>
      <c r="E243" s="14">
        <v>255.6</v>
      </c>
      <c r="F243" s="2">
        <v>256.68</v>
      </c>
      <c r="G243" s="1">
        <v>150146832</v>
      </c>
      <c r="H243" s="6" t="s">
        <v>10</v>
      </c>
      <c r="I243" s="6">
        <f>IF(AND(H242="UP",testdataHighLow[[#This Row],[high]]&gt;I242),testdataHighLow[[#This Row],[high]],IF(AND(H242="DN",testdataHighLow[[#This Row],[low]]&lt;I242),testdataHighLow[[#This Row],[low]],I242))</f>
        <v>257.19</v>
      </c>
      <c r="J2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-6.1821999300128447E-3</v>
      </c>
      <c r="K243" s="15">
        <f t="shared" ca="1" si="4"/>
        <v>268.8570142180813</v>
      </c>
      <c r="L243" s="6"/>
      <c r="M243" s="19">
        <f ca="1">IF(testdataHighLow[[#This Row],[type]]="H",testdataHighLow[[#This Row],[high]],AVERAGE(M242,M244))</f>
        <v>270.2803493448954</v>
      </c>
      <c r="N243" s="19">
        <f ca="1">IF(testdataHighLow[[#This Row],[type]]="L",testdataHighLow[[#This Row],[low]],AVERAGE(N242,N244))</f>
        <v>244.57623853216896</v>
      </c>
      <c r="Q243" s="7">
        <v>242</v>
      </c>
      <c r="R243" s="15">
        <v>268.85700000000003</v>
      </c>
      <c r="S243" s="19">
        <v>270.28035</v>
      </c>
      <c r="T243" s="19">
        <v>244.57624000000001</v>
      </c>
    </row>
    <row r="244" spans="1:20" x14ac:dyDescent="0.35">
      <c r="A244" s="7">
        <v>243</v>
      </c>
      <c r="B244" s="3">
        <v>43087</v>
      </c>
      <c r="C244" s="2">
        <v>258.20999999999998</v>
      </c>
      <c r="D244" s="14">
        <v>258.7</v>
      </c>
      <c r="E244" s="14">
        <v>258.10000000000002</v>
      </c>
      <c r="F244" s="2">
        <v>258.31</v>
      </c>
      <c r="G244" s="1">
        <v>86856320</v>
      </c>
      <c r="H244" s="6" t="s">
        <v>10</v>
      </c>
      <c r="I244" s="6">
        <f>IF(AND(H243="UP",testdataHighLow[[#This Row],[high]]&gt;I243),testdataHighLow[[#This Row],[high]],IF(AND(H243="DN",testdataHighLow[[#This Row],[low]]&lt;I243),testdataHighLow[[#This Row],[low]],I243))</f>
        <v>258.7</v>
      </c>
      <c r="J2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-2.3192887514494236E-3</v>
      </c>
      <c r="K244" s="15">
        <f t="shared" ca="1" si="4"/>
        <v>269.12379146926395</v>
      </c>
      <c r="L244" s="6"/>
      <c r="M244" s="19">
        <f ca="1">IF(testdataHighLow[[#This Row],[type]]="H",testdataHighLow[[#This Row],[high]],AVERAGE(M243,M245))</f>
        <v>270.49441048026915</v>
      </c>
      <c r="N244" s="19">
        <f ca="1">IF(testdataHighLow[[#This Row],[type]]="L",testdataHighLow[[#This Row],[low]],AVERAGE(N243,N245))</f>
        <v>244.71105504592902</v>
      </c>
      <c r="Q244" s="7">
        <v>243</v>
      </c>
      <c r="R244" s="15">
        <v>269.12380000000002</v>
      </c>
      <c r="S244" s="19">
        <v>270.49441000000002</v>
      </c>
      <c r="T244" s="19">
        <v>244.71106</v>
      </c>
    </row>
    <row r="245" spans="1:20" x14ac:dyDescent="0.35">
      <c r="A245" s="7">
        <v>244</v>
      </c>
      <c r="B245" s="3">
        <v>43088</v>
      </c>
      <c r="C245" s="2">
        <v>258.58</v>
      </c>
      <c r="D245" s="14">
        <v>258.63</v>
      </c>
      <c r="E245" s="14">
        <v>257.24</v>
      </c>
      <c r="F245" s="2">
        <v>257.32</v>
      </c>
      <c r="G245" s="1">
        <v>85536976</v>
      </c>
      <c r="H245" s="6" t="s">
        <v>10</v>
      </c>
      <c r="I245" s="6">
        <f>IF(AND(H244="UP",testdataHighLow[[#This Row],[high]]&gt;I244),testdataHighLow[[#This Row],[high]],IF(AND(H244="DN",testdataHighLow[[#This Row],[low]]&lt;I244),testdataHighLow[[#This Row],[low]],I244))</f>
        <v>258.7</v>
      </c>
      <c r="J2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-5.6436026285271732E-3</v>
      </c>
      <c r="K245" s="15">
        <f t="shared" ca="1" si="4"/>
        <v>269.39056872044659</v>
      </c>
      <c r="L245" s="6"/>
      <c r="M245" s="19">
        <f ca="1">IF(testdataHighLow[[#This Row],[type]]="H",testdataHighLow[[#This Row],[high]],AVERAGE(M244,M246))</f>
        <v>270.70847161564296</v>
      </c>
      <c r="N245" s="19">
        <f ca="1">IF(testdataHighLow[[#This Row],[type]]="L",testdataHighLow[[#This Row],[low]],AVERAGE(N244,N246))</f>
        <v>244.84587155968904</v>
      </c>
      <c r="Q245" s="7">
        <v>244</v>
      </c>
      <c r="R245" s="15">
        <v>269.39060000000001</v>
      </c>
      <c r="S245" s="19">
        <v>270.70846999999998</v>
      </c>
      <c r="T245" s="19">
        <v>244.84586999999999</v>
      </c>
    </row>
    <row r="246" spans="1:20" x14ac:dyDescent="0.35">
      <c r="A246" s="7">
        <v>245</v>
      </c>
      <c r="B246" s="3">
        <v>43089</v>
      </c>
      <c r="C246" s="2">
        <v>258.38</v>
      </c>
      <c r="D246" s="14">
        <v>258.44</v>
      </c>
      <c r="E246" s="14">
        <v>256.86</v>
      </c>
      <c r="F246" s="2">
        <v>257.18</v>
      </c>
      <c r="G246" s="1">
        <v>79690000</v>
      </c>
      <c r="H246" s="6" t="s">
        <v>10</v>
      </c>
      <c r="I246" s="6">
        <f>IF(AND(H245="UP",testdataHighLow[[#This Row],[high]]&gt;I245),testdataHighLow[[#This Row],[high]],IF(AND(H245="DN",testdataHighLow[[#This Row],[low]]&lt;I245),testdataHighLow[[#This Row],[low]],I245))</f>
        <v>258.7</v>
      </c>
      <c r="J2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-7.1124855044452069E-3</v>
      </c>
      <c r="K246" s="15">
        <f t="shared" ca="1" si="4"/>
        <v>269.65734597162918</v>
      </c>
      <c r="L246" s="6"/>
      <c r="M246" s="19">
        <f ca="1">IF(testdataHighLow[[#This Row],[type]]="H",testdataHighLow[[#This Row],[high]],AVERAGE(M245,M247))</f>
        <v>270.92253275101677</v>
      </c>
      <c r="N246" s="19">
        <f ca="1">IF(testdataHighLow[[#This Row],[type]]="L",testdataHighLow[[#This Row],[low]],AVERAGE(N245,N247))</f>
        <v>244.98068807344904</v>
      </c>
      <c r="Q246" s="7">
        <v>245</v>
      </c>
      <c r="R246" s="15">
        <v>269.65730000000002</v>
      </c>
      <c r="S246" s="19">
        <v>270.92252999999999</v>
      </c>
      <c r="T246" s="19">
        <v>244.98069000000001</v>
      </c>
    </row>
    <row r="247" spans="1:20" x14ac:dyDescent="0.35">
      <c r="A247" s="7">
        <v>246</v>
      </c>
      <c r="B247" s="3">
        <v>43090</v>
      </c>
      <c r="C247" s="2">
        <v>257.87</v>
      </c>
      <c r="D247" s="14">
        <v>258.49</v>
      </c>
      <c r="E247" s="14">
        <v>257.44</v>
      </c>
      <c r="F247" s="2">
        <v>257.70999999999998</v>
      </c>
      <c r="G247" s="1">
        <v>69598728</v>
      </c>
      <c r="H247" s="6" t="s">
        <v>10</v>
      </c>
      <c r="I247" s="6">
        <f>IF(AND(H246="UP",testdataHighLow[[#This Row],[high]]&gt;I246),testdataHighLow[[#This Row],[high]],IF(AND(H246="DN",testdataHighLow[[#This Row],[low]]&lt;I246),testdataHighLow[[#This Row],[low]],I246))</f>
        <v>258.7</v>
      </c>
      <c r="J2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-4.8705063780440311E-3</v>
      </c>
      <c r="K247" s="15">
        <f t="shared" ca="1" si="4"/>
        <v>269.92412322281172</v>
      </c>
      <c r="L247" s="6"/>
      <c r="M247" s="19">
        <f ca="1">IF(testdataHighLow[[#This Row],[type]]="H",testdataHighLow[[#This Row],[high]],AVERAGE(M246,M248))</f>
        <v>271.13659388639064</v>
      </c>
      <c r="N247" s="19">
        <f ca="1">IF(testdataHighLow[[#This Row],[type]]="L",testdataHighLow[[#This Row],[low]],AVERAGE(N246,N248))</f>
        <v>245.11550458720905</v>
      </c>
      <c r="Q247" s="7">
        <v>246</v>
      </c>
      <c r="R247" s="15">
        <v>269.92410000000001</v>
      </c>
      <c r="S247" s="19">
        <v>271.13659000000001</v>
      </c>
      <c r="T247" s="19">
        <v>245.1155</v>
      </c>
    </row>
    <row r="248" spans="1:20" x14ac:dyDescent="0.35">
      <c r="A248" s="7">
        <v>247</v>
      </c>
      <c r="B248" s="3">
        <v>43091</v>
      </c>
      <c r="C248" s="2">
        <v>257.73</v>
      </c>
      <c r="D248" s="14">
        <v>257.77</v>
      </c>
      <c r="E248" s="14">
        <v>257.06</v>
      </c>
      <c r="F248" s="2">
        <v>257.64999999999998</v>
      </c>
      <c r="G248" s="1">
        <v>81734768</v>
      </c>
      <c r="H248" s="6" t="s">
        <v>10</v>
      </c>
      <c r="I248" s="6">
        <f>IF(AND(H247="UP",testdataHighLow[[#This Row],[high]]&gt;I247),testdataHighLow[[#This Row],[high]],IF(AND(H247="DN",testdataHighLow[[#This Row],[low]]&lt;I247),testdataHighLow[[#This Row],[low]],I247))</f>
        <v>258.7</v>
      </c>
      <c r="J2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-6.3393892539620657E-3</v>
      </c>
      <c r="K248" s="15">
        <f t="shared" ca="1" si="4"/>
        <v>270.19090047399425</v>
      </c>
      <c r="L248" s="6"/>
      <c r="M248" s="19">
        <f ca="1">IF(testdataHighLow[[#This Row],[type]]="H",testdataHighLow[[#This Row],[high]],AVERAGE(M247,M249))</f>
        <v>271.35065502176457</v>
      </c>
      <c r="N248" s="19">
        <f ca="1">IF(testdataHighLow[[#This Row],[type]]="L",testdataHighLow[[#This Row],[low]],AVERAGE(N247,N249))</f>
        <v>245.25032110096902</v>
      </c>
      <c r="Q248" s="7">
        <v>247</v>
      </c>
      <c r="R248" s="15">
        <v>270.1909</v>
      </c>
      <c r="S248" s="19">
        <v>271.35066</v>
      </c>
      <c r="T248" s="19">
        <v>245.25031999999999</v>
      </c>
    </row>
    <row r="249" spans="1:20" x14ac:dyDescent="0.35">
      <c r="A249" s="7">
        <v>248</v>
      </c>
      <c r="B249" s="3">
        <v>43095</v>
      </c>
      <c r="C249" s="2">
        <v>257.2</v>
      </c>
      <c r="D249" s="14">
        <v>257.58</v>
      </c>
      <c r="E249" s="14">
        <v>257.04000000000002</v>
      </c>
      <c r="F249" s="2">
        <v>257.33999999999997</v>
      </c>
      <c r="G249" s="1">
        <v>46976656</v>
      </c>
      <c r="H249" s="6" t="s">
        <v>10</v>
      </c>
      <c r="I249" s="6">
        <f>IF(AND(H248="UP",testdataHighLow[[#This Row],[high]]&gt;I248),testdataHighLow[[#This Row],[high]],IF(AND(H248="DN",testdataHighLow[[#This Row],[low]]&lt;I248),testdataHighLow[[#This Row],[low]],I248))</f>
        <v>258.7</v>
      </c>
      <c r="J2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-6.4166988790103144E-3</v>
      </c>
      <c r="K249" s="15">
        <f t="shared" ca="1" si="4"/>
        <v>270.45767772517672</v>
      </c>
      <c r="L249" s="6"/>
      <c r="M249" s="19">
        <f ca="1">IF(testdataHighLow[[#This Row],[type]]="H",testdataHighLow[[#This Row],[high]],AVERAGE(M248,M250))</f>
        <v>271.56471615713849</v>
      </c>
      <c r="N249" s="19">
        <f ca="1">IF(testdataHighLow[[#This Row],[type]]="L",testdataHighLow[[#This Row],[low]],AVERAGE(N248,N250))</f>
        <v>245.38513761472896</v>
      </c>
      <c r="Q249" s="7">
        <v>248</v>
      </c>
      <c r="R249" s="15">
        <v>270.45769999999999</v>
      </c>
      <c r="S249" s="19">
        <v>271.56472000000002</v>
      </c>
      <c r="T249" s="19">
        <v>245.38514000000001</v>
      </c>
    </row>
    <row r="250" spans="1:20" x14ac:dyDescent="0.35">
      <c r="A250" s="7">
        <v>249</v>
      </c>
      <c r="B250" s="3">
        <v>43096</v>
      </c>
      <c r="C250" s="2">
        <v>257.52</v>
      </c>
      <c r="D250" s="14">
        <v>257.86</v>
      </c>
      <c r="E250" s="14">
        <v>257.16000000000003</v>
      </c>
      <c r="F250" s="2">
        <v>257.45999999999998</v>
      </c>
      <c r="G250" s="1">
        <v>59962032</v>
      </c>
      <c r="H250" s="6" t="s">
        <v>10</v>
      </c>
      <c r="I250" s="6">
        <f>IF(AND(H249="UP",testdataHighLow[[#This Row],[high]]&gt;I249),testdataHighLow[[#This Row],[high]],IF(AND(H249="DN",testdataHighLow[[#This Row],[low]]&lt;I249),testdataHighLow[[#This Row],[low]],I249))</f>
        <v>258.7</v>
      </c>
      <c r="J2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-5.9528411287203854E-3</v>
      </c>
      <c r="K250" s="15">
        <f t="shared" ca="1" si="4"/>
        <v>270.72445497635914</v>
      </c>
      <c r="L250" s="6"/>
      <c r="M250" s="19">
        <f ca="1">IF(testdataHighLow[[#This Row],[type]]="H",testdataHighLow[[#This Row],[high]],AVERAGE(M249,M251))</f>
        <v>271.77877729251247</v>
      </c>
      <c r="N250" s="19">
        <f ca="1">IF(testdataHighLow[[#This Row],[type]]="L",testdataHighLow[[#This Row],[low]],AVERAGE(N249,N251))</f>
        <v>245.51995412848891</v>
      </c>
      <c r="Q250" s="7">
        <v>249</v>
      </c>
      <c r="R250" s="15">
        <v>270.72449999999998</v>
      </c>
      <c r="S250" s="19">
        <v>271.77877999999998</v>
      </c>
      <c r="T250" s="19">
        <v>245.51994999999999</v>
      </c>
    </row>
    <row r="251" spans="1:20" x14ac:dyDescent="0.35">
      <c r="A251" s="7">
        <v>250</v>
      </c>
      <c r="B251" s="3">
        <v>43097</v>
      </c>
      <c r="C251" s="2">
        <v>258.01</v>
      </c>
      <c r="D251" s="14">
        <v>258.04000000000002</v>
      </c>
      <c r="E251" s="14">
        <v>257.58999999999997</v>
      </c>
      <c r="F251" s="2">
        <v>257.99</v>
      </c>
      <c r="G251" s="1">
        <v>46843448</v>
      </c>
      <c r="H251" s="6" t="s">
        <v>10</v>
      </c>
      <c r="I251" s="6">
        <f>IF(AND(H250="UP",testdataHighLow[[#This Row],[high]]&gt;I250),testdataHighLow[[#This Row],[high]],IF(AND(H250="DN",testdataHighLow[[#This Row],[low]]&lt;I250),testdataHighLow[[#This Row],[low]],I250))</f>
        <v>258.7</v>
      </c>
      <c r="J2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-4.2906841901817309E-3</v>
      </c>
      <c r="K251" s="15">
        <f t="shared" ca="1" si="4"/>
        <v>270.99123222754156</v>
      </c>
      <c r="L251" s="6"/>
      <c r="M251" s="19">
        <f ca="1">IF(testdataHighLow[[#This Row],[type]]="H",testdataHighLow[[#This Row],[high]],AVERAGE(M250,M252))</f>
        <v>271.99283842788651</v>
      </c>
      <c r="N251" s="19">
        <f ca="1">IF(testdataHighLow[[#This Row],[type]]="L",testdataHighLow[[#This Row],[low]],AVERAGE(N250,N252))</f>
        <v>245.65477064224882</v>
      </c>
      <c r="Q251" s="7">
        <v>250</v>
      </c>
      <c r="R251" s="15">
        <v>270.99119999999999</v>
      </c>
      <c r="S251" s="19">
        <v>271.99284</v>
      </c>
      <c r="T251" s="19">
        <v>245.65477000000001</v>
      </c>
    </row>
    <row r="252" spans="1:20" x14ac:dyDescent="0.35">
      <c r="A252" s="7">
        <v>251</v>
      </c>
      <c r="B252" s="3">
        <v>43098</v>
      </c>
      <c r="C252" s="2">
        <v>258.63</v>
      </c>
      <c r="D252" s="14">
        <v>258.64999999999998</v>
      </c>
      <c r="E252" s="14">
        <v>256.81</v>
      </c>
      <c r="F252" s="2">
        <v>257.02</v>
      </c>
      <c r="G252" s="1">
        <v>99683152</v>
      </c>
      <c r="H252" s="6" t="s">
        <v>10</v>
      </c>
      <c r="I252" s="6">
        <f>IF(AND(H251="UP",testdataHighLow[[#This Row],[high]]&gt;I251),testdataHighLow[[#This Row],[high]],IF(AND(H251="DN",testdataHighLow[[#This Row],[low]]&lt;I251),testdataHighLow[[#This Row],[low]],I251))</f>
        <v>258.7</v>
      </c>
      <c r="J2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-7.3057595670660471E-3</v>
      </c>
      <c r="K252" s="15">
        <f t="shared" ca="1" si="4"/>
        <v>271.25800947872392</v>
      </c>
      <c r="L252" s="6"/>
      <c r="M252" s="19">
        <f ca="1">IF(testdataHighLow[[#This Row],[type]]="H",testdataHighLow[[#This Row],[high]],AVERAGE(M251,M253))</f>
        <v>272.20689956326055</v>
      </c>
      <c r="N252" s="19">
        <f ca="1">IF(testdataHighLow[[#This Row],[type]]="L",testdataHighLow[[#This Row],[low]],AVERAGE(N251,N253))</f>
        <v>245.78958715600871</v>
      </c>
      <c r="Q252" s="7">
        <v>251</v>
      </c>
      <c r="R252" s="15">
        <v>271.25799999999998</v>
      </c>
      <c r="S252" s="19">
        <v>272.20690000000002</v>
      </c>
      <c r="T252" s="19">
        <v>245.78959</v>
      </c>
    </row>
    <row r="253" spans="1:20" x14ac:dyDescent="0.35">
      <c r="A253" s="7">
        <v>252</v>
      </c>
      <c r="B253" s="3">
        <v>43102</v>
      </c>
      <c r="C253" s="2">
        <v>257.95999999999998</v>
      </c>
      <c r="D253" s="14">
        <v>258.89999999999998</v>
      </c>
      <c r="E253" s="14">
        <v>257.54000000000002</v>
      </c>
      <c r="F253" s="2">
        <v>258.86</v>
      </c>
      <c r="G253" s="1">
        <v>89973440</v>
      </c>
      <c r="H253" s="6" t="s">
        <v>10</v>
      </c>
      <c r="I253" s="6">
        <f>IF(AND(H252="UP",testdataHighLow[[#This Row],[high]]&gt;I252),testdataHighLow[[#This Row],[high]],IF(AND(H252="DN",testdataHighLow[[#This Row],[low]]&lt;I252),testdataHighLow[[#This Row],[low]],I252))</f>
        <v>258.89999999999998</v>
      </c>
      <c r="J2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-5.2529934337580417E-3</v>
      </c>
      <c r="K253" s="15">
        <f t="shared" ca="1" si="4"/>
        <v>271.52478672990622</v>
      </c>
      <c r="L253" s="6"/>
      <c r="M253" s="19">
        <f ca="1">IF(testdataHighLow[[#This Row],[type]]="H",testdataHighLow[[#This Row],[high]],AVERAGE(M252,M254))</f>
        <v>272.42096069863464</v>
      </c>
      <c r="N253" s="19">
        <f ca="1">IF(testdataHighLow[[#This Row],[type]]="L",testdataHighLow[[#This Row],[low]],AVERAGE(N252,N254))</f>
        <v>245.92440366976859</v>
      </c>
      <c r="Q253" s="7">
        <v>252</v>
      </c>
      <c r="R253" s="15">
        <v>271.52480000000003</v>
      </c>
      <c r="S253" s="19">
        <v>272.42095999999998</v>
      </c>
      <c r="T253" s="19">
        <v>245.92439999999999</v>
      </c>
    </row>
    <row r="254" spans="1:20" x14ac:dyDescent="0.35">
      <c r="A254" s="7">
        <v>253</v>
      </c>
      <c r="B254" s="3">
        <v>43103</v>
      </c>
      <c r="C254" s="2">
        <v>259.04000000000002</v>
      </c>
      <c r="D254" s="14">
        <v>260.66000000000003</v>
      </c>
      <c r="E254" s="14">
        <v>259.04000000000002</v>
      </c>
      <c r="F254" s="2">
        <v>260.5</v>
      </c>
      <c r="G254" s="1">
        <v>93518840</v>
      </c>
      <c r="H254" s="6" t="s">
        <v>10</v>
      </c>
      <c r="I254" s="6">
        <f>IF(AND(H253="UP",testdataHighLow[[#This Row],[high]]&gt;I253),testdataHighLow[[#This Row],[high]],IF(AND(H253="DN",testdataHighLow[[#This Row],[low]]&lt;I253),testdataHighLow[[#This Row],[low]],I253))</f>
        <v>260.66000000000003</v>
      </c>
      <c r="J2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-6.2149927108110349E-3</v>
      </c>
      <c r="K254" s="15">
        <f t="shared" ca="1" si="4"/>
        <v>271.79156398108853</v>
      </c>
      <c r="L254" s="6"/>
      <c r="M254" s="19">
        <f ca="1">IF(testdataHighLow[[#This Row],[type]]="H",testdataHighLow[[#This Row],[high]],AVERAGE(M253,M255))</f>
        <v>272.6350218340088</v>
      </c>
      <c r="N254" s="19">
        <f ca="1">IF(testdataHighLow[[#This Row],[type]]="L",testdataHighLow[[#This Row],[low]],AVERAGE(N253,N255))</f>
        <v>246.05922018352845</v>
      </c>
      <c r="Q254" s="7">
        <v>253</v>
      </c>
      <c r="R254" s="15">
        <v>271.79160000000002</v>
      </c>
      <c r="S254" s="19">
        <v>272.63502</v>
      </c>
      <c r="T254" s="19">
        <v>246.05922000000001</v>
      </c>
    </row>
    <row r="255" spans="1:20" x14ac:dyDescent="0.35">
      <c r="A255" s="7">
        <v>254</v>
      </c>
      <c r="B255" s="3">
        <v>43104</v>
      </c>
      <c r="C255" s="2">
        <v>261.2</v>
      </c>
      <c r="D255" s="14">
        <v>262.12</v>
      </c>
      <c r="E255" s="14">
        <v>260.57</v>
      </c>
      <c r="F255" s="2">
        <v>261.58999999999997</v>
      </c>
      <c r="G255" s="1">
        <v>83723648</v>
      </c>
      <c r="H255" s="6" t="s">
        <v>10</v>
      </c>
      <c r="I255" s="6">
        <f>IF(AND(H254="UP",testdataHighLow[[#This Row],[high]]&gt;I254),testdataHighLow[[#This Row],[high]],IF(AND(H254="DN",testdataHighLow[[#This Row],[low]]&lt;I254),testdataHighLow[[#This Row],[low]],I254))</f>
        <v>262.12</v>
      </c>
      <c r="J2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-5.9133221425301825E-3</v>
      </c>
      <c r="K255" s="15">
        <f t="shared" ca="1" si="4"/>
        <v>272.05834123227078</v>
      </c>
      <c r="L255" s="6"/>
      <c r="M255" s="19">
        <f ca="1">IF(testdataHighLow[[#This Row],[type]]="H",testdataHighLow[[#This Row],[high]],AVERAGE(M254,M256))</f>
        <v>272.84908296938295</v>
      </c>
      <c r="N255" s="19">
        <f ca="1">IF(testdataHighLow[[#This Row],[type]]="L",testdataHighLow[[#This Row],[low]],AVERAGE(N254,N256))</f>
        <v>246.19403669728828</v>
      </c>
      <c r="Q255" s="7">
        <v>254</v>
      </c>
      <c r="R255" s="15">
        <v>272.05829999999997</v>
      </c>
      <c r="S255" s="19">
        <v>272.84908000000001</v>
      </c>
      <c r="T255" s="19">
        <v>246.19404</v>
      </c>
    </row>
    <row r="256" spans="1:20" x14ac:dyDescent="0.35">
      <c r="A256" s="7">
        <v>255</v>
      </c>
      <c r="B256" s="3">
        <v>43105</v>
      </c>
      <c r="C256" s="2">
        <v>262.45999999999998</v>
      </c>
      <c r="D256" s="14">
        <v>263.47000000000003</v>
      </c>
      <c r="E256" s="14">
        <v>261.92</v>
      </c>
      <c r="F256" s="2">
        <v>263.33999999999997</v>
      </c>
      <c r="G256" s="1">
        <v>86721784</v>
      </c>
      <c r="H256" s="6" t="s">
        <v>10</v>
      </c>
      <c r="I256" s="6">
        <f>IF(AND(H255="UP",testdataHighLow[[#This Row],[high]]&gt;I255),testdataHighLow[[#This Row],[high]],IF(AND(H255="DN",testdataHighLow[[#This Row],[low]]&lt;I255),testdataHighLow[[#This Row],[low]],I255))</f>
        <v>263.47000000000003</v>
      </c>
      <c r="J2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-5.8830227350362896E-3</v>
      </c>
      <c r="K256" s="15">
        <f t="shared" ca="1" si="4"/>
        <v>272.32511848345297</v>
      </c>
      <c r="L256" s="6"/>
      <c r="M256" s="19">
        <f ca="1">IF(testdataHighLow[[#This Row],[type]]="H",testdataHighLow[[#This Row],[high]],AVERAGE(M255,M257))</f>
        <v>273.06314410475716</v>
      </c>
      <c r="N256" s="19">
        <f ca="1">IF(testdataHighLow[[#This Row],[type]]="L",testdataHighLow[[#This Row],[low]],AVERAGE(N255,N257))</f>
        <v>246.32885321104811</v>
      </c>
      <c r="Q256" s="7">
        <v>255</v>
      </c>
      <c r="R256" s="15">
        <v>272.32510000000002</v>
      </c>
      <c r="S256" s="19">
        <v>273.06313999999998</v>
      </c>
      <c r="T256" s="19">
        <v>246.32884999999999</v>
      </c>
    </row>
    <row r="257" spans="1:21" x14ac:dyDescent="0.35">
      <c r="A257" s="7">
        <v>256</v>
      </c>
      <c r="B257" s="3">
        <v>43108</v>
      </c>
      <c r="C257" s="2">
        <v>263.23</v>
      </c>
      <c r="D257" s="14">
        <v>263.99</v>
      </c>
      <c r="E257" s="14">
        <v>262.91000000000003</v>
      </c>
      <c r="F257" s="2">
        <v>263.82</v>
      </c>
      <c r="G257" s="1">
        <v>59513708</v>
      </c>
      <c r="H257" s="6" t="s">
        <v>10</v>
      </c>
      <c r="I257" s="6">
        <f>IF(AND(H256="UP",testdataHighLow[[#This Row],[high]]&gt;I256),testdataHighLow[[#This Row],[high]],IF(AND(H256="DN",testdataHighLow[[#This Row],[low]]&lt;I256),testdataHighLow[[#This Row],[low]],I256))</f>
        <v>263.99</v>
      </c>
      <c r="J2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-4.0910640554565857E-3</v>
      </c>
      <c r="K257" s="15">
        <f t="shared" ca="1" si="4"/>
        <v>272.59189573463516</v>
      </c>
      <c r="L257" s="6"/>
      <c r="M257" s="19">
        <f ca="1">IF(testdataHighLow[[#This Row],[type]]="H",testdataHighLow[[#This Row],[high]],AVERAGE(M256,M258))</f>
        <v>273.27720524013142</v>
      </c>
      <c r="N257" s="19">
        <f ca="1">IF(testdataHighLow[[#This Row],[type]]="L",testdataHighLow[[#This Row],[low]],AVERAGE(N256,N258))</f>
        <v>246.46366972480791</v>
      </c>
      <c r="Q257" s="7">
        <v>256</v>
      </c>
      <c r="R257" s="15">
        <v>272.59190000000001</v>
      </c>
      <c r="S257" s="19">
        <v>273.27721000000003</v>
      </c>
      <c r="T257" s="19">
        <v>246.46367000000001</v>
      </c>
    </row>
    <row r="258" spans="1:21" x14ac:dyDescent="0.35">
      <c r="A258" s="7">
        <v>257</v>
      </c>
      <c r="B258" s="3">
        <v>43109</v>
      </c>
      <c r="C258" s="2">
        <v>264.27999999999997</v>
      </c>
      <c r="D258" s="14">
        <v>265.10000000000002</v>
      </c>
      <c r="E258" s="14">
        <v>263.97000000000003</v>
      </c>
      <c r="F258" s="2">
        <v>264.42</v>
      </c>
      <c r="G258" s="1">
        <v>59445976</v>
      </c>
      <c r="H258" s="6" t="s">
        <v>10</v>
      </c>
      <c r="I258" s="6">
        <f>IF(AND(H257="UP",testdataHighLow[[#This Row],[high]]&gt;I257),testdataHighLow[[#This Row],[high]],IF(AND(H257="DN",testdataHighLow[[#This Row],[low]]&lt;I257),testdataHighLow[[#This Row],[low]],I257))</f>
        <v>265.10000000000002</v>
      </c>
      <c r="J2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-4.2625424368162778E-3</v>
      </c>
      <c r="K258" s="15">
        <f t="shared" ca="1" si="4"/>
        <v>272.85867298581729</v>
      </c>
      <c r="L258" s="6"/>
      <c r="M258" s="19">
        <f ca="1">IF(testdataHighLow[[#This Row],[type]]="H",testdataHighLow[[#This Row],[high]],AVERAGE(M257,M259))</f>
        <v>273.49126637550569</v>
      </c>
      <c r="N258" s="19">
        <f ca="1">IF(testdataHighLow[[#This Row],[type]]="L",testdataHighLow[[#This Row],[low]],AVERAGE(N257,N259))</f>
        <v>246.59848623856769</v>
      </c>
      <c r="Q258" s="7">
        <v>257</v>
      </c>
      <c r="R258" s="15">
        <v>272.8587</v>
      </c>
      <c r="S258" s="19">
        <v>273.49126999999999</v>
      </c>
      <c r="T258" s="19">
        <v>246.59849</v>
      </c>
    </row>
    <row r="259" spans="1:21" x14ac:dyDescent="0.35">
      <c r="A259" s="7">
        <v>258</v>
      </c>
      <c r="B259" s="3">
        <v>43110</v>
      </c>
      <c r="C259" s="2">
        <v>263.58999999999997</v>
      </c>
      <c r="D259" s="14">
        <v>264.3</v>
      </c>
      <c r="E259" s="14">
        <v>262.86</v>
      </c>
      <c r="F259" s="2">
        <v>264.01</v>
      </c>
      <c r="G259" s="1">
        <v>72238032</v>
      </c>
      <c r="H259" s="6" t="s">
        <v>10</v>
      </c>
      <c r="I259" s="6">
        <f>IF(AND(H258="UP",testdataHighLow[[#This Row],[high]]&gt;I258),testdataHighLow[[#This Row],[high]],IF(AND(H258="DN",testdataHighLow[[#This Row],[low]]&lt;I258),testdataHighLow[[#This Row],[low]],I258))</f>
        <v>265.10000000000002</v>
      </c>
      <c r="J2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-8.4496416446624249E-3</v>
      </c>
      <c r="K259" s="15">
        <f t="shared" ca="1" si="4"/>
        <v>273.12545023699937</v>
      </c>
      <c r="L259" s="6"/>
      <c r="M259" s="19">
        <f ca="1">IF(testdataHighLow[[#This Row],[type]]="H",testdataHighLow[[#This Row],[high]],AVERAGE(M258,M260))</f>
        <v>273.70532751088001</v>
      </c>
      <c r="N259" s="19">
        <f ca="1">IF(testdataHighLow[[#This Row],[type]]="L",testdataHighLow[[#This Row],[low]],AVERAGE(N258,N260))</f>
        <v>246.73330275232746</v>
      </c>
      <c r="Q259" s="7">
        <v>258</v>
      </c>
      <c r="R259" s="15">
        <v>273.12549999999999</v>
      </c>
      <c r="S259" s="19">
        <v>273.70533</v>
      </c>
      <c r="T259" s="19">
        <v>246.73330000000001</v>
      </c>
    </row>
    <row r="260" spans="1:21" x14ac:dyDescent="0.35">
      <c r="A260" s="7">
        <v>259</v>
      </c>
      <c r="B260" s="3">
        <v>43111</v>
      </c>
      <c r="C260" s="2">
        <v>264.62</v>
      </c>
      <c r="D260" s="14">
        <v>265.94</v>
      </c>
      <c r="E260" s="14">
        <v>264.44</v>
      </c>
      <c r="F260" s="2">
        <v>265.94</v>
      </c>
      <c r="G260" s="1">
        <v>64749016</v>
      </c>
      <c r="H260" s="6" t="s">
        <v>10</v>
      </c>
      <c r="I260" s="6">
        <f>IF(AND(H259="UP",testdataHighLow[[#This Row],[high]]&gt;I259),testdataHighLow[[#This Row],[high]],IF(AND(H259="DN",testdataHighLow[[#This Row],[low]]&lt;I259),testdataHighLow[[#This Row],[low]],I259))</f>
        <v>265.94</v>
      </c>
      <c r="J2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-5.6403700082725428E-3</v>
      </c>
      <c r="K260" s="15">
        <f t="shared" ref="K260:K323" ca="1" si="5">AVERAGE(K259,K261)</f>
        <v>273.39222748818145</v>
      </c>
      <c r="L260" s="6"/>
      <c r="M260" s="19">
        <f ca="1">IF(testdataHighLow[[#This Row],[type]]="H",testdataHighLow[[#This Row],[high]],AVERAGE(M259,M261))</f>
        <v>273.91938864625439</v>
      </c>
      <c r="N260" s="19">
        <f ca="1">IF(testdataHighLow[[#This Row],[type]]="L",testdataHighLow[[#This Row],[low]],AVERAGE(N259,N261))</f>
        <v>246.86811926608721</v>
      </c>
      <c r="Q260" s="7">
        <v>259</v>
      </c>
      <c r="R260" s="15">
        <v>273.3922</v>
      </c>
      <c r="S260" s="19">
        <v>273.91939000000002</v>
      </c>
      <c r="T260" s="19">
        <v>246.86812</v>
      </c>
    </row>
    <row r="261" spans="1:21" x14ac:dyDescent="0.35">
      <c r="A261" s="7">
        <v>260</v>
      </c>
      <c r="B261" s="3">
        <v>43112</v>
      </c>
      <c r="C261" s="2">
        <v>266.23</v>
      </c>
      <c r="D261" s="14">
        <v>267.86</v>
      </c>
      <c r="E261" s="14">
        <v>265.89999999999998</v>
      </c>
      <c r="F261" s="2">
        <v>267.67</v>
      </c>
      <c r="G261" s="1">
        <v>94293048</v>
      </c>
      <c r="H261" s="6" t="s">
        <v>10</v>
      </c>
      <c r="I261" s="6">
        <f>IF(AND(H260="UP",testdataHighLow[[#This Row],[high]]&gt;I260),testdataHighLow[[#This Row],[high]],IF(AND(H260="DN",testdataHighLow[[#This Row],[low]]&lt;I260),testdataHighLow[[#This Row],[low]],I260))</f>
        <v>267.86</v>
      </c>
      <c r="J2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-7.3172552826104541E-3</v>
      </c>
      <c r="K261" s="15">
        <f t="shared" ca="1" si="5"/>
        <v>273.65900473936347</v>
      </c>
      <c r="L261" s="6"/>
      <c r="M261" s="19">
        <f ca="1">IF(testdataHighLow[[#This Row],[type]]="H",testdataHighLow[[#This Row],[high]],AVERAGE(M260,M262))</f>
        <v>274.13344978162877</v>
      </c>
      <c r="N261" s="19">
        <f ca="1">IF(testdataHighLow[[#This Row],[type]]="L",testdataHighLow[[#This Row],[low]],AVERAGE(N260,N262))</f>
        <v>247.00293577984692</v>
      </c>
      <c r="Q261" s="7">
        <v>260</v>
      </c>
      <c r="R261" s="15">
        <v>273.65899999999999</v>
      </c>
      <c r="S261" s="19">
        <v>274.13344999999998</v>
      </c>
      <c r="T261" s="19">
        <v>247.00294</v>
      </c>
    </row>
    <row r="262" spans="1:21" x14ac:dyDescent="0.35">
      <c r="A262" s="7">
        <v>261</v>
      </c>
      <c r="B262" s="3">
        <v>43116</v>
      </c>
      <c r="C262" s="2">
        <v>269.05</v>
      </c>
      <c r="D262" s="14">
        <v>269.76</v>
      </c>
      <c r="E262" s="14">
        <v>266</v>
      </c>
      <c r="F262" s="2">
        <v>266.76</v>
      </c>
      <c r="G262" s="1">
        <v>110634704</v>
      </c>
      <c r="H262" s="6" t="s">
        <v>10</v>
      </c>
      <c r="I262" s="6">
        <f>IF(AND(H261="UP",testdataHighLow[[#This Row],[high]]&gt;I261),testdataHighLow[[#This Row],[high]],IF(AND(H261="DN",testdataHighLow[[#This Row],[low]]&lt;I261),testdataHighLow[[#This Row],[low]],I261))</f>
        <v>269.76</v>
      </c>
      <c r="J2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-1.3938315539738995E-2</v>
      </c>
      <c r="K262" s="15">
        <f t="shared" ca="1" si="5"/>
        <v>273.92578199054543</v>
      </c>
      <c r="L262" s="6"/>
      <c r="M262" s="19">
        <f ca="1">IF(testdataHighLow[[#This Row],[type]]="H",testdataHighLow[[#This Row],[high]],AVERAGE(M261,M263))</f>
        <v>274.34751091700321</v>
      </c>
      <c r="N262" s="19">
        <f ca="1">IF(testdataHighLow[[#This Row],[type]]="L",testdataHighLow[[#This Row],[low]],AVERAGE(N261,N263))</f>
        <v>247.13775229360664</v>
      </c>
      <c r="Q262" s="7">
        <v>261</v>
      </c>
      <c r="R262" s="15">
        <v>273.92579999999998</v>
      </c>
      <c r="S262" s="19">
        <v>274.34751</v>
      </c>
      <c r="T262" s="19">
        <v>247.13775000000001</v>
      </c>
    </row>
    <row r="263" spans="1:21" x14ac:dyDescent="0.35">
      <c r="A263" s="7">
        <v>262</v>
      </c>
      <c r="B263" s="3">
        <v>43117</v>
      </c>
      <c r="C263" s="2">
        <v>267.77999999999997</v>
      </c>
      <c r="D263" s="14">
        <v>269.72000000000003</v>
      </c>
      <c r="E263" s="14">
        <v>266.76</v>
      </c>
      <c r="F263" s="2">
        <v>269.3</v>
      </c>
      <c r="G263" s="1">
        <v>117595008</v>
      </c>
      <c r="H263" s="6" t="s">
        <v>10</v>
      </c>
      <c r="I263" s="6">
        <f>IF(AND(H262="UP",testdataHighLow[[#This Row],[high]]&gt;I262),testdataHighLow[[#This Row],[high]],IF(AND(H262="DN",testdataHighLow[[#This Row],[low]]&lt;I262),testdataHighLow[[#This Row],[low]],I262))</f>
        <v>269.76</v>
      </c>
      <c r="J2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-1.1120996441281139E-2</v>
      </c>
      <c r="K263" s="15">
        <f t="shared" ca="1" si="5"/>
        <v>274.19255924172739</v>
      </c>
      <c r="L263" s="6"/>
      <c r="M263" s="19">
        <f ca="1">IF(testdataHighLow[[#This Row],[type]]="H",testdataHighLow[[#This Row],[high]],AVERAGE(M262,M264))</f>
        <v>274.5615720523777</v>
      </c>
      <c r="N263" s="19">
        <f ca="1">IF(testdataHighLow[[#This Row],[type]]="L",testdataHighLow[[#This Row],[low]],AVERAGE(N262,N264))</f>
        <v>247.27256880736633</v>
      </c>
      <c r="Q263" s="7">
        <v>262</v>
      </c>
      <c r="R263" s="15">
        <v>274.19260000000003</v>
      </c>
      <c r="S263" s="19">
        <v>274.56157000000002</v>
      </c>
      <c r="T263" s="19">
        <v>247.27257</v>
      </c>
    </row>
    <row r="264" spans="1:21" x14ac:dyDescent="0.35">
      <c r="A264" s="7">
        <v>263</v>
      </c>
      <c r="B264" s="3">
        <v>43118</v>
      </c>
      <c r="C264" s="2">
        <v>269.17</v>
      </c>
      <c r="D264" s="14">
        <v>269.64</v>
      </c>
      <c r="E264" s="14">
        <v>268.31</v>
      </c>
      <c r="F264" s="2">
        <v>268.85000000000002</v>
      </c>
      <c r="G264" s="1">
        <v>104584464</v>
      </c>
      <c r="H264" s="6" t="s">
        <v>10</v>
      </c>
      <c r="I264" s="6">
        <f>IF(AND(H263="UP",testdataHighLow[[#This Row],[high]]&gt;I263),testdataHighLow[[#This Row],[high]],IF(AND(H263="DN",testdataHighLow[[#This Row],[low]]&lt;I263),testdataHighLow[[#This Row],[low]],I263))</f>
        <v>269.76</v>
      </c>
      <c r="J2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-5.3751482799525088E-3</v>
      </c>
      <c r="K264" s="15">
        <f t="shared" ca="1" si="5"/>
        <v>274.4593364929093</v>
      </c>
      <c r="L264" s="6"/>
      <c r="M264" s="19">
        <f ca="1">IF(testdataHighLow[[#This Row],[type]]="H",testdataHighLow[[#This Row],[high]],AVERAGE(M263,M265))</f>
        <v>274.77563318775219</v>
      </c>
      <c r="N264" s="19">
        <f ca="1">IF(testdataHighLow[[#This Row],[type]]="L",testdataHighLow[[#This Row],[low]],AVERAGE(N263,N265))</f>
        <v>247.40738532112599</v>
      </c>
      <c r="Q264" s="7">
        <v>263</v>
      </c>
      <c r="R264" s="15">
        <v>274.45929999999998</v>
      </c>
      <c r="S264" s="19">
        <v>274.77562999999998</v>
      </c>
      <c r="T264" s="19">
        <v>247.40738999999999</v>
      </c>
    </row>
    <row r="265" spans="1:21" x14ac:dyDescent="0.35">
      <c r="A265" s="7">
        <v>264</v>
      </c>
      <c r="B265" s="3">
        <v>43119</v>
      </c>
      <c r="C265" s="2">
        <v>269.48</v>
      </c>
      <c r="D265" s="14">
        <v>270.07</v>
      </c>
      <c r="E265" s="14">
        <v>268.85000000000002</v>
      </c>
      <c r="F265" s="2">
        <v>270.07</v>
      </c>
      <c r="G265" s="1">
        <v>146315344</v>
      </c>
      <c r="H265" s="6" t="s">
        <v>10</v>
      </c>
      <c r="I265" s="6">
        <f>IF(AND(H264="UP",testdataHighLow[[#This Row],[high]]&gt;I264),testdataHighLow[[#This Row],[high]],IF(AND(H264="DN",testdataHighLow[[#This Row],[low]]&lt;I264),testdataHighLow[[#This Row],[low]],I264))</f>
        <v>270.07</v>
      </c>
      <c r="J2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-4.5173473543894931E-3</v>
      </c>
      <c r="K265" s="15">
        <f t="shared" ca="1" si="5"/>
        <v>274.72611374409115</v>
      </c>
      <c r="L265" s="6"/>
      <c r="M265" s="19">
        <f ca="1">IF(testdataHighLow[[#This Row],[type]]="H",testdataHighLow[[#This Row],[high]],AVERAGE(M264,M266))</f>
        <v>274.98969432312674</v>
      </c>
      <c r="N265" s="19">
        <f ca="1">IF(testdataHighLow[[#This Row],[type]]="L",testdataHighLow[[#This Row],[low]],AVERAGE(N264,N266))</f>
        <v>247.54220183488565</v>
      </c>
      <c r="Q265" s="7">
        <v>264</v>
      </c>
      <c r="R265" s="15">
        <v>274.72609999999997</v>
      </c>
      <c r="S265" s="19">
        <v>274.98969</v>
      </c>
      <c r="T265" s="19">
        <v>247.54220000000001</v>
      </c>
    </row>
    <row r="266" spans="1:21" x14ac:dyDescent="0.35">
      <c r="A266" s="7">
        <v>265</v>
      </c>
      <c r="B266" s="3">
        <v>43122</v>
      </c>
      <c r="C266" s="2">
        <v>269.83999999999997</v>
      </c>
      <c r="D266" s="14">
        <v>272.27</v>
      </c>
      <c r="E266" s="14">
        <v>269.77999999999997</v>
      </c>
      <c r="F266" s="2">
        <v>272.27</v>
      </c>
      <c r="G266" s="1">
        <v>94818768</v>
      </c>
      <c r="H266" s="6" t="s">
        <v>10</v>
      </c>
      <c r="I266" s="6">
        <f>IF(AND(H265="UP",testdataHighLow[[#This Row],[high]]&gt;I265),testdataHighLow[[#This Row],[high]],IF(AND(H265="DN",testdataHighLow[[#This Row],[low]]&lt;I265),testdataHighLow[[#This Row],[low]],I265))</f>
        <v>272.27</v>
      </c>
      <c r="J2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-9.1453336761303464E-3</v>
      </c>
      <c r="K266" s="15">
        <f t="shared" ca="1" si="5"/>
        <v>274.992890995273</v>
      </c>
      <c r="L266" s="6"/>
      <c r="M266" s="19">
        <f ca="1">IF(testdataHighLow[[#This Row],[type]]="H",testdataHighLow[[#This Row],[high]],AVERAGE(M265,M267))</f>
        <v>275.20375545850135</v>
      </c>
      <c r="N266" s="19">
        <f ca="1">IF(testdataHighLow[[#This Row],[type]]="L",testdataHighLow[[#This Row],[low]],AVERAGE(N265,N267))</f>
        <v>247.67701834864528</v>
      </c>
      <c r="Q266" s="7">
        <v>265</v>
      </c>
      <c r="R266" s="15">
        <v>274.99290000000002</v>
      </c>
      <c r="S266" s="19">
        <v>275.20375999999999</v>
      </c>
      <c r="T266" s="19">
        <v>247.67702</v>
      </c>
    </row>
    <row r="267" spans="1:21" x14ac:dyDescent="0.35">
      <c r="A267" s="7">
        <v>266</v>
      </c>
      <c r="B267" s="3">
        <v>43123</v>
      </c>
      <c r="C267" s="2">
        <v>272.31</v>
      </c>
      <c r="D267" s="14">
        <v>273.16000000000003</v>
      </c>
      <c r="E267" s="14">
        <v>271.95999999999998</v>
      </c>
      <c r="F267" s="2">
        <v>272.83999999999997</v>
      </c>
      <c r="G267" s="1">
        <v>100801672</v>
      </c>
      <c r="H267" s="6" t="s">
        <v>10</v>
      </c>
      <c r="I267" s="6">
        <f>IF(AND(H266="UP",testdataHighLow[[#This Row],[high]]&gt;I266),testdataHighLow[[#This Row],[high]],IF(AND(H266="DN",testdataHighLow[[#This Row],[low]]&lt;I266),testdataHighLow[[#This Row],[low]],I266))</f>
        <v>273.16000000000003</v>
      </c>
      <c r="J2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-4.3930297261679796E-3</v>
      </c>
      <c r="K267" s="15">
        <f t="shared" ca="1" si="5"/>
        <v>275.25966824645479</v>
      </c>
      <c r="L267" s="6"/>
      <c r="M267" s="19">
        <f ca="1">IF(testdataHighLow[[#This Row],[type]]="H",testdataHighLow[[#This Row],[high]],AVERAGE(M266,M268))</f>
        <v>275.41781659387595</v>
      </c>
      <c r="N267" s="19">
        <f ca="1">IF(testdataHighLow[[#This Row],[type]]="L",testdataHighLow[[#This Row],[low]],AVERAGE(N266,N268))</f>
        <v>247.81183486240488</v>
      </c>
      <c r="Q267" s="7">
        <v>266</v>
      </c>
      <c r="R267" s="15">
        <v>275.25970000000001</v>
      </c>
      <c r="S267" s="19">
        <v>275.41782000000001</v>
      </c>
      <c r="T267" s="19">
        <v>247.81182999999999</v>
      </c>
    </row>
    <row r="268" spans="1:21" x14ac:dyDescent="0.35">
      <c r="A268" s="7">
        <v>267</v>
      </c>
      <c r="B268" s="3">
        <v>43124</v>
      </c>
      <c r="C268" s="2">
        <v>273.55</v>
      </c>
      <c r="D268" s="14">
        <v>274.2</v>
      </c>
      <c r="E268" s="14">
        <v>271.45</v>
      </c>
      <c r="F268" s="2">
        <v>272.74</v>
      </c>
      <c r="G268" s="1">
        <v>139977680</v>
      </c>
      <c r="H268" s="6" t="s">
        <v>10</v>
      </c>
      <c r="I268" s="6">
        <f>IF(AND(H267="UP",testdataHighLow[[#This Row],[high]]&gt;I267),testdataHighLow[[#This Row],[high]],IF(AND(H267="DN",testdataHighLow[[#This Row],[low]]&lt;I267),testdataHighLow[[#This Row],[low]],I267))</f>
        <v>274.2</v>
      </c>
      <c r="J2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-1.0029175784099198E-2</v>
      </c>
      <c r="K268" s="15">
        <f t="shared" ca="1" si="5"/>
        <v>275.52644549763653</v>
      </c>
      <c r="L268" s="6"/>
      <c r="M268" s="19">
        <f ca="1">IF(testdataHighLow[[#This Row],[type]]="H",testdataHighLow[[#This Row],[high]],AVERAGE(M267,M269))</f>
        <v>275.63187772925062</v>
      </c>
      <c r="N268" s="19">
        <f ca="1">IF(testdataHighLow[[#This Row],[type]]="L",testdataHighLow[[#This Row],[low]],AVERAGE(N267,N269))</f>
        <v>247.94665137616448</v>
      </c>
      <c r="Q268" s="7">
        <v>267</v>
      </c>
      <c r="R268" s="15">
        <v>275.52640000000002</v>
      </c>
      <c r="S268" s="19">
        <v>275.63188000000002</v>
      </c>
      <c r="T268" s="19">
        <v>247.94665000000001</v>
      </c>
    </row>
    <row r="269" spans="1:21" x14ac:dyDescent="0.35">
      <c r="A269" s="7">
        <v>268</v>
      </c>
      <c r="B269" s="3">
        <v>43125</v>
      </c>
      <c r="C269" s="2">
        <v>273.68</v>
      </c>
      <c r="D269" s="14">
        <v>273.79000000000002</v>
      </c>
      <c r="E269" s="14">
        <v>271.99</v>
      </c>
      <c r="F269" s="2">
        <v>272.85000000000002</v>
      </c>
      <c r="G269" s="1">
        <v>87825816</v>
      </c>
      <c r="H269" s="6" t="s">
        <v>10</v>
      </c>
      <c r="I269" s="6">
        <f>IF(AND(H268="UP",testdataHighLow[[#This Row],[high]]&gt;I268),testdataHighLow[[#This Row],[high]],IF(AND(H268="DN",testdataHighLow[[#This Row],[low]]&lt;I268),testdataHighLow[[#This Row],[low]],I268))</f>
        <v>274.2</v>
      </c>
      <c r="J2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-8.0598103574032812E-3</v>
      </c>
      <c r="K269" s="15">
        <f t="shared" ca="1" si="5"/>
        <v>275.79322274881827</v>
      </c>
      <c r="L269" s="6"/>
      <c r="M269" s="19">
        <f ca="1">IF(testdataHighLow[[#This Row],[type]]="H",testdataHighLow[[#This Row],[high]],AVERAGE(M268,M270))</f>
        <v>275.84593886462528</v>
      </c>
      <c r="N269" s="19">
        <f ca="1">IF(testdataHighLow[[#This Row],[type]]="L",testdataHighLow[[#This Row],[low]],AVERAGE(N268,N270))</f>
        <v>248.08146788992406</v>
      </c>
      <c r="Q269" s="7">
        <v>268</v>
      </c>
      <c r="R269" s="15">
        <v>275.79320000000001</v>
      </c>
      <c r="S269" s="19">
        <v>275.84593999999998</v>
      </c>
      <c r="T269" s="19">
        <v>248.08147</v>
      </c>
    </row>
    <row r="270" spans="1:21" x14ac:dyDescent="0.35">
      <c r="A270" s="7">
        <v>269</v>
      </c>
      <c r="B270" s="3">
        <v>43126</v>
      </c>
      <c r="C270" s="2">
        <v>273.77</v>
      </c>
      <c r="D270" s="14">
        <v>276.06</v>
      </c>
      <c r="E270" s="14">
        <v>273.49</v>
      </c>
      <c r="F270" s="2">
        <v>276.01</v>
      </c>
      <c r="G270" s="1">
        <v>111868160</v>
      </c>
      <c r="H270" s="6" t="s">
        <v>12</v>
      </c>
      <c r="I270" s="6">
        <f>IF(AND(H269="UP",testdataHighLow[[#This Row],[high]]&gt;I269),testdataHighLow[[#This Row],[high]],IF(AND(H269="DN",testdataHighLow[[#This Row],[low]]&lt;I269),testdataHighLow[[#This Row],[low]],I269))</f>
        <v>276.06</v>
      </c>
      <c r="J2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0" s="18">
        <f>testdataHighLow[[#This Row],[high]]</f>
        <v>276.06</v>
      </c>
      <c r="L270" s="6" t="s">
        <v>14</v>
      </c>
      <c r="M270" s="19">
        <f>IF(testdataHighLow[[#This Row],[type]]="H",testdataHighLow[[#This Row],[high]],AVERAGE(M269,M271))</f>
        <v>276.06</v>
      </c>
      <c r="N270" s="19">
        <f ca="1">IF(testdataHighLow[[#This Row],[type]]="L",testdataHighLow[[#This Row],[low]],AVERAGE(N269,N271))</f>
        <v>248.2162844036836</v>
      </c>
      <c r="Q270" s="7">
        <v>269</v>
      </c>
      <c r="R270" s="18">
        <v>276.06</v>
      </c>
      <c r="S270" s="19">
        <v>276.06</v>
      </c>
      <c r="T270" s="19">
        <v>248.21628000000001</v>
      </c>
      <c r="U270" s="4" t="s">
        <v>14</v>
      </c>
    </row>
    <row r="271" spans="1:21" x14ac:dyDescent="0.35">
      <c r="A271" s="7">
        <v>270</v>
      </c>
      <c r="B271" s="3">
        <v>43129</v>
      </c>
      <c r="C271" s="2">
        <v>275.39</v>
      </c>
      <c r="D271" s="14">
        <v>275.87</v>
      </c>
      <c r="E271" s="14">
        <v>274.01</v>
      </c>
      <c r="F271" s="2">
        <v>274.18</v>
      </c>
      <c r="G271" s="1">
        <v>93568600</v>
      </c>
      <c r="H271" s="6" t="s">
        <v>12</v>
      </c>
      <c r="I271" s="6">
        <f>IF(AND(H270="UP",testdataHighLow[[#This Row],[high]]&gt;I270),testdataHighLow[[#This Row],[high]],IF(AND(H270="DN",testdataHighLow[[#This Row],[low]]&lt;I270),testdataHighLow[[#This Row],[low]],I270))</f>
        <v>274.01</v>
      </c>
      <c r="J2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6.7880734279771315E-3</v>
      </c>
      <c r="K271" s="15">
        <f t="shared" ca="1" si="5"/>
        <v>272.2171428571429</v>
      </c>
      <c r="L271" s="6"/>
      <c r="M271" s="19">
        <f ca="1">IF(testdataHighLow[[#This Row],[type]]="H",testdataHighLow[[#This Row],[high]],AVERAGE(M270,M272))</f>
        <v>274.34250000000009</v>
      </c>
      <c r="N271" s="19">
        <f ca="1">IF(testdataHighLow[[#This Row],[type]]="L",testdataHighLow[[#This Row],[low]],AVERAGE(N270,N272))</f>
        <v>248.35110091744315</v>
      </c>
      <c r="Q271" s="7">
        <v>270</v>
      </c>
      <c r="R271" s="15">
        <v>272.21710000000002</v>
      </c>
      <c r="S271" s="19">
        <v>274.34249999999997</v>
      </c>
      <c r="T271" s="19">
        <v>248.3511</v>
      </c>
    </row>
    <row r="272" spans="1:21" x14ac:dyDescent="0.35">
      <c r="A272" s="7">
        <v>271</v>
      </c>
      <c r="B272" s="3">
        <v>43130</v>
      </c>
      <c r="C272" s="2">
        <v>272.18</v>
      </c>
      <c r="D272" s="14">
        <v>274.24</v>
      </c>
      <c r="E272" s="14">
        <v>270.85000000000002</v>
      </c>
      <c r="F272" s="2">
        <v>271.37</v>
      </c>
      <c r="G272" s="1">
        <v>136842368</v>
      </c>
      <c r="H272" s="6" t="s">
        <v>12</v>
      </c>
      <c r="I272" s="6">
        <f>IF(AND(H271="UP",testdataHighLow[[#This Row],[high]]&gt;I271),testdataHighLow[[#This Row],[high]],IF(AND(H271="DN",testdataHighLow[[#This Row],[low]]&lt;I271),testdataHighLow[[#This Row],[low]],I271))</f>
        <v>270.85000000000002</v>
      </c>
      <c r="J2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1.2516152852132124E-2</v>
      </c>
      <c r="K272" s="15">
        <f t="shared" ca="1" si="5"/>
        <v>268.3742857142858</v>
      </c>
      <c r="L272" s="6"/>
      <c r="M272" s="19">
        <f ca="1">IF(testdataHighLow[[#This Row],[type]]="H",testdataHighLow[[#This Row],[high]],AVERAGE(M271,M273))</f>
        <v>272.62500000000017</v>
      </c>
      <c r="N272" s="19">
        <f ca="1">IF(testdataHighLow[[#This Row],[type]]="L",testdataHighLow[[#This Row],[low]],AVERAGE(N271,N273))</f>
        <v>248.48591743120267</v>
      </c>
      <c r="Q272" s="7">
        <v>271</v>
      </c>
      <c r="R272" s="15">
        <v>268.37430000000001</v>
      </c>
      <c r="S272" s="19">
        <v>272.625</v>
      </c>
      <c r="T272" s="19">
        <v>248.48591999999999</v>
      </c>
    </row>
    <row r="273" spans="1:21" x14ac:dyDescent="0.35">
      <c r="A273" s="7">
        <v>272</v>
      </c>
      <c r="B273" s="3">
        <v>43131</v>
      </c>
      <c r="C273" s="2">
        <v>272.3</v>
      </c>
      <c r="D273" s="14">
        <v>272.85000000000002</v>
      </c>
      <c r="E273" s="14">
        <v>270.33</v>
      </c>
      <c r="F273" s="2">
        <v>271.51</v>
      </c>
      <c r="G273" s="1">
        <v>123502168</v>
      </c>
      <c r="H273" s="6" t="s">
        <v>12</v>
      </c>
      <c r="I273" s="6">
        <f>IF(AND(H272="UP",testdataHighLow[[#This Row],[high]]&gt;I272),testdataHighLow[[#This Row],[high]],IF(AND(H272="DN",testdataHighLow[[#This Row],[low]]&lt;I272),testdataHighLow[[#This Row],[low]],I272))</f>
        <v>270.33</v>
      </c>
      <c r="J2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9.3219398512930079E-3</v>
      </c>
      <c r="K273" s="15">
        <f t="shared" ca="1" si="5"/>
        <v>264.53142857142871</v>
      </c>
      <c r="L273" s="6"/>
      <c r="M273" s="19">
        <f ca="1">IF(testdataHighLow[[#This Row],[type]]="H",testdataHighLow[[#This Row],[high]],AVERAGE(M272,M274))</f>
        <v>270.90750000000025</v>
      </c>
      <c r="N273" s="19">
        <f ca="1">IF(testdataHighLow[[#This Row],[type]]="L",testdataHighLow[[#This Row],[low]],AVERAGE(N272,N274))</f>
        <v>248.62073394496215</v>
      </c>
      <c r="Q273" s="7">
        <v>272</v>
      </c>
      <c r="R273" s="15">
        <v>264.53140000000002</v>
      </c>
      <c r="S273" s="19">
        <v>270.90750000000003</v>
      </c>
      <c r="T273" s="19">
        <v>248.62073000000001</v>
      </c>
    </row>
    <row r="274" spans="1:21" x14ac:dyDescent="0.35">
      <c r="A274" s="7">
        <v>273</v>
      </c>
      <c r="B274" s="3">
        <v>43132</v>
      </c>
      <c r="C274" s="2">
        <v>270.70999999999998</v>
      </c>
      <c r="D274" s="14">
        <v>272.62</v>
      </c>
      <c r="E274" s="14">
        <v>270.33</v>
      </c>
      <c r="F274" s="2">
        <v>271.2</v>
      </c>
      <c r="G274" s="1">
        <v>93552120</v>
      </c>
      <c r="H274" s="6" t="s">
        <v>12</v>
      </c>
      <c r="I274" s="6">
        <f>IF(AND(H273="UP",testdataHighLow[[#This Row],[high]]&gt;I273),testdataHighLow[[#This Row],[high]],IF(AND(H273="DN",testdataHighLow[[#This Row],[low]]&lt;I273),testdataHighLow[[#This Row],[low]],I273))</f>
        <v>270.33</v>
      </c>
      <c r="J2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8.4711278807384337E-3</v>
      </c>
      <c r="K274" s="15">
        <f t="shared" ca="1" si="5"/>
        <v>260.68857142857155</v>
      </c>
      <c r="L274" s="6"/>
      <c r="M274" s="19">
        <f ca="1">IF(testdataHighLow[[#This Row],[type]]="H",testdataHighLow[[#This Row],[high]],AVERAGE(M273,M275))</f>
        <v>269.19000000000028</v>
      </c>
      <c r="N274" s="19">
        <f ca="1">IF(testdataHighLow[[#This Row],[type]]="L",testdataHighLow[[#This Row],[low]],AVERAGE(N273,N275))</f>
        <v>248.75555045872164</v>
      </c>
      <c r="Q274" s="7">
        <v>273</v>
      </c>
      <c r="R274" s="15">
        <v>260.68860000000001</v>
      </c>
      <c r="S274" s="19">
        <v>269.19</v>
      </c>
      <c r="T274" s="19">
        <v>248.75555</v>
      </c>
    </row>
    <row r="275" spans="1:21" x14ac:dyDescent="0.35">
      <c r="A275" s="7">
        <v>274</v>
      </c>
      <c r="B275" s="3">
        <v>43133</v>
      </c>
      <c r="C275" s="2">
        <v>269.75</v>
      </c>
      <c r="D275" s="14">
        <v>269.89999999999998</v>
      </c>
      <c r="E275" s="14">
        <v>265.25</v>
      </c>
      <c r="F275" s="2">
        <v>265.29000000000002</v>
      </c>
      <c r="G275" s="1">
        <v>179804944</v>
      </c>
      <c r="H275" s="6" t="s">
        <v>12</v>
      </c>
      <c r="I275" s="6">
        <f>IF(AND(H274="UP",testdataHighLow[[#This Row],[high]]&gt;I274),testdataHighLow[[#This Row],[high]],IF(AND(H274="DN",testdataHighLow[[#This Row],[low]]&lt;I274),testdataHighLow[[#This Row],[low]],I274))</f>
        <v>265.25</v>
      </c>
      <c r="J2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1.7530631479736013E-2</v>
      </c>
      <c r="K275" s="15">
        <f t="shared" ca="1" si="5"/>
        <v>256.84571428571439</v>
      </c>
      <c r="L275" s="6"/>
      <c r="M275" s="19">
        <f ca="1">IF(testdataHighLow[[#This Row],[type]]="H",testdataHighLow[[#This Row],[high]],AVERAGE(M274,M276))</f>
        <v>267.47250000000025</v>
      </c>
      <c r="N275" s="19">
        <f ca="1">IF(testdataHighLow[[#This Row],[type]]="L",testdataHighLow[[#This Row],[low]],AVERAGE(N274,N276))</f>
        <v>248.8903669724811</v>
      </c>
      <c r="Q275" s="7">
        <v>274</v>
      </c>
      <c r="R275" s="15">
        <v>256.84570000000002</v>
      </c>
      <c r="S275" s="19">
        <v>267.47250000000003</v>
      </c>
      <c r="T275" s="19">
        <v>248.89036999999999</v>
      </c>
    </row>
    <row r="276" spans="1:21" x14ac:dyDescent="0.35">
      <c r="A276" s="7">
        <v>275</v>
      </c>
      <c r="B276" s="3">
        <v>43136</v>
      </c>
      <c r="C276" s="2">
        <v>263.37</v>
      </c>
      <c r="D276" s="14">
        <v>265.68</v>
      </c>
      <c r="E276" s="14">
        <v>253.6</v>
      </c>
      <c r="F276" s="2">
        <v>254.2</v>
      </c>
      <c r="G276" s="1">
        <v>305963968</v>
      </c>
      <c r="H276" s="6" t="s">
        <v>12</v>
      </c>
      <c r="I276" s="6">
        <f>IF(AND(H275="UP",testdataHighLow[[#This Row],[high]]&gt;I275),testdataHighLow[[#This Row],[high]],IF(AND(H275="DN",testdataHighLow[[#This Row],[low]]&lt;I275),testdataHighLow[[#This Row],[low]],I275))</f>
        <v>253.6</v>
      </c>
      <c r="J2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4.7634069400630967E-2</v>
      </c>
      <c r="K276" s="15">
        <f t="shared" ca="1" si="5"/>
        <v>253.00285714285718</v>
      </c>
      <c r="L276" s="6"/>
      <c r="M276" s="19">
        <f ca="1">IF(testdataHighLow[[#This Row],[type]]="H",testdataHighLow[[#This Row],[high]],AVERAGE(M275,M277))</f>
        <v>265.75500000000022</v>
      </c>
      <c r="N276" s="19">
        <f ca="1">IF(testdataHighLow[[#This Row],[type]]="L",testdataHighLow[[#This Row],[low]],AVERAGE(N275,N277))</f>
        <v>249.02518348624056</v>
      </c>
      <c r="Q276" s="7">
        <v>275</v>
      </c>
      <c r="R276" s="15">
        <v>253.00290000000001</v>
      </c>
      <c r="S276" s="19">
        <v>265.755</v>
      </c>
      <c r="T276" s="19">
        <v>249.02518000000001</v>
      </c>
    </row>
    <row r="277" spans="1:21" x14ac:dyDescent="0.35">
      <c r="A277" s="7">
        <v>276</v>
      </c>
      <c r="B277" s="3">
        <v>43137</v>
      </c>
      <c r="C277" s="2">
        <v>250.35</v>
      </c>
      <c r="D277" s="14">
        <v>259.76</v>
      </c>
      <c r="E277" s="14">
        <v>249.16</v>
      </c>
      <c r="F277" s="2">
        <v>259.20999999999998</v>
      </c>
      <c r="G277" s="1">
        <v>368619296</v>
      </c>
      <c r="H277" s="6" t="s">
        <v>10</v>
      </c>
      <c r="I277" s="6">
        <f>IF(AND(H276="UP",testdataHighLow[[#This Row],[high]]&gt;I276),testdataHighLow[[#This Row],[high]],IF(AND(H276="DN",testdataHighLow[[#This Row],[low]]&lt;I276),testdataHighLow[[#This Row],[low]],I276))</f>
        <v>249.16</v>
      </c>
      <c r="J2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7" s="18">
        <f>testdataHighLow[[#This Row],[low]]</f>
        <v>249.16</v>
      </c>
      <c r="L277" s="6" t="s">
        <v>15</v>
      </c>
      <c r="M277" s="19">
        <f ca="1">IF(testdataHighLow[[#This Row],[type]]="H",testdataHighLow[[#This Row],[high]],AVERAGE(M276,M278))</f>
        <v>264.03750000000014</v>
      </c>
      <c r="N277" s="19">
        <f>IF(testdataHighLow[[#This Row],[type]]="L",testdataHighLow[[#This Row],[low]],AVERAGE(N276,N278))</f>
        <v>249.16</v>
      </c>
      <c r="Q277" s="7">
        <v>276</v>
      </c>
      <c r="R277" s="18">
        <v>249.16</v>
      </c>
      <c r="S277" s="19">
        <v>264.03750000000002</v>
      </c>
      <c r="T277" s="19">
        <v>249.16</v>
      </c>
      <c r="U277" s="4" t="s">
        <v>15</v>
      </c>
    </row>
    <row r="278" spans="1:21" x14ac:dyDescent="0.35">
      <c r="A278" s="7">
        <v>277</v>
      </c>
      <c r="B278" s="3">
        <v>43138</v>
      </c>
      <c r="C278" s="2">
        <v>258.60000000000002</v>
      </c>
      <c r="D278" s="14">
        <v>262.32</v>
      </c>
      <c r="E278" s="14">
        <v>257.70999999999998</v>
      </c>
      <c r="F278" s="2">
        <v>257.8</v>
      </c>
      <c r="G278" s="1">
        <v>173784240</v>
      </c>
      <c r="H278" s="6" t="s">
        <v>12</v>
      </c>
      <c r="I278" s="6">
        <f>IF(AND(H277="UP",testdataHighLow[[#This Row],[high]]&gt;I277),testdataHighLow[[#This Row],[high]],IF(AND(H277="DN",testdataHighLow[[#This Row],[low]]&lt;I277),testdataHighLow[[#This Row],[low]],I277))</f>
        <v>262.32</v>
      </c>
      <c r="J2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78" s="18">
        <f>testdataHighLow[[#This Row],[high]]</f>
        <v>262.32</v>
      </c>
      <c r="L278" s="6" t="s">
        <v>14</v>
      </c>
      <c r="M278" s="19">
        <f>IF(testdataHighLow[[#This Row],[type]]="H",testdataHighLow[[#This Row],[high]],AVERAGE(M277,M279))</f>
        <v>262.32</v>
      </c>
      <c r="N278" s="19">
        <f ca="1">IF(testdataHighLow[[#This Row],[type]]="L",testdataHighLow[[#This Row],[low]],AVERAGE(N277,N279))</f>
        <v>247.30333333333334</v>
      </c>
      <c r="Q278" s="7">
        <v>277</v>
      </c>
      <c r="R278" s="18">
        <v>262.32</v>
      </c>
      <c r="S278" s="19">
        <v>262.32</v>
      </c>
      <c r="T278" s="19">
        <v>247.30332999999999</v>
      </c>
      <c r="U278" s="4" t="s">
        <v>14</v>
      </c>
    </row>
    <row r="279" spans="1:21" x14ac:dyDescent="0.35">
      <c r="A279" s="7">
        <v>278</v>
      </c>
      <c r="B279" s="3">
        <v>43139</v>
      </c>
      <c r="C279" s="2">
        <v>258.13</v>
      </c>
      <c r="D279" s="14">
        <v>258.27999999999997</v>
      </c>
      <c r="E279" s="14">
        <v>248.09</v>
      </c>
      <c r="F279" s="2">
        <v>248.13</v>
      </c>
      <c r="G279" s="1">
        <v>255885040</v>
      </c>
      <c r="H279" s="6" t="s">
        <v>12</v>
      </c>
      <c r="I279" s="6">
        <f>IF(AND(H278="UP",testdataHighLow[[#This Row],[high]]&gt;I278),testdataHighLow[[#This Row],[high]],IF(AND(H278="DN",testdataHighLow[[#This Row],[low]]&lt;I278),testdataHighLow[[#This Row],[low]],I278))</f>
        <v>248.09</v>
      </c>
      <c r="J2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4.1073803861501751E-2</v>
      </c>
      <c r="K279" s="24">
        <f t="shared" si="5"/>
        <v>252.95499999999998</v>
      </c>
      <c r="L279" s="25"/>
      <c r="M279" s="26">
        <f ca="1">IF(testdataHighLow[[#This Row],[type]]="H",testdataHighLow[[#This Row],[high]],AVERAGE(M278,M280))</f>
        <v>262.80538461538447</v>
      </c>
      <c r="N279" s="26">
        <f ca="1">IF(testdataHighLow[[#This Row],[type]]="L",testdataHighLow[[#This Row],[low]],AVERAGE(N278,N280))</f>
        <v>245.44666666666666</v>
      </c>
      <c r="Q279" s="7">
        <v>278</v>
      </c>
      <c r="R279" s="24">
        <v>252.95500000000001</v>
      </c>
      <c r="S279" s="26">
        <v>262.80538000000001</v>
      </c>
      <c r="T279" s="26">
        <v>245.44667000000001</v>
      </c>
    </row>
    <row r="280" spans="1:21" x14ac:dyDescent="0.35">
      <c r="A280" s="7">
        <v>279</v>
      </c>
      <c r="B280" s="3">
        <v>43140</v>
      </c>
      <c r="C280" s="2">
        <v>251.18</v>
      </c>
      <c r="D280" s="14">
        <v>253.89</v>
      </c>
      <c r="E280" s="14">
        <v>243.59</v>
      </c>
      <c r="F280" s="2">
        <v>251.86</v>
      </c>
      <c r="G280" s="1">
        <v>294421856</v>
      </c>
      <c r="H280" s="6" t="s">
        <v>10</v>
      </c>
      <c r="I280" s="6">
        <f>IF(AND(H279="UP",testdataHighLow[[#This Row],[high]]&gt;I279),testdataHighLow[[#This Row],[high]],IF(AND(H279="DN",testdataHighLow[[#This Row],[low]]&lt;I279),testdataHighLow[[#This Row],[low]],I279))</f>
        <v>243.59</v>
      </c>
      <c r="J2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80" s="18">
        <f>testdataHighLow[[#This Row],[low]]</f>
        <v>243.59</v>
      </c>
      <c r="L280" s="6" t="s">
        <v>15</v>
      </c>
      <c r="M280" s="19">
        <f ca="1">IF(testdataHighLow[[#This Row],[type]]="H",testdataHighLow[[#This Row],[high]],AVERAGE(M279,M281))</f>
        <v>263.29076923076889</v>
      </c>
      <c r="N280" s="19">
        <f>IF(testdataHighLow[[#This Row],[type]]="L",testdataHighLow[[#This Row],[low]],AVERAGE(N279,N281))</f>
        <v>243.59</v>
      </c>
      <c r="Q280" s="7">
        <v>279</v>
      </c>
      <c r="R280" s="18">
        <v>243.59</v>
      </c>
      <c r="S280" s="19">
        <v>263.29077000000001</v>
      </c>
      <c r="T280" s="19">
        <v>243.59</v>
      </c>
      <c r="U280" s="4" t="s">
        <v>15</v>
      </c>
    </row>
    <row r="281" spans="1:21" x14ac:dyDescent="0.35">
      <c r="A281" s="7">
        <v>280</v>
      </c>
      <c r="B281" s="3">
        <v>43143</v>
      </c>
      <c r="C281" s="2">
        <v>254.1</v>
      </c>
      <c r="D281" s="14">
        <v>257.16000000000003</v>
      </c>
      <c r="E281" s="14">
        <v>252.02</v>
      </c>
      <c r="F281" s="2">
        <v>255.56</v>
      </c>
      <c r="G281" s="1">
        <v>149239040</v>
      </c>
      <c r="H281" s="6" t="s">
        <v>10</v>
      </c>
      <c r="I281" s="6">
        <f>IF(AND(H280="UP",testdataHighLow[[#This Row],[high]]&gt;I280),testdataHighLow[[#This Row],[high]],IF(AND(H280="DN",testdataHighLow[[#This Row],[low]]&lt;I280),testdataHighLow[[#This Row],[low]],I280))</f>
        <v>257.16000000000003</v>
      </c>
      <c r="J2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-1.9987556385129935E-2</v>
      </c>
      <c r="K281" s="15">
        <f t="shared" ca="1" si="5"/>
        <v>245.86636363636376</v>
      </c>
      <c r="L281" s="6"/>
      <c r="M281" s="19">
        <f ca="1">IF(testdataHighLow[[#This Row],[type]]="H",testdataHighLow[[#This Row],[high]],AVERAGE(M280,M282))</f>
        <v>263.77615384615336</v>
      </c>
      <c r="N281" s="19">
        <f ca="1">IF(testdataHighLow[[#This Row],[type]]="L",testdataHighLow[[#This Row],[low]],AVERAGE(N280,N282))</f>
        <v>244.40857142857135</v>
      </c>
      <c r="Q281" s="7">
        <v>280</v>
      </c>
      <c r="R281" s="15">
        <v>245.8664</v>
      </c>
      <c r="S281" s="19">
        <v>263.77614999999997</v>
      </c>
      <c r="T281" s="19">
        <v>244.40857</v>
      </c>
    </row>
    <row r="282" spans="1:21" x14ac:dyDescent="0.35">
      <c r="A282" s="7">
        <v>281</v>
      </c>
      <c r="B282" s="3">
        <v>43144</v>
      </c>
      <c r="C282" s="2">
        <v>254.24</v>
      </c>
      <c r="D282" s="14">
        <v>256.79000000000002</v>
      </c>
      <c r="E282" s="14">
        <v>253.6</v>
      </c>
      <c r="F282" s="2">
        <v>256.19</v>
      </c>
      <c r="G282" s="1">
        <v>84333360</v>
      </c>
      <c r="H282" s="6" t="s">
        <v>10</v>
      </c>
      <c r="I282" s="6">
        <f>IF(AND(H281="UP",testdataHighLow[[#This Row],[high]]&gt;I281),testdataHighLow[[#This Row],[high]],IF(AND(H281="DN",testdataHighLow[[#This Row],[low]]&lt;I281),testdataHighLow[[#This Row],[low]],I281))</f>
        <v>257.16000000000003</v>
      </c>
      <c r="J2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-1.3843521543008361E-2</v>
      </c>
      <c r="K282" s="15">
        <f t="shared" ca="1" si="5"/>
        <v>248.14272727272748</v>
      </c>
      <c r="L282" s="6"/>
      <c r="M282" s="19">
        <f ca="1">IF(testdataHighLow[[#This Row],[type]]="H",testdataHighLow[[#This Row],[high]],AVERAGE(M281,M283))</f>
        <v>264.26153846153784</v>
      </c>
      <c r="N282" s="19">
        <f ca="1">IF(testdataHighLow[[#This Row],[type]]="L",testdataHighLow[[#This Row],[low]],AVERAGE(N281,N283))</f>
        <v>245.2271428571427</v>
      </c>
      <c r="Q282" s="7">
        <v>281</v>
      </c>
      <c r="R282" s="15">
        <v>248.14269999999999</v>
      </c>
      <c r="S282" s="19">
        <v>264.26154000000002</v>
      </c>
      <c r="T282" s="19">
        <v>245.22713999999999</v>
      </c>
    </row>
    <row r="283" spans="1:21" x14ac:dyDescent="0.35">
      <c r="A283" s="7">
        <v>282</v>
      </c>
      <c r="B283" s="3">
        <v>43145</v>
      </c>
      <c r="C283" s="2">
        <v>254.56</v>
      </c>
      <c r="D283" s="14">
        <v>260.04000000000002</v>
      </c>
      <c r="E283" s="14">
        <v>254.55</v>
      </c>
      <c r="F283" s="2">
        <v>259.64999999999998</v>
      </c>
      <c r="G283" s="1">
        <v>125358160</v>
      </c>
      <c r="H283" s="6" t="s">
        <v>10</v>
      </c>
      <c r="I283" s="6">
        <f>IF(AND(H282="UP",testdataHighLow[[#This Row],[high]]&gt;I282),testdataHighLow[[#This Row],[high]],IF(AND(H282="DN",testdataHighLow[[#This Row],[low]]&lt;I282),testdataHighLow[[#This Row],[low]],I282))</f>
        <v>260.04000000000002</v>
      </c>
      <c r="J2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-2.111213659437013E-2</v>
      </c>
      <c r="K283" s="15">
        <f t="shared" ca="1" si="5"/>
        <v>250.41909090909121</v>
      </c>
      <c r="L283" s="6"/>
      <c r="M283" s="19">
        <f ca="1">IF(testdataHighLow[[#This Row],[type]]="H",testdataHighLow[[#This Row],[high]],AVERAGE(M282,M284))</f>
        <v>264.74692307692237</v>
      </c>
      <c r="N283" s="19">
        <f ca="1">IF(testdataHighLow[[#This Row],[type]]="L",testdataHighLow[[#This Row],[low]],AVERAGE(N282,N284))</f>
        <v>246.04571428571404</v>
      </c>
      <c r="Q283" s="7">
        <v>282</v>
      </c>
      <c r="R283" s="15">
        <v>250.41909999999999</v>
      </c>
      <c r="S283" s="19">
        <v>264.74691999999999</v>
      </c>
      <c r="T283" s="19">
        <v>246.04571000000001</v>
      </c>
    </row>
    <row r="284" spans="1:21" x14ac:dyDescent="0.35">
      <c r="A284" s="7">
        <v>283</v>
      </c>
      <c r="B284" s="3">
        <v>43146</v>
      </c>
      <c r="C284" s="2">
        <v>261.56</v>
      </c>
      <c r="D284" s="14">
        <v>262.97000000000003</v>
      </c>
      <c r="E284" s="14">
        <v>258.86</v>
      </c>
      <c r="F284" s="2">
        <v>262.95999999999998</v>
      </c>
      <c r="G284" s="1">
        <v>115457688</v>
      </c>
      <c r="H284" s="6" t="s">
        <v>10</v>
      </c>
      <c r="I284" s="6">
        <f>IF(AND(H283="UP",testdataHighLow[[#This Row],[high]]&gt;I283),testdataHighLow[[#This Row],[high]],IF(AND(H283="DN",testdataHighLow[[#This Row],[low]]&lt;I283),testdataHighLow[[#This Row],[low]],I283))</f>
        <v>262.97000000000003</v>
      </c>
      <c r="J2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-1.5629159219682904E-2</v>
      </c>
      <c r="K284" s="15">
        <f t="shared" ca="1" si="5"/>
        <v>252.69545454545491</v>
      </c>
      <c r="L284" s="6"/>
      <c r="M284" s="19">
        <f ca="1">IF(testdataHighLow[[#This Row],[type]]="H",testdataHighLow[[#This Row],[high]],AVERAGE(M283,M285))</f>
        <v>265.23230769230696</v>
      </c>
      <c r="N284" s="19">
        <f ca="1">IF(testdataHighLow[[#This Row],[type]]="L",testdataHighLow[[#This Row],[low]],AVERAGE(N283,N285))</f>
        <v>246.86428571428542</v>
      </c>
      <c r="Q284" s="7">
        <v>283</v>
      </c>
      <c r="R284" s="15">
        <v>252.69550000000001</v>
      </c>
      <c r="S284" s="19">
        <v>265.23230999999998</v>
      </c>
      <c r="T284" s="19">
        <v>246.86429000000001</v>
      </c>
    </row>
    <row r="285" spans="1:21" x14ac:dyDescent="0.35">
      <c r="A285" s="7">
        <v>284</v>
      </c>
      <c r="B285" s="3">
        <v>43147</v>
      </c>
      <c r="C285" s="2">
        <v>262.27999999999997</v>
      </c>
      <c r="D285" s="14">
        <v>265.17</v>
      </c>
      <c r="E285" s="14">
        <v>262.23</v>
      </c>
      <c r="F285" s="2">
        <v>263.04000000000002</v>
      </c>
      <c r="G285" s="1">
        <v>166561968</v>
      </c>
      <c r="H285" s="6" t="s">
        <v>10</v>
      </c>
      <c r="I285" s="6">
        <f>IF(AND(H284="UP",testdataHighLow[[#This Row],[high]]&gt;I284),testdataHighLow[[#This Row],[high]],IF(AND(H284="DN",testdataHighLow[[#This Row],[low]]&lt;I284),testdataHighLow[[#This Row],[low]],I284))</f>
        <v>265.17</v>
      </c>
      <c r="J2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-1.108722706188482E-2</v>
      </c>
      <c r="K285" s="15">
        <f t="shared" ca="1" si="5"/>
        <v>254.97181818181861</v>
      </c>
      <c r="L285" s="6"/>
      <c r="M285" s="19">
        <f ca="1">IF(testdataHighLow[[#This Row],[type]]="H",testdataHighLow[[#This Row],[high]],AVERAGE(M284,M286))</f>
        <v>265.71769230769155</v>
      </c>
      <c r="N285" s="19">
        <f ca="1">IF(testdataHighLow[[#This Row],[type]]="L",testdataHighLow[[#This Row],[low]],AVERAGE(N284,N286))</f>
        <v>247.68285714285679</v>
      </c>
      <c r="Q285" s="7">
        <v>284</v>
      </c>
      <c r="R285" s="15">
        <v>254.9718</v>
      </c>
      <c r="S285" s="19">
        <v>265.71769</v>
      </c>
      <c r="T285" s="19">
        <v>247.68286000000001</v>
      </c>
    </row>
    <row r="286" spans="1:21" x14ac:dyDescent="0.35">
      <c r="A286" s="7">
        <v>285</v>
      </c>
      <c r="B286" s="3">
        <v>43151</v>
      </c>
      <c r="C286" s="2">
        <v>262</v>
      </c>
      <c r="D286" s="14">
        <v>263.58</v>
      </c>
      <c r="E286" s="14">
        <v>260.52999999999997</v>
      </c>
      <c r="F286" s="2">
        <v>261.39</v>
      </c>
      <c r="G286" s="1">
        <v>89676400</v>
      </c>
      <c r="H286" s="6" t="s">
        <v>10</v>
      </c>
      <c r="I286" s="6">
        <f>IF(AND(H285="UP",testdataHighLow[[#This Row],[high]]&gt;I285),testdataHighLow[[#This Row],[high]],IF(AND(H285="DN",testdataHighLow[[#This Row],[low]]&lt;I285),testdataHighLow[[#This Row],[low]],I285))</f>
        <v>265.17</v>
      </c>
      <c r="J2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-1.7498208696308189E-2</v>
      </c>
      <c r="K286" s="15">
        <f t="shared" ca="1" si="5"/>
        <v>257.24818181818227</v>
      </c>
      <c r="L286" s="6"/>
      <c r="M286" s="19">
        <f ca="1">IF(testdataHighLow[[#This Row],[type]]="H",testdataHighLow[[#This Row],[high]],AVERAGE(M285,M287))</f>
        <v>266.2030769230762</v>
      </c>
      <c r="N286" s="19">
        <f ca="1">IF(testdataHighLow[[#This Row],[type]]="L",testdataHighLow[[#This Row],[low]],AVERAGE(N285,N287))</f>
        <v>248.50142857142819</v>
      </c>
      <c r="Q286" s="7">
        <v>285</v>
      </c>
      <c r="R286" s="15">
        <v>257.2482</v>
      </c>
      <c r="S286" s="19">
        <v>266.20308</v>
      </c>
      <c r="T286" s="19">
        <v>248.50143</v>
      </c>
    </row>
    <row r="287" spans="1:21" x14ac:dyDescent="0.35">
      <c r="A287" s="7">
        <v>286</v>
      </c>
      <c r="B287" s="3">
        <v>43152</v>
      </c>
      <c r="C287" s="2">
        <v>261.87</v>
      </c>
      <c r="D287" s="14">
        <v>264.58999999999997</v>
      </c>
      <c r="E287" s="14">
        <v>259.99</v>
      </c>
      <c r="F287" s="2">
        <v>260.08999999999997</v>
      </c>
      <c r="G287" s="1">
        <v>102669592</v>
      </c>
      <c r="H287" s="6" t="s">
        <v>10</v>
      </c>
      <c r="I287" s="6">
        <f>IF(AND(H286="UP",testdataHighLow[[#This Row],[high]]&gt;I286),testdataHighLow[[#This Row],[high]],IF(AND(H286="DN",testdataHighLow[[#This Row],[low]]&lt;I286),testdataHighLow[[#This Row],[low]],I286))</f>
        <v>265.17</v>
      </c>
      <c r="J2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-1.9534638156654245E-2</v>
      </c>
      <c r="K287" s="15">
        <f t="shared" ca="1" si="5"/>
        <v>259.52454545454589</v>
      </c>
      <c r="L287" s="6"/>
      <c r="M287" s="19">
        <f ca="1">IF(testdataHighLow[[#This Row],[type]]="H",testdataHighLow[[#This Row],[high]],AVERAGE(M286,M288))</f>
        <v>266.6884615384609</v>
      </c>
      <c r="N287" s="19">
        <f ca="1">IF(testdataHighLow[[#This Row],[type]]="L",testdataHighLow[[#This Row],[low]],AVERAGE(N286,N288))</f>
        <v>249.3199999999996</v>
      </c>
      <c r="Q287" s="7">
        <v>286</v>
      </c>
      <c r="R287" s="15">
        <v>259.52449999999999</v>
      </c>
      <c r="S287" s="19">
        <v>266.68846000000002</v>
      </c>
      <c r="T287" s="19">
        <v>249.32</v>
      </c>
    </row>
    <row r="288" spans="1:21" x14ac:dyDescent="0.35">
      <c r="A288" s="7">
        <v>287</v>
      </c>
      <c r="B288" s="3">
        <v>43153</v>
      </c>
      <c r="C288" s="2">
        <v>261.10000000000002</v>
      </c>
      <c r="D288" s="14">
        <v>262.98</v>
      </c>
      <c r="E288" s="14">
        <v>259.7</v>
      </c>
      <c r="F288" s="2">
        <v>260.43</v>
      </c>
      <c r="G288" s="1">
        <v>114742312</v>
      </c>
      <c r="H288" s="6" t="s">
        <v>10</v>
      </c>
      <c r="I288" s="6">
        <f>IF(AND(H287="UP",testdataHighLow[[#This Row],[high]]&gt;I287),testdataHighLow[[#This Row],[high]],IF(AND(H287="DN",testdataHighLow[[#This Row],[low]]&lt;I287),testdataHighLow[[#This Row],[low]],I287))</f>
        <v>265.17</v>
      </c>
      <c r="J2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-2.0628276200173577E-2</v>
      </c>
      <c r="K288" s="15">
        <f t="shared" ca="1" si="5"/>
        <v>261.80090909090944</v>
      </c>
      <c r="L288" s="6"/>
      <c r="M288" s="19">
        <f ca="1">IF(testdataHighLow[[#This Row],[type]]="H",testdataHighLow[[#This Row],[high]],AVERAGE(M287,M289))</f>
        <v>267.1738461538456</v>
      </c>
      <c r="N288" s="19">
        <f ca="1">IF(testdataHighLow[[#This Row],[type]]="L",testdataHighLow[[#This Row],[low]],AVERAGE(N287,N289))</f>
        <v>250.13857142857103</v>
      </c>
      <c r="Q288" s="7">
        <v>287</v>
      </c>
      <c r="R288" s="15">
        <v>261.80090000000001</v>
      </c>
      <c r="S288" s="19">
        <v>267.17385000000002</v>
      </c>
      <c r="T288" s="19">
        <v>250.13856999999999</v>
      </c>
    </row>
    <row r="289" spans="1:21" x14ac:dyDescent="0.35">
      <c r="A289" s="7">
        <v>288</v>
      </c>
      <c r="B289" s="3">
        <v>43154</v>
      </c>
      <c r="C289" s="2">
        <v>261.77</v>
      </c>
      <c r="D289" s="14">
        <v>264.58</v>
      </c>
      <c r="E289" s="14">
        <v>261.25</v>
      </c>
      <c r="F289" s="2">
        <v>264.58</v>
      </c>
      <c r="G289" s="1">
        <v>96318072</v>
      </c>
      <c r="H289" s="6" t="s">
        <v>10</v>
      </c>
      <c r="I289" s="6">
        <f>IF(AND(H288="UP",testdataHighLow[[#This Row],[high]]&gt;I288),testdataHighLow[[#This Row],[high]],IF(AND(H288="DN",testdataHighLow[[#This Row],[low]]&lt;I288),testdataHighLow[[#This Row],[low]],I288))</f>
        <v>265.17</v>
      </c>
      <c r="J2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-1.4782969415846498E-2</v>
      </c>
      <c r="K289" s="15">
        <f t="shared" ca="1" si="5"/>
        <v>264.077272727273</v>
      </c>
      <c r="L289" s="6"/>
      <c r="M289" s="19">
        <f ca="1">IF(testdataHighLow[[#This Row],[type]]="H",testdataHighLow[[#This Row],[high]],AVERAGE(M288,M290))</f>
        <v>267.65923076923036</v>
      </c>
      <c r="N289" s="19">
        <f ca="1">IF(testdataHighLow[[#This Row],[type]]="L",testdataHighLow[[#This Row],[low]],AVERAGE(N288,N290))</f>
        <v>250.95714285714249</v>
      </c>
      <c r="Q289" s="7">
        <v>288</v>
      </c>
      <c r="R289" s="15">
        <v>264.07729999999998</v>
      </c>
      <c r="S289" s="19">
        <v>267.65922999999998</v>
      </c>
      <c r="T289" s="19">
        <v>250.95714000000001</v>
      </c>
    </row>
    <row r="290" spans="1:21" x14ac:dyDescent="0.35">
      <c r="A290" s="7">
        <v>289</v>
      </c>
      <c r="B290" s="3">
        <v>43157</v>
      </c>
      <c r="C290" s="2">
        <v>265.76</v>
      </c>
      <c r="D290" s="14">
        <v>267.76</v>
      </c>
      <c r="E290" s="14">
        <v>265.11</v>
      </c>
      <c r="F290" s="2">
        <v>267.64999999999998</v>
      </c>
      <c r="G290" s="1">
        <v>89802808</v>
      </c>
      <c r="H290" s="6" t="s">
        <v>10</v>
      </c>
      <c r="I290" s="6">
        <f>IF(AND(H289="UP",testdataHighLow[[#This Row],[high]]&gt;I289),testdataHighLow[[#This Row],[high]],IF(AND(H289="DN",testdataHighLow[[#This Row],[low]]&lt;I289),testdataHighLow[[#This Row],[low]],I289))</f>
        <v>267.76</v>
      </c>
      <c r="J2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-9.8969226172691115E-3</v>
      </c>
      <c r="K290" s="15">
        <f t="shared" ca="1" si="5"/>
        <v>266.3536363636365</v>
      </c>
      <c r="L290" s="6"/>
      <c r="M290" s="19">
        <f ca="1">IF(testdataHighLow[[#This Row],[type]]="H",testdataHighLow[[#This Row],[high]],AVERAGE(M289,M291))</f>
        <v>268.14461538461518</v>
      </c>
      <c r="N290" s="19">
        <f ca="1">IF(testdataHighLow[[#This Row],[type]]="L",testdataHighLow[[#This Row],[low]],AVERAGE(N289,N291))</f>
        <v>251.77571428571395</v>
      </c>
      <c r="Q290" s="7">
        <v>289</v>
      </c>
      <c r="R290" s="15">
        <v>266.35359999999997</v>
      </c>
      <c r="S290" s="19">
        <v>268.14461999999997</v>
      </c>
      <c r="T290" s="19">
        <v>251.77571</v>
      </c>
    </row>
    <row r="291" spans="1:21" x14ac:dyDescent="0.35">
      <c r="A291" s="7">
        <v>290</v>
      </c>
      <c r="B291" s="3">
        <v>43158</v>
      </c>
      <c r="C291" s="2">
        <v>267.86</v>
      </c>
      <c r="D291" s="14">
        <v>268.63</v>
      </c>
      <c r="E291" s="14">
        <v>264.24</v>
      </c>
      <c r="F291" s="2">
        <v>264.31</v>
      </c>
      <c r="G291" s="1">
        <v>102893264</v>
      </c>
      <c r="H291" s="6" t="s">
        <v>12</v>
      </c>
      <c r="I291" s="6">
        <f>IF(AND(H290="UP",testdataHighLow[[#This Row],[high]]&gt;I290),testdataHighLow[[#This Row],[high]],IF(AND(H290="DN",testdataHighLow[[#This Row],[low]]&lt;I290),testdataHighLow[[#This Row],[low]],I290))</f>
        <v>268.63</v>
      </c>
      <c r="J2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91" s="18">
        <f>testdataHighLow[[#This Row],[high]]</f>
        <v>268.63</v>
      </c>
      <c r="L291" s="6" t="s">
        <v>14</v>
      </c>
      <c r="M291" s="19">
        <f>IF(testdataHighLow[[#This Row],[type]]="H",testdataHighLow[[#This Row],[high]],AVERAGE(M290,M292))</f>
        <v>268.63</v>
      </c>
      <c r="N291" s="19">
        <f ca="1">IF(testdataHighLow[[#This Row],[type]]="L",testdataHighLow[[#This Row],[low]],AVERAGE(N290,N292))</f>
        <v>252.59428571428543</v>
      </c>
      <c r="Q291" s="7">
        <v>290</v>
      </c>
      <c r="R291" s="18">
        <v>268.63</v>
      </c>
      <c r="S291" s="19">
        <v>268.63</v>
      </c>
      <c r="T291" s="19">
        <v>252.59429</v>
      </c>
      <c r="U291" s="4" t="s">
        <v>14</v>
      </c>
    </row>
    <row r="292" spans="1:21" x14ac:dyDescent="0.35">
      <c r="A292" s="7">
        <v>291</v>
      </c>
      <c r="B292" s="3">
        <v>43159</v>
      </c>
      <c r="C292" s="2">
        <v>265.51</v>
      </c>
      <c r="D292" s="14">
        <v>266.01</v>
      </c>
      <c r="E292" s="14">
        <v>261.29000000000002</v>
      </c>
      <c r="F292" s="2">
        <v>261.63</v>
      </c>
      <c r="G292" s="1">
        <v>126575120</v>
      </c>
      <c r="H292" s="6" t="s">
        <v>12</v>
      </c>
      <c r="I292" s="6">
        <f>IF(AND(H291="UP",testdataHighLow[[#This Row],[high]]&gt;I291),testdataHighLow[[#This Row],[high]],IF(AND(H291="DN",testdataHighLow[[#This Row],[low]]&lt;I291),testdataHighLow[[#This Row],[low]],I291))</f>
        <v>261.29000000000002</v>
      </c>
      <c r="J2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1.8064219832370047E-2</v>
      </c>
      <c r="K292" s="15">
        <f t="shared" ca="1" si="5"/>
        <v>264.10333333333335</v>
      </c>
      <c r="L292" s="6"/>
      <c r="M292" s="19">
        <f ca="1">IF(testdataHighLow[[#This Row],[type]]="H",testdataHighLow[[#This Row],[high]],AVERAGE(M291,M293))</f>
        <v>268.77399999999989</v>
      </c>
      <c r="N292" s="19">
        <f ca="1">IF(testdataHighLow[[#This Row],[type]]="L",testdataHighLow[[#This Row],[low]],AVERAGE(N291,N293))</f>
        <v>253.41285714285695</v>
      </c>
      <c r="Q292" s="7">
        <v>291</v>
      </c>
      <c r="R292" s="15">
        <v>264.10329999999999</v>
      </c>
      <c r="S292" s="19">
        <v>268.774</v>
      </c>
      <c r="T292" s="19">
        <v>253.41285999999999</v>
      </c>
    </row>
    <row r="293" spans="1:21" x14ac:dyDescent="0.35">
      <c r="A293" s="7">
        <v>292</v>
      </c>
      <c r="B293" s="3">
        <v>43160</v>
      </c>
      <c r="C293" s="2">
        <v>261.39999999999998</v>
      </c>
      <c r="D293" s="14">
        <v>263.10000000000002</v>
      </c>
      <c r="E293" s="14">
        <v>256.19</v>
      </c>
      <c r="F293" s="2">
        <v>257.83</v>
      </c>
      <c r="G293" s="1">
        <v>183626128</v>
      </c>
      <c r="H293" s="6" t="s">
        <v>12</v>
      </c>
      <c r="I293" s="6">
        <f>IF(AND(H292="UP",testdataHighLow[[#This Row],[high]]&gt;I292),testdataHighLow[[#This Row],[high]],IF(AND(H292="DN",testdataHighLow[[#This Row],[low]]&lt;I292),testdataHighLow[[#This Row],[low]],I292))</f>
        <v>256.19</v>
      </c>
      <c r="J2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2.6972169093251199E-2</v>
      </c>
      <c r="K293" s="15">
        <f t="shared" ca="1" si="5"/>
        <v>259.57666666666671</v>
      </c>
      <c r="L293" s="6"/>
      <c r="M293" s="19">
        <f ca="1">IF(testdataHighLow[[#This Row],[type]]="H",testdataHighLow[[#This Row],[high]],AVERAGE(M292,M294))</f>
        <v>268.91799999999978</v>
      </c>
      <c r="N293" s="19">
        <f ca="1">IF(testdataHighLow[[#This Row],[type]]="L",testdataHighLow[[#This Row],[low]],AVERAGE(N292,N294))</f>
        <v>254.23142857142847</v>
      </c>
      <c r="Q293" s="7">
        <v>292</v>
      </c>
      <c r="R293" s="15">
        <v>259.57670000000002</v>
      </c>
      <c r="S293" s="19">
        <v>268.91800000000001</v>
      </c>
      <c r="T293" s="19">
        <v>254.23142999999999</v>
      </c>
    </row>
    <row r="294" spans="1:21" x14ac:dyDescent="0.35">
      <c r="A294" s="7">
        <v>293</v>
      </c>
      <c r="B294" s="3">
        <v>43161</v>
      </c>
      <c r="C294" s="2">
        <v>256</v>
      </c>
      <c r="D294" s="14">
        <v>259.77</v>
      </c>
      <c r="E294" s="14">
        <v>255.05</v>
      </c>
      <c r="F294" s="2">
        <v>259.16000000000003</v>
      </c>
      <c r="G294" s="1">
        <v>144408144</v>
      </c>
      <c r="H294" s="6" t="s">
        <v>10</v>
      </c>
      <c r="I294" s="6">
        <f>IF(AND(H293="UP",testdataHighLow[[#This Row],[high]]&gt;I293),testdataHighLow[[#This Row],[high]],IF(AND(H293="DN",testdataHighLow[[#This Row],[low]]&lt;I293),testdataHighLow[[#This Row],[low]],I293))</f>
        <v>255.05</v>
      </c>
      <c r="J2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294" s="18">
        <f>testdataHighLow[[#This Row],[low]]</f>
        <v>255.05</v>
      </c>
      <c r="L294" s="6" t="s">
        <v>15</v>
      </c>
      <c r="M294" s="19">
        <f ca="1">IF(testdataHighLow[[#This Row],[type]]="H",testdataHighLow[[#This Row],[high]],AVERAGE(M293,M295))</f>
        <v>269.06199999999967</v>
      </c>
      <c r="N294" s="19">
        <f>IF(testdataHighLow[[#This Row],[type]]="L",testdataHighLow[[#This Row],[low]],AVERAGE(N293,N295))</f>
        <v>255.05</v>
      </c>
      <c r="Q294" s="7">
        <v>293</v>
      </c>
      <c r="R294" s="18">
        <v>255.05</v>
      </c>
      <c r="S294" s="19">
        <v>269.06200000000001</v>
      </c>
      <c r="T294" s="19">
        <v>255.05</v>
      </c>
      <c r="U294" s="4" t="s">
        <v>15</v>
      </c>
    </row>
    <row r="295" spans="1:21" x14ac:dyDescent="0.35">
      <c r="A295" s="7">
        <v>294</v>
      </c>
      <c r="B295" s="3">
        <v>43164</v>
      </c>
      <c r="C295" s="2">
        <v>257.86</v>
      </c>
      <c r="D295" s="14">
        <v>262.83</v>
      </c>
      <c r="E295" s="14">
        <v>257.74</v>
      </c>
      <c r="F295" s="2">
        <v>262.14999999999998</v>
      </c>
      <c r="G295" s="1">
        <v>101032888</v>
      </c>
      <c r="H295" s="6" t="s">
        <v>10</v>
      </c>
      <c r="I295" s="6">
        <f>IF(AND(H294="UP",testdataHighLow[[#This Row],[high]]&gt;I294),testdataHighLow[[#This Row],[high]],IF(AND(H294="DN",testdataHighLow[[#This Row],[low]]&lt;I294),testdataHighLow[[#This Row],[low]],I294))</f>
        <v>262.83</v>
      </c>
      <c r="J2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-1.9366130198226895E-2</v>
      </c>
      <c r="K295" s="15">
        <f t="shared" ca="1" si="5"/>
        <v>257.19571428571442</v>
      </c>
      <c r="L295" s="6"/>
      <c r="M295" s="19">
        <f ca="1">IF(testdataHighLow[[#This Row],[type]]="H",testdataHighLow[[#This Row],[high]],AVERAGE(M294,M296))</f>
        <v>269.20599999999962</v>
      </c>
      <c r="N295" s="19">
        <f ca="1">IF(testdataHighLow[[#This Row],[type]]="L",testdataHighLow[[#This Row],[low]],AVERAGE(N294,N296))</f>
        <v>254.66799999999989</v>
      </c>
      <c r="Q295" s="7">
        <v>294</v>
      </c>
      <c r="R295" s="15">
        <v>257.19569999999999</v>
      </c>
      <c r="S295" s="19">
        <v>269.20600000000002</v>
      </c>
      <c r="T295" s="19">
        <v>254.66800000000001</v>
      </c>
    </row>
    <row r="296" spans="1:21" x14ac:dyDescent="0.35">
      <c r="A296" s="7">
        <v>295</v>
      </c>
      <c r="B296" s="3">
        <v>43165</v>
      </c>
      <c r="C296" s="2">
        <v>263.22000000000003</v>
      </c>
      <c r="D296" s="14">
        <v>263.31</v>
      </c>
      <c r="E296" s="14">
        <v>261.18</v>
      </c>
      <c r="F296" s="2">
        <v>262.82</v>
      </c>
      <c r="G296" s="1">
        <v>82245904</v>
      </c>
      <c r="H296" s="6" t="s">
        <v>10</v>
      </c>
      <c r="I296" s="6">
        <f>IF(AND(H295="UP",testdataHighLow[[#This Row],[high]]&gt;I295),testdataHighLow[[#This Row],[high]],IF(AND(H295="DN",testdataHighLow[[#This Row],[low]]&lt;I295),testdataHighLow[[#This Row],[low]],I295))</f>
        <v>263.31</v>
      </c>
      <c r="J2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-8.0893243705138264E-3</v>
      </c>
      <c r="K296" s="15">
        <f t="shared" ca="1" si="5"/>
        <v>259.34142857142876</v>
      </c>
      <c r="L296" s="6"/>
      <c r="M296" s="19">
        <f ca="1">IF(testdataHighLow[[#This Row],[type]]="H",testdataHighLow[[#This Row],[high]],AVERAGE(M295,M297))</f>
        <v>269.34999999999957</v>
      </c>
      <c r="N296" s="19">
        <f ca="1">IF(testdataHighLow[[#This Row],[type]]="L",testdataHighLow[[#This Row],[low]],AVERAGE(N295,N297))</f>
        <v>254.2859999999998</v>
      </c>
      <c r="Q296" s="7">
        <v>295</v>
      </c>
      <c r="R296" s="15">
        <v>259.34140000000002</v>
      </c>
      <c r="S296" s="19">
        <v>269.35000000000002</v>
      </c>
      <c r="T296" s="19">
        <v>254.286</v>
      </c>
    </row>
    <row r="297" spans="1:21" x14ac:dyDescent="0.35">
      <c r="A297" s="7">
        <v>296</v>
      </c>
      <c r="B297" s="3">
        <v>43166</v>
      </c>
      <c r="C297" s="2">
        <v>260.45</v>
      </c>
      <c r="D297" s="14">
        <v>263.11</v>
      </c>
      <c r="E297" s="14">
        <v>260.24</v>
      </c>
      <c r="F297" s="2">
        <v>262.72000000000003</v>
      </c>
      <c r="G297" s="1">
        <v>90396808</v>
      </c>
      <c r="H297" s="6" t="s">
        <v>10</v>
      </c>
      <c r="I297" s="6">
        <f>IF(AND(H296="UP",testdataHighLow[[#This Row],[high]]&gt;I296),testdataHighLow[[#This Row],[high]],IF(AND(H296="DN",testdataHighLow[[#This Row],[low]]&lt;I296),testdataHighLow[[#This Row],[low]],I296))</f>
        <v>263.31</v>
      </c>
      <c r="J2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-1.1659260947172508E-2</v>
      </c>
      <c r="K297" s="15">
        <f t="shared" ca="1" si="5"/>
        <v>261.48714285714306</v>
      </c>
      <c r="L297" s="6"/>
      <c r="M297" s="19">
        <f ca="1">IF(testdataHighLow[[#This Row],[type]]="H",testdataHighLow[[#This Row],[high]],AVERAGE(M296,M298))</f>
        <v>269.49399999999957</v>
      </c>
      <c r="N297" s="19">
        <f ca="1">IF(testdataHighLow[[#This Row],[type]]="L",testdataHighLow[[#This Row],[low]],AVERAGE(N296,N298))</f>
        <v>253.90399999999971</v>
      </c>
      <c r="Q297" s="7">
        <v>296</v>
      </c>
      <c r="R297" s="15">
        <v>261.4871</v>
      </c>
      <c r="S297" s="19">
        <v>269.49400000000003</v>
      </c>
      <c r="T297" s="19">
        <v>253.904</v>
      </c>
    </row>
    <row r="298" spans="1:21" x14ac:dyDescent="0.35">
      <c r="A298" s="7">
        <v>297</v>
      </c>
      <c r="B298" s="3">
        <v>43167</v>
      </c>
      <c r="C298" s="2">
        <v>263.45999999999998</v>
      </c>
      <c r="D298" s="14">
        <v>264.13</v>
      </c>
      <c r="E298" s="14">
        <v>262.37</v>
      </c>
      <c r="F298" s="2">
        <v>263.99</v>
      </c>
      <c r="G298" s="1">
        <v>69462520</v>
      </c>
      <c r="H298" s="6" t="s">
        <v>10</v>
      </c>
      <c r="I298" s="6">
        <f>IF(AND(H297="UP",testdataHighLow[[#This Row],[high]]&gt;I297),testdataHighLow[[#This Row],[high]],IF(AND(H297="DN",testdataHighLow[[#This Row],[low]]&lt;I297),testdataHighLow[[#This Row],[low]],I297))</f>
        <v>264.13</v>
      </c>
      <c r="J2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-6.6633854541324001E-3</v>
      </c>
      <c r="K298" s="15">
        <f t="shared" ca="1" si="5"/>
        <v>263.63285714285735</v>
      </c>
      <c r="L298" s="6"/>
      <c r="M298" s="19">
        <f ca="1">IF(testdataHighLow[[#This Row],[type]]="H",testdataHighLow[[#This Row],[high]],AVERAGE(M297,M299))</f>
        <v>269.63799999999964</v>
      </c>
      <c r="N298" s="19">
        <f ca="1">IF(testdataHighLow[[#This Row],[type]]="L",testdataHighLow[[#This Row],[low]],AVERAGE(N297,N299))</f>
        <v>253.52199999999965</v>
      </c>
      <c r="Q298" s="7">
        <v>297</v>
      </c>
      <c r="R298" s="15">
        <v>263.63290000000001</v>
      </c>
      <c r="S298" s="19">
        <v>269.63799999999998</v>
      </c>
      <c r="T298" s="19">
        <v>253.52199999999999</v>
      </c>
    </row>
    <row r="299" spans="1:21" x14ac:dyDescent="0.35">
      <c r="A299" s="7">
        <v>298</v>
      </c>
      <c r="B299" s="3">
        <v>43168</v>
      </c>
      <c r="C299" s="2">
        <v>265.52999999999997</v>
      </c>
      <c r="D299" s="14">
        <v>268.58999999999997</v>
      </c>
      <c r="E299" s="14">
        <v>265.19</v>
      </c>
      <c r="F299" s="2">
        <v>268.58999999999997</v>
      </c>
      <c r="G299" s="1">
        <v>117975584</v>
      </c>
      <c r="H299" s="6" t="s">
        <v>10</v>
      </c>
      <c r="I299" s="6">
        <f>IF(AND(H298="UP",testdataHighLow[[#This Row],[high]]&gt;I298),testdataHighLow[[#This Row],[high]],IF(AND(H298="DN",testdataHighLow[[#This Row],[low]]&lt;I298),testdataHighLow[[#This Row],[low]],I298))</f>
        <v>268.58999999999997</v>
      </c>
      <c r="J2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-1.2658699132506711E-2</v>
      </c>
      <c r="K299" s="15">
        <f t="shared" ca="1" si="5"/>
        <v>265.77857142857158</v>
      </c>
      <c r="L299" s="6"/>
      <c r="M299" s="19">
        <f ca="1">IF(testdataHighLow[[#This Row],[type]]="H",testdataHighLow[[#This Row],[high]],AVERAGE(M298,M300))</f>
        <v>269.7819999999997</v>
      </c>
      <c r="N299" s="19">
        <f ca="1">IF(testdataHighLow[[#This Row],[type]]="L",testdataHighLow[[#This Row],[low]],AVERAGE(N298,N300))</f>
        <v>253.13999999999959</v>
      </c>
      <c r="Q299" s="7">
        <v>298</v>
      </c>
      <c r="R299" s="15">
        <v>265.77859999999998</v>
      </c>
      <c r="S299" s="19">
        <v>269.78199999999998</v>
      </c>
      <c r="T299" s="19">
        <v>253.14</v>
      </c>
    </row>
    <row r="300" spans="1:21" x14ac:dyDescent="0.35">
      <c r="A300" s="7">
        <v>299</v>
      </c>
      <c r="B300" s="3">
        <v>43171</v>
      </c>
      <c r="C300" s="2">
        <v>268.89999999999998</v>
      </c>
      <c r="D300" s="14">
        <v>269.58999999999997</v>
      </c>
      <c r="E300" s="14">
        <v>267.83</v>
      </c>
      <c r="F300" s="2">
        <v>268.25</v>
      </c>
      <c r="G300" s="1">
        <v>74678496</v>
      </c>
      <c r="H300" s="6" t="s">
        <v>10</v>
      </c>
      <c r="I300" s="6">
        <f>IF(AND(H299="UP",testdataHighLow[[#This Row],[high]]&gt;I299),testdataHighLow[[#This Row],[high]],IF(AND(H299="DN",testdataHighLow[[#This Row],[low]]&lt;I299),testdataHighLow[[#This Row],[low]],I299))</f>
        <v>269.58999999999997</v>
      </c>
      <c r="J3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-6.5284320635038062E-3</v>
      </c>
      <c r="K300" s="15">
        <f t="shared" ca="1" si="5"/>
        <v>267.92428571428582</v>
      </c>
      <c r="L300" s="6"/>
      <c r="M300" s="19">
        <f ca="1">IF(testdataHighLow[[#This Row],[type]]="H",testdataHighLow[[#This Row],[high]],AVERAGE(M299,M301))</f>
        <v>269.92599999999982</v>
      </c>
      <c r="N300" s="19">
        <f ca="1">IF(testdataHighLow[[#This Row],[type]]="L",testdataHighLow[[#This Row],[low]],AVERAGE(N299,N301))</f>
        <v>252.75799999999956</v>
      </c>
      <c r="Q300" s="7">
        <v>299</v>
      </c>
      <c r="R300" s="15">
        <v>267.92430000000002</v>
      </c>
      <c r="S300" s="19">
        <v>269.92599999999999</v>
      </c>
      <c r="T300" s="19">
        <v>252.75800000000001</v>
      </c>
    </row>
    <row r="301" spans="1:21" x14ac:dyDescent="0.35">
      <c r="A301" s="7">
        <v>300</v>
      </c>
      <c r="B301" s="3">
        <v>43172</v>
      </c>
      <c r="C301" s="2">
        <v>269.52</v>
      </c>
      <c r="D301" s="14">
        <v>270.07</v>
      </c>
      <c r="E301" s="14">
        <v>265.85000000000002</v>
      </c>
      <c r="F301" s="2">
        <v>266.52</v>
      </c>
      <c r="G301" s="1">
        <v>95490048</v>
      </c>
      <c r="H301" s="6" t="s">
        <v>12</v>
      </c>
      <c r="I301" s="6">
        <f>IF(AND(H300="UP",testdataHighLow[[#This Row],[high]]&gt;I300),testdataHighLow[[#This Row],[high]],IF(AND(H300="DN",testdataHighLow[[#This Row],[low]]&lt;I300),testdataHighLow[[#This Row],[low]],I300))</f>
        <v>270.07</v>
      </c>
      <c r="J3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01" s="18">
        <f>testdataHighLow[[#This Row],[high]]</f>
        <v>270.07</v>
      </c>
      <c r="L301" s="6" t="s">
        <v>14</v>
      </c>
      <c r="M301" s="19">
        <f>IF(testdataHighLow[[#This Row],[type]]="H",testdataHighLow[[#This Row],[high]],AVERAGE(M300,M302))</f>
        <v>270.07</v>
      </c>
      <c r="N301" s="19">
        <f ca="1">IF(testdataHighLow[[#This Row],[type]]="L",testdataHighLow[[#This Row],[low]],AVERAGE(N300,N302))</f>
        <v>252.37599999999952</v>
      </c>
      <c r="Q301" s="7">
        <v>300</v>
      </c>
      <c r="R301" s="18">
        <v>270.07</v>
      </c>
      <c r="S301" s="19">
        <v>270.07</v>
      </c>
      <c r="T301" s="19">
        <v>252.376</v>
      </c>
      <c r="U301" s="4" t="s">
        <v>14</v>
      </c>
    </row>
    <row r="302" spans="1:21" x14ac:dyDescent="0.35">
      <c r="A302" s="7">
        <v>301</v>
      </c>
      <c r="B302" s="3">
        <v>43173</v>
      </c>
      <c r="C302" s="2">
        <v>267.57</v>
      </c>
      <c r="D302" s="14">
        <v>267.77</v>
      </c>
      <c r="E302" s="14">
        <v>264.54000000000002</v>
      </c>
      <c r="F302" s="2">
        <v>265.14999999999998</v>
      </c>
      <c r="G302" s="1">
        <v>109949368</v>
      </c>
      <c r="H302" s="6" t="s">
        <v>12</v>
      </c>
      <c r="I302" s="6">
        <f>IF(AND(H301="UP",testdataHighLow[[#This Row],[high]]&gt;I301),testdataHighLow[[#This Row],[high]],IF(AND(H301="DN",testdataHighLow[[#This Row],[low]]&lt;I301),testdataHighLow[[#This Row],[low]],I301))</f>
        <v>264.54000000000002</v>
      </c>
      <c r="J3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1.2209873743101085E-2</v>
      </c>
      <c r="K302" s="15">
        <f t="shared" ca="1" si="5"/>
        <v>267.47625000000005</v>
      </c>
      <c r="L302" s="6"/>
      <c r="M302" s="19">
        <f ca="1">IF(testdataHighLow[[#This Row],[type]]="H",testdataHighLow[[#This Row],[high]],AVERAGE(M301,M303))</f>
        <v>268.85900000000015</v>
      </c>
      <c r="N302" s="19">
        <f ca="1">IF(testdataHighLow[[#This Row],[type]]="L",testdataHighLow[[#This Row],[low]],AVERAGE(N301,N303))</f>
        <v>251.99399999999952</v>
      </c>
      <c r="Q302" s="7">
        <v>301</v>
      </c>
      <c r="R302" s="15">
        <v>267.47629999999998</v>
      </c>
      <c r="S302" s="19">
        <v>268.85899999999998</v>
      </c>
      <c r="T302" s="19">
        <v>251.994</v>
      </c>
    </row>
    <row r="303" spans="1:21" x14ac:dyDescent="0.35">
      <c r="A303" s="7">
        <v>302</v>
      </c>
      <c r="B303" s="3">
        <v>43174</v>
      </c>
      <c r="C303" s="2">
        <v>265.70999999999998</v>
      </c>
      <c r="D303" s="14">
        <v>266.41000000000003</v>
      </c>
      <c r="E303" s="14">
        <v>264.31</v>
      </c>
      <c r="F303" s="2">
        <v>264.86</v>
      </c>
      <c r="G303" s="1">
        <v>86627344</v>
      </c>
      <c r="H303" s="6" t="s">
        <v>12</v>
      </c>
      <c r="I303" s="6">
        <f>IF(AND(H302="UP",testdataHighLow[[#This Row],[high]]&gt;I302),testdataHighLow[[#This Row],[high]],IF(AND(H302="DN",testdataHighLow[[#This Row],[low]]&lt;I302),testdataHighLow[[#This Row],[low]],I302))</f>
        <v>264.31</v>
      </c>
      <c r="J3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7.9452158450305423E-3</v>
      </c>
      <c r="K303" s="15">
        <f t="shared" ca="1" si="5"/>
        <v>264.88250000000011</v>
      </c>
      <c r="L303" s="6"/>
      <c r="M303" s="19">
        <f ca="1">IF(testdataHighLow[[#This Row],[type]]="H",testdataHighLow[[#This Row],[high]],AVERAGE(M302,M304))</f>
        <v>267.64800000000025</v>
      </c>
      <c r="N303" s="19">
        <f ca="1">IF(testdataHighLow[[#This Row],[type]]="L",testdataHighLow[[#This Row],[low]],AVERAGE(N302,N304))</f>
        <v>251.61199999999954</v>
      </c>
      <c r="Q303" s="7">
        <v>302</v>
      </c>
      <c r="R303" s="15">
        <v>264.88249999999999</v>
      </c>
      <c r="S303" s="19">
        <v>267.64800000000002</v>
      </c>
      <c r="T303" s="19">
        <v>251.61199999999999</v>
      </c>
    </row>
    <row r="304" spans="1:21" x14ac:dyDescent="0.35">
      <c r="A304" s="7">
        <v>303</v>
      </c>
      <c r="B304" s="3">
        <v>43175</v>
      </c>
      <c r="C304" s="2">
        <v>265.44</v>
      </c>
      <c r="D304" s="14">
        <v>266.3</v>
      </c>
      <c r="E304" s="14">
        <v>265.08999999999997</v>
      </c>
      <c r="F304" s="2">
        <v>265.14999999999998</v>
      </c>
      <c r="G304" s="1">
        <v>103769888</v>
      </c>
      <c r="H304" s="6" t="s">
        <v>12</v>
      </c>
      <c r="I304" s="6">
        <f>IF(AND(H303="UP",testdataHighLow[[#This Row],[high]]&gt;I303),testdataHighLow[[#This Row],[high]],IF(AND(H303="DN",testdataHighLow[[#This Row],[low]]&lt;I303),testdataHighLow[[#This Row],[low]],I303))</f>
        <v>264.31</v>
      </c>
      <c r="J3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7.529037872195562E-3</v>
      </c>
      <c r="K304" s="15">
        <f t="shared" ca="1" si="5"/>
        <v>262.28875000000016</v>
      </c>
      <c r="L304" s="6"/>
      <c r="M304" s="19">
        <f ca="1">IF(testdataHighLow[[#This Row],[type]]="H",testdataHighLow[[#This Row],[high]],AVERAGE(M303,M305))</f>
        <v>266.43700000000035</v>
      </c>
      <c r="N304" s="19">
        <f ca="1">IF(testdataHighLow[[#This Row],[type]]="L",testdataHighLow[[#This Row],[low]],AVERAGE(N303,N305))</f>
        <v>251.22999999999956</v>
      </c>
      <c r="Q304" s="7">
        <v>303</v>
      </c>
      <c r="R304" s="15">
        <v>262.28879999999998</v>
      </c>
      <c r="S304" s="19">
        <v>266.43700000000001</v>
      </c>
      <c r="T304" s="19">
        <v>251.23</v>
      </c>
    </row>
    <row r="305" spans="1:21" x14ac:dyDescent="0.35">
      <c r="A305" s="7">
        <v>304</v>
      </c>
      <c r="B305" s="3">
        <v>43178</v>
      </c>
      <c r="C305" s="2">
        <v>264.32</v>
      </c>
      <c r="D305" s="14">
        <v>265.33999999999997</v>
      </c>
      <c r="E305" s="14">
        <v>259.75</v>
      </c>
      <c r="F305" s="2">
        <v>261.56</v>
      </c>
      <c r="G305" s="1">
        <v>112937344</v>
      </c>
      <c r="H305" s="6" t="s">
        <v>12</v>
      </c>
      <c r="I305" s="6">
        <f>IF(AND(H304="UP",testdataHighLow[[#This Row],[high]]&gt;I304),testdataHighLow[[#This Row],[high]],IF(AND(H304="DN",testdataHighLow[[#This Row],[low]]&lt;I304),testdataHighLow[[#This Row],[low]],I304))</f>
        <v>259.75</v>
      </c>
      <c r="J3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2.1520692974013378E-2</v>
      </c>
      <c r="K305" s="15">
        <f t="shared" ca="1" si="5"/>
        <v>259.69500000000016</v>
      </c>
      <c r="L305" s="6"/>
      <c r="M305" s="19">
        <f ca="1">IF(testdataHighLow[[#This Row],[type]]="H",testdataHighLow[[#This Row],[high]],AVERAGE(M304,M306))</f>
        <v>265.2260000000004</v>
      </c>
      <c r="N305" s="19">
        <f ca="1">IF(testdataHighLow[[#This Row],[type]]="L",testdataHighLow[[#This Row],[low]],AVERAGE(N304,N306))</f>
        <v>250.84799999999962</v>
      </c>
      <c r="Q305" s="7">
        <v>304</v>
      </c>
      <c r="R305" s="15">
        <v>259.69499999999999</v>
      </c>
      <c r="S305" s="19">
        <v>265.226</v>
      </c>
      <c r="T305" s="19">
        <v>250.84800000000001</v>
      </c>
    </row>
    <row r="306" spans="1:21" x14ac:dyDescent="0.35">
      <c r="A306" s="7">
        <v>305</v>
      </c>
      <c r="B306" s="3">
        <v>43179</v>
      </c>
      <c r="C306" s="2">
        <v>261.99</v>
      </c>
      <c r="D306" s="14">
        <v>262.7</v>
      </c>
      <c r="E306" s="14">
        <v>261.26</v>
      </c>
      <c r="F306" s="2">
        <v>262</v>
      </c>
      <c r="G306" s="1">
        <v>61797672</v>
      </c>
      <c r="H306" s="6" t="s">
        <v>12</v>
      </c>
      <c r="I306" s="6">
        <f>IF(AND(H305="UP",testdataHighLow[[#This Row],[high]]&gt;I305),testdataHighLow[[#This Row],[high]],IF(AND(H305="DN",testdataHighLow[[#This Row],[low]]&lt;I305),testdataHighLow[[#This Row],[low]],I305))</f>
        <v>259.75</v>
      </c>
      <c r="J3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1.1357074109720842E-2</v>
      </c>
      <c r="K306" s="15">
        <f t="shared" ca="1" si="5"/>
        <v>257.10125000000016</v>
      </c>
      <c r="L306" s="6"/>
      <c r="M306" s="19">
        <f ca="1">IF(testdataHighLow[[#This Row],[type]]="H",testdataHighLow[[#This Row],[high]],AVERAGE(M305,M307))</f>
        <v>264.01500000000044</v>
      </c>
      <c r="N306" s="19">
        <f ca="1">IF(testdataHighLow[[#This Row],[type]]="L",testdataHighLow[[#This Row],[low]],AVERAGE(N305,N307))</f>
        <v>250.4659999999997</v>
      </c>
      <c r="Q306" s="7">
        <v>305</v>
      </c>
      <c r="R306" s="15">
        <v>257.10129999999998</v>
      </c>
      <c r="S306" s="19">
        <v>264.01499999999999</v>
      </c>
      <c r="T306" s="19">
        <v>250.46600000000001</v>
      </c>
    </row>
    <row r="307" spans="1:21" x14ac:dyDescent="0.35">
      <c r="A307" s="7">
        <v>306</v>
      </c>
      <c r="B307" s="3">
        <v>43180</v>
      </c>
      <c r="C307" s="2">
        <v>261.95999999999998</v>
      </c>
      <c r="D307" s="14">
        <v>264.25</v>
      </c>
      <c r="E307" s="14">
        <v>261.27</v>
      </c>
      <c r="F307" s="2">
        <v>261.5</v>
      </c>
      <c r="G307" s="1">
        <v>81397104</v>
      </c>
      <c r="H307" s="6" t="s">
        <v>12</v>
      </c>
      <c r="I307" s="6">
        <f>IF(AND(H306="UP",testdataHighLow[[#This Row],[high]]&gt;I306),testdataHighLow[[#This Row],[high]],IF(AND(H306="DN",testdataHighLow[[#This Row],[low]]&lt;I306),testdataHighLow[[#This Row],[low]],I306))</f>
        <v>259.75</v>
      </c>
      <c r="J3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1.7324350336862367E-2</v>
      </c>
      <c r="K307" s="15">
        <f t="shared" ca="1" si="5"/>
        <v>254.50750000000011</v>
      </c>
      <c r="L307" s="6"/>
      <c r="M307" s="19">
        <f ca="1">IF(testdataHighLow[[#This Row],[type]]="H",testdataHighLow[[#This Row],[high]],AVERAGE(M306,M308))</f>
        <v>262.80400000000043</v>
      </c>
      <c r="N307" s="19">
        <f ca="1">IF(testdataHighLow[[#This Row],[type]]="L",testdataHighLow[[#This Row],[low]],AVERAGE(N306,N308))</f>
        <v>250.08399999999978</v>
      </c>
      <c r="Q307" s="7">
        <v>306</v>
      </c>
      <c r="R307" s="15">
        <v>254.50749999999999</v>
      </c>
      <c r="S307" s="19">
        <v>262.80399999999997</v>
      </c>
      <c r="T307" s="19">
        <v>250.084</v>
      </c>
    </row>
    <row r="308" spans="1:21" x14ac:dyDescent="0.35">
      <c r="A308" s="7">
        <v>307</v>
      </c>
      <c r="B308" s="3">
        <v>43181</v>
      </c>
      <c r="C308" s="2">
        <v>259.06</v>
      </c>
      <c r="D308" s="14">
        <v>259.99</v>
      </c>
      <c r="E308" s="14">
        <v>254.66</v>
      </c>
      <c r="F308" s="2">
        <v>254.96</v>
      </c>
      <c r="G308" s="1">
        <v>153866192</v>
      </c>
      <c r="H308" s="6" t="s">
        <v>12</v>
      </c>
      <c r="I308" s="6">
        <f>IF(AND(H307="UP",testdataHighLow[[#This Row],[high]]&gt;I307),testdataHighLow[[#This Row],[high]],IF(AND(H307="DN",testdataHighLow[[#This Row],[low]]&lt;I307),testdataHighLow[[#This Row],[low]],I307))</f>
        <v>254.66</v>
      </c>
      <c r="J3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2.0929867274012456E-2</v>
      </c>
      <c r="K308" s="15">
        <f t="shared" ca="1" si="5"/>
        <v>251.91375000000005</v>
      </c>
      <c r="L308" s="6"/>
      <c r="M308" s="19">
        <f ca="1">IF(testdataHighLow[[#This Row],[type]]="H",testdataHighLow[[#This Row],[high]],AVERAGE(M307,M309))</f>
        <v>261.59300000000036</v>
      </c>
      <c r="N308" s="19">
        <f ca="1">IF(testdataHighLow[[#This Row],[type]]="L",testdataHighLow[[#This Row],[low]],AVERAGE(N307,N309))</f>
        <v>249.70199999999988</v>
      </c>
      <c r="Q308" s="7">
        <v>307</v>
      </c>
      <c r="R308" s="15">
        <v>251.91380000000001</v>
      </c>
      <c r="S308" s="19">
        <v>261.59300000000002</v>
      </c>
      <c r="T308" s="19">
        <v>249.702</v>
      </c>
    </row>
    <row r="309" spans="1:21" x14ac:dyDescent="0.35">
      <c r="A309" s="7">
        <v>308</v>
      </c>
      <c r="B309" s="3">
        <v>43182</v>
      </c>
      <c r="C309" s="2">
        <v>255.45</v>
      </c>
      <c r="D309" s="14">
        <v>256.27</v>
      </c>
      <c r="E309" s="14">
        <v>249.32</v>
      </c>
      <c r="F309" s="2">
        <v>249.53</v>
      </c>
      <c r="G309" s="1">
        <v>189801520</v>
      </c>
      <c r="H309" s="6" t="s">
        <v>10</v>
      </c>
      <c r="I309" s="6">
        <f>IF(AND(H308="UP",testdataHighLow[[#This Row],[high]]&gt;I308),testdataHighLow[[#This Row],[high]],IF(AND(H308="DN",testdataHighLow[[#This Row],[low]]&lt;I308),testdataHighLow[[#This Row],[low]],I308))</f>
        <v>249.32</v>
      </c>
      <c r="J3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09" s="18">
        <f>testdataHighLow[[#This Row],[low]]</f>
        <v>249.32</v>
      </c>
      <c r="L309" s="6" t="s">
        <v>15</v>
      </c>
      <c r="M309" s="19">
        <f ca="1">IF(testdataHighLow[[#This Row],[type]]="H",testdataHighLow[[#This Row],[high]],AVERAGE(M308,M310))</f>
        <v>260.38200000000029</v>
      </c>
      <c r="N309" s="19">
        <f>IF(testdataHighLow[[#This Row],[type]]="L",testdataHighLow[[#This Row],[low]],AVERAGE(N308,N310))</f>
        <v>249.32</v>
      </c>
      <c r="Q309" s="7">
        <v>308</v>
      </c>
      <c r="R309" s="18">
        <v>249.32</v>
      </c>
      <c r="S309" s="19">
        <v>260.38200000000001</v>
      </c>
      <c r="T309" s="19">
        <v>249.32</v>
      </c>
      <c r="U309" s="4" t="s">
        <v>15</v>
      </c>
    </row>
    <row r="310" spans="1:21" x14ac:dyDescent="0.35">
      <c r="A310" s="7">
        <v>309</v>
      </c>
      <c r="B310" s="3">
        <v>43185</v>
      </c>
      <c r="C310" s="2">
        <v>253.48</v>
      </c>
      <c r="D310" s="14">
        <v>256.67</v>
      </c>
      <c r="E310" s="14">
        <v>250.84</v>
      </c>
      <c r="F310" s="2">
        <v>256.36</v>
      </c>
      <c r="G310" s="1">
        <v>146803168</v>
      </c>
      <c r="H310" s="6" t="s">
        <v>10</v>
      </c>
      <c r="I310" s="6">
        <f>IF(AND(H309="UP",testdataHighLow[[#This Row],[high]]&gt;I309),testdataHighLow[[#This Row],[high]],IF(AND(H309="DN",testdataHighLow[[#This Row],[low]]&lt;I309),testdataHighLow[[#This Row],[low]],I309))</f>
        <v>256.67</v>
      </c>
      <c r="J3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-2.2713990727393198E-2</v>
      </c>
      <c r="K310" s="15">
        <f t="shared" si="5"/>
        <v>253.64</v>
      </c>
      <c r="L310" s="6"/>
      <c r="M310" s="19">
        <f ca="1">IF(testdataHighLow[[#This Row],[type]]="H",testdataHighLow[[#This Row],[high]],AVERAGE(M309,M311))</f>
        <v>259.17100000000016</v>
      </c>
      <c r="N310" s="19">
        <f ca="1">IF(testdataHighLow[[#This Row],[type]]="L",testdataHighLow[[#This Row],[low]],AVERAGE(N309,N311))</f>
        <v>248.70799999999997</v>
      </c>
      <c r="Q310" s="7">
        <v>309</v>
      </c>
      <c r="R310" s="15">
        <v>253.64</v>
      </c>
      <c r="S310" s="19">
        <v>259.17099999999999</v>
      </c>
      <c r="T310" s="19">
        <v>248.708</v>
      </c>
    </row>
    <row r="311" spans="1:21" x14ac:dyDescent="0.35">
      <c r="A311" s="7">
        <v>310</v>
      </c>
      <c r="B311" s="3">
        <v>43186</v>
      </c>
      <c r="C311" s="2">
        <v>257.38</v>
      </c>
      <c r="D311" s="14">
        <v>257.95999999999998</v>
      </c>
      <c r="E311" s="14">
        <v>250.29</v>
      </c>
      <c r="F311" s="2">
        <v>252</v>
      </c>
      <c r="G311" s="1">
        <v>134378272</v>
      </c>
      <c r="H311" s="6" t="s">
        <v>12</v>
      </c>
      <c r="I311" s="6">
        <f>IF(AND(H310="UP",testdataHighLow[[#This Row],[high]]&gt;I310),testdataHighLow[[#This Row],[high]],IF(AND(H310="DN",testdataHighLow[[#This Row],[low]]&lt;I310),testdataHighLow[[#This Row],[low]],I310))</f>
        <v>257.95999999999998</v>
      </c>
      <c r="J3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1" s="18">
        <f>testdataHighLow[[#This Row],[high]]</f>
        <v>257.95999999999998</v>
      </c>
      <c r="L311" s="6" t="s">
        <v>14</v>
      </c>
      <c r="M311" s="19">
        <f>IF(testdataHighLow[[#This Row],[type]]="H",testdataHighLow[[#This Row],[high]],AVERAGE(M310,M312))</f>
        <v>257.95999999999998</v>
      </c>
      <c r="N311" s="19">
        <f ca="1">IF(testdataHighLow[[#This Row],[type]]="L",testdataHighLow[[#This Row],[low]],AVERAGE(N310,N312))</f>
        <v>248.09599999999995</v>
      </c>
      <c r="Q311" s="7">
        <v>310</v>
      </c>
      <c r="R311" s="18">
        <v>257.95999999999998</v>
      </c>
      <c r="S311" s="19">
        <v>257.95999999999998</v>
      </c>
      <c r="T311" s="19">
        <v>248.096</v>
      </c>
      <c r="U311" s="4" t="s">
        <v>14</v>
      </c>
    </row>
    <row r="312" spans="1:21" x14ac:dyDescent="0.35">
      <c r="A312" s="7">
        <v>311</v>
      </c>
      <c r="B312" s="3">
        <v>43187</v>
      </c>
      <c r="C312" s="2">
        <v>252.14</v>
      </c>
      <c r="D312" s="14">
        <v>253.97</v>
      </c>
      <c r="E312" s="14">
        <v>250.04</v>
      </c>
      <c r="F312" s="2">
        <v>251.25</v>
      </c>
      <c r="G312" s="1">
        <v>151452896</v>
      </c>
      <c r="H312" s="6" t="s">
        <v>12</v>
      </c>
      <c r="I312" s="6">
        <f>IF(AND(H311="UP",testdataHighLow[[#This Row],[high]]&gt;I311),testdataHighLow[[#This Row],[high]],IF(AND(H311="DN",testdataHighLow[[#This Row],[low]]&lt;I311),testdataHighLow[[#This Row],[low]],I311))</f>
        <v>250.04</v>
      </c>
      <c r="J3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1.571748520236765E-2</v>
      </c>
      <c r="K312" s="15">
        <f t="shared" ca="1" si="5"/>
        <v>254.06</v>
      </c>
      <c r="L312" s="6"/>
      <c r="M312" s="19">
        <f ca="1">IF(testdataHighLow[[#This Row],[type]]="H",testdataHighLow[[#This Row],[high]],AVERAGE(M311,M313))</f>
        <v>257.94000000000005</v>
      </c>
      <c r="N312" s="19">
        <f ca="1">IF(testdataHighLow[[#This Row],[type]]="L",testdataHighLow[[#This Row],[low]],AVERAGE(N311,N313))</f>
        <v>247.48399999999995</v>
      </c>
      <c r="Q312" s="7">
        <v>311</v>
      </c>
      <c r="R312" s="15">
        <v>254.06</v>
      </c>
      <c r="S312" s="19">
        <v>257.94</v>
      </c>
      <c r="T312" s="19">
        <v>247.48400000000001</v>
      </c>
    </row>
    <row r="313" spans="1:21" x14ac:dyDescent="0.35">
      <c r="A313" s="7">
        <v>312</v>
      </c>
      <c r="B313" s="3">
        <v>43188</v>
      </c>
      <c r="C313" s="2">
        <v>252.5</v>
      </c>
      <c r="D313" s="14">
        <v>256.5</v>
      </c>
      <c r="E313" s="14">
        <v>251.26</v>
      </c>
      <c r="F313" s="2">
        <v>254.46</v>
      </c>
      <c r="G313" s="1">
        <v>128487112</v>
      </c>
      <c r="H313" s="6" t="s">
        <v>12</v>
      </c>
      <c r="I313" s="6">
        <f>IF(AND(H312="UP",testdataHighLow[[#This Row],[high]]&gt;I312),testdataHighLow[[#This Row],[high]],IF(AND(H312="DN",testdataHighLow[[#This Row],[low]]&lt;I312),testdataHighLow[[#This Row],[low]],I312))</f>
        <v>250.04</v>
      </c>
      <c r="J3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2.5835866261398208E-2</v>
      </c>
      <c r="K313" s="15">
        <f t="shared" ca="1" si="5"/>
        <v>250.16</v>
      </c>
      <c r="L313" s="6"/>
      <c r="M313" s="19">
        <f ca="1">IF(testdataHighLow[[#This Row],[type]]="H",testdataHighLow[[#This Row],[high]],AVERAGE(M312,M314))</f>
        <v>257.92000000000007</v>
      </c>
      <c r="N313" s="19">
        <f ca="1">IF(testdataHighLow[[#This Row],[type]]="L",testdataHighLow[[#This Row],[low]],AVERAGE(N312,N314))</f>
        <v>246.87199999999996</v>
      </c>
      <c r="Q313" s="7">
        <v>312</v>
      </c>
      <c r="R313" s="15">
        <v>250.16</v>
      </c>
      <c r="S313" s="19">
        <v>257.92</v>
      </c>
      <c r="T313" s="19">
        <v>246.87200000000001</v>
      </c>
    </row>
    <row r="314" spans="1:21" x14ac:dyDescent="0.35">
      <c r="A314" s="7">
        <v>313</v>
      </c>
      <c r="B314" s="3">
        <v>43192</v>
      </c>
      <c r="C314" s="2">
        <v>253.88</v>
      </c>
      <c r="D314" s="14">
        <v>254.44</v>
      </c>
      <c r="E314" s="14">
        <v>246.26</v>
      </c>
      <c r="F314" s="2">
        <v>248.97</v>
      </c>
      <c r="G314" s="1">
        <v>192647056</v>
      </c>
      <c r="H314" s="6" t="s">
        <v>10</v>
      </c>
      <c r="I314" s="6">
        <f>IF(AND(H313="UP",testdataHighLow[[#This Row],[high]]&gt;I313),testdataHighLow[[#This Row],[high]],IF(AND(H313="DN",testdataHighLow[[#This Row],[low]]&lt;I313),testdataHighLow[[#This Row],[low]],I313))</f>
        <v>246.26</v>
      </c>
      <c r="J3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4" s="18">
        <f>testdataHighLow[[#This Row],[low]]</f>
        <v>246.26</v>
      </c>
      <c r="L314" s="6" t="s">
        <v>15</v>
      </c>
      <c r="M314" s="19">
        <f ca="1">IF(testdataHighLow[[#This Row],[type]]="H",testdataHighLow[[#This Row],[high]],AVERAGE(M313,M315))</f>
        <v>257.90000000000009</v>
      </c>
      <c r="N314" s="19">
        <f>IF(testdataHighLow[[#This Row],[type]]="L",testdataHighLow[[#This Row],[low]],AVERAGE(N313,N315))</f>
        <v>246.26</v>
      </c>
      <c r="Q314" s="7">
        <v>313</v>
      </c>
      <c r="R314" s="18">
        <v>246.26</v>
      </c>
      <c r="S314" s="19">
        <v>257.89999999999998</v>
      </c>
      <c r="T314" s="19">
        <v>246.26</v>
      </c>
      <c r="U314" s="4" t="s">
        <v>15</v>
      </c>
    </row>
    <row r="315" spans="1:21" x14ac:dyDescent="0.35">
      <c r="A315" s="7">
        <v>314</v>
      </c>
      <c r="B315" s="3">
        <v>43193</v>
      </c>
      <c r="C315" s="2">
        <v>250.32</v>
      </c>
      <c r="D315" s="14">
        <v>252.68</v>
      </c>
      <c r="E315" s="14">
        <v>248.36</v>
      </c>
      <c r="F315" s="2">
        <v>252.16</v>
      </c>
      <c r="G315" s="1">
        <v>124052768</v>
      </c>
      <c r="H315" s="6" t="s">
        <v>10</v>
      </c>
      <c r="I315" s="6">
        <f>IF(AND(H314="UP",testdataHighLow[[#This Row],[high]]&gt;I314),testdataHighLow[[#This Row],[high]],IF(AND(H314="DN",testdataHighLow[[#This Row],[low]]&lt;I314),testdataHighLow[[#This Row],[low]],I314))</f>
        <v>252.68</v>
      </c>
      <c r="J3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-1.7096723128067093E-2</v>
      </c>
      <c r="K315" s="15">
        <f t="shared" ca="1" si="5"/>
        <v>250.12</v>
      </c>
      <c r="L315" s="6"/>
      <c r="M315" s="19">
        <f ca="1">IF(testdataHighLow[[#This Row],[type]]="H",testdataHighLow[[#This Row],[high]],AVERAGE(M314,M316))</f>
        <v>257.88000000000005</v>
      </c>
      <c r="N315" s="19">
        <f ca="1">IF(testdataHighLow[[#This Row],[type]]="L",testdataHighLow[[#This Row],[low]],AVERAGE(N314,N316))</f>
        <v>247.06499999999997</v>
      </c>
      <c r="Q315" s="7">
        <v>314</v>
      </c>
      <c r="R315" s="15">
        <v>250.12</v>
      </c>
      <c r="S315" s="19">
        <v>257.88</v>
      </c>
      <c r="T315" s="19">
        <v>247.065</v>
      </c>
    </row>
    <row r="316" spans="1:21" x14ac:dyDescent="0.35">
      <c r="A316" s="7">
        <v>315</v>
      </c>
      <c r="B316" s="3">
        <v>43194</v>
      </c>
      <c r="C316" s="2">
        <v>248.27</v>
      </c>
      <c r="D316" s="14">
        <v>255.63</v>
      </c>
      <c r="E316" s="14">
        <v>248.13</v>
      </c>
      <c r="F316" s="2">
        <v>254.86</v>
      </c>
      <c r="G316" s="1">
        <v>127939576</v>
      </c>
      <c r="H316" s="6" t="s">
        <v>10</v>
      </c>
      <c r="I316" s="6">
        <f>IF(AND(H315="UP",testdataHighLow[[#This Row],[high]]&gt;I315),testdataHighLow[[#This Row],[high]],IF(AND(H315="DN",testdataHighLow[[#This Row],[low]]&lt;I315),testdataHighLow[[#This Row],[low]],I315))</f>
        <v>255.63</v>
      </c>
      <c r="J3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-2.9339279427297266E-2</v>
      </c>
      <c r="K316" s="15">
        <f t="shared" ca="1" si="5"/>
        <v>253.98</v>
      </c>
      <c r="L316" s="6"/>
      <c r="M316" s="19">
        <f ca="1">IF(testdataHighLow[[#This Row],[type]]="H",testdataHighLow[[#This Row],[high]],AVERAGE(M315,M317))</f>
        <v>257.86</v>
      </c>
      <c r="N316" s="19">
        <f ca="1">IF(testdataHighLow[[#This Row],[type]]="L",testdataHighLow[[#This Row],[low]],AVERAGE(N315,N317))</f>
        <v>247.86999999999995</v>
      </c>
      <c r="Q316" s="7">
        <v>315</v>
      </c>
      <c r="R316" s="15">
        <v>253.98</v>
      </c>
      <c r="S316" s="19">
        <v>257.86</v>
      </c>
      <c r="T316" s="19">
        <v>247.87</v>
      </c>
    </row>
    <row r="317" spans="1:21" x14ac:dyDescent="0.35">
      <c r="A317" s="7">
        <v>316</v>
      </c>
      <c r="B317" s="3">
        <v>43195</v>
      </c>
      <c r="C317" s="2">
        <v>256.77999999999997</v>
      </c>
      <c r="D317" s="14">
        <v>257.83999999999997</v>
      </c>
      <c r="E317" s="14">
        <v>255.59</v>
      </c>
      <c r="F317" s="2">
        <v>256.87</v>
      </c>
      <c r="G317" s="1">
        <v>85474776</v>
      </c>
      <c r="H317" s="6" t="s">
        <v>12</v>
      </c>
      <c r="I317" s="6">
        <f>IF(AND(H316="UP",testdataHighLow[[#This Row],[high]]&gt;I316),testdataHighLow[[#This Row],[high]],IF(AND(H316="DN",testdataHighLow[[#This Row],[low]]&lt;I316),testdataHighLow[[#This Row],[low]],I316))</f>
        <v>257.83999999999997</v>
      </c>
      <c r="J3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7" s="18">
        <f>testdataHighLow[[#This Row],[high]]</f>
        <v>257.83999999999997</v>
      </c>
      <c r="L317" s="6" t="s">
        <v>14</v>
      </c>
      <c r="M317" s="19">
        <f>IF(testdataHighLow[[#This Row],[type]]="H",testdataHighLow[[#This Row],[high]],AVERAGE(M316,M318))</f>
        <v>257.83999999999997</v>
      </c>
      <c r="N317" s="19">
        <f ca="1">IF(testdataHighLow[[#This Row],[type]]="L",testdataHighLow[[#This Row],[low]],AVERAGE(N316,N318))</f>
        <v>248.67499999999995</v>
      </c>
      <c r="Q317" s="7">
        <v>316</v>
      </c>
      <c r="R317" s="18">
        <v>257.83999999999997</v>
      </c>
      <c r="S317" s="19">
        <v>257.83999999999997</v>
      </c>
      <c r="T317" s="19">
        <v>248.67500000000001</v>
      </c>
      <c r="U317" s="4" t="s">
        <v>14</v>
      </c>
    </row>
    <row r="318" spans="1:21" x14ac:dyDescent="0.35">
      <c r="A318" s="7">
        <v>317</v>
      </c>
      <c r="B318" s="3">
        <v>43196</v>
      </c>
      <c r="C318" s="2">
        <v>254.72</v>
      </c>
      <c r="D318" s="14">
        <v>256.36</v>
      </c>
      <c r="E318" s="14">
        <v>249.48</v>
      </c>
      <c r="F318" s="2">
        <v>251.14</v>
      </c>
      <c r="G318" s="1">
        <v>185650928</v>
      </c>
      <c r="H318" s="6" t="s">
        <v>10</v>
      </c>
      <c r="I318" s="6">
        <f>IF(AND(H317="UP",testdataHighLow[[#This Row],[high]]&gt;I317),testdataHighLow[[#This Row],[high]],IF(AND(H317="DN",testdataHighLow[[#This Row],[low]]&lt;I317),testdataHighLow[[#This Row],[low]],I317))</f>
        <v>249.48</v>
      </c>
      <c r="J3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18" s="24">
        <f>testdataHighLow[[#This Row],[low]]</f>
        <v>249.48</v>
      </c>
      <c r="L318" s="25" t="s">
        <v>15</v>
      </c>
      <c r="M318" s="26">
        <f ca="1">IF(testdataHighLow[[#This Row],[type]]="H",testdataHighLow[[#This Row],[high]],AVERAGE(M317,M319))</f>
        <v>258.3399999999998</v>
      </c>
      <c r="N318" s="26">
        <f>IF(testdataHighLow[[#This Row],[type]]="L",testdataHighLow[[#This Row],[low]],AVERAGE(N317,N319))</f>
        <v>249.48</v>
      </c>
      <c r="Q318" s="7">
        <v>317</v>
      </c>
      <c r="R318" s="24">
        <v>249.48</v>
      </c>
      <c r="S318" s="26">
        <v>258.33999999999997</v>
      </c>
      <c r="T318" s="26">
        <v>249.48</v>
      </c>
      <c r="U318" s="4" t="s">
        <v>15</v>
      </c>
    </row>
    <row r="319" spans="1:21" x14ac:dyDescent="0.35">
      <c r="A319" s="7">
        <v>318</v>
      </c>
      <c r="B319" s="3">
        <v>43199</v>
      </c>
      <c r="C319" s="2">
        <v>252.74</v>
      </c>
      <c r="D319" s="14">
        <v>256.10000000000002</v>
      </c>
      <c r="E319" s="14">
        <v>251.35</v>
      </c>
      <c r="F319" s="2">
        <v>252.38</v>
      </c>
      <c r="G319" s="1">
        <v>109043264</v>
      </c>
      <c r="H319" s="6" t="s">
        <v>10</v>
      </c>
      <c r="I319" s="6">
        <f>IF(AND(H318="UP",testdataHighLow[[#This Row],[high]]&gt;I318),testdataHighLow[[#This Row],[high]],IF(AND(H318="DN",testdataHighLow[[#This Row],[low]]&lt;I318),testdataHighLow[[#This Row],[low]],I318))</f>
        <v>256.10000000000002</v>
      </c>
      <c r="J3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-1.8547442405310536E-2</v>
      </c>
      <c r="K319" s="15">
        <f t="shared" ca="1" si="5"/>
        <v>251.08750000000003</v>
      </c>
      <c r="L319" s="6"/>
      <c r="M319" s="19">
        <f ca="1">IF(testdataHighLow[[#This Row],[type]]="H",testdataHighLow[[#This Row],[high]],AVERAGE(M318,M320))</f>
        <v>258.83999999999969</v>
      </c>
      <c r="N319" s="19">
        <f ca="1">IF(testdataHighLow[[#This Row],[type]]="L",testdataHighLow[[#This Row],[low]],AVERAGE(N318,N320))</f>
        <v>249.53368421052613</v>
      </c>
      <c r="Q319" s="7">
        <v>318</v>
      </c>
      <c r="R319" s="15">
        <v>251.08750000000001</v>
      </c>
      <c r="S319" s="19">
        <v>258.83999999999997</v>
      </c>
      <c r="T319" s="19">
        <v>249.53368</v>
      </c>
    </row>
    <row r="320" spans="1:21" x14ac:dyDescent="0.35">
      <c r="A320" s="7">
        <v>319</v>
      </c>
      <c r="B320" s="3">
        <v>43200</v>
      </c>
      <c r="C320" s="2">
        <v>255.54</v>
      </c>
      <c r="D320" s="14">
        <v>257.26</v>
      </c>
      <c r="E320" s="14">
        <v>254.3</v>
      </c>
      <c r="F320" s="2">
        <v>256.39999999999998</v>
      </c>
      <c r="G320" s="1">
        <v>109178536</v>
      </c>
      <c r="H320" s="6" t="s">
        <v>10</v>
      </c>
      <c r="I320" s="6">
        <f>IF(AND(H319="UP",testdataHighLow[[#This Row],[high]]&gt;I319),testdataHighLow[[#This Row],[high]],IF(AND(H319="DN",testdataHighLow[[#This Row],[low]]&lt;I319),testdataHighLow[[#This Row],[low]],I319))</f>
        <v>257.26</v>
      </c>
      <c r="J3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-1.1505869548316798E-2</v>
      </c>
      <c r="K320" s="15">
        <f t="shared" ca="1" si="5"/>
        <v>252.69500000000008</v>
      </c>
      <c r="L320" s="6"/>
      <c r="M320" s="19">
        <f ca="1">IF(testdataHighLow[[#This Row],[type]]="H",testdataHighLow[[#This Row],[high]],AVERAGE(M319,M321))</f>
        <v>259.33999999999963</v>
      </c>
      <c r="N320" s="19">
        <f ca="1">IF(testdataHighLow[[#This Row],[type]]="L",testdataHighLow[[#This Row],[low]],AVERAGE(N319,N321))</f>
        <v>249.5873684210523</v>
      </c>
      <c r="Q320" s="7">
        <v>319</v>
      </c>
      <c r="R320" s="15">
        <v>252.69499999999999</v>
      </c>
      <c r="S320" s="19">
        <v>259.33999999999997</v>
      </c>
      <c r="T320" s="19">
        <v>249.58736999999999</v>
      </c>
    </row>
    <row r="321" spans="1:21" x14ac:dyDescent="0.35">
      <c r="A321" s="7">
        <v>320</v>
      </c>
      <c r="B321" s="3">
        <v>43201</v>
      </c>
      <c r="C321" s="2">
        <v>254.77</v>
      </c>
      <c r="D321" s="14">
        <v>256.87</v>
      </c>
      <c r="E321" s="14">
        <v>254.69</v>
      </c>
      <c r="F321" s="2">
        <v>255.05</v>
      </c>
      <c r="G321" s="1">
        <v>94252208</v>
      </c>
      <c r="H321" s="6" t="s">
        <v>10</v>
      </c>
      <c r="I321" s="6">
        <f>IF(AND(H320="UP",testdataHighLow[[#This Row],[high]]&gt;I320),testdataHighLow[[#This Row],[high]],IF(AND(H320="DN",testdataHighLow[[#This Row],[low]]&lt;I320),testdataHighLow[[#This Row],[low]],I320))</f>
        <v>257.26</v>
      </c>
      <c r="J3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-9.9898934929642906E-3</v>
      </c>
      <c r="K321" s="15">
        <f t="shared" ca="1" si="5"/>
        <v>254.30250000000012</v>
      </c>
      <c r="L321" s="6"/>
      <c r="M321" s="19">
        <f ca="1">IF(testdataHighLow[[#This Row],[type]]="H",testdataHighLow[[#This Row],[high]],AVERAGE(M320,M322))</f>
        <v>259.83999999999958</v>
      </c>
      <c r="N321" s="19">
        <f ca="1">IF(testdataHighLow[[#This Row],[type]]="L",testdataHighLow[[#This Row],[low]],AVERAGE(N320,N322))</f>
        <v>249.6410526315785</v>
      </c>
      <c r="Q321" s="7">
        <v>320</v>
      </c>
      <c r="R321" s="15">
        <v>254.30250000000001</v>
      </c>
      <c r="S321" s="19">
        <v>259.83999999999997</v>
      </c>
      <c r="T321" s="19">
        <v>249.64105000000001</v>
      </c>
    </row>
    <row r="322" spans="1:21" x14ac:dyDescent="0.35">
      <c r="A322" s="7">
        <v>321</v>
      </c>
      <c r="B322" s="3">
        <v>43202</v>
      </c>
      <c r="C322" s="2">
        <v>256.5</v>
      </c>
      <c r="D322" s="14">
        <v>258.18</v>
      </c>
      <c r="E322" s="14">
        <v>256.31</v>
      </c>
      <c r="F322" s="2">
        <v>257.14999999999998</v>
      </c>
      <c r="G322" s="1">
        <v>71242736</v>
      </c>
      <c r="H322" s="6" t="s">
        <v>10</v>
      </c>
      <c r="I322" s="6">
        <f>IF(AND(H321="UP",testdataHighLow[[#This Row],[high]]&gt;I321),testdataHighLow[[#This Row],[high]],IF(AND(H321="DN",testdataHighLow[[#This Row],[low]]&lt;I321),testdataHighLow[[#This Row],[low]],I321))</f>
        <v>258.18</v>
      </c>
      <c r="J3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-7.2430087535827895E-3</v>
      </c>
      <c r="K322" s="15">
        <f t="shared" ca="1" si="5"/>
        <v>255.91000000000014</v>
      </c>
      <c r="L322" s="6"/>
      <c r="M322" s="19">
        <f ca="1">IF(testdataHighLow[[#This Row],[type]]="H",testdataHighLow[[#This Row],[high]],AVERAGE(M321,M323))</f>
        <v>260.33999999999958</v>
      </c>
      <c r="N322" s="19">
        <f ca="1">IF(testdataHighLow[[#This Row],[type]]="L",testdataHighLow[[#This Row],[low]],AVERAGE(N321,N323))</f>
        <v>249.6947368421047</v>
      </c>
      <c r="Q322" s="7">
        <v>321</v>
      </c>
      <c r="R322" s="15">
        <v>255.91</v>
      </c>
      <c r="S322" s="19">
        <v>260.33999999999997</v>
      </c>
      <c r="T322" s="19">
        <v>249.69474</v>
      </c>
    </row>
    <row r="323" spans="1:21" x14ac:dyDescent="0.35">
      <c r="A323" s="7">
        <v>322</v>
      </c>
      <c r="B323" s="3">
        <v>43203</v>
      </c>
      <c r="C323" s="2">
        <v>258.58</v>
      </c>
      <c r="D323" s="14">
        <v>258.70999999999998</v>
      </c>
      <c r="E323" s="14">
        <v>255.29</v>
      </c>
      <c r="F323" s="2">
        <v>256.39999999999998</v>
      </c>
      <c r="G323" s="1">
        <v>87984192</v>
      </c>
      <c r="H323" s="6" t="s">
        <v>10</v>
      </c>
      <c r="I323" s="6">
        <f>IF(AND(H322="UP",testdataHighLow[[#This Row],[high]]&gt;I322),testdataHighLow[[#This Row],[high]],IF(AND(H322="DN",testdataHighLow[[#This Row],[low]]&lt;I322),testdataHighLow[[#This Row],[low]],I322))</f>
        <v>258.70999999999998</v>
      </c>
      <c r="J3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-1.321943488848513E-2</v>
      </c>
      <c r="K323" s="15">
        <f t="shared" ca="1" si="5"/>
        <v>257.51750000000015</v>
      </c>
      <c r="L323" s="6"/>
      <c r="M323" s="19">
        <f ca="1">IF(testdataHighLow[[#This Row],[type]]="H",testdataHighLow[[#This Row],[high]],AVERAGE(M322,M324))</f>
        <v>260.83999999999963</v>
      </c>
      <c r="N323" s="19">
        <f ca="1">IF(testdataHighLow[[#This Row],[type]]="L",testdataHighLow[[#This Row],[low]],AVERAGE(N322,N324))</f>
        <v>249.74842105263093</v>
      </c>
      <c r="Q323" s="7">
        <v>322</v>
      </c>
      <c r="R323" s="15">
        <v>257.51749999999998</v>
      </c>
      <c r="S323" s="19">
        <v>260.83999999999997</v>
      </c>
      <c r="T323" s="19">
        <v>249.74842000000001</v>
      </c>
    </row>
    <row r="324" spans="1:21" x14ac:dyDescent="0.35">
      <c r="A324" s="7">
        <v>323</v>
      </c>
      <c r="B324" s="3">
        <v>43206</v>
      </c>
      <c r="C324" s="2">
        <v>258.18</v>
      </c>
      <c r="D324" s="14">
        <v>259.33999999999997</v>
      </c>
      <c r="E324" s="14">
        <v>257.29000000000002</v>
      </c>
      <c r="F324" s="2">
        <v>258.5</v>
      </c>
      <c r="G324" s="1">
        <v>65570252</v>
      </c>
      <c r="H324" s="6" t="s">
        <v>10</v>
      </c>
      <c r="I324" s="6">
        <f>IF(AND(H323="UP",testdataHighLow[[#This Row],[high]]&gt;I323),testdataHighLow[[#This Row],[high]],IF(AND(H323="DN",testdataHighLow[[#This Row],[low]]&lt;I323),testdataHighLow[[#This Row],[low]],I323))</f>
        <v>259.33999999999997</v>
      </c>
      <c r="J3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-7.9046811135958777E-3</v>
      </c>
      <c r="K324" s="15">
        <f t="shared" ref="K324:K387" ca="1" si="6">AVERAGE(K323,K325)</f>
        <v>259.12500000000011</v>
      </c>
      <c r="L324" s="6"/>
      <c r="M324" s="19">
        <f ca="1">IF(testdataHighLow[[#This Row],[type]]="H",testdataHighLow[[#This Row],[high]],AVERAGE(M323,M325))</f>
        <v>261.33999999999969</v>
      </c>
      <c r="N324" s="19">
        <f ca="1">IF(testdataHighLow[[#This Row],[type]]="L",testdataHighLow[[#This Row],[low]],AVERAGE(N323,N325))</f>
        <v>249.80210526315719</v>
      </c>
      <c r="Q324" s="7">
        <v>323</v>
      </c>
      <c r="R324" s="15">
        <v>259.125</v>
      </c>
      <c r="S324" s="19">
        <v>261.33999999999997</v>
      </c>
      <c r="T324" s="19">
        <v>249.80211</v>
      </c>
    </row>
    <row r="325" spans="1:21" x14ac:dyDescent="0.35">
      <c r="A325" s="7">
        <v>324</v>
      </c>
      <c r="B325" s="3">
        <v>43207</v>
      </c>
      <c r="C325" s="2">
        <v>260.44</v>
      </c>
      <c r="D325" s="14">
        <v>261.93</v>
      </c>
      <c r="E325" s="14">
        <v>259.88</v>
      </c>
      <c r="F325" s="2">
        <v>261.27</v>
      </c>
      <c r="G325" s="1">
        <v>66890592</v>
      </c>
      <c r="H325" s="6" t="s">
        <v>10</v>
      </c>
      <c r="I325" s="6">
        <f>IF(AND(H324="UP",testdataHighLow[[#This Row],[high]]&gt;I324),testdataHighLow[[#This Row],[high]],IF(AND(H324="DN",testdataHighLow[[#This Row],[low]]&lt;I324),testdataHighLow[[#This Row],[low]],I324))</f>
        <v>261.93</v>
      </c>
      <c r="J3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-7.8265185354866231E-3</v>
      </c>
      <c r="K325" s="15">
        <f t="shared" ca="1" si="6"/>
        <v>260.73250000000007</v>
      </c>
      <c r="L325" s="6"/>
      <c r="M325" s="19">
        <f ca="1">IF(testdataHighLow[[#This Row],[type]]="H",testdataHighLow[[#This Row],[high]],AVERAGE(M324,M326))</f>
        <v>261.8399999999998</v>
      </c>
      <c r="N325" s="19">
        <f ca="1">IF(testdataHighLow[[#This Row],[type]]="L",testdataHighLow[[#This Row],[low]],AVERAGE(N324,N326))</f>
        <v>249.85578947368344</v>
      </c>
      <c r="Q325" s="7">
        <v>324</v>
      </c>
      <c r="R325" s="15">
        <v>260.73250000000002</v>
      </c>
      <c r="S325" s="19">
        <v>261.83999999999997</v>
      </c>
      <c r="T325" s="19">
        <v>249.85579000000001</v>
      </c>
    </row>
    <row r="326" spans="1:21" x14ac:dyDescent="0.35">
      <c r="A326" s="7">
        <v>325</v>
      </c>
      <c r="B326" s="3">
        <v>43208</v>
      </c>
      <c r="C326" s="2">
        <v>261.75</v>
      </c>
      <c r="D326" s="14">
        <v>262.33999999999997</v>
      </c>
      <c r="E326" s="14">
        <v>260.95999999999998</v>
      </c>
      <c r="F326" s="2">
        <v>261.45999999999998</v>
      </c>
      <c r="G326" s="1">
        <v>59260488</v>
      </c>
      <c r="H326" s="6" t="s">
        <v>12</v>
      </c>
      <c r="I326" s="6">
        <f>IF(AND(H325="UP",testdataHighLow[[#This Row],[high]]&gt;I325),testdataHighLow[[#This Row],[high]],IF(AND(H325="DN",testdataHighLow[[#This Row],[low]]&lt;I325),testdataHighLow[[#This Row],[low]],I325))</f>
        <v>262.33999999999997</v>
      </c>
      <c r="J3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26" s="18">
        <f>testdataHighLow[[#This Row],[high]]</f>
        <v>262.33999999999997</v>
      </c>
      <c r="L326" s="6" t="s">
        <v>14</v>
      </c>
      <c r="M326" s="19">
        <f>IF(testdataHighLow[[#This Row],[type]]="H",testdataHighLow[[#This Row],[high]],AVERAGE(M325,M327))</f>
        <v>262.33999999999997</v>
      </c>
      <c r="N326" s="19">
        <f ca="1">IF(testdataHighLow[[#This Row],[type]]="L",testdataHighLow[[#This Row],[low]],AVERAGE(N325,N327))</f>
        <v>249.90947368420973</v>
      </c>
      <c r="Q326" s="7">
        <v>325</v>
      </c>
      <c r="R326" s="18">
        <v>262.33999999999997</v>
      </c>
      <c r="S326" s="19">
        <v>262.33999999999997</v>
      </c>
      <c r="T326" s="19">
        <v>249.90947</v>
      </c>
      <c r="U326" s="4" t="s">
        <v>14</v>
      </c>
    </row>
    <row r="327" spans="1:21" x14ac:dyDescent="0.35">
      <c r="A327" s="7">
        <v>326</v>
      </c>
      <c r="B327" s="3">
        <v>43209</v>
      </c>
      <c r="C327" s="2">
        <v>260.75</v>
      </c>
      <c r="D327" s="14">
        <v>260.97000000000003</v>
      </c>
      <c r="E327" s="14">
        <v>258.88</v>
      </c>
      <c r="F327" s="2">
        <v>260.01</v>
      </c>
      <c r="G327" s="1">
        <v>80307456</v>
      </c>
      <c r="H327" s="6" t="s">
        <v>12</v>
      </c>
      <c r="I327" s="6">
        <f>IF(AND(H326="UP",testdataHighLow[[#This Row],[high]]&gt;I326),testdataHighLow[[#This Row],[high]],IF(AND(H326="DN",testdataHighLow[[#This Row],[low]]&lt;I326),testdataHighLow[[#This Row],[low]],I326))</f>
        <v>258.88</v>
      </c>
      <c r="J3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8.0732385661311488E-3</v>
      </c>
      <c r="K327" s="15">
        <f t="shared" ca="1" si="6"/>
        <v>261.26363636363646</v>
      </c>
      <c r="L327" s="6"/>
      <c r="M327" s="19">
        <f ca="1">IF(testdataHighLow[[#This Row],[type]]="H",testdataHighLow[[#This Row],[high]],AVERAGE(M326,M328))</f>
        <v>262.54282051281984</v>
      </c>
      <c r="N327" s="19">
        <f ca="1">IF(testdataHighLow[[#This Row],[type]]="L",testdataHighLow[[#This Row],[low]],AVERAGE(N326,N328))</f>
        <v>249.96315789473604</v>
      </c>
      <c r="Q327" s="7">
        <v>326</v>
      </c>
      <c r="R327" s="15">
        <v>261.2636</v>
      </c>
      <c r="S327" s="19">
        <v>262.54282000000001</v>
      </c>
      <c r="T327" s="19">
        <v>249.96315999999999</v>
      </c>
    </row>
    <row r="328" spans="1:21" x14ac:dyDescent="0.35">
      <c r="A328" s="7">
        <v>327</v>
      </c>
      <c r="B328" s="3">
        <v>43210</v>
      </c>
      <c r="C328" s="2">
        <v>259.93</v>
      </c>
      <c r="D328" s="14">
        <v>260.18</v>
      </c>
      <c r="E328" s="14">
        <v>256.83999999999997</v>
      </c>
      <c r="F328" s="2">
        <v>257.81</v>
      </c>
      <c r="G328" s="1">
        <v>103366016</v>
      </c>
      <c r="H328" s="6" t="s">
        <v>12</v>
      </c>
      <c r="I328" s="6">
        <f>IF(AND(H327="UP",testdataHighLow[[#This Row],[high]]&gt;I327),testdataHighLow[[#This Row],[high]],IF(AND(H327="DN",testdataHighLow[[#This Row],[low]]&lt;I327),testdataHighLow[[#This Row],[low]],I327))</f>
        <v>256.83999999999997</v>
      </c>
      <c r="J3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1.3004204952499735E-2</v>
      </c>
      <c r="K328" s="15">
        <f t="shared" ca="1" si="6"/>
        <v>260.1872727272729</v>
      </c>
      <c r="L328" s="6"/>
      <c r="M328" s="19">
        <f ca="1">IF(testdataHighLow[[#This Row],[type]]="H",testdataHighLow[[#This Row],[high]],AVERAGE(M327,M329))</f>
        <v>262.74564102563971</v>
      </c>
      <c r="N328" s="19">
        <f ca="1">IF(testdataHighLow[[#This Row],[type]]="L",testdataHighLow[[#This Row],[low]],AVERAGE(N327,N329))</f>
        <v>250.01684210526236</v>
      </c>
      <c r="Q328" s="7">
        <v>327</v>
      </c>
      <c r="R328" s="15">
        <v>260.18729999999999</v>
      </c>
      <c r="S328" s="19">
        <v>262.74563999999998</v>
      </c>
      <c r="T328" s="19">
        <v>250.01684</v>
      </c>
    </row>
    <row r="329" spans="1:21" x14ac:dyDescent="0.35">
      <c r="A329" s="7">
        <v>328</v>
      </c>
      <c r="B329" s="3">
        <v>43213</v>
      </c>
      <c r="C329" s="2">
        <v>258.44</v>
      </c>
      <c r="D329" s="14">
        <v>259.04000000000002</v>
      </c>
      <c r="E329" s="14">
        <v>256.58999999999997</v>
      </c>
      <c r="F329" s="2">
        <v>257.77</v>
      </c>
      <c r="G329" s="1">
        <v>67796416</v>
      </c>
      <c r="H329" s="6" t="s">
        <v>12</v>
      </c>
      <c r="I329" s="6">
        <f>IF(AND(H328="UP",testdataHighLow[[#This Row],[high]]&gt;I328),testdataHighLow[[#This Row],[high]],IF(AND(H328="DN",testdataHighLow[[#This Row],[low]]&lt;I328),testdataHighLow[[#This Row],[low]],I328))</f>
        <v>256.58999999999997</v>
      </c>
      <c r="J3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9.5483066370476086E-3</v>
      </c>
      <c r="K329" s="15">
        <f t="shared" ca="1" si="6"/>
        <v>259.11090909090933</v>
      </c>
      <c r="L329" s="6"/>
      <c r="M329" s="19">
        <f ca="1">IF(testdataHighLow[[#This Row],[type]]="H",testdataHighLow[[#This Row],[high]],AVERAGE(M328,M330))</f>
        <v>262.94846153845958</v>
      </c>
      <c r="N329" s="19">
        <f ca="1">IF(testdataHighLow[[#This Row],[type]]="L",testdataHighLow[[#This Row],[low]],AVERAGE(N328,N330))</f>
        <v>250.0705263157887</v>
      </c>
      <c r="Q329" s="7">
        <v>328</v>
      </c>
      <c r="R329" s="15">
        <v>259.11090000000002</v>
      </c>
      <c r="S329" s="19">
        <v>262.94846000000001</v>
      </c>
      <c r="T329" s="19">
        <v>250.07052999999999</v>
      </c>
    </row>
    <row r="330" spans="1:21" x14ac:dyDescent="0.35">
      <c r="A330" s="7">
        <v>329</v>
      </c>
      <c r="B330" s="3">
        <v>43214</v>
      </c>
      <c r="C330" s="2">
        <v>258.89</v>
      </c>
      <c r="D330" s="14">
        <v>259.13</v>
      </c>
      <c r="E330" s="14">
        <v>252.65</v>
      </c>
      <c r="F330" s="2">
        <v>254.3</v>
      </c>
      <c r="G330" s="1">
        <v>116739904</v>
      </c>
      <c r="H330" s="6" t="s">
        <v>12</v>
      </c>
      <c r="I330" s="6">
        <f>IF(AND(H329="UP",testdataHighLow[[#This Row],[high]]&gt;I329),testdataHighLow[[#This Row],[high]],IF(AND(H329="DN",testdataHighLow[[#This Row],[low]]&lt;I329),testdataHighLow[[#This Row],[low]],I329))</f>
        <v>252.65</v>
      </c>
      <c r="J3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2.564812982386697E-2</v>
      </c>
      <c r="K330" s="15">
        <f t="shared" ca="1" si="6"/>
        <v>258.03454545454576</v>
      </c>
      <c r="L330" s="6"/>
      <c r="M330" s="19">
        <f ca="1">IF(testdataHighLow[[#This Row],[type]]="H",testdataHighLow[[#This Row],[high]],AVERAGE(M329,M331))</f>
        <v>263.15128205127951</v>
      </c>
      <c r="N330" s="19">
        <f ca="1">IF(testdataHighLow[[#This Row],[type]]="L",testdataHighLow[[#This Row],[low]],AVERAGE(N329,N331))</f>
        <v>250.12421052631507</v>
      </c>
      <c r="Q330" s="7">
        <v>329</v>
      </c>
      <c r="R330" s="15">
        <v>258.03449999999998</v>
      </c>
      <c r="S330" s="19">
        <v>263.15127999999999</v>
      </c>
      <c r="T330" s="19">
        <v>250.12421000000001</v>
      </c>
    </row>
    <row r="331" spans="1:21" x14ac:dyDescent="0.35">
      <c r="A331" s="7">
        <v>330</v>
      </c>
      <c r="B331" s="3">
        <v>43215</v>
      </c>
      <c r="C331" s="2">
        <v>254.23</v>
      </c>
      <c r="D331" s="14">
        <v>255.41</v>
      </c>
      <c r="E331" s="14">
        <v>252.24</v>
      </c>
      <c r="F331" s="2">
        <v>254.93</v>
      </c>
      <c r="G331" s="1">
        <v>107386584</v>
      </c>
      <c r="H331" s="6" t="s">
        <v>12</v>
      </c>
      <c r="I331" s="6">
        <f>IF(AND(H330="UP",testdataHighLow[[#This Row],[high]]&gt;I330),testdataHighLow[[#This Row],[high]],IF(AND(H330="DN",testdataHighLow[[#This Row],[low]]&lt;I330),testdataHighLow[[#This Row],[low]],I330))</f>
        <v>252.24</v>
      </c>
      <c r="J3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1.2567396130669154E-2</v>
      </c>
      <c r="K331" s="15">
        <f t="shared" ca="1" si="6"/>
        <v>256.95818181818214</v>
      </c>
      <c r="L331" s="6"/>
      <c r="M331" s="19">
        <f ca="1">IF(testdataHighLow[[#This Row],[type]]="H",testdataHighLow[[#This Row],[high]],AVERAGE(M330,M332))</f>
        <v>263.35410256409949</v>
      </c>
      <c r="N331" s="19">
        <f ca="1">IF(testdataHighLow[[#This Row],[type]]="L",testdataHighLow[[#This Row],[low]],AVERAGE(N330,N332))</f>
        <v>250.17789473684144</v>
      </c>
      <c r="Q331" s="7">
        <v>330</v>
      </c>
      <c r="R331" s="15">
        <v>256.95819999999998</v>
      </c>
      <c r="S331" s="19">
        <v>263.35410000000002</v>
      </c>
      <c r="T331" s="19">
        <v>250.17788999999999</v>
      </c>
    </row>
    <row r="332" spans="1:21" x14ac:dyDescent="0.35">
      <c r="A332" s="7">
        <v>331</v>
      </c>
      <c r="B332" s="3">
        <v>43216</v>
      </c>
      <c r="C332" s="2">
        <v>256.05</v>
      </c>
      <c r="D332" s="14">
        <v>258.42</v>
      </c>
      <c r="E332" s="14">
        <v>255.56</v>
      </c>
      <c r="F332" s="2">
        <v>257.52</v>
      </c>
      <c r="G332" s="1">
        <v>70044640</v>
      </c>
      <c r="H332" s="6" t="s">
        <v>12</v>
      </c>
      <c r="I332" s="6">
        <f>IF(AND(H331="UP",testdataHighLow[[#This Row],[high]]&gt;I331),testdataHighLow[[#This Row],[high]],IF(AND(H331="DN",testdataHighLow[[#This Row],[low]]&lt;I331),testdataHighLow[[#This Row],[low]],I331))</f>
        <v>252.24</v>
      </c>
      <c r="J3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2.4500475737392984E-2</v>
      </c>
      <c r="K332" s="15">
        <f t="shared" ca="1" si="6"/>
        <v>255.88181818181849</v>
      </c>
      <c r="L332" s="6"/>
      <c r="M332" s="19">
        <f ca="1">IF(testdataHighLow[[#This Row],[type]]="H",testdataHighLow[[#This Row],[high]],AVERAGE(M331,M333))</f>
        <v>263.55692307691947</v>
      </c>
      <c r="N332" s="19">
        <f ca="1">IF(testdataHighLow[[#This Row],[type]]="L",testdataHighLow[[#This Row],[low]],AVERAGE(N331,N333))</f>
        <v>250.23157894736784</v>
      </c>
      <c r="Q332" s="7">
        <v>331</v>
      </c>
      <c r="R332" s="15">
        <v>255.8818</v>
      </c>
      <c r="S332" s="19">
        <v>263.55691999999999</v>
      </c>
      <c r="T332" s="19">
        <v>250.23158000000001</v>
      </c>
    </row>
    <row r="333" spans="1:21" x14ac:dyDescent="0.35">
      <c r="A333" s="7">
        <v>332</v>
      </c>
      <c r="B333" s="3">
        <v>43217</v>
      </c>
      <c r="C333" s="2">
        <v>258.18</v>
      </c>
      <c r="D333" s="14">
        <v>258.51</v>
      </c>
      <c r="E333" s="14">
        <v>256.73</v>
      </c>
      <c r="F333" s="2">
        <v>257.76</v>
      </c>
      <c r="G333" s="1">
        <v>59001736</v>
      </c>
      <c r="H333" s="6" t="s">
        <v>12</v>
      </c>
      <c r="I333" s="6">
        <f>IF(AND(H332="UP",testdataHighLow[[#This Row],[high]]&gt;I332),testdataHighLow[[#This Row],[high]],IF(AND(H332="DN",testdataHighLow[[#This Row],[low]]&lt;I332),testdataHighLow[[#This Row],[low]],I332))</f>
        <v>252.24</v>
      </c>
      <c r="J3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2.4857278782112201E-2</v>
      </c>
      <c r="K333" s="15">
        <f t="shared" ca="1" si="6"/>
        <v>254.80545454545484</v>
      </c>
      <c r="L333" s="6"/>
      <c r="M333" s="19">
        <f ca="1">IF(testdataHighLow[[#This Row],[type]]="H",testdataHighLow[[#This Row],[high]],AVERAGE(M332,M334))</f>
        <v>263.75974358973951</v>
      </c>
      <c r="N333" s="19">
        <f ca="1">IF(testdataHighLow[[#This Row],[type]]="L",testdataHighLow[[#This Row],[low]],AVERAGE(N332,N334))</f>
        <v>250.28526315789424</v>
      </c>
      <c r="Q333" s="7">
        <v>332</v>
      </c>
      <c r="R333" s="15">
        <v>254.80549999999999</v>
      </c>
      <c r="S333" s="19">
        <v>263.75974000000002</v>
      </c>
      <c r="T333" s="19">
        <v>250.28525999999999</v>
      </c>
    </row>
    <row r="334" spans="1:21" x14ac:dyDescent="0.35">
      <c r="A334" s="7">
        <v>333</v>
      </c>
      <c r="B334" s="3">
        <v>43220</v>
      </c>
      <c r="C334" s="2">
        <v>258.44</v>
      </c>
      <c r="D334" s="14">
        <v>259.04000000000002</v>
      </c>
      <c r="E334" s="14">
        <v>255.7</v>
      </c>
      <c r="F334" s="2">
        <v>255.78</v>
      </c>
      <c r="G334" s="1">
        <v>84988424</v>
      </c>
      <c r="H334" s="6" t="s">
        <v>12</v>
      </c>
      <c r="I334" s="6">
        <f>IF(AND(H333="UP",testdataHighLow[[#This Row],[high]]&gt;I333),testdataHighLow[[#This Row],[high]],IF(AND(H333="DN",testdataHighLow[[#This Row],[low]]&lt;I333),testdataHighLow[[#This Row],[low]],I333))</f>
        <v>252.24</v>
      </c>
      <c r="J3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2.6958452267681617E-2</v>
      </c>
      <c r="K334" s="15">
        <f t="shared" ca="1" si="6"/>
        <v>253.72909090909116</v>
      </c>
      <c r="L334" s="6"/>
      <c r="M334" s="19">
        <f ca="1">IF(testdataHighLow[[#This Row],[type]]="H",testdataHighLow[[#This Row],[high]],AVERAGE(M333,M335))</f>
        <v>263.96256410255961</v>
      </c>
      <c r="N334" s="19">
        <f ca="1">IF(testdataHighLow[[#This Row],[type]]="L",testdataHighLow[[#This Row],[low]],AVERAGE(N333,N335))</f>
        <v>250.33894736842066</v>
      </c>
      <c r="Q334" s="7">
        <v>333</v>
      </c>
      <c r="R334" s="15">
        <v>253.72909999999999</v>
      </c>
      <c r="S334" s="19">
        <v>263.96256</v>
      </c>
      <c r="T334" s="19">
        <v>250.33895000000001</v>
      </c>
    </row>
    <row r="335" spans="1:21" x14ac:dyDescent="0.35">
      <c r="A335" s="7">
        <v>334</v>
      </c>
      <c r="B335" s="3">
        <v>43221</v>
      </c>
      <c r="C335" s="2">
        <v>255.16</v>
      </c>
      <c r="D335" s="14">
        <v>256.35000000000002</v>
      </c>
      <c r="E335" s="14">
        <v>253.46</v>
      </c>
      <c r="F335" s="2">
        <v>256.23</v>
      </c>
      <c r="G335" s="1">
        <v>76737024</v>
      </c>
      <c r="H335" s="6" t="s">
        <v>12</v>
      </c>
      <c r="I335" s="6">
        <f>IF(AND(H334="UP",testdataHighLow[[#This Row],[high]]&gt;I334),testdataHighLow[[#This Row],[high]],IF(AND(H334="DN",testdataHighLow[[#This Row],[low]]&lt;I334),testdataHighLow[[#This Row],[low]],I334))</f>
        <v>252.24</v>
      </c>
      <c r="J3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1.6294005708848768E-2</v>
      </c>
      <c r="K335" s="15">
        <f t="shared" ca="1" si="6"/>
        <v>252.65272727272745</v>
      </c>
      <c r="L335" s="6"/>
      <c r="M335" s="19">
        <f ca="1">IF(testdataHighLow[[#This Row],[type]]="H",testdataHighLow[[#This Row],[high]],AVERAGE(M334,M336))</f>
        <v>264.16538461537971</v>
      </c>
      <c r="N335" s="19">
        <f ca="1">IF(testdataHighLow[[#This Row],[type]]="L",testdataHighLow[[#This Row],[low]],AVERAGE(N334,N336))</f>
        <v>250.39263157894709</v>
      </c>
      <c r="Q335" s="7">
        <v>334</v>
      </c>
      <c r="R335" s="15">
        <v>252.65270000000001</v>
      </c>
      <c r="S335" s="19">
        <v>264.16538000000003</v>
      </c>
      <c r="T335" s="19">
        <v>250.39263</v>
      </c>
    </row>
    <row r="336" spans="1:21" x14ac:dyDescent="0.35">
      <c r="A336" s="7">
        <v>335</v>
      </c>
      <c r="B336" s="3">
        <v>43222</v>
      </c>
      <c r="C336" s="2">
        <v>256.02</v>
      </c>
      <c r="D336" s="14">
        <v>256.91000000000003</v>
      </c>
      <c r="E336" s="14">
        <v>254.08</v>
      </c>
      <c r="F336" s="2">
        <v>254.51</v>
      </c>
      <c r="G336" s="1">
        <v>89317992</v>
      </c>
      <c r="H336" s="6" t="s">
        <v>12</v>
      </c>
      <c r="I336" s="6">
        <f>IF(AND(H335="UP",testdataHighLow[[#This Row],[high]]&gt;I335),testdataHighLow[[#This Row],[high]],IF(AND(H335="DN",testdataHighLow[[#This Row],[low]]&lt;I335),testdataHighLow[[#This Row],[low]],I335))</f>
        <v>252.24</v>
      </c>
      <c r="J3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1.8514113542657848E-2</v>
      </c>
      <c r="K336" s="15">
        <f t="shared" ca="1" si="6"/>
        <v>251.57636363636374</v>
      </c>
      <c r="L336" s="6"/>
      <c r="M336" s="19">
        <f ca="1">IF(testdataHighLow[[#This Row],[type]]="H",testdataHighLow[[#This Row],[high]],AVERAGE(M335,M337))</f>
        <v>264.36820512819986</v>
      </c>
      <c r="N336" s="19">
        <f ca="1">IF(testdataHighLow[[#This Row],[type]]="L",testdataHighLow[[#This Row],[low]],AVERAGE(N335,N337))</f>
        <v>250.44631578947354</v>
      </c>
      <c r="Q336" s="7">
        <v>335</v>
      </c>
      <c r="R336" s="15">
        <v>251.57640000000001</v>
      </c>
      <c r="S336" s="19">
        <v>264.36820999999998</v>
      </c>
      <c r="T336" s="19">
        <v>250.44631999999999</v>
      </c>
    </row>
    <row r="337" spans="1:21" x14ac:dyDescent="0.35">
      <c r="A337" s="7">
        <v>336</v>
      </c>
      <c r="B337" s="3">
        <v>43223</v>
      </c>
      <c r="C337" s="2">
        <v>253.6</v>
      </c>
      <c r="D337" s="14">
        <v>254.66</v>
      </c>
      <c r="E337" s="14">
        <v>250.5</v>
      </c>
      <c r="F337" s="2">
        <v>253.95</v>
      </c>
      <c r="G337" s="1">
        <v>140965808</v>
      </c>
      <c r="H337" s="6" t="s">
        <v>10</v>
      </c>
      <c r="I337" s="6">
        <f>IF(AND(H336="UP",testdataHighLow[[#This Row],[high]]&gt;I336),testdataHighLow[[#This Row],[high]],IF(AND(H336="DN",testdataHighLow[[#This Row],[low]]&lt;I336),testdataHighLow[[#This Row],[low]],I336))</f>
        <v>250.5</v>
      </c>
      <c r="J3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37" s="18">
        <f>testdataHighLow[[#This Row],[low]]</f>
        <v>250.5</v>
      </c>
      <c r="L337" s="6" t="s">
        <v>15</v>
      </c>
      <c r="M337" s="19">
        <f ca="1">IF(testdataHighLow[[#This Row],[type]]="H",testdataHighLow[[#This Row],[high]],AVERAGE(M336,M338))</f>
        <v>264.57102564102007</v>
      </c>
      <c r="N337" s="19">
        <f>IF(testdataHighLow[[#This Row],[type]]="L",testdataHighLow[[#This Row],[low]],AVERAGE(N336,N338))</f>
        <v>250.5</v>
      </c>
      <c r="Q337" s="7">
        <v>336</v>
      </c>
      <c r="R337" s="18">
        <v>250.5</v>
      </c>
      <c r="S337" s="19">
        <v>264.57103000000001</v>
      </c>
      <c r="T337" s="19">
        <v>250.5</v>
      </c>
      <c r="U337" s="4" t="s">
        <v>15</v>
      </c>
    </row>
    <row r="338" spans="1:21" x14ac:dyDescent="0.35">
      <c r="A338" s="7">
        <v>337</v>
      </c>
      <c r="B338" s="3">
        <v>43224</v>
      </c>
      <c r="C338" s="2">
        <v>252.89</v>
      </c>
      <c r="D338" s="14">
        <v>257.98</v>
      </c>
      <c r="E338" s="14">
        <v>252.53</v>
      </c>
      <c r="F338" s="2">
        <v>257.24</v>
      </c>
      <c r="G338" s="1">
        <v>94336840</v>
      </c>
      <c r="H338" s="6" t="s">
        <v>10</v>
      </c>
      <c r="I338" s="6">
        <f>IF(AND(H337="UP",testdataHighLow[[#This Row],[high]]&gt;I337),testdataHighLow[[#This Row],[high]],IF(AND(H337="DN",testdataHighLow[[#This Row],[low]]&lt;I337),testdataHighLow[[#This Row],[low]],I337))</f>
        <v>257.98</v>
      </c>
      <c r="J3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-2.1125668656485064E-2</v>
      </c>
      <c r="K338" s="15">
        <f t="shared" ca="1" si="6"/>
        <v>251.20535714285751</v>
      </c>
      <c r="L338" s="6"/>
      <c r="M338" s="19">
        <f ca="1">IF(testdataHighLow[[#This Row],[type]]="H",testdataHighLow[[#This Row],[high]],AVERAGE(M337,M339))</f>
        <v>264.77384615384028</v>
      </c>
      <c r="N338" s="19">
        <f ca="1">IF(testdataHighLow[[#This Row],[type]]="L",testdataHighLow[[#This Row],[low]],AVERAGE(N337,N339))</f>
        <v>250.76384615384575</v>
      </c>
      <c r="Q338" s="7">
        <v>337</v>
      </c>
      <c r="R338" s="15">
        <v>251.2054</v>
      </c>
      <c r="S338" s="19">
        <v>264.77384999999998</v>
      </c>
      <c r="T338" s="19">
        <v>250.76384999999999</v>
      </c>
    </row>
    <row r="339" spans="1:21" x14ac:dyDescent="0.35">
      <c r="A339" s="7">
        <v>338</v>
      </c>
      <c r="B339" s="3">
        <v>43227</v>
      </c>
      <c r="C339" s="2">
        <v>258.08</v>
      </c>
      <c r="D339" s="14">
        <v>259.17</v>
      </c>
      <c r="E339" s="14">
        <v>257.32</v>
      </c>
      <c r="F339" s="2">
        <v>258.11</v>
      </c>
      <c r="G339" s="1">
        <v>57193284</v>
      </c>
      <c r="H339" s="6" t="s">
        <v>10</v>
      </c>
      <c r="I339" s="6">
        <f>IF(AND(H338="UP",testdataHighLow[[#This Row],[high]]&gt;I338),testdataHighLow[[#This Row],[high]],IF(AND(H338="DN",testdataHighLow[[#This Row],[low]]&lt;I338),testdataHighLow[[#This Row],[low]],I338))</f>
        <v>259.17</v>
      </c>
      <c r="J3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-7.1381718563106175E-3</v>
      </c>
      <c r="K339" s="15">
        <f t="shared" ca="1" si="6"/>
        <v>251.91071428571502</v>
      </c>
      <c r="L339" s="6"/>
      <c r="M339" s="19">
        <f ca="1">IF(testdataHighLow[[#This Row],[type]]="H",testdataHighLow[[#This Row],[high]],AVERAGE(M338,M340))</f>
        <v>264.97666666666055</v>
      </c>
      <c r="N339" s="19">
        <f ca="1">IF(testdataHighLow[[#This Row],[type]]="L",testdataHighLow[[#This Row],[low]],AVERAGE(N338,N340))</f>
        <v>251.0276923076915</v>
      </c>
      <c r="Q339" s="7">
        <v>338</v>
      </c>
      <c r="R339" s="15">
        <v>251.91069999999999</v>
      </c>
      <c r="S339" s="19">
        <v>264.97667000000001</v>
      </c>
      <c r="T339" s="19">
        <v>251.02769000000001</v>
      </c>
    </row>
    <row r="340" spans="1:21" x14ac:dyDescent="0.35">
      <c r="A340" s="7">
        <v>339</v>
      </c>
      <c r="B340" s="3">
        <v>43228</v>
      </c>
      <c r="C340" s="2">
        <v>257.7</v>
      </c>
      <c r="D340" s="14">
        <v>258.5</v>
      </c>
      <c r="E340" s="14">
        <v>256.39999999999998</v>
      </c>
      <c r="F340" s="2">
        <v>258.11</v>
      </c>
      <c r="G340" s="1">
        <v>69804000</v>
      </c>
      <c r="H340" s="6" t="s">
        <v>10</v>
      </c>
      <c r="I340" s="6">
        <f>IF(AND(H339="UP",testdataHighLow[[#This Row],[high]]&gt;I339),testdataHighLow[[#This Row],[high]],IF(AND(H339="DN",testdataHighLow[[#This Row],[low]]&lt;I339),testdataHighLow[[#This Row],[low]],I339))</f>
        <v>259.17</v>
      </c>
      <c r="J3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-1.0687965428097536E-2</v>
      </c>
      <c r="K340" s="15">
        <f t="shared" ca="1" si="6"/>
        <v>252.6160714285725</v>
      </c>
      <c r="L340" s="6"/>
      <c r="M340" s="19">
        <f ca="1">IF(testdataHighLow[[#This Row],[type]]="H",testdataHighLow[[#This Row],[high]],AVERAGE(M339,M341))</f>
        <v>265.17948717948087</v>
      </c>
      <c r="N340" s="19">
        <f ca="1">IF(testdataHighLow[[#This Row],[type]]="L",testdataHighLow[[#This Row],[low]],AVERAGE(N339,N341))</f>
        <v>251.29153846153727</v>
      </c>
      <c r="Q340" s="7">
        <v>339</v>
      </c>
      <c r="R340" s="15">
        <v>252.61609999999999</v>
      </c>
      <c r="S340" s="19">
        <v>265.17948999999999</v>
      </c>
      <c r="T340" s="19">
        <v>251.29154</v>
      </c>
    </row>
    <row r="341" spans="1:21" x14ac:dyDescent="0.35">
      <c r="A341" s="7">
        <v>340</v>
      </c>
      <c r="B341" s="3">
        <v>43229</v>
      </c>
      <c r="C341" s="2">
        <v>258.83999999999997</v>
      </c>
      <c r="D341" s="14">
        <v>260.95</v>
      </c>
      <c r="E341" s="14">
        <v>258.27</v>
      </c>
      <c r="F341" s="2">
        <v>260.60000000000002</v>
      </c>
      <c r="G341" s="1">
        <v>61703432</v>
      </c>
      <c r="H341" s="6" t="s">
        <v>10</v>
      </c>
      <c r="I341" s="6">
        <f>IF(AND(H340="UP",testdataHighLow[[#This Row],[high]]&gt;I340),testdataHighLow[[#This Row],[high]],IF(AND(H340="DN",testdataHighLow[[#This Row],[low]]&lt;I340),testdataHighLow[[#This Row],[low]],I340))</f>
        <v>260.95</v>
      </c>
      <c r="J3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-1.027016669860129E-2</v>
      </c>
      <c r="K341" s="15">
        <f t="shared" ca="1" si="6"/>
        <v>253.32142857142998</v>
      </c>
      <c r="L341" s="6"/>
      <c r="M341" s="19">
        <f ca="1">IF(testdataHighLow[[#This Row],[type]]="H",testdataHighLow[[#This Row],[high]],AVERAGE(M340,M342))</f>
        <v>265.3823076923012</v>
      </c>
      <c r="N341" s="19">
        <f ca="1">IF(testdataHighLow[[#This Row],[type]]="L",testdataHighLow[[#This Row],[low]],AVERAGE(N340,N342))</f>
        <v>251.55538461538305</v>
      </c>
      <c r="Q341" s="7">
        <v>340</v>
      </c>
      <c r="R341" s="15">
        <v>253.32140000000001</v>
      </c>
      <c r="S341" s="19">
        <v>265.38231000000002</v>
      </c>
      <c r="T341" s="19">
        <v>251.55538000000001</v>
      </c>
    </row>
    <row r="342" spans="1:21" x14ac:dyDescent="0.35">
      <c r="A342" s="7">
        <v>341</v>
      </c>
      <c r="B342" s="3">
        <v>43230</v>
      </c>
      <c r="C342" s="2">
        <v>261.41000000000003</v>
      </c>
      <c r="D342" s="14">
        <v>263.39999999999998</v>
      </c>
      <c r="E342" s="14">
        <v>261.3</v>
      </c>
      <c r="F342" s="2">
        <v>263.04000000000002</v>
      </c>
      <c r="G342" s="1">
        <v>74524544</v>
      </c>
      <c r="H342" s="6" t="s">
        <v>10</v>
      </c>
      <c r="I342" s="6">
        <f>IF(AND(H341="UP",testdataHighLow[[#This Row],[high]]&gt;I341),testdataHighLow[[#This Row],[high]],IF(AND(H341="DN",testdataHighLow[[#This Row],[low]]&lt;I341),testdataHighLow[[#This Row],[low]],I341))</f>
        <v>263.39999999999998</v>
      </c>
      <c r="J3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-7.9726651480636519E-3</v>
      </c>
      <c r="K342" s="15">
        <f t="shared" ca="1" si="6"/>
        <v>254.02678571428743</v>
      </c>
      <c r="L342" s="6"/>
      <c r="M342" s="19">
        <f ca="1">IF(testdataHighLow[[#This Row],[type]]="H",testdataHighLow[[#This Row],[high]],AVERAGE(M341,M343))</f>
        <v>265.58512820512158</v>
      </c>
      <c r="N342" s="19">
        <f ca="1">IF(testdataHighLow[[#This Row],[type]]="L",testdataHighLow[[#This Row],[low]],AVERAGE(N341,N343))</f>
        <v>251.81923076922885</v>
      </c>
      <c r="Q342" s="7">
        <v>341</v>
      </c>
      <c r="R342" s="15">
        <v>254.02680000000001</v>
      </c>
      <c r="S342" s="19">
        <v>265.58512999999999</v>
      </c>
      <c r="T342" s="19">
        <v>251.81923</v>
      </c>
    </row>
    <row r="343" spans="1:21" x14ac:dyDescent="0.35">
      <c r="A343" s="7">
        <v>342</v>
      </c>
      <c r="B343" s="3">
        <v>43231</v>
      </c>
      <c r="C343" s="2">
        <v>263.17</v>
      </c>
      <c r="D343" s="14">
        <v>264.13</v>
      </c>
      <c r="E343" s="14">
        <v>262.61</v>
      </c>
      <c r="F343" s="2">
        <v>263.83999999999997</v>
      </c>
      <c r="G343" s="1">
        <v>61915812</v>
      </c>
      <c r="H343" s="6" t="s">
        <v>10</v>
      </c>
      <c r="I343" s="6">
        <f>IF(AND(H342="UP",testdataHighLow[[#This Row],[high]]&gt;I342),testdataHighLow[[#This Row],[high]],IF(AND(H342="DN",testdataHighLow[[#This Row],[low]]&lt;I342),testdataHighLow[[#This Row],[low]],I342))</f>
        <v>264.13</v>
      </c>
      <c r="J3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-5.7547419831143068E-3</v>
      </c>
      <c r="K343" s="15">
        <f t="shared" ca="1" si="6"/>
        <v>254.73214285714485</v>
      </c>
      <c r="L343" s="6"/>
      <c r="M343" s="19">
        <f ca="1">IF(testdataHighLow[[#This Row],[type]]="H",testdataHighLow[[#This Row],[high]],AVERAGE(M342,M344))</f>
        <v>265.78794871794202</v>
      </c>
      <c r="N343" s="19">
        <f ca="1">IF(testdataHighLow[[#This Row],[type]]="L",testdataHighLow[[#This Row],[low]],AVERAGE(N342,N344))</f>
        <v>252.08307692307466</v>
      </c>
      <c r="Q343" s="7">
        <v>342</v>
      </c>
      <c r="R343" s="15">
        <v>254.7321</v>
      </c>
      <c r="S343" s="19">
        <v>265.78795000000002</v>
      </c>
      <c r="T343" s="19">
        <v>252.08308</v>
      </c>
    </row>
    <row r="344" spans="1:21" x14ac:dyDescent="0.35">
      <c r="A344" s="7">
        <v>343</v>
      </c>
      <c r="B344" s="3">
        <v>43234</v>
      </c>
      <c r="C344" s="2">
        <v>264.31</v>
      </c>
      <c r="D344" s="14">
        <v>265.02999999999997</v>
      </c>
      <c r="E344" s="14">
        <v>263.37</v>
      </c>
      <c r="F344" s="2">
        <v>263.97000000000003</v>
      </c>
      <c r="G344" s="1">
        <v>56661420</v>
      </c>
      <c r="H344" s="6" t="s">
        <v>10</v>
      </c>
      <c r="I344" s="6">
        <f>IF(AND(H343="UP",testdataHighLow[[#This Row],[high]]&gt;I343),testdataHighLow[[#This Row],[high]],IF(AND(H343="DN",testdataHighLow[[#This Row],[low]]&lt;I343),testdataHighLow[[#This Row],[low]],I343))</f>
        <v>265.02999999999997</v>
      </c>
      <c r="J3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-6.2634418745046534E-3</v>
      </c>
      <c r="K344" s="15">
        <f t="shared" ca="1" si="6"/>
        <v>255.43750000000227</v>
      </c>
      <c r="L344" s="6"/>
      <c r="M344" s="19">
        <f ca="1">IF(testdataHighLow[[#This Row],[type]]="H",testdataHighLow[[#This Row],[high]],AVERAGE(M343,M345))</f>
        <v>265.99076923076245</v>
      </c>
      <c r="N344" s="19">
        <f ca="1">IF(testdataHighLow[[#This Row],[type]]="L",testdataHighLow[[#This Row],[low]],AVERAGE(N343,N345))</f>
        <v>252.34692307692049</v>
      </c>
      <c r="Q344" s="7">
        <v>343</v>
      </c>
      <c r="R344" s="15">
        <v>255.4375</v>
      </c>
      <c r="S344" s="19">
        <v>265.99077</v>
      </c>
      <c r="T344" s="19">
        <v>252.34692000000001</v>
      </c>
    </row>
    <row r="345" spans="1:21" x14ac:dyDescent="0.35">
      <c r="A345" s="7">
        <v>344</v>
      </c>
      <c r="B345" s="3">
        <v>43235</v>
      </c>
      <c r="C345" s="2">
        <v>262.62</v>
      </c>
      <c r="D345" s="14">
        <v>262.64</v>
      </c>
      <c r="E345" s="14">
        <v>261.11</v>
      </c>
      <c r="F345" s="2">
        <v>262.14999999999998</v>
      </c>
      <c r="G345" s="1">
        <v>90007968</v>
      </c>
      <c r="H345" s="6" t="s">
        <v>10</v>
      </c>
      <c r="I345" s="6">
        <f>IF(AND(H344="UP",testdataHighLow[[#This Row],[high]]&gt;I344),testdataHighLow[[#This Row],[high]],IF(AND(H344="DN",testdataHighLow[[#This Row],[low]]&lt;I344),testdataHighLow[[#This Row],[low]],I344))</f>
        <v>265.02999999999997</v>
      </c>
      <c r="J3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-1.4790778402444853E-2</v>
      </c>
      <c r="K345" s="15">
        <f t="shared" ca="1" si="6"/>
        <v>256.14285714285967</v>
      </c>
      <c r="L345" s="6"/>
      <c r="M345" s="19">
        <f ca="1">IF(testdataHighLow[[#This Row],[type]]="H",testdataHighLow[[#This Row],[high]],AVERAGE(M344,M346))</f>
        <v>266.19358974358295</v>
      </c>
      <c r="N345" s="19">
        <f ca="1">IF(testdataHighLow[[#This Row],[type]]="L",testdataHighLow[[#This Row],[low]],AVERAGE(N344,N346))</f>
        <v>252.61076923076632</v>
      </c>
      <c r="Q345" s="7">
        <v>344</v>
      </c>
      <c r="R345" s="15">
        <v>256.1429</v>
      </c>
      <c r="S345" s="19">
        <v>266.19358999999997</v>
      </c>
      <c r="T345" s="19">
        <v>252.61077</v>
      </c>
    </row>
    <row r="346" spans="1:21" x14ac:dyDescent="0.35">
      <c r="A346" s="7">
        <v>345</v>
      </c>
      <c r="B346" s="3">
        <v>43236</v>
      </c>
      <c r="C346" s="2">
        <v>262.19</v>
      </c>
      <c r="D346" s="14">
        <v>263.75</v>
      </c>
      <c r="E346" s="14">
        <v>262.16000000000003</v>
      </c>
      <c r="F346" s="2">
        <v>263.25</v>
      </c>
      <c r="G346" s="1">
        <v>55784492</v>
      </c>
      <c r="H346" s="6" t="s">
        <v>10</v>
      </c>
      <c r="I346" s="6">
        <f>IF(AND(H345="UP",testdataHighLow[[#This Row],[high]]&gt;I345),testdataHighLow[[#This Row],[high]],IF(AND(H345="DN",testdataHighLow[[#This Row],[low]]&lt;I345),testdataHighLow[[#This Row],[low]],I345))</f>
        <v>265.02999999999997</v>
      </c>
      <c r="J3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-1.0828962758932754E-2</v>
      </c>
      <c r="K346" s="15">
        <f t="shared" ca="1" si="6"/>
        <v>256.84821428571706</v>
      </c>
      <c r="L346" s="6"/>
      <c r="M346" s="19">
        <f ca="1">IF(testdataHighLow[[#This Row],[type]]="H",testdataHighLow[[#This Row],[high]],AVERAGE(M345,M347))</f>
        <v>266.39641025640344</v>
      </c>
      <c r="N346" s="19">
        <f ca="1">IF(testdataHighLow[[#This Row],[type]]="L",testdataHighLow[[#This Row],[low]],AVERAGE(N345,N347))</f>
        <v>252.87461538461218</v>
      </c>
      <c r="Q346" s="7">
        <v>345</v>
      </c>
      <c r="R346" s="15">
        <v>256.84820000000002</v>
      </c>
      <c r="S346" s="19">
        <v>266.39641</v>
      </c>
      <c r="T346" s="19">
        <v>252.87461999999999</v>
      </c>
    </row>
    <row r="347" spans="1:21" x14ac:dyDescent="0.35">
      <c r="A347" s="7">
        <v>346</v>
      </c>
      <c r="B347" s="3">
        <v>43237</v>
      </c>
      <c r="C347" s="2">
        <v>262.95999999999998</v>
      </c>
      <c r="D347" s="14">
        <v>264.20999999999998</v>
      </c>
      <c r="E347" s="14">
        <v>262.18</v>
      </c>
      <c r="F347" s="2">
        <v>263.02999999999997</v>
      </c>
      <c r="G347" s="1">
        <v>58466824</v>
      </c>
      <c r="H347" s="6" t="s">
        <v>10</v>
      </c>
      <c r="I347" s="6">
        <f>IF(AND(H346="UP",testdataHighLow[[#This Row],[high]]&gt;I346),testdataHighLow[[#This Row],[high]],IF(AND(H346="DN",testdataHighLow[[#This Row],[low]]&lt;I346),testdataHighLow[[#This Row],[low]],I346))</f>
        <v>265.02999999999997</v>
      </c>
      <c r="J3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-1.0753499603818308E-2</v>
      </c>
      <c r="K347" s="15">
        <f t="shared" ca="1" si="6"/>
        <v>257.5535714285744</v>
      </c>
      <c r="L347" s="6"/>
      <c r="M347" s="19">
        <f ca="1">IF(testdataHighLow[[#This Row],[type]]="H",testdataHighLow[[#This Row],[high]],AVERAGE(M346,M348))</f>
        <v>266.59923076922399</v>
      </c>
      <c r="N347" s="19">
        <f ca="1">IF(testdataHighLow[[#This Row],[type]]="L",testdataHighLow[[#This Row],[low]],AVERAGE(N346,N348))</f>
        <v>253.13846153845807</v>
      </c>
      <c r="Q347" s="7">
        <v>346</v>
      </c>
      <c r="R347" s="15">
        <v>257.55360000000002</v>
      </c>
      <c r="S347" s="19">
        <v>266.59922999999998</v>
      </c>
      <c r="T347" s="19">
        <v>253.13846000000001</v>
      </c>
    </row>
    <row r="348" spans="1:21" x14ac:dyDescent="0.35">
      <c r="A348" s="7">
        <v>347</v>
      </c>
      <c r="B348" s="3">
        <v>43238</v>
      </c>
      <c r="C348" s="2">
        <v>262.64999999999998</v>
      </c>
      <c r="D348" s="14">
        <v>263.05</v>
      </c>
      <c r="E348" s="14">
        <v>261.98</v>
      </c>
      <c r="F348" s="2">
        <v>262.37</v>
      </c>
      <c r="G348" s="1">
        <v>66565792</v>
      </c>
      <c r="H348" s="6" t="s">
        <v>10</v>
      </c>
      <c r="I348" s="6">
        <f>IF(AND(H347="UP",testdataHighLow[[#This Row],[high]]&gt;I347),testdataHighLow[[#This Row],[high]],IF(AND(H347="DN",testdataHighLow[[#This Row],[low]]&lt;I347),testdataHighLow[[#This Row],[low]],I347))</f>
        <v>265.02999999999997</v>
      </c>
      <c r="J3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-1.1508131154963418E-2</v>
      </c>
      <c r="K348" s="15">
        <f t="shared" ca="1" si="6"/>
        <v>258.25892857143168</v>
      </c>
      <c r="L348" s="6"/>
      <c r="M348" s="19">
        <f ca="1">IF(testdataHighLow[[#This Row],[type]]="H",testdataHighLow[[#This Row],[high]],AVERAGE(M347,M349))</f>
        <v>266.80205128204454</v>
      </c>
      <c r="N348" s="19">
        <f ca="1">IF(testdataHighLow[[#This Row],[type]]="L",testdataHighLow[[#This Row],[low]],AVERAGE(N347,N349))</f>
        <v>253.40230769230396</v>
      </c>
      <c r="Q348" s="7">
        <v>347</v>
      </c>
      <c r="R348" s="15">
        <v>258.25889999999998</v>
      </c>
      <c r="S348" s="19">
        <v>266.80205000000001</v>
      </c>
      <c r="T348" s="19">
        <v>253.40231</v>
      </c>
    </row>
    <row r="349" spans="1:21" x14ac:dyDescent="0.35">
      <c r="A349" s="7">
        <v>348</v>
      </c>
      <c r="B349" s="3">
        <v>43241</v>
      </c>
      <c r="C349" s="2">
        <v>264</v>
      </c>
      <c r="D349" s="14">
        <v>264.93</v>
      </c>
      <c r="E349" s="14">
        <v>262.39</v>
      </c>
      <c r="F349" s="2">
        <v>264.33999999999997</v>
      </c>
      <c r="G349" s="1">
        <v>60007156</v>
      </c>
      <c r="H349" s="6" t="s">
        <v>10</v>
      </c>
      <c r="I349" s="6">
        <f>IF(AND(H348="UP",testdataHighLow[[#This Row],[high]]&gt;I348),testdataHighLow[[#This Row],[high]],IF(AND(H348="DN",testdataHighLow[[#This Row],[low]]&lt;I348),testdataHighLow[[#This Row],[low]],I348))</f>
        <v>265.02999999999997</v>
      </c>
      <c r="J3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-9.961136475115975E-3</v>
      </c>
      <c r="K349" s="15">
        <f t="shared" ca="1" si="6"/>
        <v>258.96428571428896</v>
      </c>
      <c r="L349" s="6"/>
      <c r="M349" s="19">
        <f ca="1">IF(testdataHighLow[[#This Row],[type]]="H",testdataHighLow[[#This Row],[high]],AVERAGE(M348,M350))</f>
        <v>267.00487179486515</v>
      </c>
      <c r="N349" s="19">
        <f ca="1">IF(testdataHighLow[[#This Row],[type]]="L",testdataHighLow[[#This Row],[low]],AVERAGE(N348,N350))</f>
        <v>253.66615384614988</v>
      </c>
      <c r="Q349" s="7">
        <v>348</v>
      </c>
      <c r="R349" s="15">
        <v>258.96429999999998</v>
      </c>
      <c r="S349" s="19">
        <v>267.00486999999998</v>
      </c>
      <c r="T349" s="19">
        <v>253.66614999999999</v>
      </c>
    </row>
    <row r="350" spans="1:21" x14ac:dyDescent="0.35">
      <c r="A350" s="7">
        <v>349</v>
      </c>
      <c r="B350" s="3">
        <v>43242</v>
      </c>
      <c r="C350" s="2">
        <v>264.91000000000003</v>
      </c>
      <c r="D350" s="14">
        <v>265.2</v>
      </c>
      <c r="E350" s="14">
        <v>263.25</v>
      </c>
      <c r="F350" s="2">
        <v>263.61</v>
      </c>
      <c r="G350" s="1">
        <v>54774884</v>
      </c>
      <c r="H350" s="6" t="s">
        <v>10</v>
      </c>
      <c r="I350" s="6">
        <f>IF(AND(H349="UP",testdataHighLow[[#This Row],[high]]&gt;I349),testdataHighLow[[#This Row],[high]],IF(AND(H349="DN",testdataHighLow[[#This Row],[low]]&lt;I349),testdataHighLow[[#This Row],[low]],I349))</f>
        <v>265.2</v>
      </c>
      <c r="J3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-7.3529411764705456E-3</v>
      </c>
      <c r="K350" s="15">
        <f t="shared" ca="1" si="6"/>
        <v>259.66964285714619</v>
      </c>
      <c r="L350" s="6"/>
      <c r="M350" s="19">
        <f ca="1">IF(testdataHighLow[[#This Row],[type]]="H",testdataHighLow[[#This Row],[high]],AVERAGE(M349,M351))</f>
        <v>267.20769230768582</v>
      </c>
      <c r="N350" s="19">
        <f ca="1">IF(testdataHighLow[[#This Row],[type]]="L",testdataHighLow[[#This Row],[low]],AVERAGE(N349,N351))</f>
        <v>253.92999999999583</v>
      </c>
      <c r="Q350" s="7">
        <v>349</v>
      </c>
      <c r="R350" s="15">
        <v>259.6696</v>
      </c>
      <c r="S350" s="19">
        <v>267.20769000000001</v>
      </c>
      <c r="T350" s="19">
        <v>253.93</v>
      </c>
    </row>
    <row r="351" spans="1:21" x14ac:dyDescent="0.35">
      <c r="A351" s="7">
        <v>350</v>
      </c>
      <c r="B351" s="3">
        <v>43243</v>
      </c>
      <c r="C351" s="2">
        <v>262.22000000000003</v>
      </c>
      <c r="D351" s="14">
        <v>264.36</v>
      </c>
      <c r="E351" s="14">
        <v>262.04000000000002</v>
      </c>
      <c r="F351" s="2">
        <v>264.33</v>
      </c>
      <c r="G351" s="1">
        <v>66903156</v>
      </c>
      <c r="H351" s="6" t="s">
        <v>10</v>
      </c>
      <c r="I351" s="6">
        <f>IF(AND(H350="UP",testdataHighLow[[#This Row],[high]]&gt;I350),testdataHighLow[[#This Row],[high]],IF(AND(H350="DN",testdataHighLow[[#This Row],[low]]&lt;I350),testdataHighLow[[#This Row],[low]],I350))</f>
        <v>265.2</v>
      </c>
      <c r="J3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-1.1915535444947091E-2</v>
      </c>
      <c r="K351" s="15">
        <f t="shared" ca="1" si="6"/>
        <v>260.37500000000335</v>
      </c>
      <c r="L351" s="6"/>
      <c r="M351" s="19">
        <f ca="1">IF(testdataHighLow[[#This Row],[type]]="H",testdataHighLow[[#This Row],[high]],AVERAGE(M350,M352))</f>
        <v>267.41051282050648</v>
      </c>
      <c r="N351" s="19">
        <f ca="1">IF(testdataHighLow[[#This Row],[type]]="L",testdataHighLow[[#This Row],[low]],AVERAGE(N350,N352))</f>
        <v>254.19384615384178</v>
      </c>
      <c r="Q351" s="7">
        <v>350</v>
      </c>
      <c r="R351" s="15">
        <v>260.375</v>
      </c>
      <c r="S351" s="19">
        <v>267.41050999999999</v>
      </c>
      <c r="T351" s="19">
        <v>254.19385</v>
      </c>
    </row>
    <row r="352" spans="1:21" x14ac:dyDescent="0.35">
      <c r="A352" s="7">
        <v>351</v>
      </c>
      <c r="B352" s="3">
        <v>43244</v>
      </c>
      <c r="C352" s="2">
        <v>263.89999999999998</v>
      </c>
      <c r="D352" s="14">
        <v>264.2</v>
      </c>
      <c r="E352" s="14">
        <v>261.83999999999997</v>
      </c>
      <c r="F352" s="2">
        <v>263.79000000000002</v>
      </c>
      <c r="G352" s="1">
        <v>78640328</v>
      </c>
      <c r="H352" s="6" t="s">
        <v>10</v>
      </c>
      <c r="I352" s="6">
        <f>IF(AND(H351="UP",testdataHighLow[[#This Row],[high]]&gt;I351),testdataHighLow[[#This Row],[high]],IF(AND(H351="DN",testdataHighLow[[#This Row],[low]]&lt;I351),testdataHighLow[[#This Row],[low]],I351))</f>
        <v>265.2</v>
      </c>
      <c r="J3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-1.2669683257918604E-2</v>
      </c>
      <c r="K352" s="15">
        <f t="shared" ca="1" si="6"/>
        <v>261.08035714286052</v>
      </c>
      <c r="L352" s="6"/>
      <c r="M352" s="19">
        <f ca="1">IF(testdataHighLow[[#This Row],[type]]="H",testdataHighLow[[#This Row],[high]],AVERAGE(M351,M353))</f>
        <v>267.6133333333272</v>
      </c>
      <c r="N352" s="19">
        <f ca="1">IF(testdataHighLow[[#This Row],[type]]="L",testdataHighLow[[#This Row],[low]],AVERAGE(N351,N353))</f>
        <v>254.45769230768775</v>
      </c>
      <c r="Q352" s="7">
        <v>351</v>
      </c>
      <c r="R352" s="15">
        <v>261.0804</v>
      </c>
      <c r="S352" s="19">
        <v>267.61333000000002</v>
      </c>
      <c r="T352" s="19">
        <v>254.45769000000001</v>
      </c>
    </row>
    <row r="353" spans="1:21" x14ac:dyDescent="0.35">
      <c r="A353" s="7">
        <v>352</v>
      </c>
      <c r="B353" s="3">
        <v>43245</v>
      </c>
      <c r="C353" s="2">
        <v>263.16000000000003</v>
      </c>
      <c r="D353" s="14">
        <v>263.85000000000002</v>
      </c>
      <c r="E353" s="14">
        <v>262.61</v>
      </c>
      <c r="F353" s="2">
        <v>263.16000000000003</v>
      </c>
      <c r="G353" s="1">
        <v>58299660</v>
      </c>
      <c r="H353" s="6" t="s">
        <v>10</v>
      </c>
      <c r="I353" s="6">
        <f>IF(AND(H352="UP",testdataHighLow[[#This Row],[high]]&gt;I352),testdataHighLow[[#This Row],[high]],IF(AND(H352="DN",testdataHighLow[[#This Row],[low]]&lt;I352),testdataHighLow[[#This Row],[low]],I352))</f>
        <v>265.2</v>
      </c>
      <c r="J3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-9.7662141779787902E-3</v>
      </c>
      <c r="K353" s="15">
        <f t="shared" ca="1" si="6"/>
        <v>261.78571428571763</v>
      </c>
      <c r="L353" s="6"/>
      <c r="M353" s="19">
        <f ca="1">IF(testdataHighLow[[#This Row],[type]]="H",testdataHighLow[[#This Row],[high]],AVERAGE(M352,M354))</f>
        <v>267.81615384614798</v>
      </c>
      <c r="N353" s="19">
        <f ca="1">IF(testdataHighLow[[#This Row],[type]]="L",testdataHighLow[[#This Row],[low]],AVERAGE(N352,N354))</f>
        <v>254.72153846153375</v>
      </c>
      <c r="Q353" s="7">
        <v>352</v>
      </c>
      <c r="R353" s="15">
        <v>261.78570000000002</v>
      </c>
      <c r="S353" s="19">
        <v>267.81614999999999</v>
      </c>
      <c r="T353" s="19">
        <v>254.72154</v>
      </c>
    </row>
    <row r="354" spans="1:21" x14ac:dyDescent="0.35">
      <c r="A354" s="7">
        <v>353</v>
      </c>
      <c r="B354" s="3">
        <v>43249</v>
      </c>
      <c r="C354" s="2">
        <v>261.39</v>
      </c>
      <c r="D354" s="14">
        <v>262.22000000000003</v>
      </c>
      <c r="E354" s="14">
        <v>258.92</v>
      </c>
      <c r="F354" s="2">
        <v>260.14</v>
      </c>
      <c r="G354" s="1">
        <v>119866288</v>
      </c>
      <c r="H354" s="6" t="s">
        <v>10</v>
      </c>
      <c r="I354" s="6">
        <f>IF(AND(H353="UP",testdataHighLow[[#This Row],[high]]&gt;I353),testdataHighLow[[#This Row],[high]],IF(AND(H353="DN",testdataHighLow[[#This Row],[low]]&lt;I353),testdataHighLow[[#This Row],[low]],I353))</f>
        <v>265.2</v>
      </c>
      <c r="J3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-2.3680241327300049E-2</v>
      </c>
      <c r="K354" s="15">
        <f t="shared" ca="1" si="6"/>
        <v>262.49107142857468</v>
      </c>
      <c r="L354" s="6"/>
      <c r="M354" s="19">
        <f ca="1">IF(testdataHighLow[[#This Row],[type]]="H",testdataHighLow[[#This Row],[high]],AVERAGE(M353,M355))</f>
        <v>268.01897435896876</v>
      </c>
      <c r="N354" s="19">
        <f ca="1">IF(testdataHighLow[[#This Row],[type]]="L",testdataHighLow[[#This Row],[low]],AVERAGE(N353,N355))</f>
        <v>254.98538461537976</v>
      </c>
      <c r="Q354" s="7">
        <v>353</v>
      </c>
      <c r="R354" s="15">
        <v>262.49110000000002</v>
      </c>
      <c r="S354" s="19">
        <v>268.01897000000002</v>
      </c>
      <c r="T354" s="19">
        <v>254.98537999999999</v>
      </c>
    </row>
    <row r="355" spans="1:21" x14ac:dyDescent="0.35">
      <c r="A355" s="7">
        <v>354</v>
      </c>
      <c r="B355" s="3">
        <v>43250</v>
      </c>
      <c r="C355" s="2">
        <v>261.57</v>
      </c>
      <c r="D355" s="14">
        <v>264.08999999999997</v>
      </c>
      <c r="E355" s="14">
        <v>261.49</v>
      </c>
      <c r="F355" s="2">
        <v>263.61</v>
      </c>
      <c r="G355" s="1">
        <v>72057608</v>
      </c>
      <c r="H355" s="6" t="s">
        <v>10</v>
      </c>
      <c r="I355" s="6">
        <f>IF(AND(H354="UP",testdataHighLow[[#This Row],[high]]&gt;I354),testdataHighLow[[#This Row],[high]],IF(AND(H354="DN",testdataHighLow[[#This Row],[low]]&lt;I354),testdataHighLow[[#This Row],[low]],I354))</f>
        <v>265.2</v>
      </c>
      <c r="J3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-1.3989441930618325E-2</v>
      </c>
      <c r="K355" s="15">
        <f t="shared" ca="1" si="6"/>
        <v>263.19642857143174</v>
      </c>
      <c r="L355" s="6"/>
      <c r="M355" s="19">
        <f ca="1">IF(testdataHighLow[[#This Row],[type]]="H",testdataHighLow[[#This Row],[high]],AVERAGE(M354,M356))</f>
        <v>268.2217948717896</v>
      </c>
      <c r="N355" s="19">
        <f ca="1">IF(testdataHighLow[[#This Row],[type]]="L",testdataHighLow[[#This Row],[low]],AVERAGE(N354,N356))</f>
        <v>255.24923076922579</v>
      </c>
      <c r="Q355" s="7">
        <v>354</v>
      </c>
      <c r="R355" s="15">
        <v>263.19639999999998</v>
      </c>
      <c r="S355" s="19">
        <v>268.22179</v>
      </c>
      <c r="T355" s="19">
        <v>255.24923000000001</v>
      </c>
    </row>
    <row r="356" spans="1:21" x14ac:dyDescent="0.35">
      <c r="A356" s="7">
        <v>355</v>
      </c>
      <c r="B356" s="3">
        <v>43251</v>
      </c>
      <c r="C356" s="2">
        <v>263.16000000000003</v>
      </c>
      <c r="D356" s="14">
        <v>263.49</v>
      </c>
      <c r="E356" s="14">
        <v>261.33</v>
      </c>
      <c r="F356" s="2">
        <v>261.99</v>
      </c>
      <c r="G356" s="1">
        <v>96713160</v>
      </c>
      <c r="H356" s="6" t="s">
        <v>10</v>
      </c>
      <c r="I356" s="6">
        <f>IF(AND(H355="UP",testdataHighLow[[#This Row],[high]]&gt;I355),testdataHighLow[[#This Row],[high]],IF(AND(H355="DN",testdataHighLow[[#This Row],[low]]&lt;I355),testdataHighLow[[#This Row],[low]],I355))</f>
        <v>265.2</v>
      </c>
      <c r="J3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-1.4592760180995493E-2</v>
      </c>
      <c r="K356" s="15">
        <f t="shared" ca="1" si="6"/>
        <v>263.90178571428874</v>
      </c>
      <c r="L356" s="6"/>
      <c r="M356" s="19">
        <f ca="1">IF(testdataHighLow[[#This Row],[type]]="H",testdataHighLow[[#This Row],[high]],AVERAGE(M355,M357))</f>
        <v>268.42461538461049</v>
      </c>
      <c r="N356" s="19">
        <f ca="1">IF(testdataHighLow[[#This Row],[type]]="L",testdataHighLow[[#This Row],[low]],AVERAGE(N355,N357))</f>
        <v>255.51307692307185</v>
      </c>
      <c r="Q356" s="7">
        <v>355</v>
      </c>
      <c r="R356" s="15">
        <v>263.90179999999998</v>
      </c>
      <c r="S356" s="19">
        <v>268.42462</v>
      </c>
      <c r="T356" s="19">
        <v>255.51308</v>
      </c>
    </row>
    <row r="357" spans="1:21" x14ac:dyDescent="0.35">
      <c r="A357" s="7">
        <v>356</v>
      </c>
      <c r="B357" s="3">
        <v>43252</v>
      </c>
      <c r="C357" s="2">
        <v>263.42</v>
      </c>
      <c r="D357" s="14">
        <v>264.89999999999998</v>
      </c>
      <c r="E357" s="14">
        <v>263.33999999999997</v>
      </c>
      <c r="F357" s="2">
        <v>264.57</v>
      </c>
      <c r="G357" s="1">
        <v>73691520</v>
      </c>
      <c r="H357" s="6" t="s">
        <v>10</v>
      </c>
      <c r="I357" s="6">
        <f>IF(AND(H356="UP",testdataHighLow[[#This Row],[high]]&gt;I356),testdataHighLow[[#This Row],[high]],IF(AND(H356="DN",testdataHighLow[[#This Row],[low]]&lt;I356),testdataHighLow[[#This Row],[low]],I356))</f>
        <v>265.2</v>
      </c>
      <c r="J3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-7.0135746606335356E-3</v>
      </c>
      <c r="K357" s="15">
        <f t="shared" ca="1" si="6"/>
        <v>264.60714285714567</v>
      </c>
      <c r="L357" s="6"/>
      <c r="M357" s="19">
        <f ca="1">IF(testdataHighLow[[#This Row],[type]]="H",testdataHighLow[[#This Row],[high]],AVERAGE(M356,M358))</f>
        <v>268.62743589743138</v>
      </c>
      <c r="N357" s="19">
        <f ca="1">IF(testdataHighLow[[#This Row],[type]]="L",testdataHighLow[[#This Row],[low]],AVERAGE(N356,N358))</f>
        <v>255.77692307691791</v>
      </c>
      <c r="Q357" s="7">
        <v>356</v>
      </c>
      <c r="R357" s="15">
        <v>264.6071</v>
      </c>
      <c r="S357" s="19">
        <v>268.62743999999998</v>
      </c>
      <c r="T357" s="19">
        <v>255.77691999999999</v>
      </c>
    </row>
    <row r="358" spans="1:21" x14ac:dyDescent="0.35">
      <c r="A358" s="7">
        <v>357</v>
      </c>
      <c r="B358" s="3">
        <v>43255</v>
      </c>
      <c r="C358" s="2">
        <v>265.47000000000003</v>
      </c>
      <c r="D358" s="14">
        <v>266.10000000000002</v>
      </c>
      <c r="E358" s="14">
        <v>265.2</v>
      </c>
      <c r="F358" s="2">
        <v>265.82</v>
      </c>
      <c r="G358" s="1">
        <v>46934832</v>
      </c>
      <c r="H358" s="6" t="s">
        <v>10</v>
      </c>
      <c r="I358" s="6">
        <f>IF(AND(H357="UP",testdataHighLow[[#This Row],[high]]&gt;I357),testdataHighLow[[#This Row],[high]],IF(AND(H357="DN",testdataHighLow[[#This Row],[low]]&lt;I357),testdataHighLow[[#This Row],[low]],I357))</f>
        <v>266.10000000000002</v>
      </c>
      <c r="J3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-3.3821871476889666E-3</v>
      </c>
      <c r="K358" s="15">
        <f t="shared" ca="1" si="6"/>
        <v>265.31250000000261</v>
      </c>
      <c r="L358" s="6"/>
      <c r="M358" s="19">
        <f ca="1">IF(testdataHighLow[[#This Row],[type]]="H",testdataHighLow[[#This Row],[high]],AVERAGE(M357,M359))</f>
        <v>268.83025641025233</v>
      </c>
      <c r="N358" s="19">
        <f ca="1">IF(testdataHighLow[[#This Row],[type]]="L",testdataHighLow[[#This Row],[low]],AVERAGE(N357,N359))</f>
        <v>256.040769230764</v>
      </c>
      <c r="Q358" s="7">
        <v>357</v>
      </c>
      <c r="R358" s="15">
        <v>265.3125</v>
      </c>
      <c r="S358" s="19">
        <v>268.83026000000001</v>
      </c>
      <c r="T358" s="19">
        <v>256.04077000000001</v>
      </c>
    </row>
    <row r="359" spans="1:21" x14ac:dyDescent="0.35">
      <c r="A359" s="7">
        <v>358</v>
      </c>
      <c r="B359" s="3">
        <v>43256</v>
      </c>
      <c r="C359" s="2">
        <v>265.97000000000003</v>
      </c>
      <c r="D359" s="14">
        <v>266.43</v>
      </c>
      <c r="E359" s="14">
        <v>265.13</v>
      </c>
      <c r="F359" s="2">
        <v>266.02</v>
      </c>
      <c r="G359" s="1">
        <v>52881036</v>
      </c>
      <c r="H359" s="6" t="s">
        <v>10</v>
      </c>
      <c r="I359" s="6">
        <f>IF(AND(H358="UP",testdataHighLow[[#This Row],[high]]&gt;I358),testdataHighLow[[#This Row],[high]],IF(AND(H358="DN",testdataHighLow[[#This Row],[low]]&lt;I358),testdataHighLow[[#This Row],[low]],I358))</f>
        <v>266.43</v>
      </c>
      <c r="J3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-4.8793304057351324E-3</v>
      </c>
      <c r="K359" s="15">
        <f t="shared" ca="1" si="6"/>
        <v>266.0178571428595</v>
      </c>
      <c r="L359" s="6"/>
      <c r="M359" s="19">
        <f ca="1">IF(testdataHighLow[[#This Row],[type]]="H",testdataHighLow[[#This Row],[high]],AVERAGE(M358,M360))</f>
        <v>269.03307692307334</v>
      </c>
      <c r="N359" s="19">
        <f ca="1">IF(testdataHighLow[[#This Row],[type]]="L",testdataHighLow[[#This Row],[low]],AVERAGE(N358,N360))</f>
        <v>256.30461538461014</v>
      </c>
      <c r="Q359" s="7">
        <v>358</v>
      </c>
      <c r="R359" s="15">
        <v>266.0179</v>
      </c>
      <c r="S359" s="19">
        <v>269.03307999999998</v>
      </c>
      <c r="T359" s="19">
        <v>256.30462</v>
      </c>
    </row>
    <row r="360" spans="1:21" x14ac:dyDescent="0.35">
      <c r="A360" s="7">
        <v>359</v>
      </c>
      <c r="B360" s="3">
        <v>43257</v>
      </c>
      <c r="C360" s="2">
        <v>266.68</v>
      </c>
      <c r="D360" s="14">
        <v>268.36</v>
      </c>
      <c r="E360" s="14">
        <v>266.01</v>
      </c>
      <c r="F360" s="2">
        <v>268.24</v>
      </c>
      <c r="G360" s="1">
        <v>64874192</v>
      </c>
      <c r="H360" s="6" t="s">
        <v>10</v>
      </c>
      <c r="I360" s="6">
        <f>IF(AND(H359="UP",testdataHighLow[[#This Row],[high]]&gt;I359),testdataHighLow[[#This Row],[high]],IF(AND(H359="DN",testdataHighLow[[#This Row],[low]]&lt;I359),testdataHighLow[[#This Row],[low]],I359))</f>
        <v>268.36</v>
      </c>
      <c r="J3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-8.7568937248473037E-3</v>
      </c>
      <c r="K360" s="15">
        <f t="shared" ca="1" si="6"/>
        <v>266.72321428571632</v>
      </c>
      <c r="L360" s="6"/>
      <c r="M360" s="19">
        <f ca="1">IF(testdataHighLow[[#This Row],[type]]="H",testdataHighLow[[#This Row],[high]],AVERAGE(M359,M361))</f>
        <v>269.23589743589434</v>
      </c>
      <c r="N360" s="19">
        <f ca="1">IF(testdataHighLow[[#This Row],[type]]="L",testdataHighLow[[#This Row],[low]],AVERAGE(N359,N361))</f>
        <v>256.56846153845629</v>
      </c>
      <c r="Q360" s="7">
        <v>359</v>
      </c>
      <c r="R360" s="15">
        <v>266.72320000000002</v>
      </c>
      <c r="S360" s="19">
        <v>269.23590000000002</v>
      </c>
      <c r="T360" s="19">
        <v>256.56846000000002</v>
      </c>
    </row>
    <row r="361" spans="1:21" x14ac:dyDescent="0.35">
      <c r="A361" s="7">
        <v>360</v>
      </c>
      <c r="B361" s="3">
        <v>43258</v>
      </c>
      <c r="C361" s="2">
        <v>268.77</v>
      </c>
      <c r="D361" s="14">
        <v>269.08999999999997</v>
      </c>
      <c r="E361" s="14">
        <v>267.22000000000003</v>
      </c>
      <c r="F361" s="2">
        <v>268.20999999999998</v>
      </c>
      <c r="G361" s="1">
        <v>75460928</v>
      </c>
      <c r="H361" s="6" t="s">
        <v>10</v>
      </c>
      <c r="I361" s="6">
        <f>IF(AND(H360="UP",testdataHighLow[[#This Row],[high]]&gt;I360),testdataHighLow[[#This Row],[high]],IF(AND(H360="DN",testdataHighLow[[#This Row],[low]]&lt;I360),testdataHighLow[[#This Row],[low]],I360))</f>
        <v>269.08999999999997</v>
      </c>
      <c r="J3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-6.9493478018504886E-3</v>
      </c>
      <c r="K361" s="15">
        <f t="shared" ca="1" si="6"/>
        <v>267.42857142857315</v>
      </c>
      <c r="L361" s="6"/>
      <c r="M361" s="19">
        <f ca="1">IF(testdataHighLow[[#This Row],[type]]="H",testdataHighLow[[#This Row],[high]],AVERAGE(M360,M362))</f>
        <v>269.43871794871541</v>
      </c>
      <c r="N361" s="19">
        <f ca="1">IF(testdataHighLow[[#This Row],[type]]="L",testdataHighLow[[#This Row],[low]],AVERAGE(N360,N362))</f>
        <v>256.83230769230249</v>
      </c>
      <c r="Q361" s="7">
        <v>360</v>
      </c>
      <c r="R361" s="15">
        <v>267.42860000000002</v>
      </c>
      <c r="S361" s="19">
        <v>269.43871999999999</v>
      </c>
      <c r="T361" s="19">
        <v>256.83231000000001</v>
      </c>
    </row>
    <row r="362" spans="1:21" x14ac:dyDescent="0.35">
      <c r="A362" s="7">
        <v>361</v>
      </c>
      <c r="B362" s="3">
        <v>43259</v>
      </c>
      <c r="C362" s="2">
        <v>267.70999999999998</v>
      </c>
      <c r="D362" s="14">
        <v>269.06</v>
      </c>
      <c r="E362" s="14">
        <v>267.52999999999997</v>
      </c>
      <c r="F362" s="2">
        <v>269</v>
      </c>
      <c r="G362" s="1">
        <v>74602920</v>
      </c>
      <c r="H362" s="6" t="s">
        <v>10</v>
      </c>
      <c r="I362" s="6">
        <f>IF(AND(H361="UP",testdataHighLow[[#This Row],[high]]&gt;I361),testdataHighLow[[#This Row],[high]],IF(AND(H361="DN",testdataHighLow[[#This Row],[low]]&lt;I361),testdataHighLow[[#This Row],[low]],I361))</f>
        <v>269.08999999999997</v>
      </c>
      <c r="J3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-5.7973168828273159E-3</v>
      </c>
      <c r="K362" s="15">
        <f t="shared" ca="1" si="6"/>
        <v>268.13392857142992</v>
      </c>
      <c r="L362" s="6"/>
      <c r="M362" s="19">
        <f ca="1">IF(testdataHighLow[[#This Row],[type]]="H",testdataHighLow[[#This Row],[high]],AVERAGE(M361,M363))</f>
        <v>269.64153846153653</v>
      </c>
      <c r="N362" s="19">
        <f ca="1">IF(testdataHighLow[[#This Row],[type]]="L",testdataHighLow[[#This Row],[low]],AVERAGE(N361,N363))</f>
        <v>257.09615384614875</v>
      </c>
      <c r="Q362" s="7">
        <v>361</v>
      </c>
      <c r="R362" s="15">
        <v>268.13389999999998</v>
      </c>
      <c r="S362" s="19">
        <v>269.64154000000002</v>
      </c>
      <c r="T362" s="19">
        <v>257.09615000000002</v>
      </c>
    </row>
    <row r="363" spans="1:21" x14ac:dyDescent="0.35">
      <c r="A363" s="7">
        <v>362</v>
      </c>
      <c r="B363" s="3">
        <v>43262</v>
      </c>
      <c r="C363" s="2">
        <v>269.25</v>
      </c>
      <c r="D363" s="14">
        <v>270.14999999999998</v>
      </c>
      <c r="E363" s="14">
        <v>269.12</v>
      </c>
      <c r="F363" s="2">
        <v>269.36</v>
      </c>
      <c r="G363" s="1">
        <v>60903392</v>
      </c>
      <c r="H363" s="6" t="s">
        <v>10</v>
      </c>
      <c r="I363" s="6">
        <f>IF(AND(H362="UP",testdataHighLow[[#This Row],[high]]&gt;I362),testdataHighLow[[#This Row],[high]],IF(AND(H362="DN",testdataHighLow[[#This Row],[low]]&lt;I362),testdataHighLow[[#This Row],[low]],I362))</f>
        <v>270.14999999999998</v>
      </c>
      <c r="J3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-3.8126966500091532E-3</v>
      </c>
      <c r="K363" s="15">
        <f t="shared" ca="1" si="6"/>
        <v>268.83928571428663</v>
      </c>
      <c r="L363" s="6"/>
      <c r="M363" s="19">
        <f ca="1">IF(testdataHighLow[[#This Row],[type]]="H",testdataHighLow[[#This Row],[high]],AVERAGE(M362,M364))</f>
        <v>269.84435897435765</v>
      </c>
      <c r="N363" s="19">
        <f ca="1">IF(testdataHighLow[[#This Row],[type]]="L",testdataHighLow[[#This Row],[low]],AVERAGE(N362,N364))</f>
        <v>257.35999999999501</v>
      </c>
      <c r="Q363" s="7">
        <v>362</v>
      </c>
      <c r="R363" s="15">
        <v>268.83929999999998</v>
      </c>
      <c r="S363" s="19">
        <v>269.84435999999999</v>
      </c>
      <c r="T363" s="19">
        <v>257.36</v>
      </c>
    </row>
    <row r="364" spans="1:21" x14ac:dyDescent="0.35">
      <c r="A364" s="7">
        <v>363</v>
      </c>
      <c r="B364" s="3">
        <v>43263</v>
      </c>
      <c r="C364" s="2">
        <v>269.82</v>
      </c>
      <c r="D364" s="14">
        <v>270.11</v>
      </c>
      <c r="E364" s="14">
        <v>269</v>
      </c>
      <c r="F364" s="2">
        <v>269.70999999999998</v>
      </c>
      <c r="G364" s="1">
        <v>74798688</v>
      </c>
      <c r="H364" s="6" t="s">
        <v>10</v>
      </c>
      <c r="I364" s="6">
        <f>IF(AND(H363="UP",testdataHighLow[[#This Row],[high]]&gt;I363),testdataHighLow[[#This Row],[high]],IF(AND(H363="DN",testdataHighLow[[#This Row],[low]]&lt;I363),testdataHighLow[[#This Row],[low]],I363))</f>
        <v>270.14999999999998</v>
      </c>
      <c r="J3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-4.2568943179714137E-3</v>
      </c>
      <c r="K364" s="15">
        <f t="shared" ca="1" si="6"/>
        <v>269.54464285714334</v>
      </c>
      <c r="L364" s="6"/>
      <c r="M364" s="19">
        <f ca="1">IF(testdataHighLow[[#This Row],[type]]="H",testdataHighLow[[#This Row],[high]],AVERAGE(M363,M365))</f>
        <v>270.04717948717882</v>
      </c>
      <c r="N364" s="19">
        <f ca="1">IF(testdataHighLow[[#This Row],[type]]="L",testdataHighLow[[#This Row],[low]],AVERAGE(N363,N365))</f>
        <v>257.62384615384133</v>
      </c>
      <c r="Q364" s="7">
        <v>363</v>
      </c>
      <c r="R364" s="15">
        <v>269.5446</v>
      </c>
      <c r="S364" s="19">
        <v>270.04718000000003</v>
      </c>
      <c r="T364" s="19">
        <v>257.62385</v>
      </c>
    </row>
    <row r="365" spans="1:21" x14ac:dyDescent="0.35">
      <c r="A365" s="7">
        <v>364</v>
      </c>
      <c r="B365" s="3">
        <v>43264</v>
      </c>
      <c r="C365" s="2">
        <v>269.97000000000003</v>
      </c>
      <c r="D365" s="14">
        <v>270.25</v>
      </c>
      <c r="E365" s="14">
        <v>268.63</v>
      </c>
      <c r="F365" s="2">
        <v>268.85000000000002</v>
      </c>
      <c r="G365" s="1">
        <v>81770464</v>
      </c>
      <c r="H365" s="6" t="s">
        <v>12</v>
      </c>
      <c r="I365" s="6">
        <f>IF(AND(H364="UP",testdataHighLow[[#This Row],[high]]&gt;I364),testdataHighLow[[#This Row],[high]],IF(AND(H364="DN",testdataHighLow[[#This Row],[low]]&lt;I364),testdataHighLow[[#This Row],[low]],I364))</f>
        <v>270.25</v>
      </c>
      <c r="J3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65" s="18">
        <f>testdataHighLow[[#This Row],[high]]</f>
        <v>270.25</v>
      </c>
      <c r="L365" s="6" t="s">
        <v>14</v>
      </c>
      <c r="M365" s="19">
        <f>IF(testdataHighLow[[#This Row],[type]]="H",testdataHighLow[[#This Row],[high]],AVERAGE(M364,M366))</f>
        <v>270.25</v>
      </c>
      <c r="N365" s="19">
        <f ca="1">IF(testdataHighLow[[#This Row],[type]]="L",testdataHighLow[[#This Row],[low]],AVERAGE(N364,N366))</f>
        <v>257.8876923076877</v>
      </c>
      <c r="Q365" s="7">
        <v>364</v>
      </c>
      <c r="R365" s="18">
        <v>270.25</v>
      </c>
      <c r="S365" s="19">
        <v>270.25</v>
      </c>
      <c r="T365" s="19">
        <v>257.88769000000002</v>
      </c>
      <c r="U365" s="4" t="s">
        <v>14</v>
      </c>
    </row>
    <row r="366" spans="1:21" x14ac:dyDescent="0.35">
      <c r="A366" s="7">
        <v>365</v>
      </c>
      <c r="B366" s="3">
        <v>43265</v>
      </c>
      <c r="C366" s="2">
        <v>269.8</v>
      </c>
      <c r="D366" s="14">
        <v>270.11</v>
      </c>
      <c r="E366" s="14">
        <v>268.88</v>
      </c>
      <c r="F366" s="2">
        <v>269.52999999999997</v>
      </c>
      <c r="G366" s="1">
        <v>79730104</v>
      </c>
      <c r="H366" s="6" t="s">
        <v>12</v>
      </c>
      <c r="I366" s="6">
        <f>IF(AND(H365="UP",testdataHighLow[[#This Row],[high]]&gt;I365),testdataHighLow[[#This Row],[high]],IF(AND(H365="DN",testdataHighLow[[#This Row],[low]]&lt;I365),testdataHighLow[[#This Row],[low]],I365))</f>
        <v>268.88</v>
      </c>
      <c r="J3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4.5745313894674884E-3</v>
      </c>
      <c r="K366" s="15">
        <f t="shared" ca="1" si="6"/>
        <v>269.39000000000016</v>
      </c>
      <c r="L366" s="6"/>
      <c r="M366" s="19">
        <f ca="1">IF(testdataHighLow[[#This Row],[type]]="H",testdataHighLow[[#This Row],[high]],AVERAGE(M365,M367))</f>
        <v>270.47642857142728</v>
      </c>
      <c r="N366" s="19">
        <f ca="1">IF(testdataHighLow[[#This Row],[type]]="L",testdataHighLow[[#This Row],[low]],AVERAGE(N365,N367))</f>
        <v>258.15153846153407</v>
      </c>
      <c r="Q366" s="7">
        <v>365</v>
      </c>
      <c r="R366" s="15">
        <v>269.39</v>
      </c>
      <c r="S366" s="19">
        <v>270.47642999999999</v>
      </c>
      <c r="T366" s="19">
        <v>258.15154000000001</v>
      </c>
    </row>
    <row r="367" spans="1:21" x14ac:dyDescent="0.35">
      <c r="A367" s="7">
        <v>366</v>
      </c>
      <c r="B367" s="3">
        <v>43266</v>
      </c>
      <c r="C367" s="2">
        <v>268.67</v>
      </c>
      <c r="D367" s="14">
        <v>269.55</v>
      </c>
      <c r="E367" s="14">
        <v>267.45</v>
      </c>
      <c r="F367" s="2">
        <v>269.18</v>
      </c>
      <c r="G367" s="1">
        <v>123585600</v>
      </c>
      <c r="H367" s="6" t="s">
        <v>12</v>
      </c>
      <c r="I367" s="6">
        <f>IF(AND(H366="UP",testdataHighLow[[#This Row],[high]]&gt;I366),testdataHighLow[[#This Row],[high]],IF(AND(H366="DN",testdataHighLow[[#This Row],[low]]&lt;I366),testdataHighLow[[#This Row],[low]],I366))</f>
        <v>267.45</v>
      </c>
      <c r="J3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7.8519349411105728E-3</v>
      </c>
      <c r="K367" s="15">
        <f t="shared" ca="1" si="6"/>
        <v>268.53000000000031</v>
      </c>
      <c r="L367" s="6"/>
      <c r="M367" s="19">
        <f ca="1">IF(testdataHighLow[[#This Row],[type]]="H",testdataHighLow[[#This Row],[high]],AVERAGE(M366,M368))</f>
        <v>270.70285714285461</v>
      </c>
      <c r="N367" s="19">
        <f ca="1">IF(testdataHighLow[[#This Row],[type]]="L",testdataHighLow[[#This Row],[low]],AVERAGE(N366,N368))</f>
        <v>258.4153846153805</v>
      </c>
      <c r="Q367" s="7">
        <v>366</v>
      </c>
      <c r="R367" s="15">
        <v>268.52999999999997</v>
      </c>
      <c r="S367" s="19">
        <v>270.70285999999999</v>
      </c>
      <c r="T367" s="19">
        <v>258.41538000000003</v>
      </c>
    </row>
    <row r="368" spans="1:21" x14ac:dyDescent="0.35">
      <c r="A368" s="7">
        <v>367</v>
      </c>
      <c r="B368" s="3">
        <v>43269</v>
      </c>
      <c r="C368" s="2">
        <v>267.58999999999997</v>
      </c>
      <c r="D368" s="14">
        <v>268.77</v>
      </c>
      <c r="E368" s="14">
        <v>267.07</v>
      </c>
      <c r="F368" s="2">
        <v>268.63</v>
      </c>
      <c r="G368" s="1">
        <v>54479888</v>
      </c>
      <c r="H368" s="6" t="s">
        <v>12</v>
      </c>
      <c r="I368" s="6">
        <f>IF(AND(H367="UP",testdataHighLow[[#This Row],[high]]&gt;I367),testdataHighLow[[#This Row],[high]],IF(AND(H367="DN",testdataHighLow[[#This Row],[low]]&lt;I367),testdataHighLow[[#This Row],[low]],I367))</f>
        <v>267.07</v>
      </c>
      <c r="J3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6.3653723742838533E-3</v>
      </c>
      <c r="K368" s="15">
        <f t="shared" ca="1" si="6"/>
        <v>267.67000000000041</v>
      </c>
      <c r="L368" s="6"/>
      <c r="M368" s="19">
        <f ca="1">IF(testdataHighLow[[#This Row],[type]]="H",testdataHighLow[[#This Row],[high]],AVERAGE(M367,M369))</f>
        <v>270.92928571428195</v>
      </c>
      <c r="N368" s="19">
        <f ca="1">IF(testdataHighLow[[#This Row],[type]]="L",testdataHighLow[[#This Row],[low]],AVERAGE(N367,N369))</f>
        <v>258.67923076922699</v>
      </c>
      <c r="Q368" s="7">
        <v>367</v>
      </c>
      <c r="R368" s="15">
        <v>267.67</v>
      </c>
      <c r="S368" s="19">
        <v>270.92928999999998</v>
      </c>
      <c r="T368" s="19">
        <v>258.67923000000002</v>
      </c>
    </row>
    <row r="369" spans="1:21" x14ac:dyDescent="0.35">
      <c r="A369" s="7">
        <v>368</v>
      </c>
      <c r="B369" s="3">
        <v>43270</v>
      </c>
      <c r="C369" s="2">
        <v>266.14</v>
      </c>
      <c r="D369" s="14">
        <v>267.83999999999997</v>
      </c>
      <c r="E369" s="14">
        <v>265.69</v>
      </c>
      <c r="F369" s="2">
        <v>267.60000000000002</v>
      </c>
      <c r="G369" s="1">
        <v>100410976</v>
      </c>
      <c r="H369" s="6" t="s">
        <v>12</v>
      </c>
      <c r="I369" s="6">
        <f>IF(AND(H368="UP",testdataHighLow[[#This Row],[high]]&gt;I368),testdataHighLow[[#This Row],[high]],IF(AND(H368="DN",testdataHighLow[[#This Row],[low]]&lt;I368),testdataHighLow[[#This Row],[low]],I368))</f>
        <v>265.69</v>
      </c>
      <c r="J3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8.0921374534230761E-3</v>
      </c>
      <c r="K369" s="15">
        <f t="shared" ca="1" si="6"/>
        <v>266.81000000000046</v>
      </c>
      <c r="L369" s="6"/>
      <c r="M369" s="19">
        <f ca="1">IF(testdataHighLow[[#This Row],[type]]="H",testdataHighLow[[#This Row],[high]],AVERAGE(M368,M370))</f>
        <v>271.15571428570934</v>
      </c>
      <c r="N369" s="19">
        <f ca="1">IF(testdataHighLow[[#This Row],[type]]="L",testdataHighLow[[#This Row],[low]],AVERAGE(N368,N370))</f>
        <v>258.94307692307348</v>
      </c>
      <c r="Q369" s="7">
        <v>368</v>
      </c>
      <c r="R369" s="15">
        <v>266.81</v>
      </c>
      <c r="S369" s="19">
        <v>271.15571</v>
      </c>
      <c r="T369" s="19">
        <v>258.94308000000001</v>
      </c>
    </row>
    <row r="370" spans="1:21" x14ac:dyDescent="0.35">
      <c r="A370" s="7">
        <v>369</v>
      </c>
      <c r="B370" s="3">
        <v>43271</v>
      </c>
      <c r="C370" s="2">
        <v>268.35000000000002</v>
      </c>
      <c r="D370" s="14">
        <v>268.77999999999997</v>
      </c>
      <c r="E370" s="14">
        <v>267.69</v>
      </c>
      <c r="F370" s="2">
        <v>268.06</v>
      </c>
      <c r="G370" s="1">
        <v>55373416</v>
      </c>
      <c r="H370" s="6" t="s">
        <v>12</v>
      </c>
      <c r="I370" s="6">
        <f>IF(AND(H369="UP",testdataHighLow[[#This Row],[high]]&gt;I369),testdataHighLow[[#This Row],[high]],IF(AND(H369="DN",testdataHighLow[[#This Row],[low]]&lt;I369),testdataHighLow[[#This Row],[low]],I369))</f>
        <v>265.69</v>
      </c>
      <c r="J3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1.1630095223756916E-2</v>
      </c>
      <c r="K370" s="15">
        <f t="shared" ca="1" si="6"/>
        <v>265.9500000000005</v>
      </c>
      <c r="L370" s="6"/>
      <c r="M370" s="19">
        <f ca="1">IF(testdataHighLow[[#This Row],[type]]="H",testdataHighLow[[#This Row],[high]],AVERAGE(M369,M371))</f>
        <v>271.38214285713678</v>
      </c>
      <c r="N370" s="19">
        <f ca="1">IF(testdataHighLow[[#This Row],[type]]="L",testdataHighLow[[#This Row],[low]],AVERAGE(N369,N371))</f>
        <v>259.20692307692002</v>
      </c>
      <c r="Q370" s="7">
        <v>369</v>
      </c>
      <c r="R370" s="15">
        <v>265.95</v>
      </c>
      <c r="S370" s="19">
        <v>271.38213999999999</v>
      </c>
      <c r="T370" s="19">
        <v>259.20692000000003</v>
      </c>
    </row>
    <row r="371" spans="1:21" x14ac:dyDescent="0.35">
      <c r="A371" s="7">
        <v>370</v>
      </c>
      <c r="B371" s="3">
        <v>43272</v>
      </c>
      <c r="C371" s="2">
        <v>268.05</v>
      </c>
      <c r="D371" s="14">
        <v>268.07</v>
      </c>
      <c r="E371" s="14">
        <v>265.83</v>
      </c>
      <c r="F371" s="2">
        <v>266.38</v>
      </c>
      <c r="G371" s="1">
        <v>73159376</v>
      </c>
      <c r="H371" s="6" t="s">
        <v>12</v>
      </c>
      <c r="I371" s="6">
        <f>IF(AND(H370="UP",testdataHighLow[[#This Row],[high]]&gt;I370),testdataHighLow[[#This Row],[high]],IF(AND(H370="DN",testdataHighLow[[#This Row],[low]]&lt;I370),testdataHighLow[[#This Row],[low]],I370))</f>
        <v>265.69</v>
      </c>
      <c r="J3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8.9578079716963206E-3</v>
      </c>
      <c r="K371" s="15">
        <f t="shared" ca="1" si="6"/>
        <v>265.09000000000049</v>
      </c>
      <c r="L371" s="6"/>
      <c r="M371" s="19">
        <f ca="1">IF(testdataHighLow[[#This Row],[type]]="H",testdataHighLow[[#This Row],[high]],AVERAGE(M370,M372))</f>
        <v>271.60857142856423</v>
      </c>
      <c r="N371" s="19">
        <f ca="1">IF(testdataHighLow[[#This Row],[type]]="L",testdataHighLow[[#This Row],[low]],AVERAGE(N370,N372))</f>
        <v>259.47076923076662</v>
      </c>
      <c r="Q371" s="7">
        <v>370</v>
      </c>
      <c r="R371" s="15">
        <v>265.08999999999997</v>
      </c>
      <c r="S371" s="19">
        <v>271.60856999999999</v>
      </c>
      <c r="T371" s="19">
        <v>259.47077000000002</v>
      </c>
    </row>
    <row r="372" spans="1:21" x14ac:dyDescent="0.35">
      <c r="A372" s="7">
        <v>371</v>
      </c>
      <c r="B372" s="3">
        <v>43273</v>
      </c>
      <c r="C372" s="2">
        <v>267.76</v>
      </c>
      <c r="D372" s="14">
        <v>267.88</v>
      </c>
      <c r="E372" s="14">
        <v>266.62</v>
      </c>
      <c r="F372" s="2">
        <v>266.86</v>
      </c>
      <c r="G372" s="1">
        <v>58283384</v>
      </c>
      <c r="H372" s="6" t="s">
        <v>12</v>
      </c>
      <c r="I372" s="6">
        <f>IF(AND(H371="UP",testdataHighLow[[#This Row],[high]]&gt;I371),testdataHighLow[[#This Row],[high]],IF(AND(H371="DN",testdataHighLow[[#This Row],[low]]&lt;I371),testdataHighLow[[#This Row],[low]],I371))</f>
        <v>265.69</v>
      </c>
      <c r="J3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8.2426888479054453E-3</v>
      </c>
      <c r="K372" s="15">
        <f t="shared" ca="1" si="6"/>
        <v>264.23000000000047</v>
      </c>
      <c r="L372" s="6"/>
      <c r="M372" s="19">
        <f ca="1">IF(testdataHighLow[[#This Row],[type]]="H",testdataHighLow[[#This Row],[high]],AVERAGE(M371,M373))</f>
        <v>271.83499999999174</v>
      </c>
      <c r="N372" s="19">
        <f ca="1">IF(testdataHighLow[[#This Row],[type]]="L",testdataHighLow[[#This Row],[low]],AVERAGE(N371,N373))</f>
        <v>259.73461538461322</v>
      </c>
      <c r="Q372" s="7">
        <v>371</v>
      </c>
      <c r="R372" s="15">
        <v>264.23</v>
      </c>
      <c r="S372" s="19">
        <v>271.83499999999998</v>
      </c>
      <c r="T372" s="19">
        <v>259.73462000000001</v>
      </c>
    </row>
    <row r="373" spans="1:21" x14ac:dyDescent="0.35">
      <c r="A373" s="7">
        <v>372</v>
      </c>
      <c r="B373" s="3">
        <v>43276</v>
      </c>
      <c r="C373" s="2">
        <v>265.60000000000002</v>
      </c>
      <c r="D373" s="14">
        <v>265.77</v>
      </c>
      <c r="E373" s="14">
        <v>261.38</v>
      </c>
      <c r="F373" s="2">
        <v>263.23</v>
      </c>
      <c r="G373" s="1">
        <v>141924096</v>
      </c>
      <c r="H373" s="6" t="s">
        <v>12</v>
      </c>
      <c r="I373" s="6">
        <f>IF(AND(H372="UP",testdataHighLow[[#This Row],[high]]&gt;I372),testdataHighLow[[#This Row],[high]],IF(AND(H372="DN",testdataHighLow[[#This Row],[low]]&lt;I372),testdataHighLow[[#This Row],[low]],I372))</f>
        <v>261.38</v>
      </c>
      <c r="J3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1.6795470196648506E-2</v>
      </c>
      <c r="K373" s="15">
        <f t="shared" ca="1" si="6"/>
        <v>263.3700000000004</v>
      </c>
      <c r="L373" s="6"/>
      <c r="M373" s="19">
        <f ca="1">IF(testdataHighLow[[#This Row],[type]]="H",testdataHighLow[[#This Row],[high]],AVERAGE(M372,M374))</f>
        <v>272.0614285714193</v>
      </c>
      <c r="N373" s="19">
        <f ca="1">IF(testdataHighLow[[#This Row],[type]]="L",testdataHighLow[[#This Row],[low]],AVERAGE(N372,N374))</f>
        <v>259.99846153845988</v>
      </c>
      <c r="Q373" s="7">
        <v>372</v>
      </c>
      <c r="R373" s="15">
        <v>263.37</v>
      </c>
      <c r="S373" s="19">
        <v>272.06142999999997</v>
      </c>
      <c r="T373" s="19">
        <v>259.99846000000002</v>
      </c>
    </row>
    <row r="374" spans="1:21" x14ac:dyDescent="0.35">
      <c r="A374" s="7">
        <v>373</v>
      </c>
      <c r="B374" s="3">
        <v>43277</v>
      </c>
      <c r="C374" s="2">
        <v>263.85000000000002</v>
      </c>
      <c r="D374" s="14">
        <v>264.74</v>
      </c>
      <c r="E374" s="14">
        <v>263.02</v>
      </c>
      <c r="F374" s="2">
        <v>263.81</v>
      </c>
      <c r="G374" s="1">
        <v>70710976</v>
      </c>
      <c r="H374" s="6" t="s">
        <v>12</v>
      </c>
      <c r="I374" s="6">
        <f>IF(AND(H373="UP",testdataHighLow[[#This Row],[high]]&gt;I373),testdataHighLow[[#This Row],[high]],IF(AND(H373="DN",testdataHighLow[[#This Row],[low]]&lt;I373),testdataHighLow[[#This Row],[low]],I373))</f>
        <v>261.38</v>
      </c>
      <c r="J3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1.2854847348687786E-2</v>
      </c>
      <c r="K374" s="15">
        <f t="shared" ca="1" si="6"/>
        <v>262.51000000000033</v>
      </c>
      <c r="L374" s="6"/>
      <c r="M374" s="19">
        <f ca="1">IF(testdataHighLow[[#This Row],[type]]="H",testdataHighLow[[#This Row],[high]],AVERAGE(M373,M375))</f>
        <v>272.28785714284686</v>
      </c>
      <c r="N374" s="19">
        <f ca="1">IF(testdataHighLow[[#This Row],[type]]="L",testdataHighLow[[#This Row],[low]],AVERAGE(N373,N375))</f>
        <v>260.26230769230659</v>
      </c>
      <c r="Q374" s="7">
        <v>373</v>
      </c>
      <c r="R374" s="15">
        <v>262.51</v>
      </c>
      <c r="S374" s="19">
        <v>272.28786000000002</v>
      </c>
      <c r="T374" s="19">
        <v>260.26231000000001</v>
      </c>
    </row>
    <row r="375" spans="1:21" x14ac:dyDescent="0.35">
      <c r="A375" s="7">
        <v>374</v>
      </c>
      <c r="B375" s="3">
        <v>43278</v>
      </c>
      <c r="C375" s="2">
        <v>264.45</v>
      </c>
      <c r="D375" s="14">
        <v>266.01</v>
      </c>
      <c r="E375" s="14">
        <v>261.45999999999998</v>
      </c>
      <c r="F375" s="2">
        <v>261.63</v>
      </c>
      <c r="G375" s="1">
        <v>108213904</v>
      </c>
      <c r="H375" s="6" t="s">
        <v>12</v>
      </c>
      <c r="I375" s="6">
        <f>IF(AND(H374="UP",testdataHighLow[[#This Row],[high]]&gt;I374),testdataHighLow[[#This Row],[high]],IF(AND(H374="DN",testdataHighLow[[#This Row],[low]]&lt;I374),testdataHighLow[[#This Row],[low]],I374))</f>
        <v>261.38</v>
      </c>
      <c r="J3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1.7713673578697665E-2</v>
      </c>
      <c r="K375" s="15">
        <f t="shared" ca="1" si="6"/>
        <v>261.6500000000002</v>
      </c>
      <c r="L375" s="6"/>
      <c r="M375" s="19">
        <f ca="1">IF(testdataHighLow[[#This Row],[type]]="H",testdataHighLow[[#This Row],[high]],AVERAGE(M374,M376))</f>
        <v>272.51428571427448</v>
      </c>
      <c r="N375" s="19">
        <f ca="1">IF(testdataHighLow[[#This Row],[type]]="L",testdataHighLow[[#This Row],[low]],AVERAGE(N374,N376))</f>
        <v>260.52615384615331</v>
      </c>
      <c r="Q375" s="7">
        <v>374</v>
      </c>
      <c r="R375" s="15">
        <v>261.64999999999998</v>
      </c>
      <c r="S375" s="19">
        <v>272.51429000000002</v>
      </c>
      <c r="T375" s="19">
        <v>260.52614999999997</v>
      </c>
    </row>
    <row r="376" spans="1:21" x14ac:dyDescent="0.35">
      <c r="A376" s="7">
        <v>375</v>
      </c>
      <c r="B376" s="3">
        <v>43279</v>
      </c>
      <c r="C376" s="2">
        <v>261.57</v>
      </c>
      <c r="D376" s="14">
        <v>263.95999999999998</v>
      </c>
      <c r="E376" s="14">
        <v>260.79000000000002</v>
      </c>
      <c r="F376" s="2">
        <v>263.12</v>
      </c>
      <c r="G376" s="1">
        <v>78913504</v>
      </c>
      <c r="H376" s="6" t="s">
        <v>10</v>
      </c>
      <c r="I376" s="6">
        <f>IF(AND(H375="UP",testdataHighLow[[#This Row],[high]]&gt;I375),testdataHighLow[[#This Row],[high]],IF(AND(H375="DN",testdataHighLow[[#This Row],[low]]&lt;I375),testdataHighLow[[#This Row],[low]],I375))</f>
        <v>260.79000000000002</v>
      </c>
      <c r="J3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376" s="18">
        <f>testdataHighLow[[#This Row],[low]]</f>
        <v>260.79000000000002</v>
      </c>
      <c r="L376" s="6" t="s">
        <v>15</v>
      </c>
      <c r="M376" s="19">
        <f ca="1">IF(testdataHighLow[[#This Row],[type]]="H",testdataHighLow[[#This Row],[high]],AVERAGE(M375,M377))</f>
        <v>272.74071428570215</v>
      </c>
      <c r="N376" s="19">
        <f>IF(testdataHighLow[[#This Row],[type]]="L",testdataHighLow[[#This Row],[low]],AVERAGE(N375,N377))</f>
        <v>260.79000000000002</v>
      </c>
      <c r="Q376" s="7">
        <v>375</v>
      </c>
      <c r="R376" s="18">
        <v>260.79000000000002</v>
      </c>
      <c r="S376" s="19">
        <v>272.74070999999998</v>
      </c>
      <c r="T376" s="19">
        <v>260.79000000000002</v>
      </c>
      <c r="U376" s="4" t="s">
        <v>15</v>
      </c>
    </row>
    <row r="377" spans="1:21" x14ac:dyDescent="0.35">
      <c r="A377" s="7">
        <v>376</v>
      </c>
      <c r="B377" s="3">
        <v>43280</v>
      </c>
      <c r="C377" s="2">
        <v>264.32</v>
      </c>
      <c r="D377" s="14">
        <v>265.81</v>
      </c>
      <c r="E377" s="14">
        <v>263.37</v>
      </c>
      <c r="F377" s="2">
        <v>263.5</v>
      </c>
      <c r="G377" s="1">
        <v>100473760</v>
      </c>
      <c r="H377" s="6" t="s">
        <v>10</v>
      </c>
      <c r="I377" s="6">
        <f>IF(AND(H376="UP",testdataHighLow[[#This Row],[high]]&gt;I376),testdataHighLow[[#This Row],[high]],IF(AND(H376="DN",testdataHighLow[[#This Row],[low]]&lt;I376),testdataHighLow[[#This Row],[low]],I376))</f>
        <v>265.81</v>
      </c>
      <c r="J3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-9.1794891087618891E-3</v>
      </c>
      <c r="K377" s="15">
        <f t="shared" ca="1" si="6"/>
        <v>261.21898305084858</v>
      </c>
      <c r="L377" s="6"/>
      <c r="M377" s="19">
        <f ca="1">IF(testdataHighLow[[#This Row],[type]]="H",testdataHighLow[[#This Row],[high]],AVERAGE(M376,M378))</f>
        <v>272.96714285712983</v>
      </c>
      <c r="N377" s="19">
        <f ca="1">IF(testdataHighLow[[#This Row],[type]]="L",testdataHighLow[[#This Row],[low]],AVERAGE(N376,N378))</f>
        <v>260.83123287671106</v>
      </c>
      <c r="Q377" s="7">
        <v>376</v>
      </c>
      <c r="R377" s="15">
        <v>261.21899999999999</v>
      </c>
      <c r="S377" s="19">
        <v>272.96713999999997</v>
      </c>
      <c r="T377" s="19">
        <v>260.83123000000001</v>
      </c>
    </row>
    <row r="378" spans="1:21" x14ac:dyDescent="0.35">
      <c r="A378" s="7">
        <v>377</v>
      </c>
      <c r="B378" s="3">
        <v>43283</v>
      </c>
      <c r="C378" s="2">
        <v>261.77999999999997</v>
      </c>
      <c r="D378" s="14">
        <v>264.24</v>
      </c>
      <c r="E378" s="14">
        <v>261.52</v>
      </c>
      <c r="F378" s="2">
        <v>264.06</v>
      </c>
      <c r="G378" s="1">
        <v>65431128</v>
      </c>
      <c r="H378" s="6" t="s">
        <v>10</v>
      </c>
      <c r="I378" s="6">
        <f>IF(AND(H377="UP",testdataHighLow[[#This Row],[high]]&gt;I377),testdataHighLow[[#This Row],[high]],IF(AND(H377="DN",testdataHighLow[[#This Row],[low]]&lt;I377),testdataHighLow[[#This Row],[low]],I377))</f>
        <v>265.81</v>
      </c>
      <c r="J3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-1.6139347654339643E-2</v>
      </c>
      <c r="K378" s="15">
        <f t="shared" ca="1" si="6"/>
        <v>261.64796610169708</v>
      </c>
      <c r="L378" s="6"/>
      <c r="M378" s="19">
        <f ca="1">IF(testdataHighLow[[#This Row],[type]]="H",testdataHighLow[[#This Row],[high]],AVERAGE(M377,M379))</f>
        <v>273.19357142855756</v>
      </c>
      <c r="N378" s="19">
        <f ca="1">IF(testdataHighLow[[#This Row],[type]]="L",testdataHighLow[[#This Row],[low]],AVERAGE(N377,N379))</f>
        <v>260.87246575342209</v>
      </c>
      <c r="Q378" s="7">
        <v>377</v>
      </c>
      <c r="R378" s="15">
        <v>261.64800000000002</v>
      </c>
      <c r="S378" s="19">
        <v>273.19357000000002</v>
      </c>
      <c r="T378" s="19">
        <v>260.87247000000002</v>
      </c>
    </row>
    <row r="379" spans="1:21" x14ac:dyDescent="0.35">
      <c r="A379" s="7">
        <v>378</v>
      </c>
      <c r="B379" s="3">
        <v>43284</v>
      </c>
      <c r="C379" s="2">
        <v>265.05</v>
      </c>
      <c r="D379" s="14">
        <v>265.14999999999998</v>
      </c>
      <c r="E379" s="14">
        <v>262.67</v>
      </c>
      <c r="F379" s="2">
        <v>263.13</v>
      </c>
      <c r="G379" s="1">
        <v>43432576</v>
      </c>
      <c r="H379" s="6" t="s">
        <v>10</v>
      </c>
      <c r="I379" s="6">
        <f>IF(AND(H378="UP",testdataHighLow[[#This Row],[high]]&gt;I378),testdataHighLow[[#This Row],[high]],IF(AND(H378="DN",testdataHighLow[[#This Row],[low]]&lt;I378),testdataHighLow[[#This Row],[low]],I378))</f>
        <v>265.81</v>
      </c>
      <c r="J3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-1.1812949098980422E-2</v>
      </c>
      <c r="K379" s="15">
        <f t="shared" ca="1" si="6"/>
        <v>262.07694915254552</v>
      </c>
      <c r="L379" s="6"/>
      <c r="M379" s="19">
        <f ca="1">IF(testdataHighLow[[#This Row],[type]]="H",testdataHighLow[[#This Row],[high]],AVERAGE(M378,M380))</f>
        <v>273.41999999998535</v>
      </c>
      <c r="N379" s="19">
        <f ca="1">IF(testdataHighLow[[#This Row],[type]]="L",testdataHighLow[[#This Row],[low]],AVERAGE(N378,N380))</f>
        <v>260.91369863013313</v>
      </c>
      <c r="Q379" s="7">
        <v>378</v>
      </c>
      <c r="R379" s="15">
        <v>262.07690000000002</v>
      </c>
      <c r="S379" s="19">
        <v>273.42</v>
      </c>
      <c r="T379" s="19">
        <v>260.91370000000001</v>
      </c>
    </row>
    <row r="380" spans="1:21" x14ac:dyDescent="0.35">
      <c r="A380" s="7">
        <v>379</v>
      </c>
      <c r="B380" s="3">
        <v>43286</v>
      </c>
      <c r="C380" s="2">
        <v>264.36</v>
      </c>
      <c r="D380" s="14">
        <v>265.35000000000002</v>
      </c>
      <c r="E380" s="14">
        <v>263.19</v>
      </c>
      <c r="F380" s="2">
        <v>265.27999999999997</v>
      </c>
      <c r="G380" s="1">
        <v>58606568</v>
      </c>
      <c r="H380" s="6" t="s">
        <v>10</v>
      </c>
      <c r="I380" s="6">
        <f>IF(AND(H379="UP",testdataHighLow[[#This Row],[high]]&gt;I379),testdataHighLow[[#This Row],[high]],IF(AND(H379="DN",testdataHighLow[[#This Row],[low]]&lt;I379),testdataHighLow[[#This Row],[low]],I379))</f>
        <v>265.81</v>
      </c>
      <c r="J3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-9.8566645348181197E-3</v>
      </c>
      <c r="K380" s="15">
        <f t="shared" ca="1" si="6"/>
        <v>262.50593220339397</v>
      </c>
      <c r="L380" s="6"/>
      <c r="M380" s="19">
        <f ca="1">IF(testdataHighLow[[#This Row],[type]]="H",testdataHighLow[[#This Row],[high]],AVERAGE(M379,M381))</f>
        <v>273.64642857141314</v>
      </c>
      <c r="N380" s="19">
        <f ca="1">IF(testdataHighLow[[#This Row],[type]]="L",testdataHighLow[[#This Row],[low]],AVERAGE(N379,N381))</f>
        <v>260.95493150684422</v>
      </c>
      <c r="Q380" s="7">
        <v>379</v>
      </c>
      <c r="R380" s="15">
        <v>262.5059</v>
      </c>
      <c r="S380" s="19">
        <v>273.64643000000001</v>
      </c>
      <c r="T380" s="19">
        <v>260.95492999999999</v>
      </c>
    </row>
    <row r="381" spans="1:21" x14ac:dyDescent="0.35">
      <c r="A381" s="7">
        <v>380</v>
      </c>
      <c r="B381" s="3">
        <v>43287</v>
      </c>
      <c r="C381" s="2">
        <v>265.31</v>
      </c>
      <c r="D381" s="14">
        <v>267.93</v>
      </c>
      <c r="E381" s="14">
        <v>264.89</v>
      </c>
      <c r="F381" s="2">
        <v>267.52</v>
      </c>
      <c r="G381" s="1">
        <v>68456816</v>
      </c>
      <c r="H381" s="6" t="s">
        <v>10</v>
      </c>
      <c r="I381" s="6">
        <f>IF(AND(H380="UP",testdataHighLow[[#This Row],[high]]&gt;I380),testdataHighLow[[#This Row],[high]],IF(AND(H380="DN",testdataHighLow[[#This Row],[low]]&lt;I380),testdataHighLow[[#This Row],[low]],I380))</f>
        <v>267.93</v>
      </c>
      <c r="J3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-1.1346247154107493E-2</v>
      </c>
      <c r="K381" s="15">
        <f t="shared" ca="1" si="6"/>
        <v>262.93491525424236</v>
      </c>
      <c r="L381" s="6"/>
      <c r="M381" s="19">
        <f ca="1">IF(testdataHighLow[[#This Row],[type]]="H",testdataHighLow[[#This Row],[high]],AVERAGE(M380,M382))</f>
        <v>273.87285714284099</v>
      </c>
      <c r="N381" s="19">
        <f ca="1">IF(testdataHighLow[[#This Row],[type]]="L",testdataHighLow[[#This Row],[low]],AVERAGE(N380,N382))</f>
        <v>260.99616438355537</v>
      </c>
      <c r="Q381" s="7">
        <v>380</v>
      </c>
      <c r="R381" s="15">
        <v>262.93490000000003</v>
      </c>
      <c r="S381" s="19">
        <v>273.87286</v>
      </c>
      <c r="T381" s="19">
        <v>260.99615999999997</v>
      </c>
    </row>
    <row r="382" spans="1:21" x14ac:dyDescent="0.35">
      <c r="A382" s="7">
        <v>381</v>
      </c>
      <c r="B382" s="3">
        <v>43290</v>
      </c>
      <c r="C382" s="2">
        <v>268.62</v>
      </c>
      <c r="D382" s="14">
        <v>269.99</v>
      </c>
      <c r="E382" s="14">
        <v>268.57</v>
      </c>
      <c r="F382" s="2">
        <v>269.93</v>
      </c>
      <c r="G382" s="1">
        <v>52042820</v>
      </c>
      <c r="H382" s="6" t="s">
        <v>10</v>
      </c>
      <c r="I382" s="6">
        <f>IF(AND(H381="UP",testdataHighLow[[#This Row],[high]]&gt;I381),testdataHighLow[[#This Row],[high]],IF(AND(H381="DN",testdataHighLow[[#This Row],[low]]&lt;I381),testdataHighLow[[#This Row],[low]],I381))</f>
        <v>269.99</v>
      </c>
      <c r="J3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-5.2594540538539051E-3</v>
      </c>
      <c r="K382" s="15">
        <f t="shared" ca="1" si="6"/>
        <v>263.36389830509069</v>
      </c>
      <c r="L382" s="6"/>
      <c r="M382" s="19">
        <f ca="1">IF(testdataHighLow[[#This Row],[type]]="H",testdataHighLow[[#This Row],[high]],AVERAGE(M381,M383))</f>
        <v>274.09928571426889</v>
      </c>
      <c r="N382" s="19">
        <f ca="1">IF(testdataHighLow[[#This Row],[type]]="L",testdataHighLow[[#This Row],[low]],AVERAGE(N381,N383))</f>
        <v>261.03739726026652</v>
      </c>
      <c r="Q382" s="7">
        <v>381</v>
      </c>
      <c r="R382" s="15">
        <v>263.3639</v>
      </c>
      <c r="S382" s="19">
        <v>274.09929</v>
      </c>
      <c r="T382" s="19">
        <v>261.03739999999999</v>
      </c>
    </row>
    <row r="383" spans="1:21" x14ac:dyDescent="0.35">
      <c r="A383" s="7">
        <v>382</v>
      </c>
      <c r="B383" s="3">
        <v>43291</v>
      </c>
      <c r="C383" s="2">
        <v>270.43</v>
      </c>
      <c r="D383" s="14">
        <v>271.01</v>
      </c>
      <c r="E383" s="14">
        <v>270.11</v>
      </c>
      <c r="F383" s="2">
        <v>270.89999999999998</v>
      </c>
      <c r="G383" s="1">
        <v>53501064</v>
      </c>
      <c r="H383" s="6" t="s">
        <v>10</v>
      </c>
      <c r="I383" s="6">
        <f>IF(AND(H382="UP",testdataHighLow[[#This Row],[high]]&gt;I382),testdataHighLow[[#This Row],[high]],IF(AND(H382="DN",testdataHighLow[[#This Row],[low]]&lt;I382),testdataHighLow[[#This Row],[low]],I382))</f>
        <v>271.01</v>
      </c>
      <c r="J3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-3.3209106675029603E-3</v>
      </c>
      <c r="K383" s="15">
        <f t="shared" ca="1" si="6"/>
        <v>263.79288135593902</v>
      </c>
      <c r="L383" s="6"/>
      <c r="M383" s="19">
        <f ca="1">IF(testdataHighLow[[#This Row],[type]]="H",testdataHighLow[[#This Row],[high]],AVERAGE(M382,M384))</f>
        <v>274.32571428569679</v>
      </c>
      <c r="N383" s="19">
        <f ca="1">IF(testdataHighLow[[#This Row],[type]]="L",testdataHighLow[[#This Row],[low]],AVERAGE(N382,N384))</f>
        <v>261.07863013697772</v>
      </c>
      <c r="Q383" s="7">
        <v>382</v>
      </c>
      <c r="R383" s="15">
        <v>263.79289999999997</v>
      </c>
      <c r="S383" s="19">
        <v>274.32571000000002</v>
      </c>
      <c r="T383" s="19">
        <v>261.07862999999998</v>
      </c>
    </row>
    <row r="384" spans="1:21" x14ac:dyDescent="0.35">
      <c r="A384" s="7">
        <v>383</v>
      </c>
      <c r="B384" s="3">
        <v>43292</v>
      </c>
      <c r="C384" s="2">
        <v>269.2</v>
      </c>
      <c r="D384" s="14">
        <v>270.07</v>
      </c>
      <c r="E384" s="14">
        <v>268.58999999999997</v>
      </c>
      <c r="F384" s="2">
        <v>268.92</v>
      </c>
      <c r="G384" s="1">
        <v>79329656</v>
      </c>
      <c r="H384" s="6" t="s">
        <v>10</v>
      </c>
      <c r="I384" s="6">
        <f>IF(AND(H383="UP",testdataHighLow[[#This Row],[high]]&gt;I383),testdataHighLow[[#This Row],[high]],IF(AND(H383="DN",testdataHighLow[[#This Row],[low]]&lt;I383),testdataHighLow[[#This Row],[low]],I383))</f>
        <v>271.01</v>
      </c>
      <c r="J3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-8.9295597948415781E-3</v>
      </c>
      <c r="K384" s="15">
        <f t="shared" ca="1" si="6"/>
        <v>264.22186440678729</v>
      </c>
      <c r="L384" s="6"/>
      <c r="M384" s="19">
        <f ca="1">IF(testdataHighLow[[#This Row],[type]]="H",testdataHighLow[[#This Row],[high]],AVERAGE(M383,M385))</f>
        <v>274.55214285712475</v>
      </c>
      <c r="N384" s="19">
        <f ca="1">IF(testdataHighLow[[#This Row],[type]]="L",testdataHighLow[[#This Row],[low]],AVERAGE(N383,N385))</f>
        <v>261.11986301368898</v>
      </c>
      <c r="Q384" s="7">
        <v>383</v>
      </c>
      <c r="R384" s="15">
        <v>264.22190000000001</v>
      </c>
      <c r="S384" s="19">
        <v>274.55214000000001</v>
      </c>
      <c r="T384" s="19">
        <v>261.11986000000002</v>
      </c>
    </row>
    <row r="385" spans="1:20" x14ac:dyDescent="0.35">
      <c r="A385" s="7">
        <v>384</v>
      </c>
      <c r="B385" s="3">
        <v>43293</v>
      </c>
      <c r="C385" s="2">
        <v>270.3</v>
      </c>
      <c r="D385" s="14">
        <v>271.42</v>
      </c>
      <c r="E385" s="14">
        <v>269.64</v>
      </c>
      <c r="F385" s="2">
        <v>271.36</v>
      </c>
      <c r="G385" s="1">
        <v>61899772</v>
      </c>
      <c r="H385" s="6" t="s">
        <v>10</v>
      </c>
      <c r="I385" s="6">
        <f>IF(AND(H384="UP",testdataHighLow[[#This Row],[high]]&gt;I384),testdataHighLow[[#This Row],[high]],IF(AND(H384="DN",testdataHighLow[[#This Row],[low]]&lt;I384),testdataHighLow[[#This Row],[low]],I384))</f>
        <v>271.42</v>
      </c>
      <c r="J3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-6.5581018347948914E-3</v>
      </c>
      <c r="K385" s="15">
        <f t="shared" ca="1" si="6"/>
        <v>264.65084745763551</v>
      </c>
      <c r="L385" s="6"/>
      <c r="M385" s="19">
        <f ca="1">IF(testdataHighLow[[#This Row],[type]]="H",testdataHighLow[[#This Row],[high]],AVERAGE(M384,M386))</f>
        <v>274.77857142855277</v>
      </c>
      <c r="N385" s="19">
        <f ca="1">IF(testdataHighLow[[#This Row],[type]]="L",testdataHighLow[[#This Row],[low]],AVERAGE(N384,N386))</f>
        <v>261.16109589040025</v>
      </c>
      <c r="Q385" s="7">
        <v>384</v>
      </c>
      <c r="R385" s="15">
        <v>264.6508</v>
      </c>
      <c r="S385" s="19">
        <v>274.77857</v>
      </c>
      <c r="T385" s="19">
        <v>261.16109999999998</v>
      </c>
    </row>
    <row r="386" spans="1:20" x14ac:dyDescent="0.35">
      <c r="A386" s="7">
        <v>385</v>
      </c>
      <c r="B386" s="3">
        <v>43294</v>
      </c>
      <c r="C386" s="2">
        <v>271.16000000000003</v>
      </c>
      <c r="D386" s="14">
        <v>271.89999999999998</v>
      </c>
      <c r="E386" s="14">
        <v>270.67</v>
      </c>
      <c r="F386" s="2">
        <v>271.57</v>
      </c>
      <c r="G386" s="1">
        <v>49659024</v>
      </c>
      <c r="H386" s="6" t="s">
        <v>10</v>
      </c>
      <c r="I386" s="6">
        <f>IF(AND(H385="UP",testdataHighLow[[#This Row],[high]]&gt;I385),testdataHighLow[[#This Row],[high]],IF(AND(H385="DN",testdataHighLow[[#This Row],[low]]&lt;I385),testdataHighLow[[#This Row],[low]],I385))</f>
        <v>271.89999999999998</v>
      </c>
      <c r="J3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-4.5237219566015502E-3</v>
      </c>
      <c r="K386" s="15">
        <f t="shared" ca="1" si="6"/>
        <v>265.07983050848372</v>
      </c>
      <c r="L386" s="6"/>
      <c r="M386" s="19">
        <f ca="1">IF(testdataHighLow[[#This Row],[type]]="H",testdataHighLow[[#This Row],[high]],AVERAGE(M385,M387))</f>
        <v>275.00499999998078</v>
      </c>
      <c r="N386" s="19">
        <f ca="1">IF(testdataHighLow[[#This Row],[type]]="L",testdataHighLow[[#This Row],[low]],AVERAGE(N385,N387))</f>
        <v>261.20232876711157</v>
      </c>
      <c r="Q386" s="7">
        <v>385</v>
      </c>
      <c r="R386" s="15">
        <v>265.07979999999998</v>
      </c>
      <c r="S386" s="19">
        <v>275.005</v>
      </c>
      <c r="T386" s="19">
        <v>261.20233000000002</v>
      </c>
    </row>
    <row r="387" spans="1:20" x14ac:dyDescent="0.35">
      <c r="A387" s="7">
        <v>386</v>
      </c>
      <c r="B387" s="3">
        <v>43297</v>
      </c>
      <c r="C387" s="2">
        <v>271.62</v>
      </c>
      <c r="D387" s="14">
        <v>271.77999999999997</v>
      </c>
      <c r="E387" s="14">
        <v>270.83999999999997</v>
      </c>
      <c r="F387" s="2">
        <v>271.33</v>
      </c>
      <c r="G387" s="1">
        <v>49624096</v>
      </c>
      <c r="H387" s="6" t="s">
        <v>10</v>
      </c>
      <c r="I387" s="6">
        <f>IF(AND(H386="UP",testdataHighLow[[#This Row],[high]]&gt;I386),testdataHighLow[[#This Row],[high]],IF(AND(H386="DN",testdataHighLow[[#This Row],[low]]&lt;I386),testdataHighLow[[#This Row],[low]],I386))</f>
        <v>271.89999999999998</v>
      </c>
      <c r="J3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-3.8984920926811413E-3</v>
      </c>
      <c r="K387" s="15">
        <f t="shared" ca="1" si="6"/>
        <v>265.50881355933188</v>
      </c>
      <c r="L387" s="6"/>
      <c r="M387" s="19">
        <f ca="1">IF(testdataHighLow[[#This Row],[type]]="H",testdataHighLow[[#This Row],[high]],AVERAGE(M386,M388))</f>
        <v>275.23142857140886</v>
      </c>
      <c r="N387" s="19">
        <f ca="1">IF(testdataHighLow[[#This Row],[type]]="L",testdataHighLow[[#This Row],[low]],AVERAGE(N386,N388))</f>
        <v>261.24356164382294</v>
      </c>
      <c r="Q387" s="7">
        <v>386</v>
      </c>
      <c r="R387" s="15">
        <v>265.50880000000001</v>
      </c>
      <c r="S387" s="19">
        <v>275.23142999999999</v>
      </c>
      <c r="T387" s="19">
        <v>261.24356</v>
      </c>
    </row>
    <row r="388" spans="1:20" x14ac:dyDescent="0.35">
      <c r="A388" s="7">
        <v>387</v>
      </c>
      <c r="B388" s="3">
        <v>43298</v>
      </c>
      <c r="C388" s="2">
        <v>270.48</v>
      </c>
      <c r="D388" s="14">
        <v>272.85000000000002</v>
      </c>
      <c r="E388" s="14">
        <v>270.43</v>
      </c>
      <c r="F388" s="2">
        <v>272.43</v>
      </c>
      <c r="G388" s="1">
        <v>53860032</v>
      </c>
      <c r="H388" s="6" t="s">
        <v>10</v>
      </c>
      <c r="I388" s="6">
        <f>IF(AND(H387="UP",testdataHighLow[[#This Row],[high]]&gt;I387),testdataHighLow[[#This Row],[high]],IF(AND(H387="DN",testdataHighLow[[#This Row],[low]]&lt;I387),testdataHighLow[[#This Row],[low]],I387))</f>
        <v>272.85000000000002</v>
      </c>
      <c r="J3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-8.8693421293751726E-3</v>
      </c>
      <c r="K388" s="15">
        <f t="shared" ref="K388:K451" ca="1" si="7">AVERAGE(K387,K389)</f>
        <v>265.93779661017999</v>
      </c>
      <c r="L388" s="6"/>
      <c r="M388" s="19">
        <f ca="1">IF(testdataHighLow[[#This Row],[type]]="H",testdataHighLow[[#This Row],[high]],AVERAGE(M387,M389))</f>
        <v>275.45785714283699</v>
      </c>
      <c r="N388" s="19">
        <f ca="1">IF(testdataHighLow[[#This Row],[type]]="L",testdataHighLow[[#This Row],[low]],AVERAGE(N387,N389))</f>
        <v>261.28479452053432</v>
      </c>
      <c r="Q388" s="7">
        <v>387</v>
      </c>
      <c r="R388" s="15">
        <v>265.93779999999998</v>
      </c>
      <c r="S388" s="19">
        <v>275.45785999999998</v>
      </c>
      <c r="T388" s="19">
        <v>261.28478999999999</v>
      </c>
    </row>
    <row r="389" spans="1:20" x14ac:dyDescent="0.35">
      <c r="A389" s="7">
        <v>388</v>
      </c>
      <c r="B389" s="3">
        <v>43299</v>
      </c>
      <c r="C389" s="2">
        <v>272.51</v>
      </c>
      <c r="D389" s="14">
        <v>273.12</v>
      </c>
      <c r="E389" s="14">
        <v>272.02999999999997</v>
      </c>
      <c r="F389" s="2">
        <v>273</v>
      </c>
      <c r="G389" s="1">
        <v>45910016</v>
      </c>
      <c r="H389" s="6" t="s">
        <v>10</v>
      </c>
      <c r="I389" s="6">
        <f>IF(AND(H388="UP",testdataHighLow[[#This Row],[high]]&gt;I388),testdataHighLow[[#This Row],[high]],IF(AND(H388="DN",testdataHighLow[[#This Row],[low]]&lt;I388),testdataHighLow[[#This Row],[low]],I388))</f>
        <v>273.12</v>
      </c>
      <c r="J3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-3.9909197422379611E-3</v>
      </c>
      <c r="K389" s="15">
        <f t="shared" ca="1" si="7"/>
        <v>266.36677966102809</v>
      </c>
      <c r="L389" s="6"/>
      <c r="M389" s="19">
        <f ca="1">IF(testdataHighLow[[#This Row],[type]]="H",testdataHighLow[[#This Row],[high]],AVERAGE(M388,M390))</f>
        <v>275.68428571426512</v>
      </c>
      <c r="N389" s="19">
        <f ca="1">IF(testdataHighLow[[#This Row],[type]]="L",testdataHighLow[[#This Row],[low]],AVERAGE(N388,N390))</f>
        <v>261.32602739724575</v>
      </c>
      <c r="Q389" s="7">
        <v>388</v>
      </c>
      <c r="R389" s="15">
        <v>266.36680000000001</v>
      </c>
      <c r="S389" s="19">
        <v>275.68428999999998</v>
      </c>
      <c r="T389" s="19">
        <v>261.32603</v>
      </c>
    </row>
    <row r="390" spans="1:20" x14ac:dyDescent="0.35">
      <c r="A390" s="7">
        <v>389</v>
      </c>
      <c r="B390" s="3">
        <v>43300</v>
      </c>
      <c r="C390" s="2">
        <v>272.27</v>
      </c>
      <c r="D390" s="14">
        <v>272.69</v>
      </c>
      <c r="E390" s="14">
        <v>271.45</v>
      </c>
      <c r="F390" s="2">
        <v>271.97000000000003</v>
      </c>
      <c r="G390" s="1">
        <v>63225212</v>
      </c>
      <c r="H390" s="6" t="s">
        <v>10</v>
      </c>
      <c r="I390" s="6">
        <f>IF(AND(H389="UP",testdataHighLow[[#This Row],[high]]&gt;I389),testdataHighLow[[#This Row],[high]],IF(AND(H389="DN",testdataHighLow[[#This Row],[low]]&lt;I389),testdataHighLow[[#This Row],[low]],I389))</f>
        <v>273.12</v>
      </c>
      <c r="J3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-6.1145284124195075E-3</v>
      </c>
      <c r="K390" s="15">
        <f t="shared" ca="1" si="7"/>
        <v>266.79576271187614</v>
      </c>
      <c r="L390" s="6"/>
      <c r="M390" s="19">
        <f ca="1">IF(testdataHighLow[[#This Row],[type]]="H",testdataHighLow[[#This Row],[high]],AVERAGE(M389,M391))</f>
        <v>275.9107142856933</v>
      </c>
      <c r="N390" s="19">
        <f ca="1">IF(testdataHighLow[[#This Row],[type]]="L",testdataHighLow[[#This Row],[low]],AVERAGE(N389,N391))</f>
        <v>261.36726027395724</v>
      </c>
      <c r="Q390" s="7">
        <v>389</v>
      </c>
      <c r="R390" s="15">
        <v>266.79579999999999</v>
      </c>
      <c r="S390" s="19">
        <v>275.91070999999999</v>
      </c>
      <c r="T390" s="19">
        <v>261.36725999999999</v>
      </c>
    </row>
    <row r="391" spans="1:20" x14ac:dyDescent="0.35">
      <c r="A391" s="7">
        <v>390</v>
      </c>
      <c r="B391" s="3">
        <v>43301</v>
      </c>
      <c r="C391" s="2">
        <v>271.75</v>
      </c>
      <c r="D391" s="14">
        <v>272.44</v>
      </c>
      <c r="E391" s="14">
        <v>271.48</v>
      </c>
      <c r="F391" s="2">
        <v>271.66000000000003</v>
      </c>
      <c r="G391" s="1">
        <v>84804656</v>
      </c>
      <c r="H391" s="6" t="s">
        <v>10</v>
      </c>
      <c r="I391" s="6">
        <f>IF(AND(H390="UP",testdataHighLow[[#This Row],[high]]&gt;I390),testdataHighLow[[#This Row],[high]],IF(AND(H390="DN",testdataHighLow[[#This Row],[low]]&lt;I390),testdataHighLow[[#This Row],[low]],I390))</f>
        <v>273.12</v>
      </c>
      <c r="J3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-6.004686584651385E-3</v>
      </c>
      <c r="K391" s="15">
        <f t="shared" ca="1" si="7"/>
        <v>267.22474576272413</v>
      </c>
      <c r="L391" s="6"/>
      <c r="M391" s="19">
        <f ca="1">IF(testdataHighLow[[#This Row],[type]]="H",testdataHighLow[[#This Row],[high]],AVERAGE(M390,M392))</f>
        <v>276.13714285712155</v>
      </c>
      <c r="N391" s="19">
        <f ca="1">IF(testdataHighLow[[#This Row],[type]]="L",testdataHighLow[[#This Row],[low]],AVERAGE(N390,N392))</f>
        <v>261.40849315066873</v>
      </c>
      <c r="Q391" s="7">
        <v>390</v>
      </c>
      <c r="R391" s="15">
        <v>267.22469999999998</v>
      </c>
      <c r="S391" s="19">
        <v>276.13713999999999</v>
      </c>
      <c r="T391" s="19">
        <v>261.40848999999997</v>
      </c>
    </row>
    <row r="392" spans="1:20" x14ac:dyDescent="0.35">
      <c r="A392" s="7">
        <v>391</v>
      </c>
      <c r="B392" s="3">
        <v>43304</v>
      </c>
      <c r="C392" s="2">
        <v>271.44</v>
      </c>
      <c r="D392" s="14">
        <v>272.39</v>
      </c>
      <c r="E392" s="14">
        <v>271.06</v>
      </c>
      <c r="F392" s="2">
        <v>272.16000000000003</v>
      </c>
      <c r="G392" s="1">
        <v>48436568</v>
      </c>
      <c r="H392" s="6" t="s">
        <v>10</v>
      </c>
      <c r="I392" s="6">
        <f>IF(AND(H391="UP",testdataHighLow[[#This Row],[high]]&gt;I391),testdataHighLow[[#This Row],[high]],IF(AND(H391="DN",testdataHighLow[[#This Row],[low]]&lt;I391),testdataHighLow[[#This Row],[low]],I391))</f>
        <v>273.12</v>
      </c>
      <c r="J3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-7.5424721734036401E-3</v>
      </c>
      <c r="K392" s="15">
        <f t="shared" ca="1" si="7"/>
        <v>267.65372881357212</v>
      </c>
      <c r="L392" s="6"/>
      <c r="M392" s="19">
        <f ca="1">IF(testdataHighLow[[#This Row],[type]]="H",testdataHighLow[[#This Row],[high]],AVERAGE(M391,M393))</f>
        <v>276.36357142854979</v>
      </c>
      <c r="N392" s="19">
        <f ca="1">IF(testdataHighLow[[#This Row],[type]]="L",testdataHighLow[[#This Row],[low]],AVERAGE(N391,N393))</f>
        <v>261.44972602738028</v>
      </c>
      <c r="Q392" s="7">
        <v>391</v>
      </c>
      <c r="R392" s="15">
        <v>267.65370000000001</v>
      </c>
      <c r="S392" s="19">
        <v>276.36356999999998</v>
      </c>
      <c r="T392" s="19">
        <v>261.44972999999999</v>
      </c>
    </row>
    <row r="393" spans="1:20" x14ac:dyDescent="0.35">
      <c r="A393" s="7">
        <v>392</v>
      </c>
      <c r="B393" s="3">
        <v>43305</v>
      </c>
      <c r="C393" s="2">
        <v>273.70999999999998</v>
      </c>
      <c r="D393" s="14">
        <v>274.45999999999998</v>
      </c>
      <c r="E393" s="14">
        <v>272.58</v>
      </c>
      <c r="F393" s="2">
        <v>273.52999999999997</v>
      </c>
      <c r="G393" s="1">
        <v>70035320</v>
      </c>
      <c r="H393" s="6" t="s">
        <v>10</v>
      </c>
      <c r="I393" s="6">
        <f>IF(AND(H392="UP",testdataHighLow[[#This Row],[high]]&gt;I392),testdataHighLow[[#This Row],[high]],IF(AND(H392="DN",testdataHighLow[[#This Row],[low]]&lt;I392),testdataHighLow[[#This Row],[low]],I392))</f>
        <v>274.45999999999998</v>
      </c>
      <c r="J3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-6.8498141805727452E-3</v>
      </c>
      <c r="K393" s="15">
        <f t="shared" ca="1" si="7"/>
        <v>268.08271186442005</v>
      </c>
      <c r="L393" s="6"/>
      <c r="M393" s="19">
        <f ca="1">IF(testdataHighLow[[#This Row],[type]]="H",testdataHighLow[[#This Row],[high]],AVERAGE(M392,M394))</f>
        <v>276.58999999997809</v>
      </c>
      <c r="N393" s="19">
        <f ca="1">IF(testdataHighLow[[#This Row],[type]]="L",testdataHighLow[[#This Row],[low]],AVERAGE(N392,N394))</f>
        <v>261.49095890409188</v>
      </c>
      <c r="Q393" s="7">
        <v>392</v>
      </c>
      <c r="R393" s="15">
        <v>268.08269999999999</v>
      </c>
      <c r="S393" s="19">
        <v>276.58999999999997</v>
      </c>
      <c r="T393" s="19">
        <v>261.49095999999997</v>
      </c>
    </row>
    <row r="394" spans="1:20" x14ac:dyDescent="0.35">
      <c r="A394" s="7">
        <v>393</v>
      </c>
      <c r="B394" s="3">
        <v>43306</v>
      </c>
      <c r="C394" s="2">
        <v>273.26</v>
      </c>
      <c r="D394" s="14">
        <v>276.22000000000003</v>
      </c>
      <c r="E394" s="14">
        <v>273.20999999999998</v>
      </c>
      <c r="F394" s="2">
        <v>275.87</v>
      </c>
      <c r="G394" s="1">
        <v>81211824</v>
      </c>
      <c r="H394" s="6" t="s">
        <v>10</v>
      </c>
      <c r="I394" s="6">
        <f>IF(AND(H393="UP",testdataHighLow[[#This Row],[high]]&gt;I393),testdataHighLow[[#This Row],[high]],IF(AND(H393="DN",testdataHighLow[[#This Row],[low]]&lt;I393),testdataHighLow[[#This Row],[low]],I393))</f>
        <v>276.22000000000003</v>
      </c>
      <c r="J3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-1.0897110998479644E-2</v>
      </c>
      <c r="K394" s="15">
        <f t="shared" ca="1" si="7"/>
        <v>268.51169491526792</v>
      </c>
      <c r="L394" s="6"/>
      <c r="M394" s="19">
        <f ca="1">IF(testdataHighLow[[#This Row],[type]]="H",testdataHighLow[[#This Row],[high]],AVERAGE(M393,M395))</f>
        <v>276.81642857140645</v>
      </c>
      <c r="N394" s="19">
        <f ca="1">IF(testdataHighLow[[#This Row],[type]]="L",testdataHighLow[[#This Row],[low]],AVERAGE(N393,N395))</f>
        <v>261.53219178080349</v>
      </c>
      <c r="Q394" s="7">
        <v>393</v>
      </c>
      <c r="R394" s="15">
        <v>268.51170000000002</v>
      </c>
      <c r="S394" s="19">
        <v>276.81643000000003</v>
      </c>
      <c r="T394" s="19">
        <v>261.53219000000001</v>
      </c>
    </row>
    <row r="395" spans="1:20" x14ac:dyDescent="0.35">
      <c r="A395" s="7">
        <v>394</v>
      </c>
      <c r="B395" s="3">
        <v>43307</v>
      </c>
      <c r="C395" s="2">
        <v>275.08</v>
      </c>
      <c r="D395" s="14">
        <v>275.95999999999998</v>
      </c>
      <c r="E395" s="14">
        <v>274.97000000000003</v>
      </c>
      <c r="F395" s="2">
        <v>275.20999999999998</v>
      </c>
      <c r="G395" s="1">
        <v>59629476</v>
      </c>
      <c r="H395" s="6" t="s">
        <v>10</v>
      </c>
      <c r="I395" s="6">
        <f>IF(AND(H394="UP",testdataHighLow[[#This Row],[high]]&gt;I394),testdataHighLow[[#This Row],[high]],IF(AND(H394="DN",testdataHighLow[[#This Row],[low]]&lt;I394),testdataHighLow[[#This Row],[low]],I394))</f>
        <v>276.22000000000003</v>
      </c>
      <c r="J3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-4.5253783216276872E-3</v>
      </c>
      <c r="K395" s="15">
        <f t="shared" ca="1" si="7"/>
        <v>268.9406779661158</v>
      </c>
      <c r="L395" s="6"/>
      <c r="M395" s="19">
        <f ca="1">IF(testdataHighLow[[#This Row],[type]]="H",testdataHighLow[[#This Row],[high]],AVERAGE(M394,M396))</f>
        <v>277.04285714283481</v>
      </c>
      <c r="N395" s="19">
        <f ca="1">IF(testdataHighLow[[#This Row],[type]]="L",testdataHighLow[[#This Row],[low]],AVERAGE(N394,N396))</f>
        <v>261.57342465751515</v>
      </c>
      <c r="Q395" s="7">
        <v>394</v>
      </c>
      <c r="R395" s="15">
        <v>268.94069999999999</v>
      </c>
      <c r="S395" s="19">
        <v>277.04286000000002</v>
      </c>
      <c r="T395" s="19">
        <v>261.57342</v>
      </c>
    </row>
    <row r="396" spans="1:20" x14ac:dyDescent="0.35">
      <c r="A396" s="7">
        <v>395</v>
      </c>
      <c r="B396" s="3">
        <v>43308</v>
      </c>
      <c r="C396" s="2">
        <v>275.57</v>
      </c>
      <c r="D396" s="14">
        <v>275.68</v>
      </c>
      <c r="E396" s="14">
        <v>272.33999999999997</v>
      </c>
      <c r="F396" s="2">
        <v>273.35000000000002</v>
      </c>
      <c r="G396" s="1">
        <v>79050080</v>
      </c>
      <c r="H396" s="6" t="s">
        <v>10</v>
      </c>
      <c r="I396" s="6">
        <f>IF(AND(H395="UP",testdataHighLow[[#This Row],[high]]&gt;I395),testdataHighLow[[#This Row],[high]],IF(AND(H395="DN",testdataHighLow[[#This Row],[low]]&lt;I395),testdataHighLow[[#This Row],[low]],I395))</f>
        <v>276.22000000000003</v>
      </c>
      <c r="J3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-1.4046774310332532E-2</v>
      </c>
      <c r="K396" s="15">
        <f t="shared" ca="1" si="7"/>
        <v>269.36966101696362</v>
      </c>
      <c r="L396" s="6"/>
      <c r="M396" s="19">
        <f ca="1">IF(testdataHighLow[[#This Row],[type]]="H",testdataHighLow[[#This Row],[high]],AVERAGE(M395,M397))</f>
        <v>277.26928571426322</v>
      </c>
      <c r="N396" s="19">
        <f ca="1">IF(testdataHighLow[[#This Row],[type]]="L",testdataHighLow[[#This Row],[low]],AVERAGE(N395,N397))</f>
        <v>261.61465753422686</v>
      </c>
      <c r="Q396" s="7">
        <v>395</v>
      </c>
      <c r="R396" s="15">
        <v>269.36970000000002</v>
      </c>
      <c r="S396" s="19">
        <v>277.26929000000001</v>
      </c>
      <c r="T396" s="19">
        <v>261.61466000000001</v>
      </c>
    </row>
    <row r="397" spans="1:20" x14ac:dyDescent="0.35">
      <c r="A397" s="7">
        <v>396</v>
      </c>
      <c r="B397" s="3">
        <v>43311</v>
      </c>
      <c r="C397" s="2">
        <v>273.44</v>
      </c>
      <c r="D397" s="14">
        <v>273.61</v>
      </c>
      <c r="E397" s="14">
        <v>271.35000000000002</v>
      </c>
      <c r="F397" s="2">
        <v>271.92</v>
      </c>
      <c r="G397" s="1">
        <v>65624404</v>
      </c>
      <c r="H397" s="6" t="s">
        <v>10</v>
      </c>
      <c r="I397" s="6">
        <f>IF(AND(H396="UP",testdataHighLow[[#This Row],[high]]&gt;I396),testdataHighLow[[#This Row],[high]],IF(AND(H396="DN",testdataHighLow[[#This Row],[low]]&lt;I396),testdataHighLow[[#This Row],[low]],I396))</f>
        <v>276.22000000000003</v>
      </c>
      <c r="J3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-1.7630873941061487E-2</v>
      </c>
      <c r="K397" s="15">
        <f t="shared" ca="1" si="7"/>
        <v>269.79864406781138</v>
      </c>
      <c r="L397" s="6"/>
      <c r="M397" s="19">
        <f ca="1">IF(testdataHighLow[[#This Row],[type]]="H",testdataHighLow[[#This Row],[high]],AVERAGE(M396,M398))</f>
        <v>277.49571428569169</v>
      </c>
      <c r="N397" s="19">
        <f ca="1">IF(testdataHighLow[[#This Row],[type]]="L",testdataHighLow[[#This Row],[low]],AVERAGE(N396,N398))</f>
        <v>261.65589041093858</v>
      </c>
      <c r="Q397" s="7">
        <v>396</v>
      </c>
      <c r="R397" s="15">
        <v>269.79860000000002</v>
      </c>
      <c r="S397" s="19">
        <v>277.49570999999997</v>
      </c>
      <c r="T397" s="19">
        <v>261.65589</v>
      </c>
    </row>
    <row r="398" spans="1:20" x14ac:dyDescent="0.35">
      <c r="A398" s="7">
        <v>397</v>
      </c>
      <c r="B398" s="3">
        <v>43312</v>
      </c>
      <c r="C398" s="2">
        <v>272.76</v>
      </c>
      <c r="D398" s="14">
        <v>273.93</v>
      </c>
      <c r="E398" s="14">
        <v>272.33999999999997</v>
      </c>
      <c r="F398" s="2">
        <v>273.26</v>
      </c>
      <c r="G398" s="1">
        <v>70594928</v>
      </c>
      <c r="H398" s="6" t="s">
        <v>10</v>
      </c>
      <c r="I398" s="6">
        <f>IF(AND(H397="UP",testdataHighLow[[#This Row],[high]]&gt;I397),testdataHighLow[[#This Row],[high]],IF(AND(H397="DN",testdataHighLow[[#This Row],[low]]&lt;I397),testdataHighLow[[#This Row],[low]],I397))</f>
        <v>276.22000000000003</v>
      </c>
      <c r="J3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-1.4046774310332532E-2</v>
      </c>
      <c r="K398" s="15">
        <f t="shared" ca="1" si="7"/>
        <v>270.22762711865914</v>
      </c>
      <c r="L398" s="6"/>
      <c r="M398" s="19">
        <f ca="1">IF(testdataHighLow[[#This Row],[type]]="H",testdataHighLow[[#This Row],[high]],AVERAGE(M397,M399))</f>
        <v>277.72214285712016</v>
      </c>
      <c r="N398" s="19">
        <f ca="1">IF(testdataHighLow[[#This Row],[type]]="L",testdataHighLow[[#This Row],[low]],AVERAGE(N397,N399))</f>
        <v>261.69712328765036</v>
      </c>
      <c r="Q398" s="7">
        <v>397</v>
      </c>
      <c r="R398" s="15">
        <v>270.2276</v>
      </c>
      <c r="S398" s="19">
        <v>277.72214000000002</v>
      </c>
      <c r="T398" s="19">
        <v>261.69711999999998</v>
      </c>
    </row>
    <row r="399" spans="1:20" x14ac:dyDescent="0.35">
      <c r="A399" s="7">
        <v>398</v>
      </c>
      <c r="B399" s="3">
        <v>43313</v>
      </c>
      <c r="C399" s="2">
        <v>273.49</v>
      </c>
      <c r="D399" s="14">
        <v>274.04000000000002</v>
      </c>
      <c r="E399" s="14">
        <v>272.10000000000002</v>
      </c>
      <c r="F399" s="2">
        <v>272.81</v>
      </c>
      <c r="G399" s="1">
        <v>55443260</v>
      </c>
      <c r="H399" s="6" t="s">
        <v>10</v>
      </c>
      <c r="I399" s="6">
        <f>IF(AND(H398="UP",testdataHighLow[[#This Row],[high]]&gt;I398),testdataHighLow[[#This Row],[high]],IF(AND(H398="DN",testdataHighLow[[#This Row],[low]]&lt;I398),testdataHighLow[[#This Row],[low]],I398))</f>
        <v>276.22000000000003</v>
      </c>
      <c r="J3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-1.4915646948084876E-2</v>
      </c>
      <c r="K399" s="15">
        <f t="shared" ca="1" si="7"/>
        <v>270.65661016950685</v>
      </c>
      <c r="L399" s="6"/>
      <c r="M399" s="19">
        <f ca="1">IF(testdataHighLow[[#This Row],[type]]="H",testdataHighLow[[#This Row],[high]],AVERAGE(M398,M400))</f>
        <v>277.94857142854869</v>
      </c>
      <c r="N399" s="19">
        <f ca="1">IF(testdataHighLow[[#This Row],[type]]="L",testdataHighLow[[#This Row],[low]],AVERAGE(N398,N400))</f>
        <v>261.73835616436219</v>
      </c>
      <c r="Q399" s="7">
        <v>398</v>
      </c>
      <c r="R399" s="15">
        <v>270.65660000000003</v>
      </c>
      <c r="S399" s="19">
        <v>277.94857000000002</v>
      </c>
      <c r="T399" s="19">
        <v>261.73836</v>
      </c>
    </row>
    <row r="400" spans="1:20" x14ac:dyDescent="0.35">
      <c r="A400" s="7">
        <v>399</v>
      </c>
      <c r="B400" s="3">
        <v>43314</v>
      </c>
      <c r="C400" s="2">
        <v>271.38</v>
      </c>
      <c r="D400" s="14">
        <v>274.48</v>
      </c>
      <c r="E400" s="14">
        <v>271.14999999999998</v>
      </c>
      <c r="F400" s="2">
        <v>274.29000000000002</v>
      </c>
      <c r="G400" s="1">
        <v>65298924</v>
      </c>
      <c r="H400" s="6" t="s">
        <v>10</v>
      </c>
      <c r="I400" s="6">
        <f>IF(AND(H399="UP",testdataHighLow[[#This Row],[high]]&gt;I399),testdataHighLow[[#This Row],[high]],IF(AND(H399="DN",testdataHighLow[[#This Row],[low]]&lt;I399),testdataHighLow[[#This Row],[low]],I399))</f>
        <v>276.22000000000003</v>
      </c>
      <c r="J4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-1.8354934472522084E-2</v>
      </c>
      <c r="K400" s="15">
        <f t="shared" ca="1" si="7"/>
        <v>271.0855932203545</v>
      </c>
      <c r="L400" s="6"/>
      <c r="M400" s="19">
        <f ca="1">IF(testdataHighLow[[#This Row],[type]]="H",testdataHighLow[[#This Row],[high]],AVERAGE(M399,M401))</f>
        <v>278.17499999997727</v>
      </c>
      <c r="N400" s="19">
        <f ca="1">IF(testdataHighLow[[#This Row],[type]]="L",testdataHighLow[[#This Row],[low]],AVERAGE(N399,N401))</f>
        <v>261.77958904107402</v>
      </c>
      <c r="Q400" s="7">
        <v>399</v>
      </c>
      <c r="R400" s="15">
        <v>271.0856</v>
      </c>
      <c r="S400" s="19">
        <v>278.17500000000001</v>
      </c>
      <c r="T400" s="19">
        <v>261.77958999999998</v>
      </c>
    </row>
    <row r="401" spans="1:20" x14ac:dyDescent="0.35">
      <c r="A401" s="7">
        <v>400</v>
      </c>
      <c r="B401" s="3">
        <v>43315</v>
      </c>
      <c r="C401" s="2">
        <v>274.43</v>
      </c>
      <c r="D401" s="14">
        <v>275.52</v>
      </c>
      <c r="E401" s="14">
        <v>274.23</v>
      </c>
      <c r="F401" s="2">
        <v>275.47000000000003</v>
      </c>
      <c r="G401" s="1">
        <v>55527740</v>
      </c>
      <c r="H401" s="6" t="s">
        <v>10</v>
      </c>
      <c r="I401" s="6">
        <f>IF(AND(H400="UP",testdataHighLow[[#This Row],[high]]&gt;I400),testdataHighLow[[#This Row],[high]],IF(AND(H400="DN",testdataHighLow[[#This Row],[low]]&lt;I400),testdataHighLow[[#This Row],[low]],I400))</f>
        <v>276.22000000000003</v>
      </c>
      <c r="J4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-7.2044022880313119E-3</v>
      </c>
      <c r="K401" s="15">
        <f t="shared" ca="1" si="7"/>
        <v>271.51457627120215</v>
      </c>
      <c r="L401" s="6"/>
      <c r="M401" s="19">
        <f ca="1">IF(testdataHighLow[[#This Row],[type]]="H",testdataHighLow[[#This Row],[high]],AVERAGE(M400,M402))</f>
        <v>278.40142857140586</v>
      </c>
      <c r="N401" s="19">
        <f ca="1">IF(testdataHighLow[[#This Row],[type]]="L",testdataHighLow[[#This Row],[low]],AVERAGE(N400,N402))</f>
        <v>261.82082191778591</v>
      </c>
      <c r="Q401" s="7">
        <v>400</v>
      </c>
      <c r="R401" s="15">
        <v>271.51459999999997</v>
      </c>
      <c r="S401" s="19">
        <v>278.40143</v>
      </c>
      <c r="T401" s="19">
        <v>261.82082000000003</v>
      </c>
    </row>
    <row r="402" spans="1:20" x14ac:dyDescent="0.35">
      <c r="A402" s="7">
        <v>401</v>
      </c>
      <c r="B402" s="3">
        <v>43318</v>
      </c>
      <c r="C402" s="2">
        <v>275.51</v>
      </c>
      <c r="D402" s="14">
        <v>276.82</v>
      </c>
      <c r="E402" s="14">
        <v>275.08</v>
      </c>
      <c r="F402" s="2">
        <v>276.48</v>
      </c>
      <c r="G402" s="1">
        <v>40564136</v>
      </c>
      <c r="H402" s="6" t="s">
        <v>10</v>
      </c>
      <c r="I402" s="6">
        <f>IF(AND(H401="UP",testdataHighLow[[#This Row],[high]]&gt;I401),testdataHighLow[[#This Row],[high]],IF(AND(H401="DN",testdataHighLow[[#This Row],[low]]&lt;I401),testdataHighLow[[#This Row],[low]],I401))</f>
        <v>276.82</v>
      </c>
      <c r="J4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-6.2856730005057771E-3</v>
      </c>
      <c r="K402" s="15">
        <f t="shared" ca="1" si="7"/>
        <v>271.94355932204974</v>
      </c>
      <c r="L402" s="6"/>
      <c r="M402" s="19">
        <f ca="1">IF(testdataHighLow[[#This Row],[type]]="H",testdataHighLow[[#This Row],[high]],AVERAGE(M401,M403))</f>
        <v>278.6278571428345</v>
      </c>
      <c r="N402" s="19">
        <f ca="1">IF(testdataHighLow[[#This Row],[type]]="L",testdataHighLow[[#This Row],[low]],AVERAGE(N401,N403))</f>
        <v>261.86205479449785</v>
      </c>
      <c r="Q402" s="7">
        <v>401</v>
      </c>
      <c r="R402" s="15">
        <v>271.9436</v>
      </c>
      <c r="S402" s="19">
        <v>278.62786</v>
      </c>
      <c r="T402" s="19">
        <v>261.86205000000001</v>
      </c>
    </row>
    <row r="403" spans="1:20" x14ac:dyDescent="0.35">
      <c r="A403" s="7">
        <v>402</v>
      </c>
      <c r="B403" s="3">
        <v>43319</v>
      </c>
      <c r="C403" s="2">
        <v>277.20999999999998</v>
      </c>
      <c r="D403" s="14">
        <v>277.81</v>
      </c>
      <c r="E403" s="14">
        <v>277.06</v>
      </c>
      <c r="F403" s="2">
        <v>277.39</v>
      </c>
      <c r="G403" s="1">
        <v>44471960</v>
      </c>
      <c r="H403" s="6" t="s">
        <v>10</v>
      </c>
      <c r="I403" s="6">
        <f>IF(AND(H402="UP",testdataHighLow[[#This Row],[high]]&gt;I402),testdataHighLow[[#This Row],[high]],IF(AND(H402="DN",testdataHighLow[[#This Row],[low]]&lt;I402),testdataHighLow[[#This Row],[low]],I402))</f>
        <v>277.81</v>
      </c>
      <c r="J4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-2.6996868363269861E-3</v>
      </c>
      <c r="K403" s="15">
        <f t="shared" ca="1" si="7"/>
        <v>272.37254237289727</v>
      </c>
      <c r="L403" s="6"/>
      <c r="M403" s="19">
        <f ca="1">IF(testdataHighLow[[#This Row],[type]]="H",testdataHighLow[[#This Row],[high]],AVERAGE(M402,M404))</f>
        <v>278.8542857142632</v>
      </c>
      <c r="N403" s="19">
        <f ca="1">IF(testdataHighLow[[#This Row],[type]]="L",testdataHighLow[[#This Row],[low]],AVERAGE(N402,N404))</f>
        <v>261.9032876712098</v>
      </c>
      <c r="Q403" s="7">
        <v>402</v>
      </c>
      <c r="R403" s="15">
        <v>272.3725</v>
      </c>
      <c r="S403" s="19">
        <v>278.85428999999999</v>
      </c>
      <c r="T403" s="19">
        <v>261.90329000000003</v>
      </c>
    </row>
    <row r="404" spans="1:20" x14ac:dyDescent="0.35">
      <c r="A404" s="7">
        <v>403</v>
      </c>
      <c r="B404" s="3">
        <v>43320</v>
      </c>
      <c r="C404" s="2">
        <v>277.20999999999998</v>
      </c>
      <c r="D404" s="14">
        <v>277.70999999999998</v>
      </c>
      <c r="E404" s="14">
        <v>276.77</v>
      </c>
      <c r="F404" s="2">
        <v>277.27</v>
      </c>
      <c r="G404" s="1">
        <v>43357916</v>
      </c>
      <c r="H404" s="6" t="s">
        <v>10</v>
      </c>
      <c r="I404" s="6">
        <f>IF(AND(H403="UP",testdataHighLow[[#This Row],[high]]&gt;I403),testdataHighLow[[#This Row],[high]],IF(AND(H403="DN",testdataHighLow[[#This Row],[low]]&lt;I403),testdataHighLow[[#This Row],[low]],I403))</f>
        <v>277.81</v>
      </c>
      <c r="J40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-3.7435657463734942E-3</v>
      </c>
      <c r="K404" s="15">
        <f t="shared" ca="1" si="7"/>
        <v>272.80152542374481</v>
      </c>
      <c r="L404" s="6"/>
      <c r="M404" s="19">
        <f ca="1">IF(testdataHighLow[[#This Row],[type]]="H",testdataHighLow[[#This Row],[high]],AVERAGE(M403,M405))</f>
        <v>279.0807142856919</v>
      </c>
      <c r="N404" s="19">
        <f ca="1">IF(testdataHighLow[[#This Row],[type]]="L",testdataHighLow[[#This Row],[low]],AVERAGE(N403,N405))</f>
        <v>261.9445205479218</v>
      </c>
      <c r="Q404" s="7">
        <v>403</v>
      </c>
      <c r="R404" s="15">
        <v>272.80149999999998</v>
      </c>
      <c r="S404" s="19">
        <v>279.08071000000001</v>
      </c>
      <c r="T404" s="19">
        <v>261.94452000000001</v>
      </c>
    </row>
    <row r="405" spans="1:20" x14ac:dyDescent="0.35">
      <c r="A405" s="7">
        <v>404</v>
      </c>
      <c r="B405" s="3">
        <v>43321</v>
      </c>
      <c r="C405" s="2">
        <v>277.33999999999997</v>
      </c>
      <c r="D405" s="14">
        <v>277.77</v>
      </c>
      <c r="E405" s="14">
        <v>276.74</v>
      </c>
      <c r="F405" s="2">
        <v>276.89999999999998</v>
      </c>
      <c r="G405" s="1">
        <v>36771464</v>
      </c>
      <c r="H405" s="6" t="s">
        <v>10</v>
      </c>
      <c r="I405" s="6">
        <f>IF(AND(H404="UP",testdataHighLow[[#This Row],[high]]&gt;I404),testdataHighLow[[#This Row],[high]],IF(AND(H404="DN",testdataHighLow[[#This Row],[low]]&lt;I404),testdataHighLow[[#This Row],[low]],I404))</f>
        <v>277.81</v>
      </c>
      <c r="J40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-3.8515532198264753E-3</v>
      </c>
      <c r="K405" s="15">
        <f t="shared" ca="1" si="7"/>
        <v>273.23050847459228</v>
      </c>
      <c r="L405" s="6"/>
      <c r="M405" s="19">
        <f ca="1">IF(testdataHighLow[[#This Row],[type]]="H",testdataHighLow[[#This Row],[high]],AVERAGE(M404,M406))</f>
        <v>279.30714285712065</v>
      </c>
      <c r="N405" s="19">
        <f ca="1">IF(testdataHighLow[[#This Row],[type]]="L",testdataHighLow[[#This Row],[low]],AVERAGE(N404,N406))</f>
        <v>261.98575342463386</v>
      </c>
      <c r="Q405" s="7">
        <v>404</v>
      </c>
      <c r="R405" s="15">
        <v>273.23050000000001</v>
      </c>
      <c r="S405" s="19">
        <v>279.30714</v>
      </c>
      <c r="T405" s="19">
        <v>261.98575</v>
      </c>
    </row>
    <row r="406" spans="1:20" x14ac:dyDescent="0.35">
      <c r="A406" s="7">
        <v>405</v>
      </c>
      <c r="B406" s="3">
        <v>43322</v>
      </c>
      <c r="C406" s="2">
        <v>275.32</v>
      </c>
      <c r="D406" s="14">
        <v>275.91000000000003</v>
      </c>
      <c r="E406" s="14">
        <v>274.26</v>
      </c>
      <c r="F406" s="2">
        <v>275.04000000000002</v>
      </c>
      <c r="G406" s="1">
        <v>79351592</v>
      </c>
      <c r="H406" s="6" t="s">
        <v>10</v>
      </c>
      <c r="I406" s="6">
        <f>IF(AND(H405="UP",testdataHighLow[[#This Row],[high]]&gt;I405),testdataHighLow[[#This Row],[high]],IF(AND(H405="DN",testdataHighLow[[#This Row],[low]]&lt;I405),testdataHighLow[[#This Row],[low]],I405))</f>
        <v>277.81</v>
      </c>
      <c r="J40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-1.2778517691947775E-2</v>
      </c>
      <c r="K406" s="15">
        <f t="shared" ca="1" si="7"/>
        <v>273.65949152543971</v>
      </c>
      <c r="L406" s="6"/>
      <c r="M406" s="19">
        <f ca="1">IF(testdataHighLow[[#This Row],[type]]="H",testdataHighLow[[#This Row],[high]],AVERAGE(M405,M407))</f>
        <v>279.53357142854946</v>
      </c>
      <c r="N406" s="19">
        <f ca="1">IF(testdataHighLow[[#This Row],[type]]="L",testdataHighLow[[#This Row],[low]],AVERAGE(N405,N407))</f>
        <v>262.02698630134591</v>
      </c>
      <c r="Q406" s="7">
        <v>405</v>
      </c>
      <c r="R406" s="15">
        <v>273.65949999999998</v>
      </c>
      <c r="S406" s="19">
        <v>279.53357</v>
      </c>
      <c r="T406" s="19">
        <v>262.02699000000001</v>
      </c>
    </row>
    <row r="407" spans="1:20" x14ac:dyDescent="0.35">
      <c r="A407" s="7">
        <v>406</v>
      </c>
      <c r="B407" s="3">
        <v>43325</v>
      </c>
      <c r="C407" s="2">
        <v>275.33999999999997</v>
      </c>
      <c r="D407" s="14">
        <v>276.01</v>
      </c>
      <c r="E407" s="14">
        <v>273.69</v>
      </c>
      <c r="F407" s="2">
        <v>274.01</v>
      </c>
      <c r="G407" s="1">
        <v>67673568</v>
      </c>
      <c r="H407" s="6" t="s">
        <v>10</v>
      </c>
      <c r="I407" s="6">
        <f>IF(AND(H406="UP",testdataHighLow[[#This Row],[high]]&gt;I406),testdataHighLow[[#This Row],[high]],IF(AND(H406="DN",testdataHighLow[[#This Row],[low]]&lt;I406),testdataHighLow[[#This Row],[low]],I406))</f>
        <v>277.81</v>
      </c>
      <c r="J40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-1.483027968755626E-2</v>
      </c>
      <c r="K407" s="15">
        <f t="shared" ca="1" si="7"/>
        <v>274.08847457628713</v>
      </c>
      <c r="L407" s="6"/>
      <c r="M407" s="19">
        <f ca="1">IF(testdataHighLow[[#This Row],[type]]="H",testdataHighLow[[#This Row],[high]],AVERAGE(M406,M408))</f>
        <v>279.75999999997828</v>
      </c>
      <c r="N407" s="19">
        <f ca="1">IF(testdataHighLow[[#This Row],[type]]="L",testdataHighLow[[#This Row],[low]],AVERAGE(N406,N408))</f>
        <v>262.06821917805803</v>
      </c>
      <c r="Q407" s="7">
        <v>406</v>
      </c>
      <c r="R407" s="15">
        <v>274.08850000000001</v>
      </c>
      <c r="S407" s="19">
        <v>279.76</v>
      </c>
      <c r="T407" s="19">
        <v>262.06822</v>
      </c>
    </row>
    <row r="408" spans="1:20" x14ac:dyDescent="0.35">
      <c r="A408" s="7">
        <v>407</v>
      </c>
      <c r="B408" s="3">
        <v>43326</v>
      </c>
      <c r="C408" s="2">
        <v>274.81</v>
      </c>
      <c r="D408" s="14">
        <v>276.02</v>
      </c>
      <c r="E408" s="14">
        <v>274.38</v>
      </c>
      <c r="F408" s="2">
        <v>275.76</v>
      </c>
      <c r="G408" s="1">
        <v>45136396</v>
      </c>
      <c r="H408" s="6" t="s">
        <v>10</v>
      </c>
      <c r="I408" s="6">
        <f>IF(AND(H407="UP",testdataHighLow[[#This Row],[high]]&gt;I407),testdataHighLow[[#This Row],[high]],IF(AND(H407="DN",testdataHighLow[[#This Row],[low]]&lt;I407),testdataHighLow[[#This Row],[low]],I407))</f>
        <v>277.81</v>
      </c>
      <c r="J40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-1.2346567798135441E-2</v>
      </c>
      <c r="K408" s="15">
        <f t="shared" ca="1" si="7"/>
        <v>274.51745762713449</v>
      </c>
      <c r="L408" s="6"/>
      <c r="M408" s="19">
        <f ca="1">IF(testdataHighLow[[#This Row],[type]]="H",testdataHighLow[[#This Row],[high]],AVERAGE(M407,M409))</f>
        <v>279.98642857140715</v>
      </c>
      <c r="N408" s="19">
        <f ca="1">IF(testdataHighLow[[#This Row],[type]]="L",testdataHighLow[[#This Row],[low]],AVERAGE(N407,N409))</f>
        <v>262.1094520547702</v>
      </c>
      <c r="Q408" s="7">
        <v>407</v>
      </c>
      <c r="R408" s="15">
        <v>274.51749999999998</v>
      </c>
      <c r="S408" s="19">
        <v>279.98642999999998</v>
      </c>
      <c r="T408" s="19">
        <v>262.10944999999998</v>
      </c>
    </row>
    <row r="409" spans="1:20" x14ac:dyDescent="0.35">
      <c r="A409" s="7">
        <v>408</v>
      </c>
      <c r="B409" s="3">
        <v>43327</v>
      </c>
      <c r="C409" s="2">
        <v>274.27999999999997</v>
      </c>
      <c r="D409" s="14">
        <v>274.44</v>
      </c>
      <c r="E409" s="14">
        <v>272.13</v>
      </c>
      <c r="F409" s="2">
        <v>273.7</v>
      </c>
      <c r="G409" s="1">
        <v>105964064</v>
      </c>
      <c r="H409" s="6" t="s">
        <v>10</v>
      </c>
      <c r="I409" s="6">
        <f>IF(AND(H408="UP",testdataHighLow[[#This Row],[high]]&gt;I408),testdataHighLow[[#This Row],[high]],IF(AND(H408="DN",testdataHighLow[[#This Row],[low]]&lt;I408),testdataHighLow[[#This Row],[low]],I408))</f>
        <v>277.81</v>
      </c>
      <c r="J40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-2.0445628307116399E-2</v>
      </c>
      <c r="K409" s="15">
        <f t="shared" ca="1" si="7"/>
        <v>274.94644067798185</v>
      </c>
      <c r="L409" s="6"/>
      <c r="M409" s="19">
        <f ca="1">IF(testdataHighLow[[#This Row],[type]]="H",testdataHighLow[[#This Row],[high]],AVERAGE(M408,M410))</f>
        <v>280.21285714283607</v>
      </c>
      <c r="N409" s="19">
        <f ca="1">IF(testdataHighLow[[#This Row],[type]]="L",testdataHighLow[[#This Row],[low]],AVERAGE(N408,N410))</f>
        <v>262.15068493148237</v>
      </c>
      <c r="Q409" s="7">
        <v>408</v>
      </c>
      <c r="R409" s="15">
        <v>274.94639999999998</v>
      </c>
      <c r="S409" s="19">
        <v>280.21285999999998</v>
      </c>
      <c r="T409" s="19">
        <v>262.15068000000002</v>
      </c>
    </row>
    <row r="410" spans="1:20" x14ac:dyDescent="0.35">
      <c r="A410" s="7">
        <v>409</v>
      </c>
      <c r="B410" s="3">
        <v>43328</v>
      </c>
      <c r="C410" s="2">
        <v>275.27</v>
      </c>
      <c r="D410" s="14">
        <v>276.87</v>
      </c>
      <c r="E410" s="14">
        <v>275.23</v>
      </c>
      <c r="F410" s="2">
        <v>275.91000000000003</v>
      </c>
      <c r="G410" s="1">
        <v>72033608</v>
      </c>
      <c r="H410" s="6" t="s">
        <v>10</v>
      </c>
      <c r="I410" s="6">
        <f>IF(AND(H409="UP",testdataHighLow[[#This Row],[high]]&gt;I409),testdataHighLow[[#This Row],[high]],IF(AND(H409="DN",testdataHighLow[[#This Row],[low]]&lt;I409),testdataHighLow[[#This Row],[low]],I409))</f>
        <v>277.81</v>
      </c>
      <c r="J41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-9.2869227169647753E-3</v>
      </c>
      <c r="K410" s="15">
        <f t="shared" ca="1" si="7"/>
        <v>275.37542372882916</v>
      </c>
      <c r="L410" s="6"/>
      <c r="M410" s="19">
        <f ca="1">IF(testdataHighLow[[#This Row],[type]]="H",testdataHighLow[[#This Row],[high]],AVERAGE(M409,M411))</f>
        <v>280.439285714265</v>
      </c>
      <c r="N410" s="19">
        <f ca="1">IF(testdataHighLow[[#This Row],[type]]="L",testdataHighLow[[#This Row],[low]],AVERAGE(N409,N411))</f>
        <v>262.1919178081946</v>
      </c>
      <c r="Q410" s="7">
        <v>409</v>
      </c>
      <c r="R410" s="15">
        <v>275.37540000000001</v>
      </c>
      <c r="S410" s="19">
        <v>280.43929000000003</v>
      </c>
      <c r="T410" s="19">
        <v>262.19191999999998</v>
      </c>
    </row>
    <row r="411" spans="1:20" x14ac:dyDescent="0.35">
      <c r="A411" s="7">
        <v>410</v>
      </c>
      <c r="B411" s="3">
        <v>43329</v>
      </c>
      <c r="C411" s="2">
        <v>275.69</v>
      </c>
      <c r="D411" s="14">
        <v>277.37</v>
      </c>
      <c r="E411" s="14">
        <v>275.24</v>
      </c>
      <c r="F411" s="2">
        <v>276.89</v>
      </c>
      <c r="G411" s="1">
        <v>67555760</v>
      </c>
      <c r="H411" s="6" t="s">
        <v>10</v>
      </c>
      <c r="I411" s="6">
        <f>IF(AND(H410="UP",testdataHighLow[[#This Row],[high]]&gt;I410),testdataHighLow[[#This Row],[high]],IF(AND(H410="DN",testdataHighLow[[#This Row],[low]]&lt;I410),testdataHighLow[[#This Row],[low]],I410))</f>
        <v>277.81</v>
      </c>
      <c r="J41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-9.2509268924804468E-3</v>
      </c>
      <c r="K411" s="15">
        <f t="shared" ca="1" si="7"/>
        <v>275.80440677967647</v>
      </c>
      <c r="L411" s="6"/>
      <c r="M411" s="19">
        <f ca="1">IF(testdataHighLow[[#This Row],[type]]="H",testdataHighLow[[#This Row],[high]],AVERAGE(M410,M412))</f>
        <v>280.66571428569398</v>
      </c>
      <c r="N411" s="19">
        <f ca="1">IF(testdataHighLow[[#This Row],[type]]="L",testdataHighLow[[#This Row],[low]],AVERAGE(N410,N412))</f>
        <v>262.23315068490689</v>
      </c>
      <c r="Q411" s="7">
        <v>410</v>
      </c>
      <c r="R411" s="15">
        <v>275.80439999999999</v>
      </c>
      <c r="S411" s="19">
        <v>280.66570999999999</v>
      </c>
      <c r="T411" s="19">
        <v>262.23315000000002</v>
      </c>
    </row>
    <row r="412" spans="1:20" x14ac:dyDescent="0.35">
      <c r="A412" s="7">
        <v>411</v>
      </c>
      <c r="B412" s="3">
        <v>43332</v>
      </c>
      <c r="C412" s="2">
        <v>277.38</v>
      </c>
      <c r="D412" s="14">
        <v>277.77</v>
      </c>
      <c r="E412" s="14">
        <v>276.89</v>
      </c>
      <c r="F412" s="2">
        <v>277.48</v>
      </c>
      <c r="G412" s="1">
        <v>40982744</v>
      </c>
      <c r="H412" s="6" t="s">
        <v>10</v>
      </c>
      <c r="I412" s="6">
        <f>IF(AND(H411="UP",testdataHighLow[[#This Row],[high]]&gt;I411),testdataHighLow[[#This Row],[high]],IF(AND(H411="DN",testdataHighLow[[#This Row],[low]]&lt;I411),testdataHighLow[[#This Row],[low]],I411))</f>
        <v>277.81</v>
      </c>
      <c r="J41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-3.3116158525611601E-3</v>
      </c>
      <c r="K412" s="15">
        <f t="shared" ca="1" si="7"/>
        <v>276.23338983052372</v>
      </c>
      <c r="L412" s="6"/>
      <c r="M412" s="19">
        <f ca="1">IF(testdataHighLow[[#This Row],[type]]="H",testdataHighLow[[#This Row],[high]],AVERAGE(M411,M413))</f>
        <v>280.89214285712296</v>
      </c>
      <c r="N412" s="19">
        <f ca="1">IF(testdataHighLow[[#This Row],[type]]="L",testdataHighLow[[#This Row],[low]],AVERAGE(N411,N413))</f>
        <v>262.27438356161917</v>
      </c>
      <c r="Q412" s="7">
        <v>411</v>
      </c>
      <c r="R412" s="15">
        <v>276.23340000000002</v>
      </c>
      <c r="S412" s="19">
        <v>280.89213999999998</v>
      </c>
      <c r="T412" s="19">
        <v>262.27438000000001</v>
      </c>
    </row>
    <row r="413" spans="1:20" x14ac:dyDescent="0.35">
      <c r="A413" s="7">
        <v>412</v>
      </c>
      <c r="B413" s="3">
        <v>43333</v>
      </c>
      <c r="C413" s="2">
        <v>278.04000000000002</v>
      </c>
      <c r="D413" s="14">
        <v>279.07</v>
      </c>
      <c r="E413" s="14">
        <v>277.52</v>
      </c>
      <c r="F413" s="2">
        <v>278.13</v>
      </c>
      <c r="G413" s="1">
        <v>69258080</v>
      </c>
      <c r="H413" s="6" t="s">
        <v>10</v>
      </c>
      <c r="I413" s="6">
        <f>IF(AND(H412="UP",testdataHighLow[[#This Row],[high]]&gt;I412),testdataHighLow[[#This Row],[high]],IF(AND(H412="DN",testdataHighLow[[#This Row],[low]]&lt;I412),testdataHighLow[[#This Row],[low]],I412))</f>
        <v>279.07</v>
      </c>
      <c r="J41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-5.5541620381983426E-3</v>
      </c>
      <c r="K413" s="15">
        <f t="shared" ca="1" si="7"/>
        <v>276.66237288137091</v>
      </c>
      <c r="L413" s="6"/>
      <c r="M413" s="19">
        <f ca="1">IF(testdataHighLow[[#This Row],[type]]="H",testdataHighLow[[#This Row],[high]],AVERAGE(M412,M414))</f>
        <v>281.118571428552</v>
      </c>
      <c r="N413" s="19">
        <f ca="1">IF(testdataHighLow[[#This Row],[type]]="L",testdataHighLow[[#This Row],[low]],AVERAGE(N412,N414))</f>
        <v>262.31561643833152</v>
      </c>
      <c r="Q413" s="7">
        <v>412</v>
      </c>
      <c r="R413" s="15">
        <v>276.66239999999999</v>
      </c>
      <c r="S413" s="19">
        <v>281.11856999999998</v>
      </c>
      <c r="T413" s="19">
        <v>262.31562000000002</v>
      </c>
    </row>
    <row r="414" spans="1:20" x14ac:dyDescent="0.35">
      <c r="A414" s="7">
        <v>413</v>
      </c>
      <c r="B414" s="3">
        <v>43334</v>
      </c>
      <c r="C414" s="2">
        <v>277.68</v>
      </c>
      <c r="D414" s="14">
        <v>278.54000000000002</v>
      </c>
      <c r="E414" s="14">
        <v>277.39</v>
      </c>
      <c r="F414" s="2">
        <v>277.95999999999998</v>
      </c>
      <c r="G414" s="1">
        <v>46321688</v>
      </c>
      <c r="H414" s="6" t="s">
        <v>10</v>
      </c>
      <c r="I414" s="6">
        <f>IF(AND(H413="UP",testdataHighLow[[#This Row],[high]]&gt;I413),testdataHighLow[[#This Row],[high]],IF(AND(H413="DN",testdataHighLow[[#This Row],[low]]&lt;I413),testdataHighLow[[#This Row],[low]],I413))</f>
        <v>279.07</v>
      </c>
      <c r="J41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-6.0199949833375389E-3</v>
      </c>
      <c r="K414" s="15">
        <f t="shared" ca="1" si="7"/>
        <v>277.09135593221811</v>
      </c>
      <c r="L414" s="6"/>
      <c r="M414" s="19">
        <f ca="1">IF(testdataHighLow[[#This Row],[type]]="H",testdataHighLow[[#This Row],[high]],AVERAGE(M413,M415))</f>
        <v>281.34499999998104</v>
      </c>
      <c r="N414" s="19">
        <f ca="1">IF(testdataHighLow[[#This Row],[type]]="L",testdataHighLow[[#This Row],[low]],AVERAGE(N413,N415))</f>
        <v>262.35684931504392</v>
      </c>
      <c r="Q414" s="7">
        <v>413</v>
      </c>
      <c r="R414" s="15">
        <v>277.09140000000002</v>
      </c>
      <c r="S414" s="19">
        <v>281.34500000000003</v>
      </c>
      <c r="T414" s="19">
        <v>262.35685000000001</v>
      </c>
    </row>
    <row r="415" spans="1:20" x14ac:dyDescent="0.35">
      <c r="A415" s="7">
        <v>414</v>
      </c>
      <c r="B415" s="3">
        <v>43335</v>
      </c>
      <c r="C415" s="2">
        <v>277.77</v>
      </c>
      <c r="D415" s="14">
        <v>278.70999999999998</v>
      </c>
      <c r="E415" s="14">
        <v>277.24</v>
      </c>
      <c r="F415" s="2">
        <v>277.58999999999997</v>
      </c>
      <c r="G415" s="1">
        <v>50657548</v>
      </c>
      <c r="H415" s="6" t="s">
        <v>10</v>
      </c>
      <c r="I415" s="6">
        <f>IF(AND(H414="UP",testdataHighLow[[#This Row],[high]]&gt;I414),testdataHighLow[[#This Row],[high]],IF(AND(H414="DN",testdataHighLow[[#This Row],[low]]&lt;I414),testdataHighLow[[#This Row],[low]],I414))</f>
        <v>279.07</v>
      </c>
      <c r="J41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-6.5574945354211637E-3</v>
      </c>
      <c r="K415" s="15">
        <f t="shared" ca="1" si="7"/>
        <v>277.52033898306524</v>
      </c>
      <c r="L415" s="6"/>
      <c r="M415" s="19">
        <f ca="1">IF(testdataHighLow[[#This Row],[type]]="H",testdataHighLow[[#This Row],[high]],AVERAGE(M414,M416))</f>
        <v>281.57142857141014</v>
      </c>
      <c r="N415" s="19">
        <f ca="1">IF(testdataHighLow[[#This Row],[type]]="L",testdataHighLow[[#This Row],[low]],AVERAGE(N414,N416))</f>
        <v>262.39808219175632</v>
      </c>
      <c r="Q415" s="7">
        <v>414</v>
      </c>
      <c r="R415" s="15">
        <v>277.52030000000002</v>
      </c>
      <c r="S415" s="19">
        <v>281.57143000000002</v>
      </c>
      <c r="T415" s="19">
        <v>262.39807999999999</v>
      </c>
    </row>
    <row r="416" spans="1:20" x14ac:dyDescent="0.35">
      <c r="A416" s="7">
        <v>415</v>
      </c>
      <c r="B416" s="3">
        <v>43336</v>
      </c>
      <c r="C416" s="2">
        <v>278.23</v>
      </c>
      <c r="D416" s="14">
        <v>279.42</v>
      </c>
      <c r="E416" s="14">
        <v>278.17</v>
      </c>
      <c r="F416" s="2">
        <v>279.27</v>
      </c>
      <c r="G416" s="1">
        <v>59184624</v>
      </c>
      <c r="H416" s="6" t="s">
        <v>10</v>
      </c>
      <c r="I416" s="6">
        <f>IF(AND(H415="UP",testdataHighLow[[#This Row],[high]]&gt;I415),testdataHighLow[[#This Row],[high]],IF(AND(H415="DN",testdataHighLow[[#This Row],[low]]&lt;I415),testdataHighLow[[#This Row],[low]],I415))</f>
        <v>279.42</v>
      </c>
      <c r="J41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-4.4735523584568029E-3</v>
      </c>
      <c r="K416" s="15">
        <f t="shared" ca="1" si="7"/>
        <v>277.94932203391232</v>
      </c>
      <c r="L416" s="6"/>
      <c r="M416" s="19">
        <f ca="1">IF(testdataHighLow[[#This Row],[type]]="H",testdataHighLow[[#This Row],[high]],AVERAGE(M415,M417))</f>
        <v>281.79785714283929</v>
      </c>
      <c r="N416" s="19">
        <f ca="1">IF(testdataHighLow[[#This Row],[type]]="L",testdataHighLow[[#This Row],[low]],AVERAGE(N415,N417))</f>
        <v>262.43931506846877</v>
      </c>
      <c r="Q416" s="7">
        <v>415</v>
      </c>
      <c r="R416" s="15">
        <v>277.94929999999999</v>
      </c>
      <c r="S416" s="19">
        <v>281.79786000000001</v>
      </c>
      <c r="T416" s="19">
        <v>262.43932000000001</v>
      </c>
    </row>
    <row r="417" spans="1:20" x14ac:dyDescent="0.35">
      <c r="A417" s="7">
        <v>416</v>
      </c>
      <c r="B417" s="3">
        <v>43339</v>
      </c>
      <c r="C417" s="2">
        <v>280.58</v>
      </c>
      <c r="D417" s="14">
        <v>281.58999999999997</v>
      </c>
      <c r="E417" s="14">
        <v>280.39999999999998</v>
      </c>
      <c r="F417" s="2">
        <v>281.47000000000003</v>
      </c>
      <c r="G417" s="1">
        <v>58757348</v>
      </c>
      <c r="H417" s="6" t="s">
        <v>10</v>
      </c>
      <c r="I417" s="6">
        <f>IF(AND(H416="UP",testdataHighLow[[#This Row],[high]]&gt;I416),testdataHighLow[[#This Row],[high]],IF(AND(H416="DN",testdataHighLow[[#This Row],[low]]&lt;I416),testdataHighLow[[#This Row],[low]],I416))</f>
        <v>281.58999999999997</v>
      </c>
      <c r="J41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-4.2260023438332253E-3</v>
      </c>
      <c r="K417" s="15">
        <f t="shared" ca="1" si="7"/>
        <v>278.3783050847594</v>
      </c>
      <c r="L417" s="6"/>
      <c r="M417" s="19">
        <f ca="1">IF(testdataHighLow[[#This Row],[type]]="H",testdataHighLow[[#This Row],[high]],AVERAGE(M416,M418))</f>
        <v>282.02428571426844</v>
      </c>
      <c r="N417" s="19">
        <f ca="1">IF(testdataHighLow[[#This Row],[type]]="L",testdataHighLow[[#This Row],[low]],AVERAGE(N416,N418))</f>
        <v>262.48054794518129</v>
      </c>
      <c r="Q417" s="7">
        <v>416</v>
      </c>
      <c r="R417" s="15">
        <v>278.37830000000002</v>
      </c>
      <c r="S417" s="19">
        <v>282.02429000000001</v>
      </c>
      <c r="T417" s="19">
        <v>262.48054999999999</v>
      </c>
    </row>
    <row r="418" spans="1:20" x14ac:dyDescent="0.35">
      <c r="A418" s="7">
        <v>417</v>
      </c>
      <c r="B418" s="3">
        <v>43340</v>
      </c>
      <c r="C418" s="2">
        <v>281.98</v>
      </c>
      <c r="D418" s="14">
        <v>282.08999999999997</v>
      </c>
      <c r="E418" s="14">
        <v>281.10000000000002</v>
      </c>
      <c r="F418" s="2">
        <v>281.61</v>
      </c>
      <c r="G418" s="1">
        <v>48329404</v>
      </c>
      <c r="H418" s="6" t="s">
        <v>10</v>
      </c>
      <c r="I418" s="6">
        <f>IF(AND(H417="UP",testdataHighLow[[#This Row],[high]]&gt;I417),testdataHighLow[[#This Row],[high]],IF(AND(H417="DN",testdataHighLow[[#This Row],[low]]&lt;I417),testdataHighLow[[#This Row],[low]],I417))</f>
        <v>282.08999999999997</v>
      </c>
      <c r="J41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-3.5095182388597693E-3</v>
      </c>
      <c r="K418" s="15">
        <f t="shared" ca="1" si="7"/>
        <v>278.80728813560643</v>
      </c>
      <c r="L418" s="6"/>
      <c r="M418" s="19">
        <f ca="1">IF(testdataHighLow[[#This Row],[type]]="H",testdataHighLow[[#This Row],[high]],AVERAGE(M417,M419))</f>
        <v>282.25071428569765</v>
      </c>
      <c r="N418" s="19">
        <f ca="1">IF(testdataHighLow[[#This Row],[type]]="L",testdataHighLow[[#This Row],[low]],AVERAGE(N417,N419))</f>
        <v>262.5217808218938</v>
      </c>
      <c r="Q418" s="7">
        <v>417</v>
      </c>
      <c r="R418" s="15">
        <v>278.8073</v>
      </c>
      <c r="S418" s="19">
        <v>282.25071000000003</v>
      </c>
      <c r="T418" s="19">
        <v>262.52177999999998</v>
      </c>
    </row>
    <row r="419" spans="1:20" x14ac:dyDescent="0.35">
      <c r="A419" s="7">
        <v>418</v>
      </c>
      <c r="B419" s="3">
        <v>43341</v>
      </c>
      <c r="C419" s="2">
        <v>281.83999999999997</v>
      </c>
      <c r="D419" s="14">
        <v>283.37</v>
      </c>
      <c r="E419" s="14">
        <v>281.57</v>
      </c>
      <c r="F419" s="2">
        <v>283.12</v>
      </c>
      <c r="G419" s="1">
        <v>63300776</v>
      </c>
      <c r="H419" s="6" t="s">
        <v>10</v>
      </c>
      <c r="I419" s="6">
        <f>IF(AND(H418="UP",testdataHighLow[[#This Row],[high]]&gt;I418),testdataHighLow[[#This Row],[high]],IF(AND(H418="DN",testdataHighLow[[#This Row],[low]]&lt;I418),testdataHighLow[[#This Row],[low]],I418))</f>
        <v>283.37</v>
      </c>
      <c r="J41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-6.3521191375234196E-3</v>
      </c>
      <c r="K419" s="15">
        <f t="shared" ca="1" si="7"/>
        <v>279.23627118645339</v>
      </c>
      <c r="L419" s="6"/>
      <c r="M419" s="19">
        <f ca="1">IF(testdataHighLow[[#This Row],[type]]="H",testdataHighLow[[#This Row],[high]],AVERAGE(M418,M420))</f>
        <v>282.47714285712692</v>
      </c>
      <c r="N419" s="19">
        <f ca="1">IF(testdataHighLow[[#This Row],[type]]="L",testdataHighLow[[#This Row],[low]],AVERAGE(N418,N420))</f>
        <v>262.56301369860637</v>
      </c>
      <c r="Q419" s="7">
        <v>418</v>
      </c>
      <c r="R419" s="15">
        <v>279.23630000000003</v>
      </c>
      <c r="S419" s="19">
        <v>282.47714000000002</v>
      </c>
      <c r="T419" s="19">
        <v>262.56301000000002</v>
      </c>
    </row>
    <row r="420" spans="1:20" x14ac:dyDescent="0.35">
      <c r="A420" s="7">
        <v>419</v>
      </c>
      <c r="B420" s="3">
        <v>43342</v>
      </c>
      <c r="C420" s="2">
        <v>282.60000000000002</v>
      </c>
      <c r="D420" s="14">
        <v>283</v>
      </c>
      <c r="E420" s="14">
        <v>281.32</v>
      </c>
      <c r="F420" s="2">
        <v>281.98</v>
      </c>
      <c r="G420" s="1">
        <v>63037208</v>
      </c>
      <c r="H420" s="6" t="s">
        <v>10</v>
      </c>
      <c r="I420" s="6">
        <f>IF(AND(H419="UP",testdataHighLow[[#This Row],[high]]&gt;I419),testdataHighLow[[#This Row],[high]],IF(AND(H419="DN",testdataHighLow[[#This Row],[low]]&lt;I419),testdataHighLow[[#This Row],[low]],I419))</f>
        <v>283.37</v>
      </c>
      <c r="J42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-7.2343579066238891E-3</v>
      </c>
      <c r="K420" s="15">
        <f t="shared" ca="1" si="7"/>
        <v>279.66525423730036</v>
      </c>
      <c r="L420" s="6"/>
      <c r="M420" s="19">
        <f ca="1">IF(testdataHighLow[[#This Row],[type]]="H",testdataHighLow[[#This Row],[high]],AVERAGE(M419,M421))</f>
        <v>282.70357142855619</v>
      </c>
      <c r="N420" s="19">
        <f ca="1">IF(testdataHighLow[[#This Row],[type]]="L",testdataHighLow[[#This Row],[low]],AVERAGE(N419,N421))</f>
        <v>262.604246575319</v>
      </c>
      <c r="Q420" s="7">
        <v>419</v>
      </c>
      <c r="R420" s="15">
        <v>279.6653</v>
      </c>
      <c r="S420" s="19">
        <v>282.70357000000001</v>
      </c>
      <c r="T420" s="19">
        <v>262.60424999999998</v>
      </c>
    </row>
    <row r="421" spans="1:20" x14ac:dyDescent="0.35">
      <c r="A421" s="7">
        <v>420</v>
      </c>
      <c r="B421" s="3">
        <v>43343</v>
      </c>
      <c r="C421" s="2">
        <v>281.52999999999997</v>
      </c>
      <c r="D421" s="14">
        <v>282.47000000000003</v>
      </c>
      <c r="E421" s="14">
        <v>280.99</v>
      </c>
      <c r="F421" s="2">
        <v>281.98</v>
      </c>
      <c r="G421" s="1">
        <v>68093544</v>
      </c>
      <c r="H421" s="6" t="s">
        <v>10</v>
      </c>
      <c r="I421" s="6">
        <f>IF(AND(H420="UP",testdataHighLow[[#This Row],[high]]&gt;I420),testdataHighLow[[#This Row],[high]],IF(AND(H420="DN",testdataHighLow[[#This Row],[low]]&lt;I420),testdataHighLow[[#This Row],[low]],I420))</f>
        <v>283.37</v>
      </c>
      <c r="J42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-8.3989130818364517E-3</v>
      </c>
      <c r="K421" s="15">
        <f t="shared" ca="1" si="7"/>
        <v>280.09423728814727</v>
      </c>
      <c r="L421" s="6"/>
      <c r="M421" s="19">
        <f ca="1">IF(testdataHighLow[[#This Row],[type]]="H",testdataHighLow[[#This Row],[high]],AVERAGE(M420,M422))</f>
        <v>282.92999999998551</v>
      </c>
      <c r="N421" s="19">
        <f ca="1">IF(testdataHighLow[[#This Row],[type]]="L",testdataHighLow[[#This Row],[low]],AVERAGE(N420,N422))</f>
        <v>262.64547945203162</v>
      </c>
      <c r="Q421" s="7">
        <v>420</v>
      </c>
      <c r="R421" s="15">
        <v>280.0942</v>
      </c>
      <c r="S421" s="19">
        <v>282.93</v>
      </c>
      <c r="T421" s="19">
        <v>262.64548000000002</v>
      </c>
    </row>
    <row r="422" spans="1:20" x14ac:dyDescent="0.35">
      <c r="A422" s="7">
        <v>421</v>
      </c>
      <c r="B422" s="3">
        <v>43347</v>
      </c>
      <c r="C422" s="2">
        <v>281.52999999999997</v>
      </c>
      <c r="D422" s="14">
        <v>281.89</v>
      </c>
      <c r="E422" s="14">
        <v>280.39999999999998</v>
      </c>
      <c r="F422" s="2">
        <v>281.5</v>
      </c>
      <c r="G422" s="1">
        <v>59294748</v>
      </c>
      <c r="H422" s="6" t="s">
        <v>10</v>
      </c>
      <c r="I422" s="6">
        <f>IF(AND(H421="UP",testdataHighLow[[#This Row],[high]]&gt;I421),testdataHighLow[[#This Row],[high]],IF(AND(H421="DN",testdataHighLow[[#This Row],[low]]&lt;I421),testdataHighLow[[#This Row],[low]],I421))</f>
        <v>283.37</v>
      </c>
      <c r="J42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-1.0480996576913672E-2</v>
      </c>
      <c r="K422" s="15">
        <f t="shared" ca="1" si="7"/>
        <v>280.52322033899412</v>
      </c>
      <c r="L422" s="6"/>
      <c r="M422" s="19">
        <f ca="1">IF(testdataHighLow[[#This Row],[type]]="H",testdataHighLow[[#This Row],[high]],AVERAGE(M421,M423))</f>
        <v>283.15642857141489</v>
      </c>
      <c r="N422" s="19">
        <f ca="1">IF(testdataHighLow[[#This Row],[type]]="L",testdataHighLow[[#This Row],[low]],AVERAGE(N421,N423))</f>
        <v>262.68671232874431</v>
      </c>
      <c r="Q422" s="7">
        <v>421</v>
      </c>
      <c r="R422" s="15">
        <v>280.52319999999997</v>
      </c>
      <c r="S422" s="19">
        <v>283.15643</v>
      </c>
      <c r="T422" s="19">
        <v>262.68671000000001</v>
      </c>
    </row>
    <row r="423" spans="1:20" x14ac:dyDescent="0.35">
      <c r="A423" s="7">
        <v>422</v>
      </c>
      <c r="B423" s="3">
        <v>43348</v>
      </c>
      <c r="C423" s="2">
        <v>281.11</v>
      </c>
      <c r="D423" s="14">
        <v>281.33</v>
      </c>
      <c r="E423" s="14">
        <v>279.63</v>
      </c>
      <c r="F423" s="2">
        <v>280.74</v>
      </c>
      <c r="G423" s="1">
        <v>74591480</v>
      </c>
      <c r="H423" s="6" t="s">
        <v>10</v>
      </c>
      <c r="I423" s="6">
        <f>IF(AND(H422="UP",testdataHighLow[[#This Row],[high]]&gt;I422),testdataHighLow[[#This Row],[high]],IF(AND(H422="DN",testdataHighLow[[#This Row],[low]]&lt;I422),testdataHighLow[[#This Row],[low]],I422))</f>
        <v>283.37</v>
      </c>
      <c r="J42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-1.3198291985743054E-2</v>
      </c>
      <c r="K423" s="15">
        <f t="shared" ca="1" si="7"/>
        <v>280.95220338984097</v>
      </c>
      <c r="L423" s="6"/>
      <c r="M423" s="19">
        <f ca="1">IF(testdataHighLow[[#This Row],[type]]="H",testdataHighLow[[#This Row],[high]],AVERAGE(M422,M424))</f>
        <v>283.38285714284427</v>
      </c>
      <c r="N423" s="19">
        <f ca="1">IF(testdataHighLow[[#This Row],[type]]="L",testdataHighLow[[#This Row],[low]],AVERAGE(N422,N424))</f>
        <v>262.72794520545699</v>
      </c>
      <c r="Q423" s="7">
        <v>422</v>
      </c>
      <c r="R423" s="15">
        <v>280.9522</v>
      </c>
      <c r="S423" s="19">
        <v>283.38285999999999</v>
      </c>
      <c r="T423" s="19">
        <v>262.72795000000002</v>
      </c>
    </row>
    <row r="424" spans="1:20" x14ac:dyDescent="0.35">
      <c r="A424" s="7">
        <v>423</v>
      </c>
      <c r="B424" s="3">
        <v>43349</v>
      </c>
      <c r="C424" s="2">
        <v>280.86</v>
      </c>
      <c r="D424" s="14">
        <v>281.19</v>
      </c>
      <c r="E424" s="14">
        <v>278.77</v>
      </c>
      <c r="F424" s="2">
        <v>279.89999999999998</v>
      </c>
      <c r="G424" s="1">
        <v>67855744</v>
      </c>
      <c r="H424" s="6" t="s">
        <v>10</v>
      </c>
      <c r="I424" s="6">
        <f>IF(AND(H423="UP",testdataHighLow[[#This Row],[high]]&gt;I423),testdataHighLow[[#This Row],[high]],IF(AND(H423="DN",testdataHighLow[[#This Row],[low]]&lt;I423),testdataHighLow[[#This Row],[low]],I423))</f>
        <v>283.37</v>
      </c>
      <c r="J42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-1.6233193351448717E-2</v>
      </c>
      <c r="K424" s="15">
        <f t="shared" ca="1" si="7"/>
        <v>281.38118644068777</v>
      </c>
      <c r="L424" s="6"/>
      <c r="M424" s="19">
        <f ca="1">IF(testdataHighLow[[#This Row],[type]]="H",testdataHighLow[[#This Row],[high]],AVERAGE(M423,M425))</f>
        <v>283.60928571427371</v>
      </c>
      <c r="N424" s="19">
        <f ca="1">IF(testdataHighLow[[#This Row],[type]]="L",testdataHighLow[[#This Row],[low]],AVERAGE(N423,N425))</f>
        <v>262.76917808216973</v>
      </c>
      <c r="Q424" s="7">
        <v>423</v>
      </c>
      <c r="R424" s="15">
        <v>281.38119999999998</v>
      </c>
      <c r="S424" s="19">
        <v>283.60928999999999</v>
      </c>
      <c r="T424" s="19">
        <v>262.76918000000001</v>
      </c>
    </row>
    <row r="425" spans="1:20" x14ac:dyDescent="0.35">
      <c r="A425" s="7">
        <v>424</v>
      </c>
      <c r="B425" s="3">
        <v>43350</v>
      </c>
      <c r="C425" s="2">
        <v>278.75</v>
      </c>
      <c r="D425" s="14">
        <v>280.42</v>
      </c>
      <c r="E425" s="14">
        <v>278.49</v>
      </c>
      <c r="F425" s="2">
        <v>279.35000000000002</v>
      </c>
      <c r="G425" s="1">
        <v>75695528</v>
      </c>
      <c r="H425" s="6" t="s">
        <v>10</v>
      </c>
      <c r="I425" s="6">
        <f>IF(AND(H424="UP",testdataHighLow[[#This Row],[high]]&gt;I424),testdataHighLow[[#This Row],[high]],IF(AND(H424="DN",testdataHighLow[[#This Row],[low]]&lt;I424),testdataHighLow[[#This Row],[low]],I424))</f>
        <v>283.37</v>
      </c>
      <c r="J42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-1.7221300772841147E-2</v>
      </c>
      <c r="K425" s="15">
        <f t="shared" ca="1" si="7"/>
        <v>281.81016949153451</v>
      </c>
      <c r="L425" s="6"/>
      <c r="M425" s="19">
        <f ca="1">IF(testdataHighLow[[#This Row],[type]]="H",testdataHighLow[[#This Row],[high]],AVERAGE(M424,M426))</f>
        <v>283.8357142857032</v>
      </c>
      <c r="N425" s="19">
        <f ca="1">IF(testdataHighLow[[#This Row],[type]]="L",testdataHighLow[[#This Row],[low]],AVERAGE(N424,N426))</f>
        <v>262.81041095888247</v>
      </c>
      <c r="Q425" s="7">
        <v>424</v>
      </c>
      <c r="R425" s="15">
        <v>281.81020000000001</v>
      </c>
      <c r="S425" s="19">
        <v>283.83571000000001</v>
      </c>
      <c r="T425" s="19">
        <v>262.81040999999999</v>
      </c>
    </row>
    <row r="426" spans="1:20" x14ac:dyDescent="0.35">
      <c r="A426" s="7">
        <v>425</v>
      </c>
      <c r="B426" s="3">
        <v>43353</v>
      </c>
      <c r="C426" s="2">
        <v>280.45999999999998</v>
      </c>
      <c r="D426" s="14">
        <v>280.75</v>
      </c>
      <c r="E426" s="14">
        <v>279.62</v>
      </c>
      <c r="F426" s="2">
        <v>279.83999999999997</v>
      </c>
      <c r="G426" s="1">
        <v>51693300</v>
      </c>
      <c r="H426" s="6" t="s">
        <v>10</v>
      </c>
      <c r="I426" s="6">
        <f>IF(AND(H425="UP",testdataHighLow[[#This Row],[high]]&gt;I425),testdataHighLow[[#This Row],[high]],IF(AND(H425="DN",testdataHighLow[[#This Row],[low]]&lt;I425),testdataHighLow[[#This Row],[low]],I425))</f>
        <v>283.37</v>
      </c>
      <c r="J42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-1.323358153650704E-2</v>
      </c>
      <c r="K426" s="15">
        <f t="shared" ca="1" si="7"/>
        <v>282.23915254238125</v>
      </c>
      <c r="L426" s="6"/>
      <c r="M426" s="19">
        <f ca="1">IF(testdataHighLow[[#This Row],[type]]="H",testdataHighLow[[#This Row],[high]],AVERAGE(M425,M427))</f>
        <v>284.0621428571327</v>
      </c>
      <c r="N426" s="19">
        <f ca="1">IF(testdataHighLow[[#This Row],[type]]="L",testdataHighLow[[#This Row],[low]],AVERAGE(N425,N427))</f>
        <v>262.85164383559527</v>
      </c>
      <c r="Q426" s="7">
        <v>425</v>
      </c>
      <c r="R426" s="15">
        <v>282.23919999999998</v>
      </c>
      <c r="S426" s="19">
        <v>284.06214</v>
      </c>
      <c r="T426" s="19">
        <v>262.85163999999997</v>
      </c>
    </row>
    <row r="427" spans="1:20" x14ac:dyDescent="0.35">
      <c r="A427" s="7">
        <v>426</v>
      </c>
      <c r="B427" s="3">
        <v>43354</v>
      </c>
      <c r="C427" s="2">
        <v>279.13</v>
      </c>
      <c r="D427" s="14">
        <v>281.25</v>
      </c>
      <c r="E427" s="14">
        <v>278.75</v>
      </c>
      <c r="F427" s="2">
        <v>280.76</v>
      </c>
      <c r="G427" s="1">
        <v>52022324</v>
      </c>
      <c r="H427" s="6" t="s">
        <v>10</v>
      </c>
      <c r="I427" s="6">
        <f>IF(AND(H426="UP",testdataHighLow[[#This Row],[high]]&gt;I426),testdataHighLow[[#This Row],[high]],IF(AND(H426="DN",testdataHighLow[[#This Row],[low]]&lt;I426),testdataHighLow[[#This Row],[low]],I426))</f>
        <v>283.37</v>
      </c>
      <c r="J42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-1.6303772452976689E-2</v>
      </c>
      <c r="K427" s="15">
        <f t="shared" ca="1" si="7"/>
        <v>282.66813559322793</v>
      </c>
      <c r="L427" s="6"/>
      <c r="M427" s="19">
        <f ca="1">IF(testdataHighLow[[#This Row],[type]]="H",testdataHighLow[[#This Row],[high]],AVERAGE(M426,M428))</f>
        <v>284.28857142856225</v>
      </c>
      <c r="N427" s="19">
        <f ca="1">IF(testdataHighLow[[#This Row],[type]]="L",testdataHighLow[[#This Row],[low]],AVERAGE(N426,N428))</f>
        <v>262.89287671230812</v>
      </c>
      <c r="Q427" s="7">
        <v>426</v>
      </c>
      <c r="R427" s="15">
        <v>282.66809999999998</v>
      </c>
      <c r="S427" s="19">
        <v>284.28856999999999</v>
      </c>
      <c r="T427" s="19">
        <v>262.89287999999999</v>
      </c>
    </row>
    <row r="428" spans="1:20" x14ac:dyDescent="0.35">
      <c r="A428" s="7">
        <v>427</v>
      </c>
      <c r="B428" s="3">
        <v>43355</v>
      </c>
      <c r="C428" s="2">
        <v>280.77</v>
      </c>
      <c r="D428" s="14">
        <v>281.49</v>
      </c>
      <c r="E428" s="14">
        <v>279.95999999999998</v>
      </c>
      <c r="F428" s="2">
        <v>280.83</v>
      </c>
      <c r="G428" s="1">
        <v>61576576</v>
      </c>
      <c r="H428" s="6" t="s">
        <v>10</v>
      </c>
      <c r="I428" s="6">
        <f>IF(AND(H427="UP",testdataHighLow[[#This Row],[high]]&gt;I427),testdataHighLow[[#This Row],[high]],IF(AND(H427="DN",testdataHighLow[[#This Row],[low]]&lt;I427),testdataHighLow[[#This Row],[low]],I427))</f>
        <v>283.37</v>
      </c>
      <c r="J42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-1.203373681053049E-2</v>
      </c>
      <c r="K428" s="15">
        <f t="shared" ca="1" si="7"/>
        <v>283.09711864407456</v>
      </c>
      <c r="L428" s="6"/>
      <c r="M428" s="19">
        <f ca="1">IF(testdataHighLow[[#This Row],[type]]="H",testdataHighLow[[#This Row],[high]],AVERAGE(M427,M429))</f>
        <v>284.51499999999186</v>
      </c>
      <c r="N428" s="19">
        <f ca="1">IF(testdataHighLow[[#This Row],[type]]="L",testdataHighLow[[#This Row],[low]],AVERAGE(N427,N429))</f>
        <v>262.93410958902098</v>
      </c>
      <c r="Q428" s="7">
        <v>427</v>
      </c>
      <c r="R428" s="15">
        <v>283.09710000000001</v>
      </c>
      <c r="S428" s="19">
        <v>284.51499999999999</v>
      </c>
      <c r="T428" s="19">
        <v>262.93410999999998</v>
      </c>
    </row>
    <row r="429" spans="1:20" x14ac:dyDescent="0.35">
      <c r="A429" s="7">
        <v>428</v>
      </c>
      <c r="B429" s="3">
        <v>43356</v>
      </c>
      <c r="C429" s="2">
        <v>281.99</v>
      </c>
      <c r="D429" s="14">
        <v>282.69</v>
      </c>
      <c r="E429" s="14">
        <v>281.68</v>
      </c>
      <c r="F429" s="2">
        <v>282.49</v>
      </c>
      <c r="G429" s="1">
        <v>52540928</v>
      </c>
      <c r="H429" s="6" t="s">
        <v>10</v>
      </c>
      <c r="I429" s="6">
        <f>IF(AND(H428="UP",testdataHighLow[[#This Row],[high]]&gt;I428),testdataHighLow[[#This Row],[high]],IF(AND(H428="DN",testdataHighLow[[#This Row],[low]]&lt;I428),testdataHighLow[[#This Row],[low]],I428))</f>
        <v>283.37</v>
      </c>
      <c r="J42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-5.9639340791191649E-3</v>
      </c>
      <c r="K429" s="15">
        <f t="shared" ca="1" si="7"/>
        <v>283.52610169492118</v>
      </c>
      <c r="L429" s="6"/>
      <c r="M429" s="19">
        <f ca="1">IF(testdataHighLow[[#This Row],[type]]="H",testdataHighLow[[#This Row],[high]],AVERAGE(M428,M430))</f>
        <v>284.74142857142147</v>
      </c>
      <c r="N429" s="19">
        <f ca="1">IF(testdataHighLow[[#This Row],[type]]="L",testdataHighLow[[#This Row],[low]],AVERAGE(N428,N430))</f>
        <v>262.97534246573389</v>
      </c>
      <c r="Q429" s="7">
        <v>428</v>
      </c>
      <c r="R429" s="15">
        <v>283.52609999999999</v>
      </c>
      <c r="S429" s="19">
        <v>284.74142999999998</v>
      </c>
      <c r="T429" s="19">
        <v>262.97534000000002</v>
      </c>
    </row>
    <row r="430" spans="1:20" x14ac:dyDescent="0.35">
      <c r="A430" s="7">
        <v>429</v>
      </c>
      <c r="B430" s="3">
        <v>43357</v>
      </c>
      <c r="C430" s="2">
        <v>282.70999999999998</v>
      </c>
      <c r="D430" s="14">
        <v>282.92</v>
      </c>
      <c r="E430" s="14">
        <v>281.68</v>
      </c>
      <c r="F430" s="2">
        <v>282.54000000000002</v>
      </c>
      <c r="G430" s="1">
        <v>56706020</v>
      </c>
      <c r="H430" s="6" t="s">
        <v>10</v>
      </c>
      <c r="I430" s="6">
        <f>IF(AND(H429="UP",testdataHighLow[[#This Row],[high]]&gt;I429),testdataHighLow[[#This Row],[high]],IF(AND(H429="DN",testdataHighLow[[#This Row],[low]]&lt;I429),testdataHighLow[[#This Row],[low]],I429))</f>
        <v>283.37</v>
      </c>
      <c r="J43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-5.9639340791191649E-3</v>
      </c>
      <c r="K430" s="15">
        <f t="shared" ca="1" si="7"/>
        <v>283.95508474576775</v>
      </c>
      <c r="L430" s="6"/>
      <c r="M430" s="19">
        <f ca="1">IF(testdataHighLow[[#This Row],[type]]="H",testdataHighLow[[#This Row],[high]],AVERAGE(M429,M431))</f>
        <v>284.96785714285113</v>
      </c>
      <c r="N430" s="19">
        <f ca="1">IF(testdataHighLow[[#This Row],[type]]="L",testdataHighLow[[#This Row],[low]],AVERAGE(N429,N431))</f>
        <v>263.01657534244686</v>
      </c>
      <c r="Q430" s="7">
        <v>429</v>
      </c>
      <c r="R430" s="15">
        <v>283.95510000000002</v>
      </c>
      <c r="S430" s="19">
        <v>284.96785999999997</v>
      </c>
      <c r="T430" s="19">
        <v>263.01657999999998</v>
      </c>
    </row>
    <row r="431" spans="1:20" x14ac:dyDescent="0.35">
      <c r="A431" s="7">
        <v>430</v>
      </c>
      <c r="B431" s="3">
        <v>43360</v>
      </c>
      <c r="C431" s="2">
        <v>282.48</v>
      </c>
      <c r="D431" s="14">
        <v>282.52</v>
      </c>
      <c r="E431" s="14">
        <v>280.74</v>
      </c>
      <c r="F431" s="2">
        <v>281.04000000000002</v>
      </c>
      <c r="G431" s="1">
        <v>70258840</v>
      </c>
      <c r="H431" s="6" t="s">
        <v>10</v>
      </c>
      <c r="I431" s="6">
        <f>IF(AND(H430="UP",testdataHighLow[[#This Row],[high]]&gt;I430),testdataHighLow[[#This Row],[high]],IF(AND(H430="DN",testdataHighLow[[#This Row],[low]]&lt;I430),testdataHighLow[[#This Row],[low]],I430))</f>
        <v>283.37</v>
      </c>
      <c r="J43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-9.2811518509369213E-3</v>
      </c>
      <c r="K431" s="15">
        <f t="shared" ca="1" si="7"/>
        <v>284.38406779661426</v>
      </c>
      <c r="L431" s="6"/>
      <c r="M431" s="19">
        <f ca="1">IF(testdataHighLow[[#This Row],[type]]="H",testdataHighLow[[#This Row],[high]],AVERAGE(M430,M432))</f>
        <v>285.19428571428085</v>
      </c>
      <c r="N431" s="19">
        <f ca="1">IF(testdataHighLow[[#This Row],[type]]="L",testdataHighLow[[#This Row],[low]],AVERAGE(N430,N432))</f>
        <v>263.05780821915982</v>
      </c>
      <c r="Q431" s="7">
        <v>430</v>
      </c>
      <c r="R431" s="15">
        <v>284.38409999999999</v>
      </c>
      <c r="S431" s="19">
        <v>285.19429000000002</v>
      </c>
      <c r="T431" s="19">
        <v>263.05781000000002</v>
      </c>
    </row>
    <row r="432" spans="1:20" x14ac:dyDescent="0.35">
      <c r="A432" s="7">
        <v>431</v>
      </c>
      <c r="B432" s="3">
        <v>43361</v>
      </c>
      <c r="C432" s="2">
        <v>281.27999999999997</v>
      </c>
      <c r="D432" s="14">
        <v>283.22000000000003</v>
      </c>
      <c r="E432" s="14">
        <v>281.25</v>
      </c>
      <c r="F432" s="2">
        <v>282.57</v>
      </c>
      <c r="G432" s="1">
        <v>63758804</v>
      </c>
      <c r="H432" s="6" t="s">
        <v>10</v>
      </c>
      <c r="I432" s="6">
        <f>IF(AND(H431="UP",testdataHighLow[[#This Row],[high]]&gt;I431),testdataHighLow[[#This Row],[high]],IF(AND(H431="DN",testdataHighLow[[#This Row],[low]]&lt;I431),testdataHighLow[[#This Row],[low]],I431))</f>
        <v>283.37</v>
      </c>
      <c r="J43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-7.4813847619719957E-3</v>
      </c>
      <c r="K432" s="15">
        <f t="shared" ca="1" si="7"/>
        <v>284.81305084746077</v>
      </c>
      <c r="L432" s="6"/>
      <c r="M432" s="19">
        <f ca="1">IF(testdataHighLow[[#This Row],[type]]="H",testdataHighLow[[#This Row],[high]],AVERAGE(M431,M433))</f>
        <v>285.42071428571057</v>
      </c>
      <c r="N432" s="19">
        <f ca="1">IF(testdataHighLow[[#This Row],[type]]="L",testdataHighLow[[#This Row],[low]],AVERAGE(N431,N433))</f>
        <v>263.09904109587285</v>
      </c>
      <c r="Q432" s="7">
        <v>431</v>
      </c>
      <c r="R432" s="15">
        <v>284.81310000000002</v>
      </c>
      <c r="S432" s="19">
        <v>285.42070999999999</v>
      </c>
      <c r="T432" s="19">
        <v>263.09904</v>
      </c>
    </row>
    <row r="433" spans="1:21" x14ac:dyDescent="0.35">
      <c r="A433" s="7">
        <v>432</v>
      </c>
      <c r="B433" s="3">
        <v>43362</v>
      </c>
      <c r="C433" s="2">
        <v>282.63</v>
      </c>
      <c r="D433" s="14">
        <v>283.33</v>
      </c>
      <c r="E433" s="14">
        <v>282.48</v>
      </c>
      <c r="F433" s="2">
        <v>282.87</v>
      </c>
      <c r="G433" s="1">
        <v>50529584</v>
      </c>
      <c r="H433" s="6" t="s">
        <v>10</v>
      </c>
      <c r="I433" s="6">
        <f>IF(AND(H432="UP",testdataHighLow[[#This Row],[high]]&gt;I432),testdataHighLow[[#This Row],[high]],IF(AND(H432="DN",testdataHighLow[[#This Row],[low]]&lt;I432),testdataHighLow[[#This Row],[low]],I432))</f>
        <v>283.37</v>
      </c>
      <c r="J43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-3.1407700179976227E-3</v>
      </c>
      <c r="K433" s="15">
        <f t="shared" ca="1" si="7"/>
        <v>285.24203389830723</v>
      </c>
      <c r="L433" s="6"/>
      <c r="M433" s="19">
        <f ca="1">IF(testdataHighLow[[#This Row],[type]]="H",testdataHighLow[[#This Row],[high]],AVERAGE(M432,M434))</f>
        <v>285.64714285714035</v>
      </c>
      <c r="N433" s="19">
        <f ca="1">IF(testdataHighLow[[#This Row],[type]]="L",testdataHighLow[[#This Row],[low]],AVERAGE(N432,N434))</f>
        <v>263.14027397258593</v>
      </c>
      <c r="Q433" s="7">
        <v>432</v>
      </c>
      <c r="R433" s="15">
        <v>285.24200000000002</v>
      </c>
      <c r="S433" s="19">
        <v>285.64713999999998</v>
      </c>
      <c r="T433" s="19">
        <v>263.14026999999999</v>
      </c>
    </row>
    <row r="434" spans="1:21" x14ac:dyDescent="0.35">
      <c r="A434" s="7">
        <v>433</v>
      </c>
      <c r="B434" s="3">
        <v>43363</v>
      </c>
      <c r="C434" s="2">
        <v>284.25</v>
      </c>
      <c r="D434" s="14">
        <v>285.51</v>
      </c>
      <c r="E434" s="14">
        <v>282.88</v>
      </c>
      <c r="F434" s="2">
        <v>285.16000000000003</v>
      </c>
      <c r="G434" s="1">
        <v>103323632</v>
      </c>
      <c r="H434" s="6" t="s">
        <v>10</v>
      </c>
      <c r="I434" s="6">
        <f>IF(AND(H433="UP",testdataHighLow[[#This Row],[high]]&gt;I433),testdataHighLow[[#This Row],[high]],IF(AND(H433="DN",testdataHighLow[[#This Row],[low]]&lt;I433),testdataHighLow[[#This Row],[low]],I433))</f>
        <v>285.51</v>
      </c>
      <c r="J43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-9.2115862841931819E-3</v>
      </c>
      <c r="K434" s="15">
        <f t="shared" ca="1" si="7"/>
        <v>285.67101694915362</v>
      </c>
      <c r="L434" s="6"/>
      <c r="M434" s="19">
        <f ca="1">IF(testdataHighLow[[#This Row],[type]]="H",testdataHighLow[[#This Row],[high]],AVERAGE(M433,M435))</f>
        <v>285.87357142857019</v>
      </c>
      <c r="N434" s="19">
        <f ca="1">IF(testdataHighLow[[#This Row],[type]]="L",testdataHighLow[[#This Row],[low]],AVERAGE(N433,N435))</f>
        <v>263.18150684929901</v>
      </c>
      <c r="Q434" s="7">
        <v>433</v>
      </c>
      <c r="R434" s="15">
        <v>285.67099999999999</v>
      </c>
      <c r="S434" s="19">
        <v>285.87356999999997</v>
      </c>
      <c r="T434" s="19">
        <v>263.18151</v>
      </c>
    </row>
    <row r="435" spans="1:21" x14ac:dyDescent="0.35">
      <c r="A435" s="7">
        <v>434</v>
      </c>
      <c r="B435" s="3">
        <v>43364</v>
      </c>
      <c r="C435" s="2">
        <v>285.97000000000003</v>
      </c>
      <c r="D435" s="14">
        <v>286.10000000000002</v>
      </c>
      <c r="E435" s="14">
        <v>284.72000000000003</v>
      </c>
      <c r="F435" s="2">
        <v>284.89999999999998</v>
      </c>
      <c r="G435" s="1">
        <v>108104552</v>
      </c>
      <c r="H435" s="6" t="s">
        <v>12</v>
      </c>
      <c r="I435" s="6">
        <f>IF(AND(H434="UP",testdataHighLow[[#This Row],[high]]&gt;I434),testdataHighLow[[#This Row],[high]],IF(AND(H434="DN",testdataHighLow[[#This Row],[low]]&lt;I434),testdataHighLow[[#This Row],[low]],I434))</f>
        <v>286.10000000000002</v>
      </c>
      <c r="J43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35" s="18">
        <f>testdataHighLow[[#This Row],[high]]</f>
        <v>286.10000000000002</v>
      </c>
      <c r="L435" s="6" t="s">
        <v>14</v>
      </c>
      <c r="M435" s="19">
        <f>IF(testdataHighLow[[#This Row],[type]]="H",testdataHighLow[[#This Row],[high]],AVERAGE(M434,M436))</f>
        <v>286.10000000000002</v>
      </c>
      <c r="N435" s="19">
        <f ca="1">IF(testdataHighLow[[#This Row],[type]]="L",testdataHighLow[[#This Row],[low]],AVERAGE(N434,N436))</f>
        <v>263.22273972601215</v>
      </c>
      <c r="Q435" s="7">
        <v>434</v>
      </c>
      <c r="R435" s="18">
        <v>286.10000000000002</v>
      </c>
      <c r="S435" s="19">
        <v>286.10000000000002</v>
      </c>
      <c r="T435" s="19">
        <v>263.22273999999999</v>
      </c>
      <c r="U435" s="4" t="s">
        <v>14</v>
      </c>
    </row>
    <row r="436" spans="1:21" x14ac:dyDescent="0.35">
      <c r="A436" s="7">
        <v>435</v>
      </c>
      <c r="B436" s="3">
        <v>43367</v>
      </c>
      <c r="C436" s="2">
        <v>284.27</v>
      </c>
      <c r="D436" s="14">
        <v>284.42</v>
      </c>
      <c r="E436" s="14">
        <v>283.32</v>
      </c>
      <c r="F436" s="2">
        <v>283.95</v>
      </c>
      <c r="G436" s="1">
        <v>54738760</v>
      </c>
      <c r="H436" s="6" t="s">
        <v>12</v>
      </c>
      <c r="I436" s="6">
        <f>IF(AND(H435="UP",testdataHighLow[[#This Row],[high]]&gt;I435),testdataHighLow[[#This Row],[high]],IF(AND(H435="DN",testdataHighLow[[#This Row],[low]]&lt;I435),testdataHighLow[[#This Row],[low]],I435))</f>
        <v>283.32</v>
      </c>
      <c r="J43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3.8825356487364915E-3</v>
      </c>
      <c r="K436" s="15">
        <f t="shared" ca="1" si="7"/>
        <v>284.50714285714309</v>
      </c>
      <c r="L436" s="6"/>
      <c r="M436" s="19">
        <f ca="1">IF(testdataHighLow[[#This Row],[type]]="H",testdataHighLow[[#This Row],[high]],AVERAGE(M435,M437))</f>
        <v>285.4455555555553</v>
      </c>
      <c r="N436" s="19">
        <f ca="1">IF(testdataHighLow[[#This Row],[type]]="L",testdataHighLow[[#This Row],[low]],AVERAGE(N435,N437))</f>
        <v>263.26397260272535</v>
      </c>
      <c r="Q436" s="7">
        <v>435</v>
      </c>
      <c r="R436" s="15">
        <v>284.50709999999998</v>
      </c>
      <c r="S436" s="19">
        <v>285.44556</v>
      </c>
      <c r="T436" s="19">
        <v>263.26396999999997</v>
      </c>
    </row>
    <row r="437" spans="1:21" x14ac:dyDescent="0.35">
      <c r="A437" s="7">
        <v>436</v>
      </c>
      <c r="B437" s="3">
        <v>43368</v>
      </c>
      <c r="C437" s="2">
        <v>284.45</v>
      </c>
      <c r="D437" s="14">
        <v>284.57</v>
      </c>
      <c r="E437" s="14">
        <v>283.43</v>
      </c>
      <c r="F437" s="2">
        <v>283.69</v>
      </c>
      <c r="G437" s="1">
        <v>45474200</v>
      </c>
      <c r="H437" s="6" t="s">
        <v>12</v>
      </c>
      <c r="I437" s="6">
        <f>IF(AND(H436="UP",testdataHighLow[[#This Row],[high]]&gt;I436),testdataHighLow[[#This Row],[high]],IF(AND(H436="DN",testdataHighLow[[#This Row],[low]]&lt;I436),testdataHighLow[[#This Row],[low]],I436))</f>
        <v>283.32</v>
      </c>
      <c r="J43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4.4119723281095579E-3</v>
      </c>
      <c r="K437" s="15">
        <f t="shared" ca="1" si="7"/>
        <v>282.91428571428611</v>
      </c>
      <c r="L437" s="6"/>
      <c r="M437" s="19">
        <f ca="1">IF(testdataHighLow[[#This Row],[type]]="H",testdataHighLow[[#This Row],[high]],AVERAGE(M436,M438))</f>
        <v>284.79111111111058</v>
      </c>
      <c r="N437" s="19">
        <f ca="1">IF(testdataHighLow[[#This Row],[type]]="L",testdataHighLow[[#This Row],[low]],AVERAGE(N436,N438))</f>
        <v>263.30520547943854</v>
      </c>
      <c r="Q437" s="7">
        <v>436</v>
      </c>
      <c r="R437" s="15">
        <v>282.91430000000003</v>
      </c>
      <c r="S437" s="19">
        <v>284.79111</v>
      </c>
      <c r="T437" s="19">
        <v>263.30520999999999</v>
      </c>
    </row>
    <row r="438" spans="1:21" x14ac:dyDescent="0.35">
      <c r="A438" s="7">
        <v>437</v>
      </c>
      <c r="B438" s="3">
        <v>43369</v>
      </c>
      <c r="C438" s="2">
        <v>283.85000000000002</v>
      </c>
      <c r="D438" s="14">
        <v>285.14</v>
      </c>
      <c r="E438" s="14">
        <v>282.38</v>
      </c>
      <c r="F438" s="2">
        <v>282.83999999999997</v>
      </c>
      <c r="G438" s="1">
        <v>81724024</v>
      </c>
      <c r="H438" s="6" t="s">
        <v>12</v>
      </c>
      <c r="I438" s="6">
        <f>IF(AND(H437="UP",testdataHighLow[[#This Row],[high]]&gt;I437),testdataHighLow[[#This Row],[high]],IF(AND(H437="DN",testdataHighLow[[#This Row],[low]]&lt;I437),testdataHighLow[[#This Row],[low]],I437))</f>
        <v>282.38</v>
      </c>
      <c r="J43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9.774063318931903E-3</v>
      </c>
      <c r="K438" s="15">
        <f t="shared" ca="1" si="7"/>
        <v>281.32142857142912</v>
      </c>
      <c r="L438" s="6"/>
      <c r="M438" s="19">
        <f ca="1">IF(testdataHighLow[[#This Row],[type]]="H",testdataHighLow[[#This Row],[high]],AVERAGE(M437,M439))</f>
        <v>284.13666666666592</v>
      </c>
      <c r="N438" s="19">
        <f ca="1">IF(testdataHighLow[[#This Row],[type]]="L",testdataHighLow[[#This Row],[low]],AVERAGE(N437,N439))</f>
        <v>263.34643835615179</v>
      </c>
      <c r="Q438" s="7">
        <v>437</v>
      </c>
      <c r="R438" s="15">
        <v>281.32139999999998</v>
      </c>
      <c r="S438" s="19">
        <v>284.13666999999998</v>
      </c>
      <c r="T438" s="19">
        <v>263.34643999999997</v>
      </c>
    </row>
    <row r="439" spans="1:21" x14ac:dyDescent="0.35">
      <c r="A439" s="7">
        <v>438</v>
      </c>
      <c r="B439" s="3">
        <v>43370</v>
      </c>
      <c r="C439" s="2">
        <v>283.36</v>
      </c>
      <c r="D439" s="14">
        <v>284.82</v>
      </c>
      <c r="E439" s="14">
        <v>283.06</v>
      </c>
      <c r="F439" s="2">
        <v>283.63</v>
      </c>
      <c r="G439" s="1">
        <v>60723896</v>
      </c>
      <c r="H439" s="6" t="s">
        <v>12</v>
      </c>
      <c r="I439" s="6">
        <f>IF(AND(H438="UP",testdataHighLow[[#This Row],[high]]&gt;I438),testdataHighLow[[#This Row],[high]],IF(AND(H438="DN",testdataHighLow[[#This Row],[low]]&lt;I438),testdataHighLow[[#This Row],[low]],I438))</f>
        <v>282.38</v>
      </c>
      <c r="J43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8.6408385863021384E-3</v>
      </c>
      <c r="K439" s="15">
        <f t="shared" ca="1" si="7"/>
        <v>279.72857142857208</v>
      </c>
      <c r="L439" s="6"/>
      <c r="M439" s="19">
        <f ca="1">IF(testdataHighLow[[#This Row],[type]]="H",testdataHighLow[[#This Row],[high]],AVERAGE(M438,M440))</f>
        <v>283.48222222222125</v>
      </c>
      <c r="N439" s="19">
        <f ca="1">IF(testdataHighLow[[#This Row],[type]]="L",testdataHighLow[[#This Row],[low]],AVERAGE(N438,N440))</f>
        <v>263.3876712328651</v>
      </c>
      <c r="Q439" s="7">
        <v>438</v>
      </c>
      <c r="R439" s="15">
        <v>279.72859999999997</v>
      </c>
      <c r="S439" s="19">
        <v>283.48221999999998</v>
      </c>
      <c r="T439" s="19">
        <v>263.38767000000001</v>
      </c>
    </row>
    <row r="440" spans="1:21" x14ac:dyDescent="0.35">
      <c r="A440" s="7">
        <v>439</v>
      </c>
      <c r="B440" s="3">
        <v>43371</v>
      </c>
      <c r="C440" s="2">
        <v>282.95</v>
      </c>
      <c r="D440" s="14">
        <v>284.20999999999998</v>
      </c>
      <c r="E440" s="14">
        <v>282.91000000000003</v>
      </c>
      <c r="F440" s="2">
        <v>283.66000000000003</v>
      </c>
      <c r="G440" s="1">
        <v>71835632</v>
      </c>
      <c r="H440" s="6" t="s">
        <v>12</v>
      </c>
      <c r="I440" s="6">
        <f>IF(AND(H439="UP",testdataHighLow[[#This Row],[high]]&gt;I439),testdataHighLow[[#This Row],[high]],IF(AND(H439="DN",testdataHighLow[[#This Row],[low]]&lt;I439),testdataHighLow[[#This Row],[low]],I439))</f>
        <v>282.38</v>
      </c>
      <c r="J44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6.4806289397265531E-3</v>
      </c>
      <c r="K440" s="15">
        <f t="shared" ca="1" si="7"/>
        <v>278.13571428571504</v>
      </c>
      <c r="L440" s="6"/>
      <c r="M440" s="19">
        <f ca="1">IF(testdataHighLow[[#This Row],[type]]="H",testdataHighLow[[#This Row],[high]],AVERAGE(M439,M441))</f>
        <v>282.82777777777665</v>
      </c>
      <c r="N440" s="19">
        <f ca="1">IF(testdataHighLow[[#This Row],[type]]="L",testdataHighLow[[#This Row],[low]],AVERAGE(N439,N441))</f>
        <v>263.42890410957841</v>
      </c>
      <c r="Q440" s="7">
        <v>439</v>
      </c>
      <c r="R440" s="15">
        <v>278.13569999999999</v>
      </c>
      <c r="S440" s="19">
        <v>282.82778000000002</v>
      </c>
      <c r="T440" s="19">
        <v>263.4289</v>
      </c>
    </row>
    <row r="441" spans="1:21" x14ac:dyDescent="0.35">
      <c r="A441" s="7">
        <v>440</v>
      </c>
      <c r="B441" s="3">
        <v>43374</v>
      </c>
      <c r="C441" s="2">
        <v>285.02</v>
      </c>
      <c r="D441" s="14">
        <v>285.82</v>
      </c>
      <c r="E441" s="14">
        <v>283.91000000000003</v>
      </c>
      <c r="F441" s="2">
        <v>284.64999999999998</v>
      </c>
      <c r="G441" s="1">
        <v>63623792</v>
      </c>
      <c r="H441" s="6" t="s">
        <v>12</v>
      </c>
      <c r="I441" s="6">
        <f>IF(AND(H440="UP",testdataHighLow[[#This Row],[high]]&gt;I440),testdataHighLow[[#This Row],[high]],IF(AND(H440="DN",testdataHighLow[[#This Row],[low]]&lt;I440),testdataHighLow[[#This Row],[low]],I440))</f>
        <v>282.38</v>
      </c>
      <c r="J44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1.2182165875770231E-2</v>
      </c>
      <c r="K441" s="15">
        <f t="shared" ca="1" si="7"/>
        <v>276.54285714285794</v>
      </c>
      <c r="L441" s="6"/>
      <c r="M441" s="19">
        <f ca="1">IF(testdataHighLow[[#This Row],[type]]="H",testdataHighLow[[#This Row],[high]],AVERAGE(M440,M442))</f>
        <v>282.1733333333321</v>
      </c>
      <c r="N441" s="19">
        <f ca="1">IF(testdataHighLow[[#This Row],[type]]="L",testdataHighLow[[#This Row],[low]],AVERAGE(N440,N442))</f>
        <v>263.47013698629178</v>
      </c>
      <c r="Q441" s="7">
        <v>440</v>
      </c>
      <c r="R441" s="15">
        <v>276.54289999999997</v>
      </c>
      <c r="S441" s="19">
        <v>282.17333000000002</v>
      </c>
      <c r="T441" s="19">
        <v>263.47014000000001</v>
      </c>
    </row>
    <row r="442" spans="1:21" x14ac:dyDescent="0.35">
      <c r="A442" s="7">
        <v>441</v>
      </c>
      <c r="B442" s="3">
        <v>43375</v>
      </c>
      <c r="C442" s="2">
        <v>284.48</v>
      </c>
      <c r="D442" s="14">
        <v>285.26</v>
      </c>
      <c r="E442" s="14">
        <v>284.07</v>
      </c>
      <c r="F442" s="2">
        <v>284.48</v>
      </c>
      <c r="G442" s="1">
        <v>48434264</v>
      </c>
      <c r="H442" s="6" t="s">
        <v>12</v>
      </c>
      <c r="I442" s="6">
        <f>IF(AND(H441="UP",testdataHighLow[[#This Row],[high]]&gt;I441),testdataHighLow[[#This Row],[high]],IF(AND(H441="DN",testdataHighLow[[#This Row],[low]]&lt;I441),testdataHighLow[[#This Row],[low]],I441))</f>
        <v>282.38</v>
      </c>
      <c r="J44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1.0199022593668091E-2</v>
      </c>
      <c r="K442" s="15">
        <f t="shared" ca="1" si="7"/>
        <v>274.95000000000084</v>
      </c>
      <c r="L442" s="6"/>
      <c r="M442" s="19">
        <f ca="1">IF(testdataHighLow[[#This Row],[type]]="H",testdataHighLow[[#This Row],[high]],AVERAGE(M441,M443))</f>
        <v>281.51888888888755</v>
      </c>
      <c r="N442" s="19">
        <f ca="1">IF(testdataHighLow[[#This Row],[type]]="L",testdataHighLow[[#This Row],[low]],AVERAGE(N441,N443))</f>
        <v>263.5113698630052</v>
      </c>
      <c r="Q442" s="7">
        <v>441</v>
      </c>
      <c r="R442" s="15">
        <v>274.95</v>
      </c>
      <c r="S442" s="19">
        <v>281.51889</v>
      </c>
      <c r="T442" s="19">
        <v>263.51137</v>
      </c>
    </row>
    <row r="443" spans="1:21" x14ac:dyDescent="0.35">
      <c r="A443" s="7">
        <v>442</v>
      </c>
      <c r="B443" s="3">
        <v>43376</v>
      </c>
      <c r="C443" s="2">
        <v>285.63</v>
      </c>
      <c r="D443" s="14">
        <v>286.08999999999997</v>
      </c>
      <c r="E443" s="14">
        <v>284.25</v>
      </c>
      <c r="F443" s="2">
        <v>284.64</v>
      </c>
      <c r="G443" s="1">
        <v>66304540</v>
      </c>
      <c r="H443" s="6" t="s">
        <v>12</v>
      </c>
      <c r="I443" s="6">
        <f>IF(AND(H442="UP",testdataHighLow[[#This Row],[high]]&gt;I442),testdataHighLow[[#This Row],[high]],IF(AND(H442="DN",testdataHighLow[[#This Row],[low]]&lt;I442),testdataHighLow[[#This Row],[low]],I442))</f>
        <v>282.38</v>
      </c>
      <c r="J44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1.3138324243926551E-2</v>
      </c>
      <c r="K443" s="15">
        <f t="shared" ca="1" si="7"/>
        <v>273.35714285714369</v>
      </c>
      <c r="L443" s="6"/>
      <c r="M443" s="19">
        <f ca="1">IF(testdataHighLow[[#This Row],[type]]="H",testdataHighLow[[#This Row],[high]],AVERAGE(M442,M444))</f>
        <v>280.86444444444305</v>
      </c>
      <c r="N443" s="19">
        <f ca="1">IF(testdataHighLow[[#This Row],[type]]="L",testdataHighLow[[#This Row],[low]],AVERAGE(N442,N444))</f>
        <v>263.55260273971862</v>
      </c>
      <c r="Q443" s="7">
        <v>442</v>
      </c>
      <c r="R443" s="15">
        <v>273.3571</v>
      </c>
      <c r="S443" s="19">
        <v>280.86444</v>
      </c>
      <c r="T443" s="19">
        <v>263.55259999999998</v>
      </c>
    </row>
    <row r="444" spans="1:21" x14ac:dyDescent="0.35">
      <c r="A444" s="7">
        <v>443</v>
      </c>
      <c r="B444" s="3">
        <v>43377</v>
      </c>
      <c r="C444" s="2">
        <v>284.11</v>
      </c>
      <c r="D444" s="14">
        <v>284.17</v>
      </c>
      <c r="E444" s="14">
        <v>280.68</v>
      </c>
      <c r="F444" s="2">
        <v>282.41000000000003</v>
      </c>
      <c r="G444" s="1">
        <v>114321768</v>
      </c>
      <c r="H444" s="6" t="s">
        <v>12</v>
      </c>
      <c r="I444" s="6">
        <f>IF(AND(H443="UP",testdataHighLow[[#This Row],[high]]&gt;I443),testdataHighLow[[#This Row],[high]],IF(AND(H443="DN",testdataHighLow[[#This Row],[low]]&lt;I443),testdataHighLow[[#This Row],[low]],I443))</f>
        <v>280.68</v>
      </c>
      <c r="J44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1.2434088641869777E-2</v>
      </c>
      <c r="K444" s="15">
        <f t="shared" ca="1" si="7"/>
        <v>271.76428571428647</v>
      </c>
      <c r="L444" s="6"/>
      <c r="M444" s="19">
        <f ca="1">IF(testdataHighLow[[#This Row],[type]]="H",testdataHighLow[[#This Row],[high]],AVERAGE(M443,M445))</f>
        <v>280.20999999999862</v>
      </c>
      <c r="N444" s="19">
        <f ca="1">IF(testdataHighLow[[#This Row],[type]]="L",testdataHighLow[[#This Row],[low]],AVERAGE(N443,N445))</f>
        <v>263.5938356164321</v>
      </c>
      <c r="Q444" s="7">
        <v>443</v>
      </c>
      <c r="R444" s="15">
        <v>271.76429999999999</v>
      </c>
      <c r="S444" s="19">
        <v>280.20999999999998</v>
      </c>
      <c r="T444" s="19">
        <v>263.59384</v>
      </c>
    </row>
    <row r="445" spans="1:21" x14ac:dyDescent="0.35">
      <c r="A445" s="7">
        <v>444</v>
      </c>
      <c r="B445" s="3">
        <v>43378</v>
      </c>
      <c r="C445" s="2">
        <v>282.66000000000003</v>
      </c>
      <c r="D445" s="14">
        <v>283.22000000000003</v>
      </c>
      <c r="E445" s="14">
        <v>279.27</v>
      </c>
      <c r="F445" s="2">
        <v>280.83</v>
      </c>
      <c r="G445" s="1">
        <v>108588344</v>
      </c>
      <c r="H445" s="6" t="s">
        <v>12</v>
      </c>
      <c r="I445" s="6">
        <f>IF(AND(H444="UP",testdataHighLow[[#This Row],[high]]&gt;I444),testdataHighLow[[#This Row],[high]],IF(AND(H444="DN",testdataHighLow[[#This Row],[low]]&lt;I444),testdataHighLow[[#This Row],[low]],I444))</f>
        <v>279.27</v>
      </c>
      <c r="J44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1.4144018333512535E-2</v>
      </c>
      <c r="K445" s="15">
        <f t="shared" ca="1" si="7"/>
        <v>270.17142857142926</v>
      </c>
      <c r="L445" s="6"/>
      <c r="M445" s="19">
        <f ca="1">IF(testdataHighLow[[#This Row],[type]]="H",testdataHighLow[[#This Row],[high]],AVERAGE(M444,M446))</f>
        <v>279.55555555555418</v>
      </c>
      <c r="N445" s="19">
        <f ca="1">IF(testdataHighLow[[#This Row],[type]]="L",testdataHighLow[[#This Row],[low]],AVERAGE(N444,N446))</f>
        <v>263.63506849314564</v>
      </c>
      <c r="Q445" s="7">
        <v>444</v>
      </c>
      <c r="R445" s="15">
        <v>270.17140000000001</v>
      </c>
      <c r="S445" s="19">
        <v>279.55556000000001</v>
      </c>
      <c r="T445" s="19">
        <v>263.63506999999998</v>
      </c>
    </row>
    <row r="446" spans="1:21" x14ac:dyDescent="0.35">
      <c r="A446" s="7">
        <v>445</v>
      </c>
      <c r="B446" s="3">
        <v>43381</v>
      </c>
      <c r="C446" s="2">
        <v>280.08</v>
      </c>
      <c r="D446" s="14">
        <v>281.22000000000003</v>
      </c>
      <c r="E446" s="14">
        <v>278.57</v>
      </c>
      <c r="F446" s="2">
        <v>280.83</v>
      </c>
      <c r="G446" s="1">
        <v>89925664</v>
      </c>
      <c r="H446" s="6" t="s">
        <v>12</v>
      </c>
      <c r="I446" s="6">
        <f>IF(AND(H445="UP",testdataHighLow[[#This Row],[high]]&gt;I445),testdataHighLow[[#This Row],[high]],IF(AND(H445="DN",testdataHighLow[[#This Row],[low]]&lt;I445),testdataHighLow[[#This Row],[low]],I445))</f>
        <v>278.57</v>
      </c>
      <c r="J44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9.5128692967657476E-3</v>
      </c>
      <c r="K446" s="15">
        <f t="shared" ca="1" si="7"/>
        <v>268.57857142857199</v>
      </c>
      <c r="L446" s="6"/>
      <c r="M446" s="19">
        <f ca="1">IF(testdataHighLow[[#This Row],[type]]="H",testdataHighLow[[#This Row],[high]],AVERAGE(M445,M447))</f>
        <v>278.9011111111098</v>
      </c>
      <c r="N446" s="19">
        <f ca="1">IF(testdataHighLow[[#This Row],[type]]="L",testdataHighLow[[#This Row],[low]],AVERAGE(N445,N447))</f>
        <v>263.67630136985917</v>
      </c>
      <c r="Q446" s="7">
        <v>445</v>
      </c>
      <c r="R446" s="15">
        <v>268.57859999999999</v>
      </c>
      <c r="S446" s="19">
        <v>278.90111000000002</v>
      </c>
      <c r="T446" s="19">
        <v>263.67630000000003</v>
      </c>
    </row>
    <row r="447" spans="1:21" x14ac:dyDescent="0.35">
      <c r="A447" s="7">
        <v>446</v>
      </c>
      <c r="B447" s="3">
        <v>43382</v>
      </c>
      <c r="C447" s="2">
        <v>280.41000000000003</v>
      </c>
      <c r="D447" s="14">
        <v>281.85000000000002</v>
      </c>
      <c r="E447" s="14">
        <v>279.81</v>
      </c>
      <c r="F447" s="2">
        <v>280.42</v>
      </c>
      <c r="G447" s="1">
        <v>76188928</v>
      </c>
      <c r="H447" s="6" t="s">
        <v>12</v>
      </c>
      <c r="I447" s="6">
        <f>IF(AND(H446="UP",testdataHighLow[[#This Row],[high]]&gt;I446),testdataHighLow[[#This Row],[high]],IF(AND(H446="DN",testdataHighLow[[#This Row],[low]]&lt;I446),testdataHighLow[[#This Row],[low]],I446))</f>
        <v>278.57</v>
      </c>
      <c r="J44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1.1774419355996804E-2</v>
      </c>
      <c r="K447" s="15">
        <f t="shared" ca="1" si="7"/>
        <v>266.98571428571466</v>
      </c>
      <c r="L447" s="6"/>
      <c r="M447" s="19">
        <f ca="1">IF(testdataHighLow[[#This Row],[type]]="H",testdataHighLow[[#This Row],[high]],AVERAGE(M446,M448))</f>
        <v>278.24666666666548</v>
      </c>
      <c r="N447" s="19">
        <f ca="1">IF(testdataHighLow[[#This Row],[type]]="L",testdataHighLow[[#This Row],[low]],AVERAGE(N446,N448))</f>
        <v>263.71753424657277</v>
      </c>
      <c r="Q447" s="7">
        <v>446</v>
      </c>
      <c r="R447" s="15">
        <v>266.98570000000001</v>
      </c>
      <c r="S447" s="19">
        <v>278.24666999999999</v>
      </c>
      <c r="T447" s="19">
        <v>263.71753000000001</v>
      </c>
    </row>
    <row r="448" spans="1:21" x14ac:dyDescent="0.35">
      <c r="A448" s="7">
        <v>447</v>
      </c>
      <c r="B448" s="3">
        <v>43383</v>
      </c>
      <c r="C448" s="2">
        <v>279.87</v>
      </c>
      <c r="D448" s="14">
        <v>279.94</v>
      </c>
      <c r="E448" s="14">
        <v>271.13</v>
      </c>
      <c r="F448" s="2">
        <v>271.54000000000002</v>
      </c>
      <c r="G448" s="1">
        <v>220074688</v>
      </c>
      <c r="H448" s="6" t="s">
        <v>12</v>
      </c>
      <c r="I448" s="6">
        <f>IF(AND(H447="UP",testdataHighLow[[#This Row],[high]]&gt;I447),testdataHighLow[[#This Row],[high]],IF(AND(H447="DN",testdataHighLow[[#This Row],[low]]&lt;I447),testdataHighLow[[#This Row],[low]],I447))</f>
        <v>271.13</v>
      </c>
      <c r="J44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3.2493637738354307E-2</v>
      </c>
      <c r="K448" s="15">
        <f t="shared" ca="1" si="7"/>
        <v>265.39285714285734</v>
      </c>
      <c r="L448" s="6"/>
      <c r="M448" s="19">
        <f ca="1">IF(testdataHighLow[[#This Row],[type]]="H",testdataHighLow[[#This Row],[high]],AVERAGE(M447,M449))</f>
        <v>277.59222222222115</v>
      </c>
      <c r="N448" s="19">
        <f ca="1">IF(testdataHighLow[[#This Row],[type]]="L",testdataHighLow[[#This Row],[low]],AVERAGE(N447,N449))</f>
        <v>263.75876712328636</v>
      </c>
      <c r="Q448" s="7">
        <v>447</v>
      </c>
      <c r="R448" s="15">
        <v>265.3929</v>
      </c>
      <c r="S448" s="19">
        <v>277.59222</v>
      </c>
      <c r="T448" s="19">
        <v>263.75877000000003</v>
      </c>
    </row>
    <row r="449" spans="1:21" x14ac:dyDescent="0.35">
      <c r="A449" s="7">
        <v>448</v>
      </c>
      <c r="B449" s="3">
        <v>43384</v>
      </c>
      <c r="C449" s="2">
        <v>270.35000000000002</v>
      </c>
      <c r="D449" s="14">
        <v>272.13</v>
      </c>
      <c r="E449" s="14">
        <v>263.8</v>
      </c>
      <c r="F449" s="2">
        <v>265.56</v>
      </c>
      <c r="G449" s="1">
        <v>281680000</v>
      </c>
      <c r="H449" s="6" t="s">
        <v>10</v>
      </c>
      <c r="I449" s="6">
        <f>IF(AND(H448="UP",testdataHighLow[[#This Row],[high]]&gt;I448),testdataHighLow[[#This Row],[high]],IF(AND(H448="DN",testdataHighLow[[#This Row],[low]]&lt;I448),testdataHighLow[[#This Row],[low]],I448))</f>
        <v>263.8</v>
      </c>
      <c r="J44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49" s="18">
        <f>testdataHighLow[[#This Row],[low]]</f>
        <v>263.8</v>
      </c>
      <c r="L449" s="6" t="s">
        <v>15</v>
      </c>
      <c r="M449" s="19">
        <f ca="1">IF(testdataHighLow[[#This Row],[type]]="H",testdataHighLow[[#This Row],[high]],AVERAGE(M448,M450))</f>
        <v>276.93777777777689</v>
      </c>
      <c r="N449" s="19">
        <f>IF(testdataHighLow[[#This Row],[type]]="L",testdataHighLow[[#This Row],[low]],AVERAGE(N448,N450))</f>
        <v>263.8</v>
      </c>
      <c r="Q449" s="7">
        <v>448</v>
      </c>
      <c r="R449" s="18">
        <v>263.8</v>
      </c>
      <c r="S449" s="19">
        <v>276.93777999999998</v>
      </c>
      <c r="T449" s="19">
        <v>263.8</v>
      </c>
      <c r="U449" s="4" t="s">
        <v>15</v>
      </c>
    </row>
    <row r="450" spans="1:21" x14ac:dyDescent="0.35">
      <c r="A450" s="7">
        <v>449</v>
      </c>
      <c r="B450" s="3">
        <v>43385</v>
      </c>
      <c r="C450" s="2">
        <v>270.05</v>
      </c>
      <c r="D450" s="14">
        <v>270.36</v>
      </c>
      <c r="E450" s="14">
        <v>265.76</v>
      </c>
      <c r="F450" s="2">
        <v>269.25</v>
      </c>
      <c r="G450" s="1">
        <v>187745152</v>
      </c>
      <c r="H450" s="6" t="s">
        <v>10</v>
      </c>
      <c r="I450" s="6">
        <f>IF(AND(H449="UP",testdataHighLow[[#This Row],[high]]&gt;I449),testdataHighLow[[#This Row],[high]],IF(AND(H449="DN",testdataHighLow[[#This Row],[low]]&lt;I449),testdataHighLow[[#This Row],[low]],I449))</f>
        <v>270.36</v>
      </c>
      <c r="J45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-1.7014351235389934E-2</v>
      </c>
      <c r="K450" s="15">
        <f t="shared" ca="1" si="7"/>
        <v>266.43000000000006</v>
      </c>
      <c r="L450" s="6"/>
      <c r="M450" s="19">
        <f ca="1">IF(testdataHighLow[[#This Row],[type]]="H",testdataHighLow[[#This Row],[high]],AVERAGE(M449,M451))</f>
        <v>276.28333333333262</v>
      </c>
      <c r="N450" s="19">
        <f ca="1">IF(testdataHighLow[[#This Row],[type]]="L",testdataHighLow[[#This Row],[low]],AVERAGE(N449,N451))</f>
        <v>262.94499999999982</v>
      </c>
      <c r="Q450" s="7">
        <v>449</v>
      </c>
      <c r="R450" s="15">
        <v>266.43</v>
      </c>
      <c r="S450" s="19">
        <v>276.28332999999998</v>
      </c>
      <c r="T450" s="19">
        <v>262.94499999999999</v>
      </c>
    </row>
    <row r="451" spans="1:21" x14ac:dyDescent="0.35">
      <c r="A451" s="7">
        <v>450</v>
      </c>
      <c r="B451" s="3">
        <v>43388</v>
      </c>
      <c r="C451" s="2">
        <v>268.86</v>
      </c>
      <c r="D451" s="14">
        <v>270.31</v>
      </c>
      <c r="E451" s="14">
        <v>267.64</v>
      </c>
      <c r="F451" s="2">
        <v>267.74</v>
      </c>
      <c r="G451" s="1">
        <v>104808584</v>
      </c>
      <c r="H451" s="6" t="s">
        <v>10</v>
      </c>
      <c r="I451" s="6">
        <f>IF(AND(H450="UP",testdataHighLow[[#This Row],[high]]&gt;I450),testdataHighLow[[#This Row],[high]],IF(AND(H450="DN",testdataHighLow[[#This Row],[low]]&lt;I450),testdataHighLow[[#This Row],[low]],I450))</f>
        <v>270.36</v>
      </c>
      <c r="J45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-1.0060659860926273E-2</v>
      </c>
      <c r="K451" s="15">
        <f t="shared" ca="1" si="7"/>
        <v>269.06000000000006</v>
      </c>
      <c r="L451" s="6"/>
      <c r="M451" s="19">
        <f ca="1">IF(testdataHighLow[[#This Row],[type]]="H",testdataHighLow[[#This Row],[high]],AVERAGE(M450,M452))</f>
        <v>275.62888888888841</v>
      </c>
      <c r="N451" s="19">
        <f ca="1">IF(testdataHighLow[[#This Row],[type]]="L",testdataHighLow[[#This Row],[low]],AVERAGE(N450,N452))</f>
        <v>262.08999999999969</v>
      </c>
      <c r="Q451" s="7">
        <v>450</v>
      </c>
      <c r="R451" s="15">
        <v>269.06</v>
      </c>
      <c r="S451" s="19">
        <v>275.62889000000001</v>
      </c>
      <c r="T451" s="19">
        <v>262.08999999999997</v>
      </c>
    </row>
    <row r="452" spans="1:21" x14ac:dyDescent="0.35">
      <c r="A452" s="7">
        <v>451</v>
      </c>
      <c r="B452" s="3">
        <v>43389</v>
      </c>
      <c r="C452" s="2">
        <v>269.88</v>
      </c>
      <c r="D452" s="14">
        <v>274</v>
      </c>
      <c r="E452" s="14">
        <v>269.37</v>
      </c>
      <c r="F452" s="2">
        <v>273.58999999999997</v>
      </c>
      <c r="G452" s="1">
        <v>121198672</v>
      </c>
      <c r="H452" s="6" t="s">
        <v>10</v>
      </c>
      <c r="I452" s="6">
        <f>IF(AND(H451="UP",testdataHighLow[[#This Row],[high]]&gt;I451),testdataHighLow[[#This Row],[high]],IF(AND(H451="DN",testdataHighLow[[#This Row],[low]]&lt;I451),testdataHighLow[[#This Row],[low]],I451))</f>
        <v>274</v>
      </c>
      <c r="J45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-1.6897810218978085E-2</v>
      </c>
      <c r="K452" s="15">
        <f t="shared" ref="K452:K502" ca="1" si="8">AVERAGE(K451,K453)</f>
        <v>271.69000000000005</v>
      </c>
      <c r="L452" s="6"/>
      <c r="M452" s="19">
        <f ca="1">IF(testdataHighLow[[#This Row],[type]]="H",testdataHighLow[[#This Row],[high]],AVERAGE(M451,M453))</f>
        <v>274.9744444444442</v>
      </c>
      <c r="N452" s="19">
        <f ca="1">IF(testdataHighLow[[#This Row],[type]]="L",testdataHighLow[[#This Row],[low]],AVERAGE(N451,N453))</f>
        <v>261.23499999999956</v>
      </c>
      <c r="Q452" s="7">
        <v>451</v>
      </c>
      <c r="R452" s="15">
        <v>271.69</v>
      </c>
      <c r="S452" s="19">
        <v>274.97444000000002</v>
      </c>
      <c r="T452" s="19">
        <v>261.23500000000001</v>
      </c>
    </row>
    <row r="453" spans="1:21" x14ac:dyDescent="0.35">
      <c r="A453" s="7">
        <v>452</v>
      </c>
      <c r="B453" s="3">
        <v>43390</v>
      </c>
      <c r="C453" s="2">
        <v>273.63</v>
      </c>
      <c r="D453" s="14">
        <v>274.32</v>
      </c>
      <c r="E453" s="14">
        <v>270.82</v>
      </c>
      <c r="F453" s="2">
        <v>273.64</v>
      </c>
      <c r="G453" s="1">
        <v>113378952</v>
      </c>
      <c r="H453" s="6" t="s">
        <v>12</v>
      </c>
      <c r="I453" s="6">
        <f>IF(AND(H452="UP",testdataHighLow[[#This Row],[high]]&gt;I452),testdataHighLow[[#This Row],[high]],IF(AND(H452="DN",testdataHighLow[[#This Row],[low]]&lt;I452),testdataHighLow[[#This Row],[low]],I452))</f>
        <v>274.32</v>
      </c>
      <c r="J45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53" s="18">
        <f>testdataHighLow[[#This Row],[high]]</f>
        <v>274.32</v>
      </c>
      <c r="L453" s="6" t="s">
        <v>14</v>
      </c>
      <c r="M453" s="19">
        <f>IF(testdataHighLow[[#This Row],[type]]="H",testdataHighLow[[#This Row],[high]],AVERAGE(M452,M454))</f>
        <v>274.32</v>
      </c>
      <c r="N453" s="19">
        <f ca="1">IF(testdataHighLow[[#This Row],[type]]="L",testdataHighLow[[#This Row],[low]],AVERAGE(N452,N454))</f>
        <v>260.37999999999948</v>
      </c>
      <c r="Q453" s="7">
        <v>452</v>
      </c>
      <c r="R453" s="18">
        <v>274.32</v>
      </c>
      <c r="S453" s="19">
        <v>274.32</v>
      </c>
      <c r="T453" s="19">
        <v>260.38</v>
      </c>
      <c r="U453" s="4" t="s">
        <v>14</v>
      </c>
    </row>
    <row r="454" spans="1:21" x14ac:dyDescent="0.35">
      <c r="A454" s="7">
        <v>453</v>
      </c>
      <c r="B454" s="3">
        <v>43391</v>
      </c>
      <c r="C454" s="2">
        <v>272.62</v>
      </c>
      <c r="D454" s="14">
        <v>273.27</v>
      </c>
      <c r="E454" s="14">
        <v>268.29000000000002</v>
      </c>
      <c r="F454" s="2">
        <v>269.69</v>
      </c>
      <c r="G454" s="1">
        <v>137906032</v>
      </c>
      <c r="H454" s="6" t="s">
        <v>12</v>
      </c>
      <c r="I454" s="6">
        <f>IF(AND(H453="UP",testdataHighLow[[#This Row],[high]]&gt;I453),testdataHighLow[[#This Row],[high]],IF(AND(H453="DN",testdataHighLow[[#This Row],[low]]&lt;I453),testdataHighLow[[#This Row],[low]],I453))</f>
        <v>268.29000000000002</v>
      </c>
      <c r="J45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1.8562003801856054E-2</v>
      </c>
      <c r="K454" s="15">
        <f t="shared" ca="1" si="8"/>
        <v>271.72250000000008</v>
      </c>
      <c r="L454" s="6"/>
      <c r="M454" s="19">
        <f ca="1">IF(testdataHighLow[[#This Row],[type]]="H",testdataHighLow[[#This Row],[high]],AVERAGE(M453,M455))</f>
        <v>274.32437499999969</v>
      </c>
      <c r="N454" s="19">
        <f ca="1">IF(testdataHighLow[[#This Row],[type]]="L",testdataHighLow[[#This Row],[low]],AVERAGE(N453,N455))</f>
        <v>259.52499999999941</v>
      </c>
      <c r="Q454" s="7">
        <v>453</v>
      </c>
      <c r="R454" s="15">
        <v>271.72250000000003</v>
      </c>
      <c r="S454" s="19">
        <v>274.32438000000002</v>
      </c>
      <c r="T454" s="19">
        <v>259.52499999999998</v>
      </c>
    </row>
    <row r="455" spans="1:21" x14ac:dyDescent="0.35">
      <c r="A455" s="7">
        <v>454</v>
      </c>
      <c r="B455" s="3">
        <v>43392</v>
      </c>
      <c r="C455" s="2">
        <v>270.39999999999998</v>
      </c>
      <c r="D455" s="14">
        <v>272.52</v>
      </c>
      <c r="E455" s="14">
        <v>268.77999999999997</v>
      </c>
      <c r="F455" s="2">
        <v>269.54000000000002</v>
      </c>
      <c r="G455" s="1">
        <v>143383136</v>
      </c>
      <c r="H455" s="6" t="s">
        <v>12</v>
      </c>
      <c r="I455" s="6">
        <f>IF(AND(H454="UP",testdataHighLow[[#This Row],[high]]&gt;I454),testdataHighLow[[#This Row],[high]],IF(AND(H454="DN",testdataHighLow[[#This Row],[low]]&lt;I454),testdataHighLow[[#This Row],[low]],I454))</f>
        <v>268.29000000000002</v>
      </c>
      <c r="J45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1.5766521301576505E-2</v>
      </c>
      <c r="K455" s="15">
        <f t="shared" ca="1" si="8"/>
        <v>269.12500000000011</v>
      </c>
      <c r="L455" s="6"/>
      <c r="M455" s="19">
        <f ca="1">IF(testdataHighLow[[#This Row],[type]]="H",testdataHighLow[[#This Row],[high]],AVERAGE(M454,M456))</f>
        <v>274.32874999999945</v>
      </c>
      <c r="N455" s="19">
        <f ca="1">IF(testdataHighLow[[#This Row],[type]]="L",testdataHighLow[[#This Row],[low]],AVERAGE(N454,N456))</f>
        <v>258.66999999999939</v>
      </c>
      <c r="Q455" s="7">
        <v>454</v>
      </c>
      <c r="R455" s="15">
        <v>269.125</v>
      </c>
      <c r="S455" s="19">
        <v>274.32875000000001</v>
      </c>
      <c r="T455" s="19">
        <v>258.67</v>
      </c>
    </row>
    <row r="456" spans="1:21" x14ac:dyDescent="0.35">
      <c r="A456" s="7">
        <v>455</v>
      </c>
      <c r="B456" s="3">
        <v>43395</v>
      </c>
      <c r="C456" s="2">
        <v>270.27</v>
      </c>
      <c r="D456" s="14">
        <v>270.63</v>
      </c>
      <c r="E456" s="14">
        <v>267.75</v>
      </c>
      <c r="F456" s="2">
        <v>268.33</v>
      </c>
      <c r="G456" s="1">
        <v>84466760</v>
      </c>
      <c r="H456" s="6" t="s">
        <v>12</v>
      </c>
      <c r="I456" s="6">
        <f>IF(AND(H455="UP",testdataHighLow[[#This Row],[high]]&gt;I455),testdataHighLow[[#This Row],[high]],IF(AND(H455="DN",testdataHighLow[[#This Row],[low]]&lt;I455),testdataHighLow[[#This Row],[low]],I455))</f>
        <v>267.75</v>
      </c>
      <c r="J45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1.0756302521008386E-2</v>
      </c>
      <c r="K456" s="15">
        <f t="shared" ca="1" si="8"/>
        <v>266.52750000000015</v>
      </c>
      <c r="L456" s="6"/>
      <c r="M456" s="19">
        <f ca="1">IF(testdataHighLow[[#This Row],[type]]="H",testdataHighLow[[#This Row],[high]],AVERAGE(M455,M457))</f>
        <v>274.33312499999926</v>
      </c>
      <c r="N456" s="19">
        <f ca="1">IF(testdataHighLow[[#This Row],[type]]="L",testdataHighLow[[#This Row],[low]],AVERAGE(N455,N457))</f>
        <v>257.81499999999943</v>
      </c>
      <c r="Q456" s="7">
        <v>455</v>
      </c>
      <c r="R456" s="15">
        <v>266.52749999999997</v>
      </c>
      <c r="S456" s="19">
        <v>274.33312999999998</v>
      </c>
      <c r="T456" s="19">
        <v>257.815</v>
      </c>
    </row>
    <row r="457" spans="1:21" x14ac:dyDescent="0.35">
      <c r="A457" s="7">
        <v>456</v>
      </c>
      <c r="B457" s="3">
        <v>43396</v>
      </c>
      <c r="C457" s="2">
        <v>264.37</v>
      </c>
      <c r="D457" s="14">
        <v>268.2</v>
      </c>
      <c r="E457" s="14">
        <v>262.08999999999997</v>
      </c>
      <c r="F457" s="2">
        <v>266.97000000000003</v>
      </c>
      <c r="G457" s="1">
        <v>149994752</v>
      </c>
      <c r="H457" s="6" t="s">
        <v>12</v>
      </c>
      <c r="I457" s="6">
        <f>IF(AND(H456="UP",testdataHighLow[[#This Row],[high]]&gt;I456),testdataHighLow[[#This Row],[high]],IF(AND(H456="DN",testdataHighLow[[#This Row],[low]]&lt;I456),testdataHighLow[[#This Row],[low]],I456))</f>
        <v>262.08999999999997</v>
      </c>
      <c r="J45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2.3312602541111886E-2</v>
      </c>
      <c r="K457" s="15">
        <f t="shared" ca="1" si="8"/>
        <v>263.93000000000018</v>
      </c>
      <c r="L457" s="6"/>
      <c r="M457" s="19">
        <f ca="1">IF(testdataHighLow[[#This Row],[type]]="H",testdataHighLow[[#This Row],[high]],AVERAGE(M456,M458))</f>
        <v>274.33749999999907</v>
      </c>
      <c r="N457" s="19">
        <f ca="1">IF(testdataHighLow[[#This Row],[type]]="L",testdataHighLow[[#This Row],[low]],AVERAGE(N456,N458))</f>
        <v>256.95999999999947</v>
      </c>
      <c r="Q457" s="7">
        <v>456</v>
      </c>
      <c r="R457" s="15">
        <v>263.93</v>
      </c>
      <c r="S457" s="19">
        <v>274.33749999999998</v>
      </c>
      <c r="T457" s="19">
        <v>256.95999999999998</v>
      </c>
    </row>
    <row r="458" spans="1:21" x14ac:dyDescent="0.35">
      <c r="A458" s="7">
        <v>457</v>
      </c>
      <c r="B458" s="3">
        <v>43397</v>
      </c>
      <c r="C458" s="2">
        <v>266.69</v>
      </c>
      <c r="D458" s="14">
        <v>267.11</v>
      </c>
      <c r="E458" s="14">
        <v>258.27</v>
      </c>
      <c r="F458" s="2">
        <v>258.88</v>
      </c>
      <c r="G458" s="1">
        <v>182231472</v>
      </c>
      <c r="H458" s="6" t="s">
        <v>12</v>
      </c>
      <c r="I458" s="6">
        <f>IF(AND(H457="UP",testdataHighLow[[#This Row],[high]]&gt;I457),testdataHighLow[[#This Row],[high]],IF(AND(H457="DN",testdataHighLow[[#This Row],[low]]&lt;I457),testdataHighLow[[#This Row],[low]],I457))</f>
        <v>258.27</v>
      </c>
      <c r="J45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3.422774615712252E-2</v>
      </c>
      <c r="K458" s="24">
        <f t="shared" ca="1" si="8"/>
        <v>261.33250000000015</v>
      </c>
      <c r="L458" s="25"/>
      <c r="M458" s="26">
        <f ca="1">IF(testdataHighLow[[#This Row],[type]]="H",testdataHighLow[[#This Row],[high]],AVERAGE(M457,M459))</f>
        <v>274.34187499999894</v>
      </c>
      <c r="N458" s="26">
        <f ca="1">IF(testdataHighLow[[#This Row],[type]]="L",testdataHighLow[[#This Row],[low]],AVERAGE(N457,N459))</f>
        <v>256.10499999999956</v>
      </c>
      <c r="Q458" s="7">
        <v>457</v>
      </c>
      <c r="R458" s="24">
        <v>261.33249999999998</v>
      </c>
      <c r="S458" s="26">
        <v>274.34188</v>
      </c>
      <c r="T458" s="26">
        <v>256.10500000000002</v>
      </c>
    </row>
    <row r="459" spans="1:21" x14ac:dyDescent="0.35">
      <c r="A459" s="7">
        <v>458</v>
      </c>
      <c r="B459" s="3">
        <v>43398</v>
      </c>
      <c r="C459" s="2">
        <v>260.89</v>
      </c>
      <c r="D459" s="14">
        <v>265.20999999999998</v>
      </c>
      <c r="E459" s="14">
        <v>259.77</v>
      </c>
      <c r="F459" s="2">
        <v>263.52</v>
      </c>
      <c r="G459" s="1">
        <v>141497248</v>
      </c>
      <c r="H459" s="6" t="s">
        <v>12</v>
      </c>
      <c r="I459" s="6">
        <f>IF(AND(H458="UP",testdataHighLow[[#This Row],[high]]&gt;I458),testdataHighLow[[#This Row],[high]],IF(AND(H458="DN",testdataHighLow[[#This Row],[low]]&lt;I458),testdataHighLow[[#This Row],[low]],I458))</f>
        <v>258.27</v>
      </c>
      <c r="J45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2.687110388353273E-2</v>
      </c>
      <c r="K459" s="15">
        <f t="shared" ca="1" si="8"/>
        <v>258.73500000000013</v>
      </c>
      <c r="L459" s="6"/>
      <c r="M459" s="19">
        <f ca="1">IF(testdataHighLow[[#This Row],[type]]="H",testdataHighLow[[#This Row],[high]],AVERAGE(M458,M460))</f>
        <v>274.34624999999886</v>
      </c>
      <c r="N459" s="19">
        <f ca="1">IF(testdataHighLow[[#This Row],[type]]="L",testdataHighLow[[#This Row],[low]],AVERAGE(N458,N460))</f>
        <v>255.24999999999972</v>
      </c>
      <c r="Q459" s="7">
        <v>458</v>
      </c>
      <c r="R459" s="15">
        <v>258.73500000000001</v>
      </c>
      <c r="S459" s="19">
        <v>274.34625</v>
      </c>
      <c r="T459" s="19">
        <v>255.25</v>
      </c>
    </row>
    <row r="460" spans="1:21" x14ac:dyDescent="0.35">
      <c r="A460" s="7">
        <v>459</v>
      </c>
      <c r="B460" s="3">
        <v>43399</v>
      </c>
      <c r="C460" s="2">
        <v>259.45999999999998</v>
      </c>
      <c r="D460" s="14">
        <v>264.42</v>
      </c>
      <c r="E460" s="14">
        <v>255.92</v>
      </c>
      <c r="F460" s="2">
        <v>258.89</v>
      </c>
      <c r="G460" s="1">
        <v>206590848</v>
      </c>
      <c r="H460" s="6" t="s">
        <v>12</v>
      </c>
      <c r="I460" s="6">
        <f>IF(AND(H459="UP",testdataHighLow[[#This Row],[high]]&gt;I459),testdataHighLow[[#This Row],[high]],IF(AND(H459="DN",testdataHighLow[[#This Row],[low]]&lt;I459),testdataHighLow[[#This Row],[low]],I459))</f>
        <v>255.92</v>
      </c>
      <c r="J46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3.3213504220068885E-2</v>
      </c>
      <c r="K460" s="15">
        <f t="shared" ca="1" si="8"/>
        <v>256.13750000000005</v>
      </c>
      <c r="L460" s="6"/>
      <c r="M460" s="19">
        <f ca="1">IF(testdataHighLow[[#This Row],[type]]="H",testdataHighLow[[#This Row],[high]],AVERAGE(M459,M461))</f>
        <v>274.35062499999879</v>
      </c>
      <c r="N460" s="19">
        <f ca="1">IF(testdataHighLow[[#This Row],[type]]="L",testdataHighLow[[#This Row],[low]],AVERAGE(N459,N461))</f>
        <v>254.39499999999987</v>
      </c>
      <c r="Q460" s="7">
        <v>459</v>
      </c>
      <c r="R460" s="15">
        <v>256.13749999999999</v>
      </c>
      <c r="S460" s="19">
        <v>274.35063000000002</v>
      </c>
      <c r="T460" s="19">
        <v>254.39500000000001</v>
      </c>
    </row>
    <row r="461" spans="1:21" x14ac:dyDescent="0.35">
      <c r="A461" s="7">
        <v>460</v>
      </c>
      <c r="B461" s="3">
        <v>43402</v>
      </c>
      <c r="C461" s="2">
        <v>262.27</v>
      </c>
      <c r="D461" s="14">
        <v>263.69</v>
      </c>
      <c r="E461" s="14">
        <v>253.54</v>
      </c>
      <c r="F461" s="2">
        <v>257.45</v>
      </c>
      <c r="G461" s="1">
        <v>164749392</v>
      </c>
      <c r="H461" s="6" t="s">
        <v>10</v>
      </c>
      <c r="I461" s="6">
        <f>IF(AND(H460="UP",testdataHighLow[[#This Row],[high]]&gt;I460),testdataHighLow[[#This Row],[high]],IF(AND(H460="DN",testdataHighLow[[#This Row],[low]]&lt;I460),testdataHighLow[[#This Row],[low]],I460))</f>
        <v>253.54</v>
      </c>
      <c r="J46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61" s="18">
        <f>testdataHighLow[[#This Row],[low]]</f>
        <v>253.54</v>
      </c>
      <c r="L461" s="6" t="s">
        <v>15</v>
      </c>
      <c r="M461" s="19">
        <f ca="1">IF(testdataHighLow[[#This Row],[type]]="H",testdataHighLow[[#This Row],[high]],AVERAGE(M460,M462))</f>
        <v>274.35499999999877</v>
      </c>
      <c r="N461" s="19">
        <f>IF(testdataHighLow[[#This Row],[type]]="L",testdataHighLow[[#This Row],[low]],AVERAGE(N460,N462))</f>
        <v>253.54</v>
      </c>
      <c r="Q461" s="7">
        <v>460</v>
      </c>
      <c r="R461" s="18">
        <v>253.54</v>
      </c>
      <c r="S461" s="19">
        <v>274.35500000000002</v>
      </c>
      <c r="T461" s="19">
        <v>253.54</v>
      </c>
      <c r="U461" s="4" t="s">
        <v>15</v>
      </c>
    </row>
    <row r="462" spans="1:21" x14ac:dyDescent="0.35">
      <c r="A462" s="7">
        <v>461</v>
      </c>
      <c r="B462" s="3">
        <v>43403</v>
      </c>
      <c r="C462" s="2">
        <v>257.27</v>
      </c>
      <c r="D462" s="14">
        <v>261.61</v>
      </c>
      <c r="E462" s="14">
        <v>256.73</v>
      </c>
      <c r="F462" s="2">
        <v>261.27</v>
      </c>
      <c r="G462" s="1">
        <v>161025888</v>
      </c>
      <c r="H462" s="6" t="s">
        <v>10</v>
      </c>
      <c r="I462" s="6">
        <f>IF(AND(H461="UP",testdataHighLow[[#This Row],[high]]&gt;I461),testdataHighLow[[#This Row],[high]],IF(AND(H461="DN",testdataHighLow[[#This Row],[low]]&lt;I461),testdataHighLow[[#This Row],[low]],I461))</f>
        <v>261.61</v>
      </c>
      <c r="J46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-1.8653721188027963E-2</v>
      </c>
      <c r="K462" s="15">
        <f t="shared" ca="1" si="8"/>
        <v>256.14625000000007</v>
      </c>
      <c r="L462" s="6"/>
      <c r="M462" s="19">
        <f ca="1">IF(testdataHighLow[[#This Row],[type]]="H",testdataHighLow[[#This Row],[high]],AVERAGE(M461,M463))</f>
        <v>274.35937499999881</v>
      </c>
      <c r="N462" s="19">
        <f ca="1">IF(testdataHighLow[[#This Row],[type]]="L",testdataHighLow[[#This Row],[low]],AVERAGE(N461,N463))</f>
        <v>253.71444444444427</v>
      </c>
      <c r="Q462" s="7">
        <v>461</v>
      </c>
      <c r="R462" s="15">
        <v>256.1463</v>
      </c>
      <c r="S462" s="19">
        <v>274.35937999999999</v>
      </c>
      <c r="T462" s="19">
        <v>253.71444</v>
      </c>
    </row>
    <row r="463" spans="1:21" x14ac:dyDescent="0.35">
      <c r="A463" s="7">
        <v>462</v>
      </c>
      <c r="B463" s="3">
        <v>43404</v>
      </c>
      <c r="C463" s="2">
        <v>264.08</v>
      </c>
      <c r="D463" s="14">
        <v>266.60000000000002</v>
      </c>
      <c r="E463" s="14">
        <v>263.56</v>
      </c>
      <c r="F463" s="2">
        <v>264.06</v>
      </c>
      <c r="G463" s="1">
        <v>131489024</v>
      </c>
      <c r="H463" s="6" t="s">
        <v>10</v>
      </c>
      <c r="I463" s="6">
        <f>IF(AND(H462="UP",testdataHighLow[[#This Row],[high]]&gt;I462),testdataHighLow[[#This Row],[high]],IF(AND(H462="DN",testdataHighLow[[#This Row],[low]]&lt;I462),testdataHighLow[[#This Row],[low]],I462))</f>
        <v>266.60000000000002</v>
      </c>
      <c r="J46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-1.1402850712678245E-2</v>
      </c>
      <c r="K463" s="15">
        <f t="shared" ca="1" si="8"/>
        <v>258.75250000000017</v>
      </c>
      <c r="L463" s="6"/>
      <c r="M463" s="19">
        <f ca="1">IF(testdataHighLow[[#This Row],[type]]="H",testdataHighLow[[#This Row],[high]],AVERAGE(M462,M464))</f>
        <v>274.36374999999884</v>
      </c>
      <c r="N463" s="19">
        <f ca="1">IF(testdataHighLow[[#This Row],[type]]="L",testdataHighLow[[#This Row],[low]],AVERAGE(N462,N464))</f>
        <v>253.88888888888857</v>
      </c>
      <c r="Q463" s="7">
        <v>462</v>
      </c>
      <c r="R463" s="15">
        <v>258.7525</v>
      </c>
      <c r="S463" s="19">
        <v>274.36374999999998</v>
      </c>
      <c r="T463" s="19">
        <v>253.88889</v>
      </c>
    </row>
    <row r="464" spans="1:21" x14ac:dyDescent="0.35">
      <c r="A464" s="7">
        <v>463</v>
      </c>
      <c r="B464" s="3">
        <v>43405</v>
      </c>
      <c r="C464" s="2">
        <v>265.01</v>
      </c>
      <c r="D464" s="14">
        <v>267.08</v>
      </c>
      <c r="E464" s="14">
        <v>263.81</v>
      </c>
      <c r="F464" s="2">
        <v>266.87</v>
      </c>
      <c r="G464" s="1">
        <v>101971008</v>
      </c>
      <c r="H464" s="6" t="s">
        <v>10</v>
      </c>
      <c r="I464" s="6">
        <f>IF(AND(H463="UP",testdataHighLow[[#This Row],[high]]&gt;I463),testdataHighLow[[#This Row],[high]],IF(AND(H463="DN",testdataHighLow[[#This Row],[low]]&lt;I463),testdataHighLow[[#This Row],[low]],I463))</f>
        <v>267.08</v>
      </c>
      <c r="J46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-1.2243522540062834E-2</v>
      </c>
      <c r="K464" s="15">
        <f t="shared" ca="1" si="8"/>
        <v>261.35875000000021</v>
      </c>
      <c r="L464" s="6"/>
      <c r="M464" s="19">
        <f ca="1">IF(testdataHighLow[[#This Row],[type]]="H",testdataHighLow[[#This Row],[high]],AVERAGE(M463,M465))</f>
        <v>274.36812499999894</v>
      </c>
      <c r="N464" s="19">
        <f ca="1">IF(testdataHighLow[[#This Row],[type]]="L",testdataHighLow[[#This Row],[low]],AVERAGE(N463,N465))</f>
        <v>254.06333333333291</v>
      </c>
      <c r="Q464" s="7">
        <v>463</v>
      </c>
      <c r="R464" s="15">
        <v>261.35879999999997</v>
      </c>
      <c r="S464" s="19">
        <v>274.36813000000001</v>
      </c>
      <c r="T464" s="19">
        <v>254.06333000000001</v>
      </c>
    </row>
    <row r="465" spans="1:21" x14ac:dyDescent="0.35">
      <c r="A465" s="7">
        <v>464</v>
      </c>
      <c r="B465" s="3">
        <v>43406</v>
      </c>
      <c r="C465" s="2">
        <v>268.08</v>
      </c>
      <c r="D465" s="14">
        <v>268.55</v>
      </c>
      <c r="E465" s="14">
        <v>263.04000000000002</v>
      </c>
      <c r="F465" s="2">
        <v>265.29000000000002</v>
      </c>
      <c r="G465" s="1">
        <v>125685896</v>
      </c>
      <c r="H465" s="6" t="s">
        <v>10</v>
      </c>
      <c r="I465" s="6">
        <f>IF(AND(H464="UP",testdataHighLow[[#This Row],[high]]&gt;I464),testdataHighLow[[#This Row],[high]],IF(AND(H464="DN",testdataHighLow[[#This Row],[low]]&lt;I464),testdataHighLow[[#This Row],[low]],I464))</f>
        <v>268.55</v>
      </c>
      <c r="J46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-2.0517594488921955E-2</v>
      </c>
      <c r="K465" s="15">
        <f t="shared" ca="1" si="8"/>
        <v>263.9650000000002</v>
      </c>
      <c r="L465" s="6"/>
      <c r="M465" s="19">
        <f ca="1">IF(testdataHighLow[[#This Row],[type]]="H",testdataHighLow[[#This Row],[high]],AVERAGE(M464,M466))</f>
        <v>274.37249999999909</v>
      </c>
      <c r="N465" s="19">
        <f ca="1">IF(testdataHighLow[[#This Row],[type]]="L",testdataHighLow[[#This Row],[low]],AVERAGE(N464,N466))</f>
        <v>254.23777777777724</v>
      </c>
      <c r="Q465" s="7">
        <v>464</v>
      </c>
      <c r="R465" s="15">
        <v>263.96499999999997</v>
      </c>
      <c r="S465" s="19">
        <v>274.3725</v>
      </c>
      <c r="T465" s="19">
        <v>254.23777999999999</v>
      </c>
    </row>
    <row r="466" spans="1:21" x14ac:dyDescent="0.35">
      <c r="A466" s="7">
        <v>465</v>
      </c>
      <c r="B466" s="3">
        <v>43409</v>
      </c>
      <c r="C466" s="2">
        <v>265.82</v>
      </c>
      <c r="D466" s="14">
        <v>267.36</v>
      </c>
      <c r="E466" s="14">
        <v>264.76</v>
      </c>
      <c r="F466" s="2">
        <v>266.75</v>
      </c>
      <c r="G466" s="1">
        <v>67255520</v>
      </c>
      <c r="H466" s="6" t="s">
        <v>10</v>
      </c>
      <c r="I466" s="6">
        <f>IF(AND(H465="UP",testdataHighLow[[#This Row],[high]]&gt;I465),testdataHighLow[[#This Row],[high]],IF(AND(H465="DN",testdataHighLow[[#This Row],[low]]&lt;I465),testdataHighLow[[#This Row],[low]],I465))</f>
        <v>268.55</v>
      </c>
      <c r="J46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-1.411282815118235E-2</v>
      </c>
      <c r="K466" s="15">
        <f t="shared" ca="1" si="8"/>
        <v>266.57125000000019</v>
      </c>
      <c r="L466" s="6"/>
      <c r="M466" s="19">
        <f ca="1">IF(testdataHighLow[[#This Row],[type]]="H",testdataHighLow[[#This Row],[high]],AVERAGE(M465,M467))</f>
        <v>274.37687499999925</v>
      </c>
      <c r="N466" s="19">
        <f ca="1">IF(testdataHighLow[[#This Row],[type]]="L",testdataHighLow[[#This Row],[low]],AVERAGE(N465,N467))</f>
        <v>254.4122222222216</v>
      </c>
      <c r="Q466" s="7">
        <v>465</v>
      </c>
      <c r="R466" s="15">
        <v>266.57130000000001</v>
      </c>
      <c r="S466" s="19">
        <v>274.37688000000003</v>
      </c>
      <c r="T466" s="19">
        <v>254.41221999999999</v>
      </c>
    </row>
    <row r="467" spans="1:21" x14ac:dyDescent="0.35">
      <c r="A467" s="7">
        <v>466</v>
      </c>
      <c r="B467" s="3">
        <v>43410</v>
      </c>
      <c r="C467" s="2">
        <v>266.68</v>
      </c>
      <c r="D467" s="14">
        <v>268.62</v>
      </c>
      <c r="E467" s="14">
        <v>266.62</v>
      </c>
      <c r="F467" s="2">
        <v>268.44</v>
      </c>
      <c r="G467" s="1">
        <v>61581152</v>
      </c>
      <c r="H467" s="6" t="s">
        <v>10</v>
      </c>
      <c r="I467" s="6">
        <f>IF(AND(H466="UP",testdataHighLow[[#This Row],[high]]&gt;I466),testdataHighLow[[#This Row],[high]],IF(AND(H466="DN",testdataHighLow[[#This Row],[low]]&lt;I466),testdataHighLow[[#This Row],[low]],I466))</f>
        <v>268.62</v>
      </c>
      <c r="J46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-7.4454619909165359E-3</v>
      </c>
      <c r="K467" s="15">
        <f t="shared" ca="1" si="8"/>
        <v>269.17750000000012</v>
      </c>
      <c r="L467" s="6"/>
      <c r="M467" s="19">
        <f ca="1">IF(testdataHighLow[[#This Row],[type]]="H",testdataHighLow[[#This Row],[high]],AVERAGE(M466,M468))</f>
        <v>274.38124999999945</v>
      </c>
      <c r="N467" s="19">
        <f ca="1">IF(testdataHighLow[[#This Row],[type]]="L",testdataHighLow[[#This Row],[low]],AVERAGE(N466,N468))</f>
        <v>254.58666666666599</v>
      </c>
      <c r="Q467" s="7">
        <v>466</v>
      </c>
      <c r="R467" s="15">
        <v>269.17750000000001</v>
      </c>
      <c r="S467" s="19">
        <v>274.38125000000002</v>
      </c>
      <c r="T467" s="19">
        <v>254.58667</v>
      </c>
    </row>
    <row r="468" spans="1:21" x14ac:dyDescent="0.35">
      <c r="A468" s="7">
        <v>467</v>
      </c>
      <c r="B468" s="3">
        <v>43411</v>
      </c>
      <c r="C468" s="2">
        <v>270.82</v>
      </c>
      <c r="D468" s="14">
        <v>274.27</v>
      </c>
      <c r="E468" s="14">
        <v>270.35000000000002</v>
      </c>
      <c r="F468" s="2">
        <v>274.19</v>
      </c>
      <c r="G468" s="1">
        <v>105309120</v>
      </c>
      <c r="H468" s="6" t="s">
        <v>10</v>
      </c>
      <c r="I468" s="6">
        <f>IF(AND(H467="UP",testdataHighLow[[#This Row],[high]]&gt;I467),testdataHighLow[[#This Row],[high]],IF(AND(H467="DN",testdataHighLow[[#This Row],[low]]&lt;I467),testdataHighLow[[#This Row],[low]],I467))</f>
        <v>274.27</v>
      </c>
      <c r="J46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-1.4292485506982023E-2</v>
      </c>
      <c r="K468" s="15">
        <f t="shared" ca="1" si="8"/>
        <v>271.78375000000005</v>
      </c>
      <c r="L468" s="6"/>
      <c r="M468" s="19">
        <f ca="1">IF(testdataHighLow[[#This Row],[type]]="H",testdataHighLow[[#This Row],[high]],AVERAGE(M467,M469))</f>
        <v>274.38562499999972</v>
      </c>
      <c r="N468" s="19">
        <f ca="1">IF(testdataHighLow[[#This Row],[type]]="L",testdataHighLow[[#This Row],[low]],AVERAGE(N467,N469))</f>
        <v>254.76111111111038</v>
      </c>
      <c r="Q468" s="7">
        <v>467</v>
      </c>
      <c r="R468" s="15">
        <v>271.78379999999999</v>
      </c>
      <c r="S468" s="19">
        <v>274.38562999999999</v>
      </c>
      <c r="T468" s="19">
        <v>254.76111</v>
      </c>
    </row>
    <row r="469" spans="1:21" x14ac:dyDescent="0.35">
      <c r="A469" s="7">
        <v>468</v>
      </c>
      <c r="B469" s="3">
        <v>43412</v>
      </c>
      <c r="C469" s="2">
        <v>273.31</v>
      </c>
      <c r="D469" s="14">
        <v>274.39</v>
      </c>
      <c r="E469" s="14">
        <v>272.44</v>
      </c>
      <c r="F469" s="2">
        <v>273.69</v>
      </c>
      <c r="G469" s="1">
        <v>67216992</v>
      </c>
      <c r="H469" s="6" t="s">
        <v>12</v>
      </c>
      <c r="I469" s="6">
        <f>IF(AND(H468="UP",testdataHighLow[[#This Row],[high]]&gt;I468),testdataHighLow[[#This Row],[high]],IF(AND(H468="DN",testdataHighLow[[#This Row],[low]]&lt;I468),testdataHighLow[[#This Row],[low]],I468))</f>
        <v>274.39</v>
      </c>
      <c r="J46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69" s="18">
        <f>testdataHighLow[[#This Row],[high]]</f>
        <v>274.39</v>
      </c>
      <c r="L469" s="6" t="s">
        <v>14</v>
      </c>
      <c r="M469" s="19">
        <f>IF(testdataHighLow[[#This Row],[type]]="H",testdataHighLow[[#This Row],[high]],AVERAGE(M468,M470))</f>
        <v>274.39</v>
      </c>
      <c r="N469" s="19">
        <f ca="1">IF(testdataHighLow[[#This Row],[type]]="L",testdataHighLow[[#This Row],[low]],AVERAGE(N468,N470))</f>
        <v>254.9355555555548</v>
      </c>
      <c r="Q469" s="7">
        <v>468</v>
      </c>
      <c r="R469" s="18">
        <v>274.39</v>
      </c>
      <c r="S469" s="19">
        <v>274.39</v>
      </c>
      <c r="T469" s="19">
        <v>254.93556000000001</v>
      </c>
      <c r="U469" s="4" t="s">
        <v>14</v>
      </c>
    </row>
    <row r="470" spans="1:21" x14ac:dyDescent="0.35">
      <c r="A470" s="7">
        <v>469</v>
      </c>
      <c r="B470" s="3">
        <v>43413</v>
      </c>
      <c r="C470" s="2">
        <v>272.25</v>
      </c>
      <c r="D470" s="14">
        <v>272.45999999999998</v>
      </c>
      <c r="E470" s="14">
        <v>269.47000000000003</v>
      </c>
      <c r="F470" s="2">
        <v>271.02</v>
      </c>
      <c r="G470" s="1">
        <v>101271544</v>
      </c>
      <c r="H470" s="6" t="s">
        <v>12</v>
      </c>
      <c r="I470" s="6">
        <f>IF(AND(H469="UP",testdataHighLow[[#This Row],[high]]&gt;I469),testdataHighLow[[#This Row],[high]],IF(AND(H469="DN",testdataHighLow[[#This Row],[low]]&lt;I469),testdataHighLow[[#This Row],[low]],I469))</f>
        <v>269.47000000000003</v>
      </c>
      <c r="J47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1.1095854826140023E-2</v>
      </c>
      <c r="K470" s="15">
        <f t="shared" ca="1" si="8"/>
        <v>272.61900000000014</v>
      </c>
      <c r="L470" s="6"/>
      <c r="M470" s="19">
        <f ca="1">IF(testdataHighLow[[#This Row],[type]]="H",testdataHighLow[[#This Row],[high]],AVERAGE(M469,M471))</f>
        <v>274.33999999999975</v>
      </c>
      <c r="N470" s="19">
        <f ca="1">IF(testdataHighLow[[#This Row],[type]]="L",testdataHighLow[[#This Row],[low]],AVERAGE(N469,N471))</f>
        <v>255.10999999999925</v>
      </c>
      <c r="Q470" s="7">
        <v>469</v>
      </c>
      <c r="R470" s="15">
        <v>272.61900000000003</v>
      </c>
      <c r="S470" s="19">
        <v>274.33999999999997</v>
      </c>
      <c r="T470" s="19">
        <v>255.11</v>
      </c>
    </row>
    <row r="471" spans="1:21" x14ac:dyDescent="0.35">
      <c r="A471" s="7">
        <v>470</v>
      </c>
      <c r="B471" s="3">
        <v>43416</v>
      </c>
      <c r="C471" s="2">
        <v>270.45999999999998</v>
      </c>
      <c r="D471" s="14">
        <v>270.72000000000003</v>
      </c>
      <c r="E471" s="14">
        <v>265.39</v>
      </c>
      <c r="F471" s="2">
        <v>265.95</v>
      </c>
      <c r="G471" s="1">
        <v>102153984</v>
      </c>
      <c r="H471" s="6" t="s">
        <v>12</v>
      </c>
      <c r="I471" s="6">
        <f>IF(AND(H470="UP",testdataHighLow[[#This Row],[high]]&gt;I470),testdataHighLow[[#This Row],[high]],IF(AND(H470="DN",testdataHighLow[[#This Row],[low]]&lt;I470),testdataHighLow[[#This Row],[low]],I470))</f>
        <v>265.39</v>
      </c>
      <c r="J47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2.0083650476657149E-2</v>
      </c>
      <c r="K471" s="15">
        <f t="shared" ca="1" si="8"/>
        <v>270.84800000000024</v>
      </c>
      <c r="L471" s="6"/>
      <c r="M471" s="19">
        <f ca="1">IF(testdataHighLow[[#This Row],[type]]="H",testdataHighLow[[#This Row],[high]],AVERAGE(M470,M472))</f>
        <v>274.28999999999951</v>
      </c>
      <c r="N471" s="19">
        <f ca="1">IF(testdataHighLow[[#This Row],[type]]="L",testdataHighLow[[#This Row],[low]],AVERAGE(N470,N472))</f>
        <v>255.28444444444369</v>
      </c>
      <c r="Q471" s="7">
        <v>470</v>
      </c>
      <c r="R471" s="15">
        <v>270.84800000000001</v>
      </c>
      <c r="S471" s="19">
        <v>274.29000000000002</v>
      </c>
      <c r="T471" s="19">
        <v>255.28443999999999</v>
      </c>
    </row>
    <row r="472" spans="1:21" x14ac:dyDescent="0.35">
      <c r="A472" s="7">
        <v>471</v>
      </c>
      <c r="B472" s="3">
        <v>43417</v>
      </c>
      <c r="C472" s="2">
        <v>266.45999999999998</v>
      </c>
      <c r="D472" s="14">
        <v>268.64</v>
      </c>
      <c r="E472" s="14">
        <v>264.66000000000003</v>
      </c>
      <c r="F472" s="2">
        <v>265.45</v>
      </c>
      <c r="G472" s="1">
        <v>100619768</v>
      </c>
      <c r="H472" s="6" t="s">
        <v>12</v>
      </c>
      <c r="I472" s="6">
        <f>IF(AND(H471="UP",testdataHighLow[[#This Row],[high]]&gt;I471),testdataHighLow[[#This Row],[high]],IF(AND(H471="DN",testdataHighLow[[#This Row],[low]]&lt;I471),testdataHighLow[[#This Row],[low]],I471))</f>
        <v>264.66000000000003</v>
      </c>
      <c r="J47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1.5038162170331599E-2</v>
      </c>
      <c r="K472" s="15">
        <f t="shared" ca="1" si="8"/>
        <v>269.07700000000034</v>
      </c>
      <c r="L472" s="6"/>
      <c r="M472" s="19">
        <f ca="1">IF(testdataHighLow[[#This Row],[type]]="H",testdataHighLow[[#This Row],[high]],AVERAGE(M471,M473))</f>
        <v>274.23999999999933</v>
      </c>
      <c r="N472" s="19">
        <f ca="1">IF(testdataHighLow[[#This Row],[type]]="L",testdataHighLow[[#This Row],[low]],AVERAGE(N471,N473))</f>
        <v>255.45888888888817</v>
      </c>
      <c r="Q472" s="7">
        <v>471</v>
      </c>
      <c r="R472" s="15">
        <v>269.077</v>
      </c>
      <c r="S472" s="19">
        <v>274.24</v>
      </c>
      <c r="T472" s="19">
        <v>255.45889</v>
      </c>
    </row>
    <row r="473" spans="1:21" x14ac:dyDescent="0.35">
      <c r="A473" s="7">
        <v>472</v>
      </c>
      <c r="B473" s="3">
        <v>43418</v>
      </c>
      <c r="C473" s="2">
        <v>267.5</v>
      </c>
      <c r="D473" s="14">
        <v>267.94</v>
      </c>
      <c r="E473" s="14">
        <v>261.93</v>
      </c>
      <c r="F473" s="2">
        <v>263.64</v>
      </c>
      <c r="G473" s="1">
        <v>128454960</v>
      </c>
      <c r="H473" s="6" t="s">
        <v>12</v>
      </c>
      <c r="I473" s="6">
        <f>IF(AND(H472="UP",testdataHighLow[[#This Row],[high]]&gt;I472),testdataHighLow[[#This Row],[high]],IF(AND(H472="DN",testdataHighLow[[#This Row],[low]]&lt;I472),testdataHighLow[[#This Row],[low]],I472))</f>
        <v>261.93</v>
      </c>
      <c r="J47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2.2945061657694769E-2</v>
      </c>
      <c r="K473" s="15">
        <f t="shared" ca="1" si="8"/>
        <v>267.30600000000038</v>
      </c>
      <c r="L473" s="6"/>
      <c r="M473" s="19">
        <f ca="1">IF(testdataHighLow[[#This Row],[type]]="H",testdataHighLow[[#This Row],[high]],AVERAGE(M472,M474))</f>
        <v>274.1899999999992</v>
      </c>
      <c r="N473" s="19">
        <f ca="1">IF(testdataHighLow[[#This Row],[type]]="L",testdataHighLow[[#This Row],[low]],AVERAGE(N472,N474))</f>
        <v>255.63333333333264</v>
      </c>
      <c r="Q473" s="7">
        <v>472</v>
      </c>
      <c r="R473" s="15">
        <v>267.30599999999998</v>
      </c>
      <c r="S473" s="19">
        <v>274.19</v>
      </c>
      <c r="T473" s="19">
        <v>255.63333</v>
      </c>
    </row>
    <row r="474" spans="1:21" x14ac:dyDescent="0.35">
      <c r="A474" s="7">
        <v>473</v>
      </c>
      <c r="B474" s="3">
        <v>43419</v>
      </c>
      <c r="C474" s="2">
        <v>262.25</v>
      </c>
      <c r="D474" s="14">
        <v>266.89999999999998</v>
      </c>
      <c r="E474" s="14">
        <v>260.52999999999997</v>
      </c>
      <c r="F474" s="2">
        <v>266.39</v>
      </c>
      <c r="G474" s="1">
        <v>138463488</v>
      </c>
      <c r="H474" s="6" t="s">
        <v>12</v>
      </c>
      <c r="I474" s="6">
        <f>IF(AND(H473="UP",testdataHighLow[[#This Row],[high]]&gt;I473),testdataHighLow[[#This Row],[high]],IF(AND(H473="DN",testdataHighLow[[#This Row],[low]]&lt;I473),testdataHighLow[[#This Row],[low]],I473))</f>
        <v>260.52999999999997</v>
      </c>
      <c r="J47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2.4450159290676718E-2</v>
      </c>
      <c r="K474" s="15">
        <f t="shared" ca="1" si="8"/>
        <v>265.53500000000037</v>
      </c>
      <c r="L474" s="6"/>
      <c r="M474" s="19">
        <f ca="1">IF(testdataHighLow[[#This Row],[type]]="H",testdataHighLow[[#This Row],[high]],AVERAGE(M473,M475))</f>
        <v>274.13999999999908</v>
      </c>
      <c r="N474" s="19">
        <f ca="1">IF(testdataHighLow[[#This Row],[type]]="L",testdataHighLow[[#This Row],[low]],AVERAGE(N473,N475))</f>
        <v>255.80777777777715</v>
      </c>
      <c r="Q474" s="7">
        <v>473</v>
      </c>
      <c r="R474" s="15">
        <v>265.53500000000003</v>
      </c>
      <c r="S474" s="19">
        <v>274.14</v>
      </c>
      <c r="T474" s="19">
        <v>255.80778000000001</v>
      </c>
    </row>
    <row r="475" spans="1:21" x14ac:dyDescent="0.35">
      <c r="A475" s="7">
        <v>474</v>
      </c>
      <c r="B475" s="3">
        <v>43420</v>
      </c>
      <c r="C475" s="2">
        <v>265.19</v>
      </c>
      <c r="D475" s="14">
        <v>268.08</v>
      </c>
      <c r="E475" s="14">
        <v>264.62</v>
      </c>
      <c r="F475" s="2">
        <v>267.08</v>
      </c>
      <c r="G475" s="1">
        <v>129820216</v>
      </c>
      <c r="H475" s="6" t="s">
        <v>12</v>
      </c>
      <c r="I475" s="6">
        <f>IF(AND(H474="UP",testdataHighLow[[#This Row],[high]]&gt;I474),testdataHighLow[[#This Row],[high]],IF(AND(H474="DN",testdataHighLow[[#This Row],[low]]&lt;I474),testdataHighLow[[#This Row],[low]],I474))</f>
        <v>260.52999999999997</v>
      </c>
      <c r="J47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2.8979388170268346E-2</v>
      </c>
      <c r="K475" s="15">
        <f t="shared" ca="1" si="8"/>
        <v>263.76400000000035</v>
      </c>
      <c r="L475" s="6"/>
      <c r="M475" s="19">
        <f ca="1">IF(testdataHighLow[[#This Row],[type]]="H",testdataHighLow[[#This Row],[high]],AVERAGE(M474,M476))</f>
        <v>274.08999999999901</v>
      </c>
      <c r="N475" s="19">
        <f ca="1">IF(testdataHighLow[[#This Row],[type]]="L",testdataHighLow[[#This Row],[low]],AVERAGE(N474,N476))</f>
        <v>255.98222222222165</v>
      </c>
      <c r="Q475" s="7">
        <v>474</v>
      </c>
      <c r="R475" s="15">
        <v>263.76400000000001</v>
      </c>
      <c r="S475" s="19">
        <v>274.08999999999997</v>
      </c>
      <c r="T475" s="19">
        <v>255.98222000000001</v>
      </c>
    </row>
    <row r="476" spans="1:21" x14ac:dyDescent="0.35">
      <c r="A476" s="7">
        <v>475</v>
      </c>
      <c r="B476" s="3">
        <v>43423</v>
      </c>
      <c r="C476" s="2">
        <v>266.42</v>
      </c>
      <c r="D476" s="14">
        <v>266.74</v>
      </c>
      <c r="E476" s="14">
        <v>261.56</v>
      </c>
      <c r="F476" s="2">
        <v>262.57</v>
      </c>
      <c r="G476" s="1">
        <v>105626432</v>
      </c>
      <c r="H476" s="6" t="s">
        <v>12</v>
      </c>
      <c r="I476" s="6">
        <f>IF(AND(H475="UP",testdataHighLow[[#This Row],[high]]&gt;I475),testdataHighLow[[#This Row],[high]],IF(AND(H475="DN",testdataHighLow[[#This Row],[low]]&lt;I475),testdataHighLow[[#This Row],[low]],I475))</f>
        <v>260.52999999999997</v>
      </c>
      <c r="J47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2.3836026561240689E-2</v>
      </c>
      <c r="K476" s="15">
        <f t="shared" ca="1" si="8"/>
        <v>261.99300000000028</v>
      </c>
      <c r="L476" s="6"/>
      <c r="M476" s="19">
        <f ca="1">IF(testdataHighLow[[#This Row],[type]]="H",testdataHighLow[[#This Row],[high]],AVERAGE(M475,M477))</f>
        <v>274.03999999999894</v>
      </c>
      <c r="N476" s="19">
        <f ca="1">IF(testdataHighLow[[#This Row],[type]]="L",testdataHighLow[[#This Row],[low]],AVERAGE(N475,N477))</f>
        <v>256.15666666666618</v>
      </c>
      <c r="Q476" s="7">
        <v>475</v>
      </c>
      <c r="R476" s="15">
        <v>261.99299999999999</v>
      </c>
      <c r="S476" s="19">
        <v>274.04000000000002</v>
      </c>
      <c r="T476" s="19">
        <v>256.15667000000002</v>
      </c>
    </row>
    <row r="477" spans="1:21" x14ac:dyDescent="0.35">
      <c r="A477" s="7">
        <v>476</v>
      </c>
      <c r="B477" s="3">
        <v>43424</v>
      </c>
      <c r="C477" s="2">
        <v>258.92</v>
      </c>
      <c r="D477" s="14">
        <v>260.52</v>
      </c>
      <c r="E477" s="14">
        <v>256.76</v>
      </c>
      <c r="F477" s="2">
        <v>257.70999999999998</v>
      </c>
      <c r="G477" s="1">
        <v>139406240</v>
      </c>
      <c r="H477" s="6" t="s">
        <v>12</v>
      </c>
      <c r="I477" s="6">
        <f>IF(AND(H476="UP",testdataHighLow[[#This Row],[high]]&gt;I476),testdataHighLow[[#This Row],[high]],IF(AND(H476="DN",testdataHighLow[[#This Row],[low]]&lt;I476),testdataHighLow[[#This Row],[low]],I476))</f>
        <v>256.76</v>
      </c>
      <c r="J47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1.4644025549150922E-2</v>
      </c>
      <c r="K477" s="15">
        <f t="shared" ca="1" si="8"/>
        <v>260.22200000000021</v>
      </c>
      <c r="L477" s="6"/>
      <c r="M477" s="19">
        <f ca="1">IF(testdataHighLow[[#This Row],[type]]="H",testdataHighLow[[#This Row],[high]],AVERAGE(M476,M478))</f>
        <v>273.98999999999893</v>
      </c>
      <c r="N477" s="19">
        <f ca="1">IF(testdataHighLow[[#This Row],[type]]="L",testdataHighLow[[#This Row],[low]],AVERAGE(N476,N478))</f>
        <v>256.33111111111077</v>
      </c>
      <c r="Q477" s="7">
        <v>476</v>
      </c>
      <c r="R477" s="15">
        <v>260.22199999999998</v>
      </c>
      <c r="S477" s="19">
        <v>273.99</v>
      </c>
      <c r="T477" s="19">
        <v>256.33111000000002</v>
      </c>
    </row>
    <row r="478" spans="1:21" x14ac:dyDescent="0.35">
      <c r="A478" s="7">
        <v>477</v>
      </c>
      <c r="B478" s="3">
        <v>43425</v>
      </c>
      <c r="C478" s="2">
        <v>259.39999999999998</v>
      </c>
      <c r="D478" s="14">
        <v>260.66000000000003</v>
      </c>
      <c r="E478" s="14">
        <v>258.58</v>
      </c>
      <c r="F478" s="2">
        <v>258.58</v>
      </c>
      <c r="G478" s="1">
        <v>77444168</v>
      </c>
      <c r="H478" s="6" t="s">
        <v>12</v>
      </c>
      <c r="I478" s="6">
        <f>IF(AND(H477="UP",testdataHighLow[[#This Row],[high]]&gt;I477),testdataHighLow[[#This Row],[high]],IF(AND(H477="DN",testdataHighLow[[#This Row],[low]]&lt;I477),testdataHighLow[[#This Row],[low]],I477))</f>
        <v>256.76</v>
      </c>
      <c r="J47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1.5189281819598202E-2</v>
      </c>
      <c r="K478" s="15">
        <f t="shared" ca="1" si="8"/>
        <v>258.45100000000014</v>
      </c>
      <c r="L478" s="6"/>
      <c r="M478" s="19">
        <f ca="1">IF(testdataHighLow[[#This Row],[type]]="H",testdataHighLow[[#This Row],[high]],AVERAGE(M477,M479))</f>
        <v>273.93999999999892</v>
      </c>
      <c r="N478" s="19">
        <f ca="1">IF(testdataHighLow[[#This Row],[type]]="L",testdataHighLow[[#This Row],[low]],AVERAGE(N477,N479))</f>
        <v>256.50555555555536</v>
      </c>
      <c r="Q478" s="7">
        <v>477</v>
      </c>
      <c r="R478" s="15">
        <v>258.45100000000002</v>
      </c>
      <c r="S478" s="19">
        <v>273.94</v>
      </c>
      <c r="T478" s="19">
        <v>256.50556</v>
      </c>
    </row>
    <row r="479" spans="1:21" x14ac:dyDescent="0.35">
      <c r="A479" s="7">
        <v>478</v>
      </c>
      <c r="B479" s="3">
        <v>43427</v>
      </c>
      <c r="C479" s="2">
        <v>256.79000000000002</v>
      </c>
      <c r="D479" s="14">
        <v>258.39</v>
      </c>
      <c r="E479" s="14">
        <v>256.68</v>
      </c>
      <c r="F479" s="2">
        <v>256.86</v>
      </c>
      <c r="G479" s="1">
        <v>43873168</v>
      </c>
      <c r="H479" s="6" t="s">
        <v>10</v>
      </c>
      <c r="I479" s="6">
        <f>IF(AND(H478="UP",testdataHighLow[[#This Row],[high]]&gt;I478),testdataHighLow[[#This Row],[high]],IF(AND(H478="DN",testdataHighLow[[#This Row],[low]]&lt;I478),testdataHighLow[[#This Row],[low]],I478))</f>
        <v>256.68</v>
      </c>
      <c r="J47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79" s="18">
        <f>testdataHighLow[[#This Row],[low]]</f>
        <v>256.68</v>
      </c>
      <c r="L479" s="6" t="s">
        <v>15</v>
      </c>
      <c r="M479" s="19">
        <f ca="1">IF(testdataHighLow[[#This Row],[type]]="H",testdataHighLow[[#This Row],[high]],AVERAGE(M478,M480))</f>
        <v>273.88999999999896</v>
      </c>
      <c r="N479" s="19">
        <f>IF(testdataHighLow[[#This Row],[type]]="L",testdataHighLow[[#This Row],[low]],AVERAGE(N478,N480))</f>
        <v>256.68</v>
      </c>
      <c r="Q479" s="7">
        <v>478</v>
      </c>
      <c r="R479" s="18">
        <v>256.68</v>
      </c>
      <c r="S479" s="19">
        <v>273.89</v>
      </c>
      <c r="T479" s="19">
        <v>256.68</v>
      </c>
      <c r="U479" s="4" t="s">
        <v>15</v>
      </c>
    </row>
    <row r="480" spans="1:21" x14ac:dyDescent="0.35">
      <c r="A480" s="7">
        <v>479</v>
      </c>
      <c r="B480" s="3">
        <v>43430</v>
      </c>
      <c r="C480" s="2">
        <v>259.33</v>
      </c>
      <c r="D480" s="14">
        <v>261.25</v>
      </c>
      <c r="E480" s="14">
        <v>258.89999999999998</v>
      </c>
      <c r="F480" s="2">
        <v>261</v>
      </c>
      <c r="G480" s="1">
        <v>81971728</v>
      </c>
      <c r="H480" s="6" t="s">
        <v>10</v>
      </c>
      <c r="I480" s="6">
        <f>IF(AND(H479="UP",testdataHighLow[[#This Row],[high]]&gt;I479),testdataHighLow[[#This Row],[high]],IF(AND(H479="DN",testdataHighLow[[#This Row],[low]]&lt;I479),testdataHighLow[[#This Row],[low]],I479))</f>
        <v>261.25</v>
      </c>
      <c r="J48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-8.995215311004872E-3</v>
      </c>
      <c r="K480" s="15">
        <f t="shared" ca="1" si="8"/>
        <v>259.49833333333345</v>
      </c>
      <c r="L480" s="6"/>
      <c r="M480" s="19">
        <f ca="1">IF(testdataHighLow[[#This Row],[type]]="H",testdataHighLow[[#This Row],[high]],AVERAGE(M479,M481))</f>
        <v>273.83999999999907</v>
      </c>
      <c r="N480" s="19">
        <f ca="1">IF(testdataHighLow[[#This Row],[type]]="L",testdataHighLow[[#This Row],[low]],AVERAGE(N479,N481))</f>
        <v>256.60374999999988</v>
      </c>
      <c r="Q480" s="7">
        <v>479</v>
      </c>
      <c r="R480" s="15">
        <v>259.49829999999997</v>
      </c>
      <c r="S480" s="19">
        <v>273.83999999999997</v>
      </c>
      <c r="T480" s="19">
        <v>256.60374999999999</v>
      </c>
    </row>
    <row r="481" spans="1:21" x14ac:dyDescent="0.35">
      <c r="A481" s="7">
        <v>480</v>
      </c>
      <c r="B481" s="3">
        <v>43431</v>
      </c>
      <c r="C481" s="2">
        <v>259.87</v>
      </c>
      <c r="D481" s="14">
        <v>261.88</v>
      </c>
      <c r="E481" s="14">
        <v>259.20999999999998</v>
      </c>
      <c r="F481" s="2">
        <v>261.88</v>
      </c>
      <c r="G481" s="1">
        <v>77381344</v>
      </c>
      <c r="H481" s="6" t="s">
        <v>10</v>
      </c>
      <c r="I481" s="6">
        <f>IF(AND(H480="UP",testdataHighLow[[#This Row],[high]]&gt;I480),testdataHighLow[[#This Row],[high]],IF(AND(H480="DN",testdataHighLow[[#This Row],[low]]&lt;I480),testdataHighLow[[#This Row],[low]],I480))</f>
        <v>261.88</v>
      </c>
      <c r="J48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-1.0195509393615458E-2</v>
      </c>
      <c r="K481" s="15">
        <f t="shared" ca="1" si="8"/>
        <v>262.31666666666683</v>
      </c>
      <c r="L481" s="6"/>
      <c r="M481" s="19">
        <f ca="1">IF(testdataHighLow[[#This Row],[type]]="H",testdataHighLow[[#This Row],[high]],AVERAGE(M480,M482))</f>
        <v>273.78999999999917</v>
      </c>
      <c r="N481" s="19">
        <f ca="1">IF(testdataHighLow[[#This Row],[type]]="L",testdataHighLow[[#This Row],[low]],AVERAGE(N480,N482))</f>
        <v>256.5274999999998</v>
      </c>
      <c r="Q481" s="7">
        <v>480</v>
      </c>
      <c r="R481" s="15">
        <v>262.31670000000003</v>
      </c>
      <c r="S481" s="19">
        <v>273.79000000000002</v>
      </c>
      <c r="T481" s="19">
        <v>256.52749999999997</v>
      </c>
    </row>
    <row r="482" spans="1:21" x14ac:dyDescent="0.35">
      <c r="A482" s="7">
        <v>481</v>
      </c>
      <c r="B482" s="3">
        <v>43432</v>
      </c>
      <c r="C482" s="2">
        <v>263.05</v>
      </c>
      <c r="D482" s="14">
        <v>267.91000000000003</v>
      </c>
      <c r="E482" s="14">
        <v>261.81</v>
      </c>
      <c r="F482" s="2">
        <v>267.91000000000003</v>
      </c>
      <c r="G482" s="1">
        <v>130805744</v>
      </c>
      <c r="H482" s="6" t="s">
        <v>10</v>
      </c>
      <c r="I482" s="6">
        <f>IF(AND(H481="UP",testdataHighLow[[#This Row],[high]]&gt;I481),testdataHighLow[[#This Row],[high]],IF(AND(H481="DN",testdataHighLow[[#This Row],[low]]&lt;I481),testdataHighLow[[#This Row],[low]],I481))</f>
        <v>267.91000000000003</v>
      </c>
      <c r="J48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-2.2768840282184399E-2</v>
      </c>
      <c r="K482" s="15">
        <f t="shared" ca="1" si="8"/>
        <v>265.13500000000016</v>
      </c>
      <c r="L482" s="6"/>
      <c r="M482" s="19">
        <f ca="1">IF(testdataHighLow[[#This Row],[type]]="H",testdataHighLow[[#This Row],[high]],AVERAGE(M481,M483))</f>
        <v>273.73999999999933</v>
      </c>
      <c r="N482" s="19">
        <f ca="1">IF(testdataHighLow[[#This Row],[type]]="L",testdataHighLow[[#This Row],[low]],AVERAGE(N481,N483))</f>
        <v>256.45124999999979</v>
      </c>
      <c r="Q482" s="7">
        <v>481</v>
      </c>
      <c r="R482" s="15">
        <v>265.13499999999999</v>
      </c>
      <c r="S482" s="19">
        <v>273.74</v>
      </c>
      <c r="T482" s="19">
        <v>256.45125000000002</v>
      </c>
    </row>
    <row r="483" spans="1:21" x14ac:dyDescent="0.35">
      <c r="A483" s="7">
        <v>482</v>
      </c>
      <c r="B483" s="3">
        <v>43433</v>
      </c>
      <c r="C483" s="2">
        <v>267.06</v>
      </c>
      <c r="D483" s="14">
        <v>268.86</v>
      </c>
      <c r="E483" s="14">
        <v>265.82</v>
      </c>
      <c r="F483" s="2">
        <v>267.33</v>
      </c>
      <c r="G483" s="1">
        <v>84395640</v>
      </c>
      <c r="H483" s="6" t="s">
        <v>10</v>
      </c>
      <c r="I483" s="6">
        <f>IF(AND(H482="UP",testdataHighLow[[#This Row],[high]]&gt;I482),testdataHighLow[[#This Row],[high]],IF(AND(H482="DN",testdataHighLow[[#This Row],[low]]&lt;I482),testdataHighLow[[#This Row],[low]],I482))</f>
        <v>268.86</v>
      </c>
      <c r="J48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-1.1306999925611919E-2</v>
      </c>
      <c r="K483" s="15">
        <f t="shared" ca="1" si="8"/>
        <v>267.95333333333349</v>
      </c>
      <c r="L483" s="6"/>
      <c r="M483" s="19">
        <f ca="1">IF(testdataHighLow[[#This Row],[type]]="H",testdataHighLow[[#This Row],[high]],AVERAGE(M482,M484))</f>
        <v>273.68999999999954</v>
      </c>
      <c r="N483" s="19">
        <f ca="1">IF(testdataHighLow[[#This Row],[type]]="L",testdataHighLow[[#This Row],[low]],AVERAGE(N482,N484))</f>
        <v>256.37499999999977</v>
      </c>
      <c r="Q483" s="7">
        <v>482</v>
      </c>
      <c r="R483" s="15">
        <v>267.95330000000001</v>
      </c>
      <c r="S483" s="19">
        <v>273.69</v>
      </c>
      <c r="T483" s="19">
        <v>256.375</v>
      </c>
    </row>
    <row r="484" spans="1:21" x14ac:dyDescent="0.35">
      <c r="A484" s="7">
        <v>483</v>
      </c>
      <c r="B484" s="3">
        <v>43434</v>
      </c>
      <c r="C484" s="2">
        <v>267.16000000000003</v>
      </c>
      <c r="D484" s="14">
        <v>269.57</v>
      </c>
      <c r="E484" s="14">
        <v>266.81</v>
      </c>
      <c r="F484" s="2">
        <v>268.95999999999998</v>
      </c>
      <c r="G484" s="1">
        <v>100648032</v>
      </c>
      <c r="H484" s="6" t="s">
        <v>10</v>
      </c>
      <c r="I484" s="6">
        <f>IF(AND(H483="UP",testdataHighLow[[#This Row],[high]]&gt;I483),testdataHighLow[[#This Row],[high]],IF(AND(H483="DN",testdataHighLow[[#This Row],[low]]&lt;I483),testdataHighLow[[#This Row],[low]],I483))</f>
        <v>269.57</v>
      </c>
      <c r="J48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-1.0238528026115632E-2</v>
      </c>
      <c r="K484" s="15">
        <f t="shared" ca="1" si="8"/>
        <v>270.77166666666676</v>
      </c>
      <c r="L484" s="6"/>
      <c r="M484" s="19">
        <f ca="1">IF(testdataHighLow[[#This Row],[type]]="H",testdataHighLow[[#This Row],[high]],AVERAGE(M483,M485))</f>
        <v>273.63999999999976</v>
      </c>
      <c r="N484" s="19">
        <f ca="1">IF(testdataHighLow[[#This Row],[type]]="L",testdataHighLow[[#This Row],[low]],AVERAGE(N483,N485))</f>
        <v>256.29874999999981</v>
      </c>
      <c r="Q484" s="7">
        <v>483</v>
      </c>
      <c r="R484" s="15">
        <v>270.77170000000001</v>
      </c>
      <c r="S484" s="19">
        <v>273.64</v>
      </c>
      <c r="T484" s="19">
        <v>256.29874999999998</v>
      </c>
    </row>
    <row r="485" spans="1:21" x14ac:dyDescent="0.35">
      <c r="A485" s="7">
        <v>484</v>
      </c>
      <c r="B485" s="3">
        <v>43437</v>
      </c>
      <c r="C485" s="2">
        <v>273.47000000000003</v>
      </c>
      <c r="D485" s="14">
        <v>273.58999999999997</v>
      </c>
      <c r="E485" s="14">
        <v>270.77</v>
      </c>
      <c r="F485" s="2">
        <v>272.52</v>
      </c>
      <c r="G485" s="1">
        <v>105581352</v>
      </c>
      <c r="H485" s="6" t="s">
        <v>12</v>
      </c>
      <c r="I485" s="6">
        <f>IF(AND(H484="UP",testdataHighLow[[#This Row],[high]]&gt;I484),testdataHighLow[[#This Row],[high]],IF(AND(H484="DN",testdataHighLow[[#This Row],[low]]&lt;I484),testdataHighLow[[#This Row],[low]],I484))</f>
        <v>273.58999999999997</v>
      </c>
      <c r="J48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5" s="18">
        <f>testdataHighLow[[#This Row],[high]]</f>
        <v>273.58999999999997</v>
      </c>
      <c r="L485" s="6" t="s">
        <v>14</v>
      </c>
      <c r="M485" s="19">
        <f>IF(testdataHighLow[[#This Row],[type]]="H",testdataHighLow[[#This Row],[high]],AVERAGE(M484,M486))</f>
        <v>273.58999999999997</v>
      </c>
      <c r="N485" s="19">
        <f ca="1">IF(testdataHighLow[[#This Row],[type]]="L",testdataHighLow[[#This Row],[low]],AVERAGE(N484,N486))</f>
        <v>256.22249999999985</v>
      </c>
      <c r="Q485" s="7">
        <v>484</v>
      </c>
      <c r="R485" s="18">
        <v>273.58999999999997</v>
      </c>
      <c r="S485" s="19">
        <v>273.58999999999997</v>
      </c>
      <c r="T485" s="19">
        <v>256.22250000000003</v>
      </c>
      <c r="U485" s="4" t="s">
        <v>14</v>
      </c>
    </row>
    <row r="486" spans="1:21" x14ac:dyDescent="0.35">
      <c r="A486" s="7">
        <v>485</v>
      </c>
      <c r="B486" s="3">
        <v>43438</v>
      </c>
      <c r="C486" s="2">
        <v>271.61</v>
      </c>
      <c r="D486" s="14">
        <v>272.08</v>
      </c>
      <c r="E486" s="14">
        <v>263.35000000000002</v>
      </c>
      <c r="F486" s="2">
        <v>263.69</v>
      </c>
      <c r="G486" s="1">
        <v>182415248</v>
      </c>
      <c r="H486" s="6" t="s">
        <v>12</v>
      </c>
      <c r="I486" s="6">
        <f>IF(AND(H485="UP",testdataHighLow[[#This Row],[high]]&gt;I485),testdataHighLow[[#This Row],[high]],IF(AND(H485="DN",testdataHighLow[[#This Row],[low]]&lt;I485),testdataHighLow[[#This Row],[low]],I485))</f>
        <v>263.35000000000002</v>
      </c>
      <c r="J48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3.3149800645528617E-2</v>
      </c>
      <c r="K486" s="15">
        <f t="shared" si="8"/>
        <v>264.83</v>
      </c>
      <c r="L486" s="6"/>
      <c r="M486" s="19">
        <f ca="1">IF(testdataHighLow[[#This Row],[type]]="H",testdataHighLow[[#This Row],[high]],AVERAGE(M485,M487))</f>
        <v>270.60333333333335</v>
      </c>
      <c r="N486" s="19">
        <f ca="1">IF(testdataHighLow[[#This Row],[type]]="L",testdataHighLow[[#This Row],[low]],AVERAGE(N485,N487))</f>
        <v>256.1462499999999</v>
      </c>
      <c r="Q486" s="7">
        <v>485</v>
      </c>
      <c r="R486" s="15">
        <v>264.83</v>
      </c>
      <c r="S486" s="19">
        <v>270.60333000000003</v>
      </c>
      <c r="T486" s="19">
        <v>256.14625000000001</v>
      </c>
    </row>
    <row r="487" spans="1:21" x14ac:dyDescent="0.35">
      <c r="A487" s="7">
        <v>486</v>
      </c>
      <c r="B487" s="3">
        <v>43440</v>
      </c>
      <c r="C487" s="2">
        <v>259.45999999999998</v>
      </c>
      <c r="D487" s="14">
        <v>263.41000000000003</v>
      </c>
      <c r="E487" s="14">
        <v>256.07</v>
      </c>
      <c r="F487" s="2">
        <v>263.29000000000002</v>
      </c>
      <c r="G487" s="1">
        <v>209266640</v>
      </c>
      <c r="H487" s="6" t="s">
        <v>10</v>
      </c>
      <c r="I487" s="6">
        <f>IF(AND(H486="UP",testdataHighLow[[#This Row],[high]]&gt;I486),testdataHighLow[[#This Row],[high]],IF(AND(H486="DN",testdataHighLow[[#This Row],[low]]&lt;I486),testdataHighLow[[#This Row],[low]],I486))</f>
        <v>256.07</v>
      </c>
      <c r="J48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7" s="18">
        <f>testdataHighLow[[#This Row],[low]]</f>
        <v>256.07</v>
      </c>
      <c r="L487" s="6" t="s">
        <v>15</v>
      </c>
      <c r="M487" s="19">
        <f ca="1">IF(testdataHighLow[[#This Row],[type]]="H",testdataHighLow[[#This Row],[high]],AVERAGE(M486,M488))</f>
        <v>267.61666666666667</v>
      </c>
      <c r="N487" s="19">
        <f>IF(testdataHighLow[[#This Row],[type]]="L",testdataHighLow[[#This Row],[low]],AVERAGE(N486,N488))</f>
        <v>256.07</v>
      </c>
      <c r="Q487" s="7">
        <v>486</v>
      </c>
      <c r="R487" s="18">
        <v>256.07</v>
      </c>
      <c r="S487" s="19">
        <v>267.61667</v>
      </c>
      <c r="T487" s="19">
        <v>256.07</v>
      </c>
      <c r="U487" s="4" t="s">
        <v>15</v>
      </c>
    </row>
    <row r="488" spans="1:21" x14ac:dyDescent="0.35">
      <c r="A488" s="7">
        <v>487</v>
      </c>
      <c r="B488" s="3">
        <v>43441</v>
      </c>
      <c r="C488" s="2">
        <v>262.92</v>
      </c>
      <c r="D488" s="14">
        <v>264.63</v>
      </c>
      <c r="E488" s="14">
        <v>256.25</v>
      </c>
      <c r="F488" s="2">
        <v>257.17</v>
      </c>
      <c r="G488" s="1">
        <v>165025936</v>
      </c>
      <c r="H488" s="6" t="s">
        <v>12</v>
      </c>
      <c r="I488" s="6">
        <f>IF(AND(H487="UP",testdataHighLow[[#This Row],[high]]&gt;I487),testdataHighLow[[#This Row],[high]],IF(AND(H487="DN",testdataHighLow[[#This Row],[low]]&lt;I487),testdataHighLow[[#This Row],[low]],I487))</f>
        <v>264.63</v>
      </c>
      <c r="J48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8" s="18">
        <f>testdataHighLow[[#This Row],[high]]</f>
        <v>264.63</v>
      </c>
      <c r="L488" s="6" t="s">
        <v>14</v>
      </c>
      <c r="M488" s="19">
        <f>IF(testdataHighLow[[#This Row],[type]]="H",testdataHighLow[[#This Row],[high]],AVERAGE(M487,M489))</f>
        <v>264.63</v>
      </c>
      <c r="N488" s="19">
        <f>IF(testdataHighLow[[#This Row],[type]]="L",testdataHighLow[[#This Row],[low]],AVERAGE(N487,N489))</f>
        <v>254.20499999999998</v>
      </c>
      <c r="Q488" s="7">
        <v>487</v>
      </c>
      <c r="R488" s="18">
        <v>264.63</v>
      </c>
      <c r="S488" s="19">
        <v>264.63</v>
      </c>
      <c r="T488" s="19">
        <v>254.20500000000001</v>
      </c>
      <c r="U488" s="4" t="s">
        <v>14</v>
      </c>
    </row>
    <row r="489" spans="1:21" x14ac:dyDescent="0.35">
      <c r="A489" s="7">
        <v>488</v>
      </c>
      <c r="B489" s="3">
        <v>43444</v>
      </c>
      <c r="C489" s="2">
        <v>256.98</v>
      </c>
      <c r="D489" s="14">
        <v>258.72000000000003</v>
      </c>
      <c r="E489" s="14">
        <v>252.34</v>
      </c>
      <c r="F489" s="2">
        <v>257.66000000000003</v>
      </c>
      <c r="G489" s="1">
        <v>155214672</v>
      </c>
      <c r="H489" s="6" t="s">
        <v>10</v>
      </c>
      <c r="I489" s="6">
        <f>IF(AND(H488="UP",testdataHighLow[[#This Row],[high]]&gt;I488),testdataHighLow[[#This Row],[high]],IF(AND(H488="DN",testdataHighLow[[#This Row],[low]]&lt;I488),testdataHighLow[[#This Row],[low]],I488))</f>
        <v>252.34</v>
      </c>
      <c r="J48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89" s="18">
        <f>testdataHighLow[[#This Row],[low]]</f>
        <v>252.34</v>
      </c>
      <c r="L489" s="6" t="s">
        <v>15</v>
      </c>
      <c r="M489" s="19">
        <f ca="1">IF(testdataHighLow[[#This Row],[type]]="H",testdataHighLow[[#This Row],[high]],AVERAGE(M488,M490))</f>
        <v>263.90999999999997</v>
      </c>
      <c r="N489" s="19">
        <f>IF(testdataHighLow[[#This Row],[type]]="L",testdataHighLow[[#This Row],[low]],AVERAGE(N488,N490))</f>
        <v>252.34</v>
      </c>
      <c r="Q489" s="7">
        <v>488</v>
      </c>
      <c r="R489" s="18">
        <v>252.34</v>
      </c>
      <c r="S489" s="19">
        <v>263.91000000000003</v>
      </c>
      <c r="T489" s="19">
        <v>252.34</v>
      </c>
      <c r="U489" s="4" t="s">
        <v>15</v>
      </c>
    </row>
    <row r="490" spans="1:21" x14ac:dyDescent="0.35">
      <c r="A490" s="7">
        <v>489</v>
      </c>
      <c r="B490" s="3">
        <v>43445</v>
      </c>
      <c r="C490" s="2">
        <v>261.16000000000003</v>
      </c>
      <c r="D490" s="14">
        <v>261.37</v>
      </c>
      <c r="E490" s="14">
        <v>256.11</v>
      </c>
      <c r="F490" s="2">
        <v>257.72000000000003</v>
      </c>
      <c r="G490" s="1">
        <v>124528112</v>
      </c>
      <c r="H490" s="6" t="s">
        <v>10</v>
      </c>
      <c r="I490" s="6">
        <f>IF(AND(H489="UP",testdataHighLow[[#This Row],[high]]&gt;I489),testdataHighLow[[#This Row],[high]],IF(AND(H489="DN",testdataHighLow[[#This Row],[low]]&lt;I489),testdataHighLow[[#This Row],[low]],I489))</f>
        <v>261.37</v>
      </c>
      <c r="J49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-2.0124727397941581E-2</v>
      </c>
      <c r="K490" s="15">
        <f t="shared" si="8"/>
        <v>257.40500000000003</v>
      </c>
      <c r="L490" s="6"/>
      <c r="M490" s="19">
        <f ca="1">IF(testdataHighLow[[#This Row],[type]]="H",testdataHighLow[[#This Row],[high]],AVERAGE(M489,M491))</f>
        <v>263.19</v>
      </c>
      <c r="N490" s="19">
        <f ca="1">IF(testdataHighLow[[#This Row],[type]]="L",testdataHighLow[[#This Row],[low]],AVERAGE(N489,N491))</f>
        <v>250.25636363636357</v>
      </c>
      <c r="Q490" s="7">
        <v>489</v>
      </c>
      <c r="R490" s="15">
        <v>257.40499999999997</v>
      </c>
      <c r="S490" s="19">
        <v>263.19</v>
      </c>
      <c r="T490" s="19">
        <v>250.25636</v>
      </c>
    </row>
    <row r="491" spans="1:21" x14ac:dyDescent="0.35">
      <c r="A491" s="7">
        <v>490</v>
      </c>
      <c r="B491" s="3">
        <v>43446</v>
      </c>
      <c r="C491" s="2">
        <v>260.98</v>
      </c>
      <c r="D491" s="14">
        <v>262.47000000000003</v>
      </c>
      <c r="E491" s="14">
        <v>258.93</v>
      </c>
      <c r="F491" s="2">
        <v>259.01</v>
      </c>
      <c r="G491" s="1">
        <v>100414888</v>
      </c>
      <c r="H491" s="6" t="s">
        <v>12</v>
      </c>
      <c r="I491" s="6">
        <f>IF(AND(H490="UP",testdataHighLow[[#This Row],[high]]&gt;I490),testdataHighLow[[#This Row],[high]],IF(AND(H490="DN",testdataHighLow[[#This Row],[low]]&lt;I490),testdataHighLow[[#This Row],[low]],I490))</f>
        <v>262.47000000000003</v>
      </c>
      <c r="J49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491" s="18">
        <f>testdataHighLow[[#This Row],[high]]</f>
        <v>262.47000000000003</v>
      </c>
      <c r="L491" s="6" t="s">
        <v>14</v>
      </c>
      <c r="M491" s="19">
        <f>IF(testdataHighLow[[#This Row],[type]]="H",testdataHighLow[[#This Row],[high]],AVERAGE(M490,M492))</f>
        <v>262.47000000000003</v>
      </c>
      <c r="N491" s="19">
        <f ca="1">IF(testdataHighLow[[#This Row],[type]]="L",testdataHighLow[[#This Row],[low]],AVERAGE(N490,N492))</f>
        <v>248.17272727272714</v>
      </c>
      <c r="Q491" s="7">
        <v>490</v>
      </c>
      <c r="R491" s="18">
        <v>262.47000000000003</v>
      </c>
      <c r="S491" s="19">
        <v>262.47000000000003</v>
      </c>
      <c r="T491" s="19">
        <v>248.17273</v>
      </c>
      <c r="U491" s="4" t="s">
        <v>14</v>
      </c>
    </row>
    <row r="492" spans="1:21" x14ac:dyDescent="0.35">
      <c r="A492" s="7">
        <v>491</v>
      </c>
      <c r="B492" s="3">
        <v>43447</v>
      </c>
      <c r="C492" s="2">
        <v>260.05</v>
      </c>
      <c r="D492" s="14">
        <v>260.99</v>
      </c>
      <c r="E492" s="14">
        <v>257.70999999999998</v>
      </c>
      <c r="F492" s="2">
        <v>258.93</v>
      </c>
      <c r="G492" s="1">
        <v>99068200</v>
      </c>
      <c r="H492" s="6" t="s">
        <v>12</v>
      </c>
      <c r="I492" s="6">
        <f>IF(AND(H491="UP",testdataHighLow[[#This Row],[high]]&gt;I491),testdataHighLow[[#This Row],[high]],IF(AND(H491="DN",testdataHighLow[[#This Row],[low]]&lt;I491),testdataHighLow[[#This Row],[low]],I491))</f>
        <v>257.70999999999998</v>
      </c>
      <c r="J49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1.2727484381669435E-2</v>
      </c>
      <c r="K492" s="15">
        <f t="shared" ca="1" si="8"/>
        <v>258.7977777777777</v>
      </c>
      <c r="L492" s="6"/>
      <c r="M492" s="19">
        <f ca="1">IF(testdataHighLow[[#This Row],[type]]="H",testdataHighLow[[#This Row],[high]],AVERAGE(M491,M493))</f>
        <v>261.05916666666678</v>
      </c>
      <c r="N492" s="19">
        <f ca="1">IF(testdataHighLow[[#This Row],[type]]="L",testdataHighLow[[#This Row],[low]],AVERAGE(N491,N493))</f>
        <v>246.08909090909071</v>
      </c>
      <c r="Q492" s="7">
        <v>491</v>
      </c>
      <c r="R492" s="15">
        <v>258.7978</v>
      </c>
      <c r="S492" s="19">
        <v>261.05916999999999</v>
      </c>
      <c r="T492" s="19">
        <v>246.08909</v>
      </c>
    </row>
    <row r="493" spans="1:21" x14ac:dyDescent="0.35">
      <c r="A493" s="7">
        <v>492</v>
      </c>
      <c r="B493" s="3">
        <v>43448</v>
      </c>
      <c r="C493" s="2">
        <v>256.58</v>
      </c>
      <c r="D493" s="14">
        <v>257.62</v>
      </c>
      <c r="E493" s="14">
        <v>253.54</v>
      </c>
      <c r="F493" s="2">
        <v>254.15</v>
      </c>
      <c r="G493" s="1">
        <v>119871688</v>
      </c>
      <c r="H493" s="6" t="s">
        <v>12</v>
      </c>
      <c r="I493" s="6">
        <f>IF(AND(H492="UP",testdataHighLow[[#This Row],[high]]&gt;I492),testdataHighLow[[#This Row],[high]],IF(AND(H492="DN",testdataHighLow[[#This Row],[low]]&lt;I492),testdataHighLow[[#This Row],[low]],I492))</f>
        <v>253.54</v>
      </c>
      <c r="J49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1.6092135363256342E-2</v>
      </c>
      <c r="K493" s="15">
        <f t="shared" ca="1" si="8"/>
        <v>255.12555555555542</v>
      </c>
      <c r="L493" s="6"/>
      <c r="M493" s="19">
        <f ca="1">IF(testdataHighLow[[#This Row],[type]]="H",testdataHighLow[[#This Row],[high]],AVERAGE(M492,M494))</f>
        <v>259.64833333333354</v>
      </c>
      <c r="N493" s="19">
        <f ca="1">IF(testdataHighLow[[#This Row],[type]]="L",testdataHighLow[[#This Row],[low]],AVERAGE(N492,N494))</f>
        <v>244.00545454545431</v>
      </c>
      <c r="Q493" s="7">
        <v>492</v>
      </c>
      <c r="R493" s="15">
        <v>255.12559999999999</v>
      </c>
      <c r="S493" s="19">
        <v>259.64832999999999</v>
      </c>
      <c r="T493" s="19">
        <v>244.00545</v>
      </c>
    </row>
    <row r="494" spans="1:21" x14ac:dyDescent="0.35">
      <c r="A494" s="7">
        <v>493</v>
      </c>
      <c r="B494" s="3">
        <v>43451</v>
      </c>
      <c r="C494" s="2">
        <v>253.1</v>
      </c>
      <c r="D494" s="14">
        <v>254.32</v>
      </c>
      <c r="E494" s="14">
        <v>247.37</v>
      </c>
      <c r="F494" s="2">
        <v>249.16</v>
      </c>
      <c r="G494" s="1">
        <v>169610592</v>
      </c>
      <c r="H494" s="6" t="s">
        <v>12</v>
      </c>
      <c r="I494" s="6">
        <f>IF(AND(H493="UP",testdataHighLow[[#This Row],[high]]&gt;I493),testdataHighLow[[#This Row],[high]],IF(AND(H493="DN",testdataHighLow[[#This Row],[low]]&lt;I493),testdataHighLow[[#This Row],[low]],I493))</f>
        <v>247.37</v>
      </c>
      <c r="J494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2.8095565347455182E-2</v>
      </c>
      <c r="K494" s="15">
        <f t="shared" ca="1" si="8"/>
        <v>251.45333333333318</v>
      </c>
      <c r="L494" s="6"/>
      <c r="M494" s="19">
        <f ca="1">IF(testdataHighLow[[#This Row],[type]]="H",testdataHighLow[[#This Row],[high]],AVERAGE(M493,M495))</f>
        <v>258.2375000000003</v>
      </c>
      <c r="N494" s="19">
        <f ca="1">IF(testdataHighLow[[#This Row],[type]]="L",testdataHighLow[[#This Row],[low]],AVERAGE(N493,N495))</f>
        <v>241.92181818181794</v>
      </c>
      <c r="Q494" s="7">
        <v>493</v>
      </c>
      <c r="R494" s="15">
        <v>251.45330000000001</v>
      </c>
      <c r="S494" s="19">
        <v>258.23750000000001</v>
      </c>
      <c r="T494" s="19">
        <v>241.92182</v>
      </c>
    </row>
    <row r="495" spans="1:21" x14ac:dyDescent="0.35">
      <c r="A495" s="7">
        <v>494</v>
      </c>
      <c r="B495" s="3">
        <v>43452</v>
      </c>
      <c r="C495" s="2">
        <v>250.95</v>
      </c>
      <c r="D495" s="14">
        <v>251.69</v>
      </c>
      <c r="E495" s="14">
        <v>247.13</v>
      </c>
      <c r="F495" s="2">
        <v>248.89</v>
      </c>
      <c r="G495" s="1">
        <v>137862544</v>
      </c>
      <c r="H495" s="6" t="s">
        <v>12</v>
      </c>
      <c r="I495" s="6">
        <f>IF(AND(H494="UP",testdataHighLow[[#This Row],[high]]&gt;I494),testdataHighLow[[#This Row],[high]],IF(AND(H494="DN",testdataHighLow[[#This Row],[low]]&lt;I494),testdataHighLow[[#This Row],[low]],I494))</f>
        <v>247.13</v>
      </c>
      <c r="J495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1.84518269736576E-2</v>
      </c>
      <c r="K495" s="15">
        <f t="shared" ca="1" si="8"/>
        <v>247.78111111111093</v>
      </c>
      <c r="L495" s="6"/>
      <c r="M495" s="19">
        <f ca="1">IF(testdataHighLow[[#This Row],[type]]="H",testdataHighLow[[#This Row],[high]],AVERAGE(M494,M496))</f>
        <v>256.82666666666699</v>
      </c>
      <c r="N495" s="19">
        <f ca="1">IF(testdataHighLow[[#This Row],[type]]="L",testdataHighLow[[#This Row],[low]],AVERAGE(N494,N496))</f>
        <v>239.83818181818157</v>
      </c>
      <c r="Q495" s="7">
        <v>494</v>
      </c>
      <c r="R495" s="15">
        <v>247.78110000000001</v>
      </c>
      <c r="S495" s="19">
        <v>256.82666999999998</v>
      </c>
      <c r="T495" s="19">
        <v>239.83817999999999</v>
      </c>
    </row>
    <row r="496" spans="1:21" x14ac:dyDescent="0.35">
      <c r="A496" s="7">
        <v>495</v>
      </c>
      <c r="B496" s="3">
        <v>43453</v>
      </c>
      <c r="C496" s="2">
        <v>248.97</v>
      </c>
      <c r="D496" s="14">
        <v>253.1</v>
      </c>
      <c r="E496" s="14">
        <v>243.3</v>
      </c>
      <c r="F496" s="2">
        <v>245.16</v>
      </c>
      <c r="G496" s="1">
        <v>220342928</v>
      </c>
      <c r="H496" s="6" t="s">
        <v>12</v>
      </c>
      <c r="I496" s="6">
        <f>IF(AND(H495="UP",testdataHighLow[[#This Row],[high]]&gt;I495),testdataHighLow[[#This Row],[high]],IF(AND(H495="DN",testdataHighLow[[#This Row],[low]]&lt;I495),testdataHighLow[[#This Row],[low]],I495))</f>
        <v>243.3</v>
      </c>
      <c r="J496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4.0279490341142553E-2</v>
      </c>
      <c r="K496" s="15">
        <f t="shared" ca="1" si="8"/>
        <v>244.10888888888871</v>
      </c>
      <c r="L496" s="6"/>
      <c r="M496" s="19">
        <f ca="1">IF(testdataHighLow[[#This Row],[type]]="H",testdataHighLow[[#This Row],[high]],AVERAGE(M495,M497))</f>
        <v>255.41583333333367</v>
      </c>
      <c r="N496" s="19">
        <f ca="1">IF(testdataHighLow[[#This Row],[type]]="L",testdataHighLow[[#This Row],[low]],AVERAGE(N495,N497))</f>
        <v>237.75454545454522</v>
      </c>
      <c r="Q496" s="7">
        <v>495</v>
      </c>
      <c r="R496" s="15">
        <v>244.10890000000001</v>
      </c>
      <c r="S496" s="19">
        <v>255.41583</v>
      </c>
      <c r="T496" s="19">
        <v>237.75454999999999</v>
      </c>
    </row>
    <row r="497" spans="1:21" x14ac:dyDescent="0.35">
      <c r="A497" s="7">
        <v>496</v>
      </c>
      <c r="B497" s="3">
        <v>43454</v>
      </c>
      <c r="C497" s="2">
        <v>243.79</v>
      </c>
      <c r="D497" s="14">
        <v>245.51</v>
      </c>
      <c r="E497" s="14">
        <v>238.71</v>
      </c>
      <c r="F497" s="2">
        <v>241.17</v>
      </c>
      <c r="G497" s="1">
        <v>258325808</v>
      </c>
      <c r="H497" s="6" t="s">
        <v>12</v>
      </c>
      <c r="I497" s="6">
        <f>IF(AND(H496="UP",testdataHighLow[[#This Row],[high]]&gt;I496),testdataHighLow[[#This Row],[high]],IF(AND(H496="DN",testdataHighLow[[#This Row],[low]]&lt;I496),testdataHighLow[[#This Row],[low]],I496))</f>
        <v>238.71</v>
      </c>
      <c r="J497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2.8486447991286426E-2</v>
      </c>
      <c r="K497" s="15">
        <f t="shared" ca="1" si="8"/>
        <v>240.43666666666653</v>
      </c>
      <c r="L497" s="6"/>
      <c r="M497" s="19">
        <f ca="1">IF(testdataHighLow[[#This Row],[type]]="H",testdataHighLow[[#This Row],[high]],AVERAGE(M496,M498))</f>
        <v>254.00500000000034</v>
      </c>
      <c r="N497" s="19">
        <f ca="1">IF(testdataHighLow[[#This Row],[type]]="L",testdataHighLow[[#This Row],[low]],AVERAGE(N496,N498))</f>
        <v>235.67090909090891</v>
      </c>
      <c r="Q497" s="7">
        <v>496</v>
      </c>
      <c r="R497" s="15">
        <v>240.4367</v>
      </c>
      <c r="S497" s="19">
        <v>254.005</v>
      </c>
      <c r="T497" s="19">
        <v>235.67090999999999</v>
      </c>
    </row>
    <row r="498" spans="1:21" x14ac:dyDescent="0.35">
      <c r="A498" s="7">
        <v>497</v>
      </c>
      <c r="B498" s="3">
        <v>43455</v>
      </c>
      <c r="C498" s="2">
        <v>242.16</v>
      </c>
      <c r="D498" s="14">
        <v>245.07</v>
      </c>
      <c r="E498" s="14">
        <v>235.52</v>
      </c>
      <c r="F498" s="2">
        <v>236.23</v>
      </c>
      <c r="G498" s="1">
        <v>260180208</v>
      </c>
      <c r="H498" s="6" t="s">
        <v>12</v>
      </c>
      <c r="I498" s="6">
        <f>IF(AND(H497="UP",testdataHighLow[[#This Row],[high]]&gt;I497),testdataHighLow[[#This Row],[high]],IF(AND(H497="DN",testdataHighLow[[#This Row],[low]]&lt;I497),testdataHighLow[[#This Row],[low]],I497))</f>
        <v>235.52</v>
      </c>
      <c r="J498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4.054857336956514E-2</v>
      </c>
      <c r="K498" s="15">
        <f t="shared" ca="1" si="8"/>
        <v>236.76444444444434</v>
      </c>
      <c r="L498" s="6"/>
      <c r="M498" s="19">
        <f ca="1">IF(testdataHighLow[[#This Row],[type]]="H",testdataHighLow[[#This Row],[high]],AVERAGE(M497,M499))</f>
        <v>252.59416666666698</v>
      </c>
      <c r="N498" s="19">
        <f ca="1">IF(testdataHighLow[[#This Row],[type]]="L",testdataHighLow[[#This Row],[low]],AVERAGE(N497,N499))</f>
        <v>233.58727272727259</v>
      </c>
      <c r="Q498" s="7">
        <v>497</v>
      </c>
      <c r="R498" s="15">
        <v>236.76439999999999</v>
      </c>
      <c r="S498" s="19">
        <v>252.59416999999999</v>
      </c>
      <c r="T498" s="19">
        <v>233.58726999999999</v>
      </c>
    </row>
    <row r="499" spans="1:21" x14ac:dyDescent="0.35">
      <c r="A499" s="7">
        <v>498</v>
      </c>
      <c r="B499" s="3">
        <v>43458</v>
      </c>
      <c r="C499" s="2">
        <v>234.6</v>
      </c>
      <c r="D499" s="14">
        <v>236.36</v>
      </c>
      <c r="E499" s="14">
        <v>229.92</v>
      </c>
      <c r="F499" s="2">
        <v>229.99</v>
      </c>
      <c r="G499" s="1">
        <v>150100704</v>
      </c>
      <c r="H499" s="6" t="s">
        <v>12</v>
      </c>
      <c r="I499" s="6">
        <f>IF(AND(H498="UP",testdataHighLow[[#This Row],[high]]&gt;I498),testdataHighLow[[#This Row],[high]],IF(AND(H498="DN",testdataHighLow[[#This Row],[low]]&lt;I498),testdataHighLow[[#This Row],[low]],I498))</f>
        <v>229.92</v>
      </c>
      <c r="J499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2.8009742519137206E-2</v>
      </c>
      <c r="K499" s="15">
        <f t="shared" ca="1" si="8"/>
        <v>233.09222222222218</v>
      </c>
      <c r="L499" s="6"/>
      <c r="M499" s="19">
        <f ca="1">IF(testdataHighLow[[#This Row],[type]]="H",testdataHighLow[[#This Row],[high]],AVERAGE(M498,M500))</f>
        <v>251.18333333333362</v>
      </c>
      <c r="N499" s="19">
        <f ca="1">IF(testdataHighLow[[#This Row],[type]]="L",testdataHighLow[[#This Row],[low]],AVERAGE(N498,N500))</f>
        <v>231.5036363636363</v>
      </c>
      <c r="Q499" s="7">
        <v>498</v>
      </c>
      <c r="R499" s="15">
        <v>233.09219999999999</v>
      </c>
      <c r="S499" s="19">
        <v>251.18333000000001</v>
      </c>
      <c r="T499" s="19">
        <v>231.50363999999999</v>
      </c>
    </row>
    <row r="500" spans="1:21" x14ac:dyDescent="0.35">
      <c r="A500" s="7">
        <v>499</v>
      </c>
      <c r="B500" s="3">
        <v>43460</v>
      </c>
      <c r="C500" s="2">
        <v>231.59</v>
      </c>
      <c r="D500" s="14">
        <v>241.61</v>
      </c>
      <c r="E500" s="14">
        <v>229.42</v>
      </c>
      <c r="F500" s="2">
        <v>241.61</v>
      </c>
      <c r="G500" s="1">
        <v>222622048</v>
      </c>
      <c r="H500" s="6" t="s">
        <v>10</v>
      </c>
      <c r="I500" s="6">
        <f>IF(AND(H499="UP",testdataHighLow[[#This Row],[high]]&gt;I499),testdataHighLow[[#This Row],[high]],IF(AND(H499="DN",testdataHighLow[[#This Row],[low]]&lt;I499),testdataHighLow[[#This Row],[low]],I499))</f>
        <v>229.42</v>
      </c>
      <c r="J500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00" s="18">
        <f>testdataHighLow[[#This Row],[low]]</f>
        <v>229.42</v>
      </c>
      <c r="L500" s="6" t="s">
        <v>15</v>
      </c>
      <c r="M500" s="19">
        <f ca="1">IF(testdataHighLow[[#This Row],[type]]="H",testdataHighLow[[#This Row],[high]],AVERAGE(M499,M501))</f>
        <v>249.77250000000024</v>
      </c>
      <c r="N500" s="19">
        <f>IF(testdataHighLow[[#This Row],[type]]="L",testdataHighLow[[#This Row],[low]],AVERAGE(N499,N501))</f>
        <v>229.42</v>
      </c>
      <c r="Q500" s="7">
        <v>499</v>
      </c>
      <c r="R500" s="18">
        <v>229.42</v>
      </c>
      <c r="S500" s="19">
        <v>249.77250000000001</v>
      </c>
      <c r="T500" s="19">
        <v>229.42</v>
      </c>
      <c r="U500" s="4" t="s">
        <v>15</v>
      </c>
    </row>
    <row r="501" spans="1:21" x14ac:dyDescent="0.35">
      <c r="A501" s="7">
        <v>500</v>
      </c>
      <c r="B501" s="3">
        <v>43461</v>
      </c>
      <c r="C501" s="2">
        <v>238.06</v>
      </c>
      <c r="D501" s="14">
        <v>243.68</v>
      </c>
      <c r="E501" s="14">
        <v>234.52</v>
      </c>
      <c r="F501" s="2">
        <v>243.46</v>
      </c>
      <c r="G501" s="1">
        <v>189794032</v>
      </c>
      <c r="H501" s="6" t="s">
        <v>10</v>
      </c>
      <c r="I501" s="6">
        <f>IF(AND(H500="UP",testdataHighLow[[#This Row],[high]]&gt;I500),testdataHighLow[[#This Row],[high]],IF(AND(H500="DN",testdataHighLow[[#This Row],[low]]&lt;I500),testdataHighLow[[#This Row],[low]],I500))</f>
        <v>243.68</v>
      </c>
      <c r="J501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-3.759028233749178E-2</v>
      </c>
      <c r="K501" s="15">
        <f t="shared" ca="1" si="8"/>
        <v>234.79333333333329</v>
      </c>
      <c r="L501" s="6"/>
      <c r="M501" s="19">
        <f ca="1">IF(testdataHighLow[[#This Row],[type]]="H",testdataHighLow[[#This Row],[high]],AVERAGE(M500,M502))</f>
        <v>248.36166666666685</v>
      </c>
      <c r="N501" s="19"/>
      <c r="Q501" s="7">
        <v>500</v>
      </c>
      <c r="R501" s="15">
        <v>234.79329999999999</v>
      </c>
      <c r="S501" s="19">
        <v>248.36167</v>
      </c>
      <c r="T501" s="19"/>
    </row>
    <row r="502" spans="1:21" x14ac:dyDescent="0.35">
      <c r="A502" s="7">
        <v>501</v>
      </c>
      <c r="B502" s="3">
        <v>43462</v>
      </c>
      <c r="C502" s="2">
        <v>244.94</v>
      </c>
      <c r="D502" s="14">
        <v>246.73</v>
      </c>
      <c r="E502" s="14">
        <v>241.87</v>
      </c>
      <c r="F502" s="2">
        <v>243.15</v>
      </c>
      <c r="G502" s="1">
        <v>155998912</v>
      </c>
      <c r="H502" s="6" t="s">
        <v>12</v>
      </c>
      <c r="I502" s="6">
        <f>IF(AND(H501="UP",testdataHighLow[[#This Row],[high]]&gt;I501),testdataHighLow[[#This Row],[high]],IF(AND(H501="DN",testdataHighLow[[#This Row],[low]]&lt;I501),testdataHighLow[[#This Row],[low]],I501))</f>
        <v>246.73</v>
      </c>
      <c r="J502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0</v>
      </c>
      <c r="K502" s="15">
        <f t="shared" ca="1" si="8"/>
        <v>240.16666666666663</v>
      </c>
      <c r="L502" s="6"/>
      <c r="M502" s="19">
        <f ca="1">IF(testdataHighLow[[#This Row],[type]]="H",testdataHighLow[[#This Row],[high]],AVERAGE(M501,M503))</f>
        <v>246.95083333333343</v>
      </c>
      <c r="N502" s="19"/>
      <c r="Q502" s="7">
        <v>501</v>
      </c>
      <c r="R502" s="15">
        <v>240.16669999999999</v>
      </c>
      <c r="S502" s="19">
        <v>246.95083</v>
      </c>
      <c r="T502" s="19"/>
    </row>
    <row r="503" spans="1:21" x14ac:dyDescent="0.35">
      <c r="A503" s="7">
        <v>502</v>
      </c>
      <c r="B503" s="3">
        <v>43465</v>
      </c>
      <c r="C503" s="2">
        <v>244.92</v>
      </c>
      <c r="D503" s="14">
        <v>245.54</v>
      </c>
      <c r="E503" s="14">
        <v>242.87</v>
      </c>
      <c r="F503" s="2">
        <v>245.28</v>
      </c>
      <c r="G503" s="1">
        <v>147031456</v>
      </c>
      <c r="H503" s="6" t="s">
        <v>12</v>
      </c>
      <c r="I503" s="6">
        <f>IF(AND(H502="UP",testdataHighLow[[#This Row],[high]]&gt;I502),testdataHighLow[[#This Row],[high]],IF(AND(H502="DN",testdataHighLow[[#This Row],[low]]&lt;I502),testdataHighLow[[#This Row],[low]],I502))</f>
        <v>242.87</v>
      </c>
      <c r="J503" s="11">
        <f>(IF(testdataHighLow[[#This Row],[direction]]="UP",testdataHighLow[[#This Row],[low]],IF(testdataHighLow[[#This Row],[direction]]="DN",testdataHighLow[[#This Row],[high]],testdataHighLow[[#This Row],[close]]))-testdataHighLow[[#This Row],[hl]])/testdataHighLow[[#This Row],[hl]]</f>
        <v>1.0993535636348611E-2</v>
      </c>
      <c r="K503" s="32">
        <f>testdataHighLow[[#This Row],[high]]</f>
        <v>245.54</v>
      </c>
      <c r="L503" s="9"/>
      <c r="M503" s="20">
        <f>testdataHighLow[[#This Row],[high]]</f>
        <v>245.54</v>
      </c>
      <c r="N503" s="20"/>
      <c r="Q503" s="7">
        <v>502</v>
      </c>
      <c r="R503" s="17">
        <v>245.54</v>
      </c>
      <c r="S503" s="20">
        <v>245.54</v>
      </c>
      <c r="T503" s="20"/>
    </row>
  </sheetData>
  <conditionalFormatting sqref="I31:I503">
    <cfRule type="expression" dxfId="18" priority="1">
      <formula>I31=F31</formula>
    </cfRule>
  </conditionalFormatting>
  <conditionalFormatting sqref="J2:J503">
    <cfRule type="expression" dxfId="17" priority="6">
      <formula>J2&lt;(-$O$2)</formula>
    </cfRule>
    <cfRule type="expression" dxfId="16" priority="7">
      <formula>J2&gt;($O$2)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A40E-59AE-4DC0-B756-78CFC5F292C9}">
  <dimension ref="A1:P301"/>
  <sheetViews>
    <sheetView workbookViewId="0">
      <selection activeCell="Q1" sqref="Q1"/>
    </sheetView>
  </sheetViews>
  <sheetFormatPr defaultRowHeight="14.5" x14ac:dyDescent="0.35"/>
  <cols>
    <col min="1" max="1" width="6" style="4" bestFit="1" customWidth="1"/>
    <col min="2" max="2" width="10.7265625" style="3" customWidth="1"/>
    <col min="3" max="3" width="10.7265625" style="2" customWidth="1"/>
    <col min="5" max="5" width="10.453125" style="4" bestFit="1" customWidth="1"/>
    <col min="6" max="6" width="10.453125" style="4" customWidth="1"/>
    <col min="7" max="7" width="13.26953125" customWidth="1"/>
    <col min="8" max="8" width="6.453125" style="16" bestFit="1" customWidth="1"/>
    <col min="9" max="9" width="13" customWidth="1"/>
    <col min="10" max="10" width="3.7265625" customWidth="1"/>
    <col min="11" max="11" width="4" style="4" bestFit="1" customWidth="1"/>
    <col min="12" max="12" width="15.81640625" bestFit="1" customWidth="1"/>
    <col min="13" max="13" width="10.54296875" style="29" bestFit="1" customWidth="1"/>
    <col min="14" max="14" width="11.54296875" style="30" bestFit="1" customWidth="1"/>
    <col min="15" max="15" width="6.81640625" bestFit="1" customWidth="1"/>
    <col min="16" max="16" width="7.1796875" style="4" customWidth="1"/>
  </cols>
  <sheetData>
    <row r="1" spans="1:16" x14ac:dyDescent="0.35">
      <c r="A1" s="7" t="s">
        <v>21</v>
      </c>
      <c r="B1" s="3" t="s">
        <v>0</v>
      </c>
      <c r="C1" s="6" t="s">
        <v>4</v>
      </c>
      <c r="D1" s="6" t="s">
        <v>9</v>
      </c>
      <c r="E1" s="6" t="s">
        <v>11</v>
      </c>
      <c r="F1" s="10" t="s">
        <v>13</v>
      </c>
      <c r="G1" s="8" t="s">
        <v>8</v>
      </c>
      <c r="H1" s="6" t="s">
        <v>16</v>
      </c>
      <c r="I1" s="4" t="s">
        <v>7</v>
      </c>
      <c r="K1" s="4" t="s">
        <v>21</v>
      </c>
      <c r="L1" s="4" t="s">
        <v>0</v>
      </c>
      <c r="M1" s="6" t="s">
        <v>4</v>
      </c>
      <c r="N1" s="31" t="s">
        <v>8</v>
      </c>
      <c r="O1" s="4" t="s">
        <v>22</v>
      </c>
      <c r="P1" s="4" t="s">
        <v>16</v>
      </c>
    </row>
    <row r="2" spans="1:16" x14ac:dyDescent="0.35">
      <c r="A2" s="7">
        <v>0</v>
      </c>
      <c r="B2" s="3">
        <v>44496.100694444445</v>
      </c>
      <c r="C2" s="14">
        <v>4256.01</v>
      </c>
      <c r="D2" s="6" t="s">
        <v>10</v>
      </c>
      <c r="E2" s="9">
        <f>testdataClose5[[#This Row],[close]]</f>
        <v>4256.01</v>
      </c>
      <c r="F2" s="11">
        <f>(testdataClose5[[#This Row],[close]]-testdataClose5[[#This Row],[hl]])/testdataClose5[[#This Row],[hl]]</f>
        <v>0</v>
      </c>
      <c r="G2" s="17">
        <f>testdataClose5[[#This Row],[hl]]</f>
        <v>4256.01</v>
      </c>
      <c r="H2" s="6"/>
      <c r="I2" s="12">
        <v>0.05</v>
      </c>
      <c r="K2" s="4">
        <v>0</v>
      </c>
      <c r="L2" s="27">
        <v>44496.100694444445</v>
      </c>
      <c r="M2" s="29">
        <v>4256.01</v>
      </c>
      <c r="O2" s="28">
        <v>0</v>
      </c>
    </row>
    <row r="3" spans="1:16" x14ac:dyDescent="0.35">
      <c r="A3" s="7">
        <v>1</v>
      </c>
      <c r="B3" s="3">
        <v>44496.104166666664</v>
      </c>
      <c r="C3" s="14">
        <v>4258.32</v>
      </c>
      <c r="D3" s="6" t="s">
        <v>10</v>
      </c>
      <c r="E3" s="6">
        <f>IF(AND(D2="UP",testdataClose5[[#This Row],[close]]&gt;E2),testdataClose5[[#This Row],[close]],IF(AND(D2="DN",testdataClose5[[#This Row],[close]]&lt;E2),testdataClose5[[#This Row],[close]],E2))</f>
        <v>4258.32</v>
      </c>
      <c r="F3" s="11">
        <f>(testdataClose5[[#This Row],[close]]-testdataClose5[[#This Row],[hl]])/testdataClose5[[#This Row],[hl]]</f>
        <v>0</v>
      </c>
      <c r="G3" s="15">
        <f t="shared" ref="G3:G67" ca="1" si="0">AVERAGE(G2,G4)</f>
        <v>4254.4740371200314</v>
      </c>
      <c r="H3" s="6"/>
      <c r="K3" s="4">
        <v>1</v>
      </c>
      <c r="L3" s="27">
        <v>44496.104166666664</v>
      </c>
      <c r="M3" s="29">
        <v>4258.32</v>
      </c>
      <c r="O3" s="28">
        <v>5.4299999999999997E-4</v>
      </c>
    </row>
    <row r="4" spans="1:16" x14ac:dyDescent="0.35">
      <c r="A4" s="7">
        <v>2</v>
      </c>
      <c r="B4" s="3">
        <v>44496.107638888891</v>
      </c>
      <c r="C4" s="14">
        <v>4251.1000000000004</v>
      </c>
      <c r="D4" s="6" t="s">
        <v>10</v>
      </c>
      <c r="E4" s="6">
        <f>IF(AND(D3="UP",testdataClose5[[#This Row],[close]]&gt;E3),testdataClose5[[#This Row],[close]],IF(AND(D3="DN",testdataClose5[[#This Row],[close]]&lt;E3),testdataClose5[[#This Row],[close]],E3))</f>
        <v>4258.32</v>
      </c>
      <c r="F4" s="11">
        <f>(testdataClose5[[#This Row],[close]]-testdataClose5[[#This Row],[hl]])/testdataClose5[[#This Row],[hl]]</f>
        <v>-1.6955043303460862E-3</v>
      </c>
      <c r="G4" s="15">
        <f t="shared" ca="1" si="0"/>
        <v>4252.9380741927243</v>
      </c>
      <c r="H4" s="6"/>
      <c r="K4" s="4">
        <v>2</v>
      </c>
      <c r="L4" s="27">
        <v>44496.107638888891</v>
      </c>
      <c r="M4" s="29">
        <v>4251.1000000000004</v>
      </c>
      <c r="O4" s="28">
        <v>-1.1540000000000001E-3</v>
      </c>
    </row>
    <row r="5" spans="1:16" x14ac:dyDescent="0.35">
      <c r="A5" s="7">
        <v>3</v>
      </c>
      <c r="B5" s="3">
        <v>44496.111111111109</v>
      </c>
      <c r="C5" s="14">
        <v>4238.0200000000004</v>
      </c>
      <c r="D5" s="6" t="s">
        <v>10</v>
      </c>
      <c r="E5" s="6">
        <f>IF(AND(D4="UP",testdataClose5[[#This Row],[close]]&gt;E4),testdataClose5[[#This Row],[close]],IF(AND(D4="DN",testdataClose5[[#This Row],[close]]&lt;E4),testdataClose5[[#This Row],[close]],E4))</f>
        <v>4258.32</v>
      </c>
      <c r="F5" s="11">
        <f>(testdataClose5[[#This Row],[close]]-testdataClose5[[#This Row],[hl]])/testdataClose5[[#This Row],[hl]]</f>
        <v>-4.7671382141312238E-3</v>
      </c>
      <c r="G5" s="15">
        <f t="shared" ca="1" si="0"/>
        <v>4251.4021111944276</v>
      </c>
      <c r="H5" s="6"/>
      <c r="K5" s="4">
        <v>3</v>
      </c>
      <c r="L5" s="27">
        <v>44496.111111111109</v>
      </c>
      <c r="M5" s="29">
        <v>4238.0200000000004</v>
      </c>
      <c r="O5" s="28">
        <v>-4.2269999999999999E-3</v>
      </c>
    </row>
    <row r="6" spans="1:16" x14ac:dyDescent="0.35">
      <c r="A6" s="7">
        <v>4</v>
      </c>
      <c r="B6" s="3">
        <v>44496.114583333336</v>
      </c>
      <c r="C6" s="14">
        <v>4239.1000000000004</v>
      </c>
      <c r="D6" s="6" t="s">
        <v>10</v>
      </c>
      <c r="E6" s="6">
        <f>IF(AND(D5="UP",testdataClose5[[#This Row],[close]]&gt;E5),testdataClose5[[#This Row],[close]],IF(AND(D5="DN",testdataClose5[[#This Row],[close]]&lt;E5),testdataClose5[[#This Row],[close]],E5))</f>
        <v>4258.32</v>
      </c>
      <c r="F6" s="11">
        <f>(testdataClose5[[#This Row],[close]]-testdataClose5[[#This Row],[hl]])/testdataClose5[[#This Row],[hl]]</f>
        <v>-4.5135170677636591E-3</v>
      </c>
      <c r="G6" s="15">
        <f t="shared" ca="1" si="0"/>
        <v>4249.8661481015106</v>
      </c>
      <c r="H6" s="6"/>
      <c r="K6" s="4">
        <v>4</v>
      </c>
      <c r="L6" s="27">
        <v>44496.114583333336</v>
      </c>
      <c r="M6" s="29">
        <v>4239.1000000000004</v>
      </c>
      <c r="O6" s="28">
        <v>-3.973E-3</v>
      </c>
    </row>
    <row r="7" spans="1:16" x14ac:dyDescent="0.35">
      <c r="A7" s="7">
        <v>5</v>
      </c>
      <c r="B7" s="3">
        <v>44496.118055555555</v>
      </c>
      <c r="C7" s="14">
        <v>4243.1099999999997</v>
      </c>
      <c r="D7" s="6" t="s">
        <v>10</v>
      </c>
      <c r="E7" s="6">
        <f>IF(AND(D6="UP",testdataClose5[[#This Row],[close]]&gt;E6),testdataClose5[[#This Row],[close]],IF(AND(D6="DN",testdataClose5[[#This Row],[close]]&lt;E6),testdataClose5[[#This Row],[close]],E6))</f>
        <v>4258.32</v>
      </c>
      <c r="F7" s="11">
        <f>(testdataClose5[[#This Row],[close]]-testdataClose5[[#This Row],[hl]])/testdataClose5[[#This Row],[hl]]</f>
        <v>-3.5718311446767828E-3</v>
      </c>
      <c r="G7" s="15">
        <f t="shared" ca="1" si="0"/>
        <v>4248.3301848903648</v>
      </c>
      <c r="H7" s="6"/>
      <c r="K7" s="4">
        <v>5</v>
      </c>
      <c r="L7" s="27">
        <v>44496.118055555555</v>
      </c>
      <c r="M7" s="29">
        <v>4243.1099999999997</v>
      </c>
      <c r="O7" s="28">
        <v>-3.0309999999999998E-3</v>
      </c>
    </row>
    <row r="8" spans="1:16" x14ac:dyDescent="0.35">
      <c r="A8" s="7">
        <v>6</v>
      </c>
      <c r="B8" s="3">
        <v>44496.121527777781</v>
      </c>
      <c r="C8" s="14">
        <v>4241.79</v>
      </c>
      <c r="D8" s="6" t="s">
        <v>10</v>
      </c>
      <c r="E8" s="6">
        <f>IF(AND(D7="UP",testdataClose5[[#This Row],[close]]&gt;E7),testdataClose5[[#This Row],[close]],IF(AND(D7="DN",testdataClose5[[#This Row],[close]]&lt;E7),testdataClose5[[#This Row],[close]],E7))</f>
        <v>4258.32</v>
      </c>
      <c r="F8" s="11">
        <f>(testdataClose5[[#This Row],[close]]-testdataClose5[[#This Row],[hl]])/testdataClose5[[#This Row],[hl]]</f>
        <v>-3.8818125457926473E-3</v>
      </c>
      <c r="G8" s="15">
        <f t="shared" ca="1" si="0"/>
        <v>4246.7942215374114</v>
      </c>
      <c r="H8" s="6"/>
      <c r="K8" s="4">
        <v>6</v>
      </c>
      <c r="L8" s="27">
        <v>44496.121527777781</v>
      </c>
      <c r="M8" s="29">
        <v>4241.79</v>
      </c>
      <c r="O8" s="28">
        <v>-3.3409999999999998E-3</v>
      </c>
    </row>
    <row r="9" spans="1:16" x14ac:dyDescent="0.35">
      <c r="A9" s="7">
        <v>7</v>
      </c>
      <c r="B9" s="3">
        <v>44496.125</v>
      </c>
      <c r="C9" s="14">
        <v>4226.97</v>
      </c>
      <c r="D9" s="6" t="s">
        <v>10</v>
      </c>
      <c r="E9" s="6">
        <f>IF(AND(D8="UP",testdataClose5[[#This Row],[close]]&gt;E8),testdataClose5[[#This Row],[close]],IF(AND(D8="DN",testdataClose5[[#This Row],[close]]&lt;E8),testdataClose5[[#This Row],[close]],E8))</f>
        <v>4258.32</v>
      </c>
      <c r="F9" s="11">
        <f>(testdataClose5[[#This Row],[close]]-testdataClose5[[#This Row],[hl]])/testdataClose5[[#This Row],[hl]]</f>
        <v>-7.3620582765032824E-3</v>
      </c>
      <c r="G9" s="15">
        <f t="shared" ca="1" si="0"/>
        <v>4245.2582580191047</v>
      </c>
      <c r="H9" s="6"/>
      <c r="K9" s="4">
        <v>7</v>
      </c>
      <c r="L9" s="27">
        <v>44496.125</v>
      </c>
      <c r="M9" s="29">
        <v>4226.97</v>
      </c>
      <c r="O9" s="28">
        <v>-6.8230000000000001E-3</v>
      </c>
    </row>
    <row r="10" spans="1:16" x14ac:dyDescent="0.35">
      <c r="A10" s="7">
        <v>8</v>
      </c>
      <c r="B10" s="3">
        <v>44496.128472222219</v>
      </c>
      <c r="C10" s="14">
        <v>4233.3599999999997</v>
      </c>
      <c r="D10" s="6" t="s">
        <v>10</v>
      </c>
      <c r="E10" s="6">
        <f>IF(AND(D9="UP",testdataClose5[[#This Row],[close]]&gt;E9),testdataClose5[[#This Row],[close]],IF(AND(D9="DN",testdataClose5[[#This Row],[close]]&lt;E9),testdataClose5[[#This Row],[close]],E9))</f>
        <v>4258.32</v>
      </c>
      <c r="F10" s="11">
        <f>(testdataClose5[[#This Row],[close]]-testdataClose5[[#This Row],[hl]])/testdataClose5[[#This Row],[hl]]</f>
        <v>-5.8614664938285614E-3</v>
      </c>
      <c r="G10" s="15">
        <f t="shared" ca="1" si="0"/>
        <v>4243.7222943119359</v>
      </c>
      <c r="H10" s="6"/>
      <c r="K10" s="4">
        <v>8</v>
      </c>
      <c r="L10" s="27">
        <v>44496.128472222219</v>
      </c>
      <c r="M10" s="29">
        <v>4233.3599999999997</v>
      </c>
      <c r="O10" s="28">
        <v>-5.3220000000000003E-3</v>
      </c>
    </row>
    <row r="11" spans="1:16" x14ac:dyDescent="0.35">
      <c r="A11" s="7">
        <v>9</v>
      </c>
      <c r="B11" s="3">
        <v>44496.131944444445</v>
      </c>
      <c r="C11" s="14">
        <v>4228.21</v>
      </c>
      <c r="D11" s="6" t="s">
        <v>10</v>
      </c>
      <c r="E11" s="6">
        <f>IF(AND(D10="UP",testdataClose5[[#This Row],[close]]&gt;E10),testdataClose5[[#This Row],[close]],IF(AND(D10="DN",testdataClose5[[#This Row],[close]]&lt;E10),testdataClose5[[#This Row],[close]],E10))</f>
        <v>4258.32</v>
      </c>
      <c r="F11" s="11">
        <f>(testdataClose5[[#This Row],[close]]-testdataClose5[[#This Row],[hl]])/testdataClose5[[#This Row],[hl]]</f>
        <v>-7.0708636269701843E-3</v>
      </c>
      <c r="G11" s="15">
        <f t="shared" ca="1" si="0"/>
        <v>4242.1863303924383</v>
      </c>
      <c r="H11" s="6"/>
      <c r="K11" s="4">
        <v>9</v>
      </c>
      <c r="L11" s="27">
        <v>44496.131944444445</v>
      </c>
      <c r="M11" s="29">
        <v>4228.21</v>
      </c>
      <c r="O11" s="28">
        <v>-6.5319999999999996E-3</v>
      </c>
    </row>
    <row r="12" spans="1:16" x14ac:dyDescent="0.35">
      <c r="A12" s="7">
        <v>10</v>
      </c>
      <c r="B12" s="3">
        <v>44496.135416666664</v>
      </c>
      <c r="C12" s="14">
        <v>4224.53</v>
      </c>
      <c r="D12" s="6" t="s">
        <v>10</v>
      </c>
      <c r="E12" s="6">
        <f>IF(AND(D11="UP",testdataClose5[[#This Row],[close]]&gt;E11),testdataClose5[[#This Row],[close]],IF(AND(D11="DN",testdataClose5[[#This Row],[close]]&lt;E11),testdataClose5[[#This Row],[close]],E11))</f>
        <v>4258.32</v>
      </c>
      <c r="F12" s="11">
        <f>(testdataClose5[[#This Row],[close]]-testdataClose5[[#This Row],[hl]])/testdataClose5[[#This Row],[hl]]</f>
        <v>-7.9350541997783089E-3</v>
      </c>
      <c r="G12" s="15">
        <f t="shared" ca="1" si="0"/>
        <v>4240.6503662371942</v>
      </c>
      <c r="H12" s="6"/>
      <c r="K12" s="4">
        <v>10</v>
      </c>
      <c r="L12" s="27">
        <v>44496.135416666664</v>
      </c>
      <c r="M12" s="29">
        <v>4224.53</v>
      </c>
      <c r="O12" s="28">
        <v>-7.3969999999999999E-3</v>
      </c>
    </row>
    <row r="13" spans="1:16" x14ac:dyDescent="0.35">
      <c r="A13" s="7">
        <v>11</v>
      </c>
      <c r="B13" s="3">
        <v>44496.138888888891</v>
      </c>
      <c r="C13" s="14">
        <v>4221.99</v>
      </c>
      <c r="D13" s="6" t="s">
        <v>10</v>
      </c>
      <c r="E13" s="6">
        <f>IF(AND(D12="UP",testdataClose5[[#This Row],[close]]&gt;E12),testdataClose5[[#This Row],[close]],IF(AND(D12="DN",testdataClose5[[#This Row],[close]]&lt;E12),testdataClose5[[#This Row],[close]],E12))</f>
        <v>4258.32</v>
      </c>
      <c r="F13" s="11">
        <f>(testdataClose5[[#This Row],[close]]-testdataClose5[[#This Row],[hl]])/testdataClose5[[#This Row],[hl]]</f>
        <v>-8.5315335625316853E-3</v>
      </c>
      <c r="G13" s="15">
        <f t="shared" ca="1" si="0"/>
        <v>4239.114401822837</v>
      </c>
      <c r="H13" s="6"/>
      <c r="K13" s="4">
        <v>11</v>
      </c>
      <c r="L13" s="27">
        <v>44496.138888888891</v>
      </c>
      <c r="M13" s="29">
        <v>4221.99</v>
      </c>
      <c r="O13" s="28">
        <v>-7.9930000000000001E-3</v>
      </c>
    </row>
    <row r="14" spans="1:16" x14ac:dyDescent="0.35">
      <c r="A14" s="7">
        <v>12</v>
      </c>
      <c r="B14" s="3">
        <v>44496.142361111109</v>
      </c>
      <c r="C14" s="14">
        <v>4206</v>
      </c>
      <c r="D14" s="6" t="s">
        <v>10</v>
      </c>
      <c r="E14" s="6">
        <f>IF(AND(D13="UP",testdataClose5[[#This Row],[close]]&gt;E13),testdataClose5[[#This Row],[close]],IF(AND(D13="DN",testdataClose5[[#This Row],[close]]&lt;E13),testdataClose5[[#This Row],[close]],E13))</f>
        <v>4258.32</v>
      </c>
      <c r="F14" s="11">
        <f>(testdataClose5[[#This Row],[close]]-testdataClose5[[#This Row],[hl]])/testdataClose5[[#This Row],[hl]]</f>
        <v>-1.2286535535140551E-2</v>
      </c>
      <c r="G14" s="15">
        <f t="shared" ca="1" si="0"/>
        <v>4237.5784371260552</v>
      </c>
      <c r="H14" s="6"/>
      <c r="K14" s="4">
        <v>12</v>
      </c>
      <c r="L14" s="27">
        <v>44496.142361111109</v>
      </c>
      <c r="M14" s="29">
        <v>4206</v>
      </c>
      <c r="O14" s="28">
        <v>-1.175E-2</v>
      </c>
    </row>
    <row r="15" spans="1:16" x14ac:dyDescent="0.35">
      <c r="A15" s="7">
        <v>13</v>
      </c>
      <c r="B15" s="3">
        <v>44496.145833333336</v>
      </c>
      <c r="C15" s="14">
        <v>4197.9799999999996</v>
      </c>
      <c r="D15" s="6" t="s">
        <v>10</v>
      </c>
      <c r="E15" s="6">
        <f>IF(AND(D14="UP",testdataClose5[[#This Row],[close]]&gt;E14),testdataClose5[[#This Row],[close]],IF(AND(D14="DN",testdataClose5[[#This Row],[close]]&lt;E14),testdataClose5[[#This Row],[close]],E14))</f>
        <v>4258.32</v>
      </c>
      <c r="F15" s="11">
        <f>(testdataClose5[[#This Row],[close]]-testdataClose5[[#This Row],[hl]])/testdataClose5[[#This Row],[hl]]</f>
        <v>-1.4169907381314732E-2</v>
      </c>
      <c r="G15" s="15">
        <f t="shared" ca="1" si="0"/>
        <v>4236.0424721235995</v>
      </c>
      <c r="H15" s="6"/>
      <c r="K15" s="4">
        <v>13</v>
      </c>
      <c r="L15" s="27">
        <v>44496.145833333336</v>
      </c>
      <c r="M15" s="29">
        <v>4197.9799999999996</v>
      </c>
      <c r="O15" s="28">
        <v>-1.3635E-2</v>
      </c>
    </row>
    <row r="16" spans="1:16" x14ac:dyDescent="0.35">
      <c r="A16" s="7">
        <v>14</v>
      </c>
      <c r="B16" s="3">
        <v>44496.149305555555</v>
      </c>
      <c r="C16" s="14">
        <v>4168.01</v>
      </c>
      <c r="D16" s="6" t="s">
        <v>10</v>
      </c>
      <c r="E16" s="6">
        <f>IF(AND(D15="UP",testdataClose5[[#This Row],[close]]&gt;E15),testdataClose5[[#This Row],[close]],IF(AND(D15="DN",testdataClose5[[#This Row],[close]]&lt;E15),testdataClose5[[#This Row],[close]],E15))</f>
        <v>4258.32</v>
      </c>
      <c r="F16" s="11">
        <f>(testdataClose5[[#This Row],[close]]-testdataClose5[[#This Row],[hl]])/testdataClose5[[#This Row],[hl]]</f>
        <v>-2.1207894193014967E-2</v>
      </c>
      <c r="G16" s="15">
        <f t="shared" ca="1" si="0"/>
        <v>4234.5065067922887</v>
      </c>
      <c r="H16" s="6"/>
      <c r="K16" s="4">
        <v>14</v>
      </c>
      <c r="L16" s="27">
        <v>44496.149305555555</v>
      </c>
      <c r="M16" s="29">
        <v>4168.01</v>
      </c>
      <c r="O16" s="28">
        <v>-2.0677000000000001E-2</v>
      </c>
    </row>
    <row r="17" spans="1:15" x14ac:dyDescent="0.35">
      <c r="A17" s="7">
        <v>15</v>
      </c>
      <c r="B17" s="3">
        <v>44496.152777777781</v>
      </c>
      <c r="C17" s="14">
        <v>4162.32</v>
      </c>
      <c r="D17" s="6" t="s">
        <v>10</v>
      </c>
      <c r="E17" s="6">
        <f>IF(AND(D16="UP",testdataClose5[[#This Row],[close]]&gt;E16),testdataClose5[[#This Row],[close]],IF(AND(D16="DN",testdataClose5[[#This Row],[close]]&lt;E16),testdataClose5[[#This Row],[close]],E16))</f>
        <v>4258.32</v>
      </c>
      <c r="F17" s="11">
        <f>(testdataClose5[[#This Row],[close]]-testdataClose5[[#This Row],[hl]])/testdataClose5[[#This Row],[hl]]</f>
        <v>-2.2544101899340585E-2</v>
      </c>
      <c r="G17" s="15">
        <f t="shared" ca="1" si="0"/>
        <v>4232.970541109009</v>
      </c>
      <c r="H17" s="6"/>
      <c r="K17" s="4">
        <v>15</v>
      </c>
      <c r="L17" s="27">
        <v>44496.152777777781</v>
      </c>
      <c r="M17" s="29">
        <v>4162.32</v>
      </c>
      <c r="O17" s="28">
        <v>-2.2013999999999999E-2</v>
      </c>
    </row>
    <row r="18" spans="1:15" x14ac:dyDescent="0.35">
      <c r="A18" s="7">
        <v>16</v>
      </c>
      <c r="B18" s="3">
        <v>44496.15625</v>
      </c>
      <c r="C18" s="14">
        <v>4149.55</v>
      </c>
      <c r="D18" s="6" t="s">
        <v>10</v>
      </c>
      <c r="E18" s="6">
        <f>IF(AND(D17="UP",testdataClose5[[#This Row],[close]]&gt;E17),testdataClose5[[#This Row],[close]],IF(AND(D17="DN",testdataClose5[[#This Row],[close]]&lt;E17),testdataClose5[[#This Row],[close]],E17))</f>
        <v>4258.32</v>
      </c>
      <c r="F18" s="11">
        <f>(testdataClose5[[#This Row],[close]]-testdataClose5[[#This Row],[hl]])/testdataClose5[[#This Row],[hl]]</f>
        <v>-2.5542937120742341E-2</v>
      </c>
      <c r="G18" s="15">
        <f t="shared" ca="1" si="0"/>
        <v>4231.4345750507237</v>
      </c>
      <c r="H18" s="6"/>
      <c r="K18" s="4">
        <v>16</v>
      </c>
      <c r="L18" s="27">
        <v>44496.15625</v>
      </c>
      <c r="M18" s="29">
        <v>4149.55</v>
      </c>
      <c r="O18" s="28">
        <v>-2.5014000000000002E-2</v>
      </c>
    </row>
    <row r="19" spans="1:15" x14ac:dyDescent="0.35">
      <c r="A19" s="7">
        <v>17</v>
      </c>
      <c r="B19" s="3">
        <v>44496.159722222219</v>
      </c>
      <c r="C19" s="14">
        <v>4140</v>
      </c>
      <c r="D19" s="6" t="s">
        <v>10</v>
      </c>
      <c r="E19" s="6">
        <f>IF(AND(D18="UP",testdataClose5[[#This Row],[close]]&gt;E18),testdataClose5[[#This Row],[close]],IF(AND(D18="DN",testdataClose5[[#This Row],[close]]&lt;E18),testdataClose5[[#This Row],[close]],E18))</f>
        <v>4258.32</v>
      </c>
      <c r="F19" s="11">
        <f>(testdataClose5[[#This Row],[close]]-testdataClose5[[#This Row],[hl]])/testdataClose5[[#This Row],[hl]]</f>
        <v>-2.7785605590937203E-2</v>
      </c>
      <c r="G19" s="15">
        <f t="shared" ca="1" si="0"/>
        <v>4229.8986085944734</v>
      </c>
      <c r="H19" s="6"/>
      <c r="K19" s="4">
        <v>17</v>
      </c>
      <c r="L19" s="27">
        <v>44496.159722222219</v>
      </c>
      <c r="M19" s="29">
        <v>4140</v>
      </c>
      <c r="O19" s="28">
        <v>-2.7258000000000001E-2</v>
      </c>
    </row>
    <row r="20" spans="1:15" x14ac:dyDescent="0.35">
      <c r="A20" s="7">
        <v>18</v>
      </c>
      <c r="B20" s="3">
        <v>44496.163194444445</v>
      </c>
      <c r="C20" s="14">
        <v>4135.62</v>
      </c>
      <c r="D20" s="6" t="s">
        <v>10</v>
      </c>
      <c r="E20" s="6">
        <f>IF(AND(D19="UP",testdataClose5[[#This Row],[close]]&gt;E19),testdataClose5[[#This Row],[close]],IF(AND(D19="DN",testdataClose5[[#This Row],[close]]&lt;E19),testdataClose5[[#This Row],[close]],E19))</f>
        <v>4258.32</v>
      </c>
      <c r="F20" s="11">
        <f>(testdataClose5[[#This Row],[close]]-testdataClose5[[#This Row],[hl]])/testdataClose5[[#This Row],[hl]]</f>
        <v>-2.8814180240094644E-2</v>
      </c>
      <c r="G20" s="15">
        <f t="shared" ca="1" si="0"/>
        <v>4228.3626417173855</v>
      </c>
      <c r="H20" s="6"/>
      <c r="K20" s="4">
        <v>18</v>
      </c>
      <c r="L20" s="27">
        <v>44496.163194444445</v>
      </c>
      <c r="M20" s="29">
        <v>4135.62</v>
      </c>
      <c r="O20" s="28">
        <v>-2.8287E-2</v>
      </c>
    </row>
    <row r="21" spans="1:15" x14ac:dyDescent="0.35">
      <c r="A21" s="7">
        <v>19</v>
      </c>
      <c r="B21" s="3">
        <v>44496.166666666664</v>
      </c>
      <c r="C21" s="14">
        <v>4035.12</v>
      </c>
      <c r="D21" s="6" t="s">
        <v>12</v>
      </c>
      <c r="E21" s="6">
        <f>IF(AND(D20="UP",testdataClose5[[#This Row],[close]]&gt;E20),testdataClose5[[#This Row],[close]],IF(AND(D20="DN",testdataClose5[[#This Row],[close]]&lt;E20),testdataClose5[[#This Row],[close]],E20))</f>
        <v>4258.32</v>
      </c>
      <c r="F21" s="11">
        <f>(testdataClose5[[#This Row],[close]]-testdataClose5[[#This Row],[hl]])/testdataClose5[[#This Row],[hl]]</f>
        <v>-5.2415036915966821E-2</v>
      </c>
      <c r="G21" s="15">
        <f t="shared" ca="1" si="0"/>
        <v>4226.8266743966751</v>
      </c>
      <c r="H21" s="6"/>
      <c r="K21" s="4">
        <v>19</v>
      </c>
      <c r="L21" s="27">
        <v>44496.166666666664</v>
      </c>
      <c r="M21" s="29">
        <v>4035.12</v>
      </c>
      <c r="O21" s="28">
        <v>-5.1901000000000003E-2</v>
      </c>
    </row>
    <row r="22" spans="1:15" x14ac:dyDescent="0.35">
      <c r="A22" s="7">
        <v>20</v>
      </c>
      <c r="B22" s="3">
        <v>44496.170138888891</v>
      </c>
      <c r="C22" s="14">
        <v>3945.96</v>
      </c>
      <c r="D22" s="6" t="s">
        <v>12</v>
      </c>
      <c r="E22" s="6">
        <f>IF(AND(D21="UP",testdataClose5[[#This Row],[close]]&gt;E21),testdataClose5[[#This Row],[close]],IF(AND(D21="DN",testdataClose5[[#This Row],[close]]&lt;E21),testdataClose5[[#This Row],[close]],E21))</f>
        <v>3945.96</v>
      </c>
      <c r="F22" s="11">
        <f>(testdataClose5[[#This Row],[close]]-testdataClose5[[#This Row],[hl]])/testdataClose5[[#This Row],[hl]]</f>
        <v>0</v>
      </c>
      <c r="G22" s="15">
        <f t="shared" ca="1" si="0"/>
        <v>4225.2907066096523</v>
      </c>
      <c r="H22" s="6"/>
      <c r="K22" s="4">
        <v>20</v>
      </c>
      <c r="L22" s="27">
        <v>44496.170138888891</v>
      </c>
      <c r="M22" s="29">
        <v>3945.96</v>
      </c>
      <c r="O22" s="28">
        <v>-7.2849999999999998E-2</v>
      </c>
    </row>
    <row r="23" spans="1:15" x14ac:dyDescent="0.35">
      <c r="A23" s="7">
        <v>21</v>
      </c>
      <c r="B23" s="3">
        <v>44496.173611111109</v>
      </c>
      <c r="C23" s="14">
        <v>4035</v>
      </c>
      <c r="D23" s="6" t="s">
        <v>12</v>
      </c>
      <c r="E23" s="6">
        <f>IF(AND(D22="UP",testdataClose5[[#This Row],[close]]&gt;E22),testdataClose5[[#This Row],[close]],IF(AND(D22="DN",testdataClose5[[#This Row],[close]]&lt;E22),testdataClose5[[#This Row],[close]],E22))</f>
        <v>3945.96</v>
      </c>
      <c r="F23" s="11">
        <f>(testdataClose5[[#This Row],[close]]-testdataClose5[[#This Row],[hl]])/testdataClose5[[#This Row],[hl]]</f>
        <v>2.2564851138886344E-2</v>
      </c>
      <c r="G23" s="15">
        <f t="shared" ca="1" si="0"/>
        <v>4223.7547383337223</v>
      </c>
      <c r="H23" s="6"/>
      <c r="K23" s="4">
        <v>21</v>
      </c>
      <c r="L23" s="27">
        <v>44496.173611111109</v>
      </c>
      <c r="M23" s="29">
        <v>4035</v>
      </c>
      <c r="O23" s="28">
        <v>-5.1929000000000003E-2</v>
      </c>
    </row>
    <row r="24" spans="1:15" x14ac:dyDescent="0.35">
      <c r="A24" s="7">
        <v>22</v>
      </c>
      <c r="B24" s="3">
        <v>44496.177083333336</v>
      </c>
      <c r="C24" s="14">
        <v>4013.36</v>
      </c>
      <c r="D24" s="6" t="s">
        <v>12</v>
      </c>
      <c r="E24" s="6">
        <f>IF(AND(D23="UP",testdataClose5[[#This Row],[close]]&gt;E23),testdataClose5[[#This Row],[close]],IF(AND(D23="DN",testdataClose5[[#This Row],[close]]&lt;E23),testdataClose5[[#This Row],[close]],E23))</f>
        <v>3945.96</v>
      </c>
      <c r="F24" s="11">
        <f>(testdataClose5[[#This Row],[close]]-testdataClose5[[#This Row],[hl]])/testdataClose5[[#This Row],[hl]]</f>
        <v>1.7080761082220827E-2</v>
      </c>
      <c r="G24" s="15">
        <f t="shared" ca="1" si="0"/>
        <v>4222.2187695463945</v>
      </c>
      <c r="H24" s="6"/>
      <c r="K24" s="4">
        <v>22</v>
      </c>
      <c r="L24" s="27">
        <v>44496.177083333336</v>
      </c>
      <c r="M24" s="29">
        <v>4013.36</v>
      </c>
      <c r="O24" s="28">
        <v>-5.7013000000000001E-2</v>
      </c>
    </row>
    <row r="25" spans="1:15" x14ac:dyDescent="0.35">
      <c r="A25" s="7">
        <v>23</v>
      </c>
      <c r="B25" s="3">
        <v>44496.180555555555</v>
      </c>
      <c r="C25" s="14">
        <v>4028</v>
      </c>
      <c r="D25" s="6" t="s">
        <v>12</v>
      </c>
      <c r="E25" s="6">
        <f>IF(AND(D24="UP",testdataClose5[[#This Row],[close]]&gt;E24),testdataClose5[[#This Row],[close]],IF(AND(D24="DN",testdataClose5[[#This Row],[close]]&lt;E24),testdataClose5[[#This Row],[close]],E24))</f>
        <v>3945.96</v>
      </c>
      <c r="F25" s="11">
        <f>(testdataClose5[[#This Row],[close]]-testdataClose5[[#This Row],[hl]])/testdataClose5[[#This Row],[hl]]</f>
        <v>2.0790884854382703E-2</v>
      </c>
      <c r="G25" s="15">
        <f t="shared" ca="1" si="0"/>
        <v>4220.6828002252842</v>
      </c>
      <c r="H25" s="6"/>
      <c r="K25" s="4">
        <v>23</v>
      </c>
      <c r="L25" s="27">
        <v>44496.180555555555</v>
      </c>
      <c r="M25" s="29">
        <v>4028</v>
      </c>
      <c r="O25" s="28">
        <v>-5.3573999999999997E-2</v>
      </c>
    </row>
    <row r="26" spans="1:15" x14ac:dyDescent="0.35">
      <c r="A26" s="7">
        <v>24</v>
      </c>
      <c r="B26" s="3">
        <v>44496.184027777781</v>
      </c>
      <c r="C26" s="14">
        <v>4045.53</v>
      </c>
      <c r="D26" s="6" t="s">
        <v>12</v>
      </c>
      <c r="E26" s="6">
        <f>IF(AND(D25="UP",testdataClose5[[#This Row],[close]]&gt;E25),testdataClose5[[#This Row],[close]],IF(AND(D25="DN",testdataClose5[[#This Row],[close]]&lt;E25),testdataClose5[[#This Row],[close]],E25))</f>
        <v>3945.96</v>
      </c>
      <c r="F26" s="11">
        <f>(testdataClose5[[#This Row],[close]]-testdataClose5[[#This Row],[hl]])/testdataClose5[[#This Row],[hl]]</f>
        <v>2.5233403278289736E-2</v>
      </c>
      <c r="G26" s="15">
        <f t="shared" ca="1" si="0"/>
        <v>4219.1468303481197</v>
      </c>
      <c r="H26" s="6"/>
      <c r="K26" s="4">
        <v>24</v>
      </c>
      <c r="L26" s="27">
        <v>44496.184027777781</v>
      </c>
      <c r="M26" s="29">
        <v>4045.53</v>
      </c>
      <c r="O26" s="28">
        <v>-4.9454999999999999E-2</v>
      </c>
    </row>
    <row r="27" spans="1:15" x14ac:dyDescent="0.35">
      <c r="A27" s="7">
        <v>25</v>
      </c>
      <c r="B27" s="3">
        <v>44496.1875</v>
      </c>
      <c r="C27" s="14">
        <v>4051.12</v>
      </c>
      <c r="D27" s="6" t="s">
        <v>12</v>
      </c>
      <c r="E27" s="6">
        <f>IF(AND(D26="UP",testdataClose5[[#This Row],[close]]&gt;E26),testdataClose5[[#This Row],[close]],IF(AND(D26="DN",testdataClose5[[#This Row],[close]]&lt;E26),testdataClose5[[#This Row],[close]],E26))</f>
        <v>3945.96</v>
      </c>
      <c r="F27" s="11">
        <f>(testdataClose5[[#This Row],[close]]-testdataClose5[[#This Row],[hl]])/testdataClose5[[#This Row],[hl]]</f>
        <v>2.6650042068343281E-2</v>
      </c>
      <c r="G27" s="15">
        <f t="shared" ca="1" si="0"/>
        <v>4217.610859892744</v>
      </c>
      <c r="H27" s="6"/>
      <c r="K27" s="4">
        <v>25</v>
      </c>
      <c r="L27" s="27">
        <v>44496.1875</v>
      </c>
      <c r="M27" s="29">
        <v>4051.12</v>
      </c>
      <c r="O27" s="28">
        <v>-4.8141000000000003E-2</v>
      </c>
    </row>
    <row r="28" spans="1:15" x14ac:dyDescent="0.35">
      <c r="A28" s="7">
        <v>26</v>
      </c>
      <c r="B28" s="3">
        <v>44496.190972222219</v>
      </c>
      <c r="C28" s="14">
        <v>4057.13</v>
      </c>
      <c r="D28" s="6" t="s">
        <v>12</v>
      </c>
      <c r="E28" s="6">
        <f>IF(AND(D27="UP",testdataClose5[[#This Row],[close]]&gt;E27),testdataClose5[[#This Row],[close]],IF(AND(D27="DN",testdataClose5[[#This Row],[close]]&lt;E27),testdataClose5[[#This Row],[close]],E27))</f>
        <v>3945.96</v>
      </c>
      <c r="F28" s="11">
        <f>(testdataClose5[[#This Row],[close]]-testdataClose5[[#This Row],[hl]])/testdataClose5[[#This Row],[hl]]</f>
        <v>2.8173118835467179E-2</v>
      </c>
      <c r="G28" s="15">
        <f t="shared" ca="1" si="0"/>
        <v>4216.0748888371199</v>
      </c>
      <c r="H28" s="6"/>
      <c r="K28" s="4">
        <v>26</v>
      </c>
      <c r="L28" s="27">
        <v>44496.190972222219</v>
      </c>
      <c r="M28" s="29">
        <v>4057.13</v>
      </c>
      <c r="O28" s="28">
        <v>-4.6729E-2</v>
      </c>
    </row>
    <row r="29" spans="1:15" x14ac:dyDescent="0.35">
      <c r="A29" s="7">
        <v>27</v>
      </c>
      <c r="B29" s="3">
        <v>44496.194444444445</v>
      </c>
      <c r="C29" s="14">
        <v>4034.67</v>
      </c>
      <c r="D29" s="6" t="s">
        <v>12</v>
      </c>
      <c r="E29" s="6">
        <f>IF(AND(D28="UP",testdataClose5[[#This Row],[close]]&gt;E28),testdataClose5[[#This Row],[close]],IF(AND(D28="DN",testdataClose5[[#This Row],[close]]&lt;E28),testdataClose5[[#This Row],[close]],E28))</f>
        <v>3945.96</v>
      </c>
      <c r="F29" s="11">
        <f>(testdataClose5[[#This Row],[close]]-testdataClose5[[#This Row],[hl]])/testdataClose5[[#This Row],[hl]]</f>
        <v>2.2481221299759765E-2</v>
      </c>
      <c r="G29" s="15">
        <f t="shared" ca="1" si="0"/>
        <v>4214.5389171593361</v>
      </c>
      <c r="H29" s="6"/>
      <c r="K29" s="4">
        <v>27</v>
      </c>
      <c r="L29" s="27">
        <v>44496.194444444445</v>
      </c>
      <c r="M29" s="29">
        <v>4034.67</v>
      </c>
      <c r="O29" s="28">
        <v>-5.2005999999999997E-2</v>
      </c>
    </row>
    <row r="30" spans="1:15" x14ac:dyDescent="0.35">
      <c r="A30" s="7">
        <v>28</v>
      </c>
      <c r="B30" s="3">
        <v>44496.197916666664</v>
      </c>
      <c r="C30" s="14">
        <v>4022.5</v>
      </c>
      <c r="D30" s="6" t="s">
        <v>12</v>
      </c>
      <c r="E30" s="6">
        <f>IF(AND(D29="UP",testdataClose5[[#This Row],[close]]&gt;E29),testdataClose5[[#This Row],[close]],IF(AND(D29="DN",testdataClose5[[#This Row],[close]]&lt;E29),testdataClose5[[#This Row],[close]],E29))</f>
        <v>3945.96</v>
      </c>
      <c r="F30" s="11">
        <f>(testdataClose5[[#This Row],[close]]-testdataClose5[[#This Row],[hl]])/testdataClose5[[#This Row],[hl]]</f>
        <v>1.9397054202272696E-2</v>
      </c>
      <c r="G30" s="15">
        <f t="shared" ca="1" si="0"/>
        <v>4213.0029448376099</v>
      </c>
      <c r="H30" s="6"/>
      <c r="K30" s="4">
        <v>28</v>
      </c>
      <c r="L30" s="27">
        <v>44496.197916666664</v>
      </c>
      <c r="M30" s="29">
        <v>4022.5</v>
      </c>
      <c r="O30" s="28">
        <v>-5.4865999999999998E-2</v>
      </c>
    </row>
    <row r="31" spans="1:15" x14ac:dyDescent="0.35">
      <c r="A31" s="7">
        <v>29</v>
      </c>
      <c r="B31" s="3">
        <v>44496.201388888891</v>
      </c>
      <c r="C31" s="14">
        <v>4034.46</v>
      </c>
      <c r="D31" s="6" t="s">
        <v>12</v>
      </c>
      <c r="E31" s="6">
        <f>IF(AND(D30="UP",testdataClose5[[#This Row],[close]]&gt;E30),testdataClose5[[#This Row],[close]],IF(AND(D30="DN",testdataClose5[[#This Row],[close]]&lt;E30),testdataClose5[[#This Row],[close]],E30))</f>
        <v>3945.96</v>
      </c>
      <c r="F31" s="11">
        <f>(testdataClose5[[#This Row],[close]]-testdataClose5[[#This Row],[hl]])/testdataClose5[[#This Row],[hl]]</f>
        <v>2.2428002311224646E-2</v>
      </c>
      <c r="G31" s="15">
        <f t="shared" ca="1" si="0"/>
        <v>4211.4669718502901</v>
      </c>
      <c r="H31" s="6"/>
      <c r="K31" s="4">
        <v>29</v>
      </c>
      <c r="L31" s="27">
        <v>44496.201388888891</v>
      </c>
      <c r="M31" s="29">
        <v>4034.46</v>
      </c>
      <c r="O31" s="28">
        <v>-5.2055999999999998E-2</v>
      </c>
    </row>
    <row r="32" spans="1:15" x14ac:dyDescent="0.35">
      <c r="A32" s="7">
        <v>30</v>
      </c>
      <c r="B32" s="3">
        <v>44496.204861111109</v>
      </c>
      <c r="C32" s="14">
        <v>4043.03</v>
      </c>
      <c r="D32" s="6" t="s">
        <v>12</v>
      </c>
      <c r="E32" s="6">
        <f>IF(AND(D31="UP",testdataClose5[[#This Row],[close]]&gt;E31),testdataClose5[[#This Row],[close]],IF(AND(D31="DN",testdataClose5[[#This Row],[close]]&lt;E31),testdataClose5[[#This Row],[close]],E31))</f>
        <v>3945.96</v>
      </c>
      <c r="F32" s="11">
        <f>(testdataClose5[[#This Row],[close]]-testdataClose5[[#This Row],[hl]])/testdataClose5[[#This Row],[hl]]</f>
        <v>2.4599843890967005E-2</v>
      </c>
      <c r="G32" s="15">
        <f t="shared" ca="1" si="0"/>
        <v>4209.9309981758661</v>
      </c>
      <c r="H32" s="6"/>
      <c r="K32" s="4">
        <v>30</v>
      </c>
      <c r="L32" s="27">
        <v>44496.204861111109</v>
      </c>
      <c r="M32" s="29">
        <v>4043.03</v>
      </c>
      <c r="O32" s="28">
        <v>-5.0042000000000003E-2</v>
      </c>
    </row>
    <row r="33" spans="1:15" x14ac:dyDescent="0.35">
      <c r="A33" s="7">
        <v>31</v>
      </c>
      <c r="B33" s="3">
        <v>44496.208333333336</v>
      </c>
      <c r="C33" s="14">
        <v>4041.94</v>
      </c>
      <c r="D33" s="6" t="s">
        <v>12</v>
      </c>
      <c r="E33" s="6">
        <f>IF(AND(D32="UP",testdataClose5[[#This Row],[close]]&gt;E32),testdataClose5[[#This Row],[close]],IF(AND(D32="DN",testdataClose5[[#This Row],[close]]&lt;E32),testdataClose5[[#This Row],[close]],E32))</f>
        <v>3945.96</v>
      </c>
      <c r="F33" s="11">
        <f>(testdataClose5[[#This Row],[close]]-testdataClose5[[#This Row],[hl]])/testdataClose5[[#This Row],[hl]]</f>
        <v>2.4323611998094258E-2</v>
      </c>
      <c r="G33" s="15">
        <f t="shared" ca="1" si="0"/>
        <v>4208.3950237929675</v>
      </c>
      <c r="H33" s="6"/>
      <c r="K33" s="4">
        <v>31</v>
      </c>
      <c r="L33" s="27">
        <v>44496.208333333336</v>
      </c>
      <c r="M33" s="29">
        <v>4041.94</v>
      </c>
      <c r="O33" s="28">
        <v>-5.0298000000000002E-2</v>
      </c>
    </row>
    <row r="34" spans="1:15" x14ac:dyDescent="0.35">
      <c r="A34" s="7">
        <v>32</v>
      </c>
      <c r="B34" s="3">
        <v>44496.211805555555</v>
      </c>
      <c r="C34" s="14">
        <v>4020.01</v>
      </c>
      <c r="D34" s="6" t="s">
        <v>12</v>
      </c>
      <c r="E34" s="6">
        <f>IF(AND(D33="UP",testdataClose5[[#This Row],[close]]&gt;E33),testdataClose5[[#This Row],[close]],IF(AND(D33="DN",testdataClose5[[#This Row],[close]]&lt;E33),testdataClose5[[#This Row],[close]],E33))</f>
        <v>3945.96</v>
      </c>
      <c r="F34" s="11">
        <f>(testdataClose5[[#This Row],[close]]-testdataClose5[[#This Row],[hl]])/testdataClose5[[#This Row],[hl]]</f>
        <v>1.876602905249931E-2</v>
      </c>
      <c r="G34" s="15">
        <f t="shared" ca="1" si="0"/>
        <v>4206.8590486803696</v>
      </c>
      <c r="H34" s="6"/>
      <c r="K34" s="4">
        <v>32</v>
      </c>
      <c r="L34" s="27">
        <v>44496.211805555555</v>
      </c>
      <c r="M34" s="29">
        <v>4020.01</v>
      </c>
      <c r="O34" s="28">
        <v>-5.5451E-2</v>
      </c>
    </row>
    <row r="35" spans="1:15" x14ac:dyDescent="0.35">
      <c r="A35" s="7">
        <v>33</v>
      </c>
      <c r="B35" s="3">
        <v>44496.215277777781</v>
      </c>
      <c r="C35" s="14">
        <v>4014</v>
      </c>
      <c r="D35" s="6" t="s">
        <v>12</v>
      </c>
      <c r="E35" s="6">
        <f>IF(AND(D34="UP",testdataClose5[[#This Row],[close]]&gt;E34),testdataClose5[[#This Row],[close]],IF(AND(D34="DN",testdataClose5[[#This Row],[close]]&lt;E34),testdataClose5[[#This Row],[close]],E34))</f>
        <v>3945.96</v>
      </c>
      <c r="F35" s="11">
        <f>(testdataClose5[[#This Row],[close]]-testdataClose5[[#This Row],[hl]])/testdataClose5[[#This Row],[hl]]</f>
        <v>1.7242952285375413E-2</v>
      </c>
      <c r="G35" s="15">
        <f t="shared" ca="1" si="0"/>
        <v>4205.3230728169983</v>
      </c>
      <c r="H35" s="6"/>
      <c r="K35" s="4">
        <v>33</v>
      </c>
      <c r="L35" s="27">
        <v>44496.215277777781</v>
      </c>
      <c r="M35" s="29">
        <v>4014</v>
      </c>
      <c r="O35" s="28">
        <v>-5.6862999999999997E-2</v>
      </c>
    </row>
    <row r="36" spans="1:15" x14ac:dyDescent="0.35">
      <c r="A36" s="7">
        <v>34</v>
      </c>
      <c r="B36" s="3">
        <v>44496.21875</v>
      </c>
      <c r="C36" s="14">
        <v>4012.11</v>
      </c>
      <c r="D36" s="6" t="s">
        <v>12</v>
      </c>
      <c r="E36" s="6">
        <f>IF(AND(D35="UP",testdataClose5[[#This Row],[close]]&gt;E35),testdataClose5[[#This Row],[close]],IF(AND(D35="DN",testdataClose5[[#This Row],[close]]&lt;E35),testdataClose5[[#This Row],[close]],E35))</f>
        <v>3945.96</v>
      </c>
      <c r="F36" s="11">
        <f>(testdataClose5[[#This Row],[close]]-testdataClose5[[#This Row],[hl]])/testdataClose5[[#This Row],[hl]]</f>
        <v>1.676398138855946E-2</v>
      </c>
      <c r="G36" s="15">
        <f t="shared" ca="1" si="0"/>
        <v>4203.7870961819344</v>
      </c>
      <c r="H36" s="6"/>
      <c r="K36" s="4">
        <v>34</v>
      </c>
      <c r="L36" s="27">
        <v>44496.21875</v>
      </c>
      <c r="M36" s="29">
        <v>4012.11</v>
      </c>
      <c r="O36" s="28">
        <v>-5.7306999999999997E-2</v>
      </c>
    </row>
    <row r="37" spans="1:15" x14ac:dyDescent="0.35">
      <c r="A37" s="7">
        <v>35</v>
      </c>
      <c r="B37" s="3">
        <v>44496.222222222219</v>
      </c>
      <c r="C37" s="14">
        <v>3996</v>
      </c>
      <c r="D37" s="6" t="s">
        <v>12</v>
      </c>
      <c r="E37" s="6">
        <f>IF(AND(D36="UP",testdataClose5[[#This Row],[close]]&gt;E36),testdataClose5[[#This Row],[close]],IF(AND(D36="DN",testdataClose5[[#This Row],[close]]&lt;E36),testdataClose5[[#This Row],[close]],E36))</f>
        <v>3945.96</v>
      </c>
      <c r="F37" s="11">
        <f>(testdataClose5[[#This Row],[close]]-testdataClose5[[#This Row],[hl]])/testdataClose5[[#This Row],[hl]]</f>
        <v>1.2681324696651756E-2</v>
      </c>
      <c r="G37" s="15">
        <f t="shared" ca="1" si="0"/>
        <v>4202.2511187544187</v>
      </c>
      <c r="H37" s="6"/>
      <c r="K37" s="4">
        <v>35</v>
      </c>
      <c r="L37" s="27">
        <v>44496.222222222219</v>
      </c>
      <c r="M37" s="29">
        <v>3996</v>
      </c>
      <c r="O37" s="28">
        <v>-6.1092E-2</v>
      </c>
    </row>
    <row r="38" spans="1:15" x14ac:dyDescent="0.35">
      <c r="A38" s="7">
        <v>36</v>
      </c>
      <c r="B38" s="3">
        <v>44496.225694444445</v>
      </c>
      <c r="C38" s="14">
        <v>3990</v>
      </c>
      <c r="D38" s="6" t="s">
        <v>12</v>
      </c>
      <c r="E38" s="6">
        <f>IF(AND(D37="UP",testdataClose5[[#This Row],[close]]&gt;E37),testdataClose5[[#This Row],[close]],IF(AND(D37="DN",testdataClose5[[#This Row],[close]]&lt;E37),testdataClose5[[#This Row],[close]],E37))</f>
        <v>3945.96</v>
      </c>
      <c r="F38" s="11">
        <f>(testdataClose5[[#This Row],[close]]-testdataClose5[[#This Row],[hl]])/testdataClose5[[#This Row],[hl]]</f>
        <v>1.1160782167077204E-2</v>
      </c>
      <c r="G38" s="15">
        <f t="shared" ca="1" si="0"/>
        <v>4200.715140513852</v>
      </c>
      <c r="H38" s="6"/>
      <c r="K38" s="4">
        <v>36</v>
      </c>
      <c r="L38" s="27">
        <v>44496.225694444445</v>
      </c>
      <c r="M38" s="29">
        <v>3990</v>
      </c>
      <c r="O38" s="28">
        <v>-6.2502000000000002E-2</v>
      </c>
    </row>
    <row r="39" spans="1:15" x14ac:dyDescent="0.35">
      <c r="A39" s="7">
        <v>37</v>
      </c>
      <c r="B39" s="3">
        <v>44496.229166666664</v>
      </c>
      <c r="C39" s="14">
        <v>3998.1</v>
      </c>
      <c r="D39" s="6" t="s">
        <v>12</v>
      </c>
      <c r="E39" s="6">
        <f>IF(AND(D38="UP",testdataClose5[[#This Row],[close]]&gt;E38),testdataClose5[[#This Row],[close]],IF(AND(D38="DN",testdataClose5[[#This Row],[close]]&lt;E38),testdataClose5[[#This Row],[close]],E38))</f>
        <v>3945.96</v>
      </c>
      <c r="F39" s="11">
        <f>(testdataClose5[[#This Row],[close]]-testdataClose5[[#This Row],[hl]])/testdataClose5[[#This Row],[hl]]</f>
        <v>1.3213514582002827E-2</v>
      </c>
      <c r="G39" s="15">
        <f t="shared" ca="1" si="0"/>
        <v>4199.1791614398053</v>
      </c>
      <c r="H39" s="6"/>
      <c r="K39" s="4">
        <v>37</v>
      </c>
      <c r="L39" s="27">
        <v>44496.229166666664</v>
      </c>
      <c r="M39" s="29">
        <v>3998.1</v>
      </c>
      <c r="O39" s="28">
        <v>-6.0599E-2</v>
      </c>
    </row>
    <row r="40" spans="1:15" x14ac:dyDescent="0.35">
      <c r="A40" s="7">
        <v>38</v>
      </c>
      <c r="B40" s="3">
        <v>44496.232638888891</v>
      </c>
      <c r="C40" s="14">
        <v>4017.07</v>
      </c>
      <c r="D40" s="6" t="s">
        <v>12</v>
      </c>
      <c r="E40" s="6">
        <f>IF(AND(D39="UP",testdataClose5[[#This Row],[close]]&gt;E39),testdataClose5[[#This Row],[close]],IF(AND(D39="DN",testdataClose5[[#This Row],[close]]&lt;E39),testdataClose5[[#This Row],[close]],E39))</f>
        <v>3945.96</v>
      </c>
      <c r="F40" s="11">
        <f>(testdataClose5[[#This Row],[close]]-testdataClose5[[#This Row],[hl]])/testdataClose5[[#This Row],[hl]]</f>
        <v>1.8020963213007765E-2</v>
      </c>
      <c r="G40" s="15">
        <f t="shared" ca="1" si="0"/>
        <v>4197.6431815120186</v>
      </c>
      <c r="H40" s="6"/>
      <c r="K40" s="4">
        <v>38</v>
      </c>
      <c r="L40" s="27">
        <v>44496.232638888891</v>
      </c>
      <c r="M40" s="29">
        <v>4017.07</v>
      </c>
      <c r="O40" s="28">
        <v>-5.6141999999999997E-2</v>
      </c>
    </row>
    <row r="41" spans="1:15" x14ac:dyDescent="0.35">
      <c r="A41" s="7">
        <v>39</v>
      </c>
      <c r="B41" s="3">
        <v>44496.236111111109</v>
      </c>
      <c r="C41" s="14">
        <v>4019</v>
      </c>
      <c r="D41" s="6" t="s">
        <v>12</v>
      </c>
      <c r="E41" s="6">
        <f>IF(AND(D40="UP",testdataClose5[[#This Row],[close]]&gt;E40),testdataClose5[[#This Row],[close]],IF(AND(D40="DN",testdataClose5[[#This Row],[close]]&lt;E40),testdataClose5[[#This Row],[close]],E40))</f>
        <v>3945.96</v>
      </c>
      <c r="F41" s="11">
        <f>(testdataClose5[[#This Row],[close]]-testdataClose5[[#This Row],[hl]])/testdataClose5[[#This Row],[hl]]</f>
        <v>1.8510071060020873E-2</v>
      </c>
      <c r="G41" s="15">
        <f t="shared" ca="1" si="0"/>
        <v>4196.1072007104067</v>
      </c>
      <c r="H41" s="6"/>
      <c r="K41" s="4">
        <v>39</v>
      </c>
      <c r="L41" s="27">
        <v>44496.236111111109</v>
      </c>
      <c r="M41" s="29">
        <v>4019</v>
      </c>
      <c r="O41" s="28">
        <v>-5.5688000000000001E-2</v>
      </c>
    </row>
    <row r="42" spans="1:15" x14ac:dyDescent="0.35">
      <c r="A42" s="7">
        <v>40</v>
      </c>
      <c r="B42" s="3">
        <v>44496.239583333336</v>
      </c>
      <c r="C42" s="14">
        <v>4022.24</v>
      </c>
      <c r="D42" s="6" t="s">
        <v>12</v>
      </c>
      <c r="E42" s="6">
        <f>IF(AND(D41="UP",testdataClose5[[#This Row],[close]]&gt;E41),testdataClose5[[#This Row],[close]],IF(AND(D41="DN",testdataClose5[[#This Row],[close]]&lt;E41),testdataClose5[[#This Row],[close]],E41))</f>
        <v>3945.96</v>
      </c>
      <c r="F42" s="11">
        <f>(testdataClose5[[#This Row],[close]]-testdataClose5[[#This Row],[hl]])/testdataClose5[[#This Row],[hl]]</f>
        <v>1.9331164025991075E-2</v>
      </c>
      <c r="G42" s="15">
        <f t="shared" ca="1" si="0"/>
        <v>4194.5712190150643</v>
      </c>
      <c r="H42" s="6"/>
      <c r="K42" s="4">
        <v>40</v>
      </c>
      <c r="L42" s="27">
        <v>44496.239583333336</v>
      </c>
      <c r="M42" s="29">
        <v>4022.24</v>
      </c>
      <c r="O42" s="28">
        <v>-5.4926999999999997E-2</v>
      </c>
    </row>
    <row r="43" spans="1:15" x14ac:dyDescent="0.35">
      <c r="A43" s="7">
        <v>41</v>
      </c>
      <c r="B43" s="3">
        <v>44496.243055555555</v>
      </c>
      <c r="C43" s="14">
        <v>4016.73</v>
      </c>
      <c r="D43" s="6" t="s">
        <v>12</v>
      </c>
      <c r="E43" s="6">
        <f>IF(AND(D42="UP",testdataClose5[[#This Row],[close]]&gt;E42),testdataClose5[[#This Row],[close]],IF(AND(D42="DN",testdataClose5[[#This Row],[close]]&lt;E42),testdataClose5[[#This Row],[close]],E42))</f>
        <v>3945.96</v>
      </c>
      <c r="F43" s="11">
        <f>(testdataClose5[[#This Row],[close]]-testdataClose5[[#This Row],[hl]])/testdataClose5[[#This Row],[hl]]</f>
        <v>1.7934799136331839E-2</v>
      </c>
      <c r="G43" s="15">
        <f t="shared" ca="1" si="0"/>
        <v>4193.0352364062692</v>
      </c>
      <c r="H43" s="6"/>
      <c r="K43" s="4">
        <v>41</v>
      </c>
      <c r="L43" s="27">
        <v>44496.243055555555</v>
      </c>
      <c r="M43" s="29">
        <v>4016.73</v>
      </c>
      <c r="O43" s="28">
        <v>-5.6222000000000001E-2</v>
      </c>
    </row>
    <row r="44" spans="1:15" x14ac:dyDescent="0.35">
      <c r="A44" s="7">
        <v>42</v>
      </c>
      <c r="B44" s="3">
        <v>44496.246527777781</v>
      </c>
      <c r="C44" s="14">
        <v>4018.43</v>
      </c>
      <c r="D44" s="6" t="s">
        <v>12</v>
      </c>
      <c r="E44" s="6">
        <f>IF(AND(D43="UP",testdataClose5[[#This Row],[close]]&gt;E43),testdataClose5[[#This Row],[close]],IF(AND(D43="DN",testdataClose5[[#This Row],[close]]&lt;E43),testdataClose5[[#This Row],[close]],E43))</f>
        <v>3945.96</v>
      </c>
      <c r="F44" s="11">
        <f>(testdataClose5[[#This Row],[close]]-testdataClose5[[#This Row],[hl]])/testdataClose5[[#This Row],[hl]]</f>
        <v>1.8365619519711249E-2</v>
      </c>
      <c r="G44" s="15">
        <f t="shared" ca="1" si="0"/>
        <v>4191.4992528644852</v>
      </c>
      <c r="H44" s="6"/>
      <c r="K44" s="4">
        <v>42</v>
      </c>
      <c r="L44" s="27">
        <v>44496.246527777781</v>
      </c>
      <c r="M44" s="29">
        <v>4018.43</v>
      </c>
      <c r="O44" s="28">
        <v>-5.5821999999999997E-2</v>
      </c>
    </row>
    <row r="45" spans="1:15" x14ac:dyDescent="0.35">
      <c r="A45" s="7">
        <v>43</v>
      </c>
      <c r="B45" s="3">
        <v>44496.25</v>
      </c>
      <c r="C45" s="14">
        <v>4002.6</v>
      </c>
      <c r="D45" s="6" t="s">
        <v>12</v>
      </c>
      <c r="E45" s="6">
        <f>IF(AND(D44="UP",testdataClose5[[#This Row],[close]]&gt;E44),testdataClose5[[#This Row],[close]],IF(AND(D44="DN",testdataClose5[[#This Row],[close]]&lt;E44),testdataClose5[[#This Row],[close]],E44))</f>
        <v>3945.96</v>
      </c>
      <c r="F45" s="11">
        <f>(testdataClose5[[#This Row],[close]]-testdataClose5[[#This Row],[hl]])/testdataClose5[[#This Row],[hl]]</f>
        <v>1.435392147918374E-2</v>
      </c>
      <c r="G45" s="15">
        <f t="shared" ca="1" si="0"/>
        <v>4189.9632683703667</v>
      </c>
      <c r="H45" s="6"/>
      <c r="K45" s="4">
        <v>43</v>
      </c>
      <c r="L45" s="27">
        <v>44496.25</v>
      </c>
      <c r="M45" s="29">
        <v>4002.6</v>
      </c>
      <c r="O45" s="28">
        <v>-5.9541999999999998E-2</v>
      </c>
    </row>
    <row r="46" spans="1:15" x14ac:dyDescent="0.35">
      <c r="A46" s="7">
        <v>44</v>
      </c>
      <c r="B46" s="3">
        <v>44496.253472222219</v>
      </c>
      <c r="C46" s="14">
        <v>3999.28</v>
      </c>
      <c r="D46" s="6" t="s">
        <v>12</v>
      </c>
      <c r="E46" s="6">
        <f>IF(AND(D45="UP",testdataClose5[[#This Row],[close]]&gt;E45),testdataClose5[[#This Row],[close]],IF(AND(D45="DN",testdataClose5[[#This Row],[close]]&lt;E45),testdataClose5[[#This Row],[close]],E45))</f>
        <v>3945.96</v>
      </c>
      <c r="F46" s="11">
        <f>(testdataClose5[[#This Row],[close]]-testdataClose5[[#This Row],[hl]])/testdataClose5[[#This Row],[hl]]</f>
        <v>1.3512554612819229E-2</v>
      </c>
      <c r="G46" s="15">
        <f t="shared" ca="1" si="0"/>
        <v>4188.4272829047641</v>
      </c>
      <c r="H46" s="6"/>
      <c r="K46" s="4">
        <v>44</v>
      </c>
      <c r="L46" s="27">
        <v>44496.253472222219</v>
      </c>
      <c r="M46" s="29">
        <v>3999.28</v>
      </c>
      <c r="O46" s="28">
        <v>-6.0322000000000001E-2</v>
      </c>
    </row>
    <row r="47" spans="1:15" x14ac:dyDescent="0.35">
      <c r="A47" s="7">
        <v>45</v>
      </c>
      <c r="B47" s="3">
        <v>44496.256944444445</v>
      </c>
      <c r="C47" s="14">
        <v>4005.54</v>
      </c>
      <c r="D47" s="6" t="s">
        <v>12</v>
      </c>
      <c r="E47" s="6">
        <f>IF(AND(D46="UP",testdataClose5[[#This Row],[close]]&gt;E46),testdataClose5[[#This Row],[close]],IF(AND(D46="DN",testdataClose5[[#This Row],[close]]&lt;E46),testdataClose5[[#This Row],[close]],E46))</f>
        <v>3945.96</v>
      </c>
      <c r="F47" s="11">
        <f>(testdataClose5[[#This Row],[close]]-testdataClose5[[#This Row],[hl]])/testdataClose5[[#This Row],[hl]]</f>
        <v>1.5098987318675285E-2</v>
      </c>
      <c r="G47" s="15">
        <f t="shared" ca="1" si="0"/>
        <v>4186.8912964487245</v>
      </c>
      <c r="H47" s="6"/>
      <c r="K47" s="4">
        <v>45</v>
      </c>
      <c r="L47" s="27">
        <v>44496.256944444445</v>
      </c>
      <c r="M47" s="29">
        <v>4005.54</v>
      </c>
      <c r="O47" s="28">
        <v>-5.8851000000000001E-2</v>
      </c>
    </row>
    <row r="48" spans="1:15" x14ac:dyDescent="0.35">
      <c r="A48" s="7">
        <v>46</v>
      </c>
      <c r="B48" s="3">
        <v>44496.260416666664</v>
      </c>
      <c r="C48" s="14">
        <v>4002.22</v>
      </c>
      <c r="D48" s="6" t="s">
        <v>12</v>
      </c>
      <c r="E48" s="6">
        <f>IF(AND(D47="UP",testdataClose5[[#This Row],[close]]&gt;E47),testdataClose5[[#This Row],[close]],IF(AND(D47="DN",testdataClose5[[#This Row],[close]]&lt;E47),testdataClose5[[#This Row],[close]],E47))</f>
        <v>3945.96</v>
      </c>
      <c r="F48" s="11">
        <f>(testdataClose5[[#This Row],[close]]-testdataClose5[[#This Row],[hl]])/testdataClose5[[#This Row],[hl]]</f>
        <v>1.4257620452310658E-2</v>
      </c>
      <c r="G48" s="15">
        <f t="shared" ca="1" si="0"/>
        <v>4185.3553089834977</v>
      </c>
      <c r="H48" s="6"/>
      <c r="K48" s="4">
        <v>46</v>
      </c>
      <c r="L48" s="27">
        <v>44496.260416666664</v>
      </c>
      <c r="M48" s="29">
        <v>4002.22</v>
      </c>
      <c r="O48" s="28">
        <v>-5.9631000000000003E-2</v>
      </c>
    </row>
    <row r="49" spans="1:15" x14ac:dyDescent="0.35">
      <c r="A49" s="7">
        <v>47</v>
      </c>
      <c r="B49" s="3">
        <v>44496.263888888891</v>
      </c>
      <c r="C49" s="14">
        <v>3994.89</v>
      </c>
      <c r="D49" s="6" t="s">
        <v>12</v>
      </c>
      <c r="E49" s="6">
        <f>IF(AND(D48="UP",testdataClose5[[#This Row],[close]]&gt;E48),testdataClose5[[#This Row],[close]],IF(AND(D48="DN",testdataClose5[[#This Row],[close]]&lt;E48),testdataClose5[[#This Row],[close]],E48))</f>
        <v>3945.96</v>
      </c>
      <c r="F49" s="11">
        <f>(testdataClose5[[#This Row],[close]]-testdataClose5[[#This Row],[hl]])/testdataClose5[[#This Row],[hl]]</f>
        <v>1.2400024328680431E-2</v>
      </c>
      <c r="G49" s="15">
        <f t="shared" ca="1" si="0"/>
        <v>4183.8193204905401</v>
      </c>
      <c r="H49" s="6"/>
      <c r="K49" s="4">
        <v>47</v>
      </c>
      <c r="L49" s="27">
        <v>44496.263888888891</v>
      </c>
      <c r="M49" s="29">
        <v>3994.89</v>
      </c>
      <c r="O49" s="28">
        <v>-6.1352999999999998E-2</v>
      </c>
    </row>
    <row r="50" spans="1:15" x14ac:dyDescent="0.35">
      <c r="A50" s="7">
        <v>48</v>
      </c>
      <c r="B50" s="3">
        <v>44496.267361111109</v>
      </c>
      <c r="C50" s="14">
        <v>3988</v>
      </c>
      <c r="D50" s="6" t="s">
        <v>12</v>
      </c>
      <c r="E50" s="6">
        <f>IF(AND(D49="UP",testdataClose5[[#This Row],[close]]&gt;E49),testdataClose5[[#This Row],[close]],IF(AND(D49="DN",testdataClose5[[#This Row],[close]]&lt;E49),testdataClose5[[#This Row],[close]],E49))</f>
        <v>3945.96</v>
      </c>
      <c r="F50" s="11">
        <f>(testdataClose5[[#This Row],[close]]-testdataClose5[[#This Row],[hl]])/testdataClose5[[#This Row],[hl]]</f>
        <v>1.0653934657219019E-2</v>
      </c>
      <c r="G50" s="15">
        <f t="shared" ca="1" si="0"/>
        <v>4182.2833309515172</v>
      </c>
      <c r="H50" s="6"/>
      <c r="K50" s="4">
        <v>48</v>
      </c>
      <c r="L50" s="27">
        <v>44496.267361111109</v>
      </c>
      <c r="M50" s="29">
        <v>3988</v>
      </c>
      <c r="O50" s="28">
        <v>-6.2972E-2</v>
      </c>
    </row>
    <row r="51" spans="1:15" x14ac:dyDescent="0.35">
      <c r="A51" s="7">
        <v>49</v>
      </c>
      <c r="B51" s="3">
        <v>44496.270833333336</v>
      </c>
      <c r="C51" s="14">
        <v>4000</v>
      </c>
      <c r="D51" s="6" t="s">
        <v>12</v>
      </c>
      <c r="E51" s="6">
        <f>IF(AND(D50="UP",testdataClose5[[#This Row],[close]]&gt;E50),testdataClose5[[#This Row],[close]],IF(AND(D50="DN",testdataClose5[[#This Row],[close]]&lt;E50),testdataClose5[[#This Row],[close]],E50))</f>
        <v>3945.96</v>
      </c>
      <c r="F51" s="11">
        <f>(testdataClose5[[#This Row],[close]]-testdataClose5[[#This Row],[hl]])/testdataClose5[[#This Row],[hl]]</f>
        <v>1.3695019716368124E-2</v>
      </c>
      <c r="G51" s="15">
        <f t="shared" ca="1" si="0"/>
        <v>4180.7473403483073</v>
      </c>
      <c r="H51" s="6"/>
      <c r="K51" s="4">
        <v>49</v>
      </c>
      <c r="L51" s="27">
        <v>44496.270833333336</v>
      </c>
      <c r="M51" s="29">
        <v>4000</v>
      </c>
      <c r="O51" s="28">
        <v>-6.0152999999999998E-2</v>
      </c>
    </row>
    <row r="52" spans="1:15" x14ac:dyDescent="0.35">
      <c r="A52" s="7">
        <v>50</v>
      </c>
      <c r="B52" s="3">
        <v>44496.274305555555</v>
      </c>
      <c r="C52" s="14">
        <v>4004.55</v>
      </c>
      <c r="D52" s="6" t="s">
        <v>12</v>
      </c>
      <c r="E52" s="6">
        <f>IF(AND(D51="UP",testdataClose5[[#This Row],[close]]&gt;E51),testdataClose5[[#This Row],[close]],IF(AND(D51="DN",testdataClose5[[#This Row],[close]]&lt;E51),testdataClose5[[#This Row],[close]],E51))</f>
        <v>3945.96</v>
      </c>
      <c r="F52" s="11">
        <f>(testdataClose5[[#This Row],[close]]-testdataClose5[[#This Row],[hl]])/testdataClose5[[#This Row],[hl]]</f>
        <v>1.484809780129554E-2</v>
      </c>
      <c r="G52" s="15">
        <f t="shared" ca="1" si="0"/>
        <v>4179.2113486630051</v>
      </c>
      <c r="H52" s="6"/>
      <c r="K52" s="4">
        <v>50</v>
      </c>
      <c r="L52" s="27">
        <v>44496.274305555555</v>
      </c>
      <c r="M52" s="29">
        <v>4004.55</v>
      </c>
      <c r="O52" s="28">
        <v>-5.9083999999999998E-2</v>
      </c>
    </row>
    <row r="53" spans="1:15" x14ac:dyDescent="0.35">
      <c r="A53" s="7">
        <v>51</v>
      </c>
      <c r="B53" s="3">
        <v>44496.277777777781</v>
      </c>
      <c r="C53" s="14">
        <v>4014.77</v>
      </c>
      <c r="D53" s="6" t="s">
        <v>12</v>
      </c>
      <c r="E53" s="6">
        <f>IF(AND(D52="UP",testdataClose5[[#This Row],[close]]&gt;E52),testdataClose5[[#This Row],[close]],IF(AND(D52="DN",testdataClose5[[#This Row],[close]]&lt;E52),testdataClose5[[#This Row],[close]],E52))</f>
        <v>3945.96</v>
      </c>
      <c r="F53" s="11">
        <f>(testdataClose5[[#This Row],[close]]-testdataClose5[[#This Row],[hl]])/testdataClose5[[#This Row],[hl]]</f>
        <v>1.7438088576670809E-2</v>
      </c>
      <c r="G53" s="15">
        <f t="shared" ca="1" si="0"/>
        <v>4177.6753558779274</v>
      </c>
      <c r="H53" s="6"/>
      <c r="K53" s="4">
        <v>51</v>
      </c>
      <c r="L53" s="27">
        <v>44496.277777777781</v>
      </c>
      <c r="M53" s="29">
        <v>4014.77</v>
      </c>
      <c r="O53" s="28">
        <v>-5.6682000000000003E-2</v>
      </c>
    </row>
    <row r="54" spans="1:15" x14ac:dyDescent="0.35">
      <c r="A54" s="7">
        <v>52</v>
      </c>
      <c r="B54" s="3">
        <v>44496.28125</v>
      </c>
      <c r="C54" s="14">
        <v>4014.34</v>
      </c>
      <c r="D54" s="6" t="s">
        <v>12</v>
      </c>
      <c r="E54" s="6">
        <f>IF(AND(D53="UP",testdataClose5[[#This Row],[close]]&gt;E53),testdataClose5[[#This Row],[close]],IF(AND(D53="DN",testdataClose5[[#This Row],[close]]&lt;E53),testdataClose5[[#This Row],[close]],E53))</f>
        <v>3945.96</v>
      </c>
      <c r="F54" s="11">
        <f>(testdataClose5[[#This Row],[close]]-testdataClose5[[#This Row],[hl]])/testdataClose5[[#This Row],[hl]]</f>
        <v>1.7329116362051342E-2</v>
      </c>
      <c r="G54" s="15">
        <f t="shared" ca="1" si="0"/>
        <v>4176.1393619756118</v>
      </c>
      <c r="H54" s="6"/>
      <c r="K54" s="4">
        <v>52</v>
      </c>
      <c r="L54" s="27">
        <v>44496.28125</v>
      </c>
      <c r="M54" s="29">
        <v>4014.34</v>
      </c>
      <c r="O54" s="28">
        <v>-5.6783E-2</v>
      </c>
    </row>
    <row r="55" spans="1:15" x14ac:dyDescent="0.35">
      <c r="A55" s="7">
        <v>53</v>
      </c>
      <c r="B55" s="3">
        <v>44496.284722222219</v>
      </c>
      <c r="C55" s="14">
        <v>4020.02</v>
      </c>
      <c r="D55" s="6" t="s">
        <v>12</v>
      </c>
      <c r="E55" s="6">
        <f>IF(AND(D54="UP",testdataClose5[[#This Row],[close]]&gt;E54),testdataClose5[[#This Row],[close]],IF(AND(D54="DN",testdataClose5[[#This Row],[close]]&lt;E54),testdataClose5[[#This Row],[close]],E54))</f>
        <v>3945.96</v>
      </c>
      <c r="F55" s="11">
        <f>(testdataClose5[[#This Row],[close]]-testdataClose5[[#This Row],[hl]])/testdataClose5[[#This Row],[hl]]</f>
        <v>1.8768563290048543E-2</v>
      </c>
      <c r="G55" s="15">
        <f t="shared" ca="1" si="0"/>
        <v>4174.6033669388253</v>
      </c>
      <c r="H55" s="6"/>
      <c r="K55" s="4">
        <v>53</v>
      </c>
      <c r="L55" s="27">
        <v>44496.284722222219</v>
      </c>
      <c r="M55" s="29">
        <v>4020.02</v>
      </c>
      <c r="O55" s="28">
        <v>-5.5448999999999998E-2</v>
      </c>
    </row>
    <row r="56" spans="1:15" x14ac:dyDescent="0.35">
      <c r="A56" s="7">
        <v>54</v>
      </c>
      <c r="B56" s="3">
        <v>44496.288194444445</v>
      </c>
      <c r="C56" s="14">
        <v>4020.67</v>
      </c>
      <c r="D56" s="6" t="s">
        <v>12</v>
      </c>
      <c r="E56" s="6">
        <f>IF(AND(D55="UP",testdataClose5[[#This Row],[close]]&gt;E55),testdataClose5[[#This Row],[close]],IF(AND(D55="DN",testdataClose5[[#This Row],[close]]&lt;E55),testdataClose5[[#This Row],[close]],E55))</f>
        <v>3945.96</v>
      </c>
      <c r="F56" s="11">
        <f>(testdataClose5[[#This Row],[close]]-testdataClose5[[#This Row],[hl]])/testdataClose5[[#This Row],[hl]]</f>
        <v>1.8933288730752475E-2</v>
      </c>
      <c r="G56" s="15">
        <f t="shared" ca="1" si="0"/>
        <v>4173.0673707505666</v>
      </c>
      <c r="H56" s="6"/>
      <c r="K56" s="4">
        <v>54</v>
      </c>
      <c r="L56" s="27">
        <v>44496.288194444445</v>
      </c>
      <c r="M56" s="29">
        <v>4020.67</v>
      </c>
      <c r="O56" s="28">
        <v>-5.5295999999999998E-2</v>
      </c>
    </row>
    <row r="57" spans="1:15" x14ac:dyDescent="0.35">
      <c r="A57" s="7">
        <v>55</v>
      </c>
      <c r="B57" s="3">
        <v>44496.291666666664</v>
      </c>
      <c r="C57" s="14">
        <v>4028.6</v>
      </c>
      <c r="D57" s="6" t="s">
        <v>12</v>
      </c>
      <c r="E57" s="6">
        <f>IF(AND(D56="UP",testdataClose5[[#This Row],[close]]&gt;E56),testdataClose5[[#This Row],[close]],IF(AND(D56="DN",testdataClose5[[#This Row],[close]]&lt;E56),testdataClose5[[#This Row],[close]],E56))</f>
        <v>3945.96</v>
      </c>
      <c r="F57" s="11">
        <f>(testdataClose5[[#This Row],[close]]-testdataClose5[[#This Row],[hl]])/testdataClose5[[#This Row],[hl]]</f>
        <v>2.0942939107340134E-2</v>
      </c>
      <c r="G57" s="15">
        <f t="shared" ca="1" si="0"/>
        <v>4171.5313733940648</v>
      </c>
      <c r="H57" s="6"/>
      <c r="K57" s="4">
        <v>55</v>
      </c>
      <c r="L57" s="27">
        <v>44496.291666666664</v>
      </c>
      <c r="M57" s="29">
        <v>4028.6</v>
      </c>
      <c r="O57" s="28">
        <v>-5.3433000000000001E-2</v>
      </c>
    </row>
    <row r="58" spans="1:15" x14ac:dyDescent="0.35">
      <c r="A58" s="7">
        <v>56</v>
      </c>
      <c r="B58" s="3">
        <v>44496.295138888891</v>
      </c>
      <c r="C58" s="14">
        <v>4032.62</v>
      </c>
      <c r="D58" s="6" t="s">
        <v>12</v>
      </c>
      <c r="E58" s="6">
        <f>IF(AND(D57="UP",testdataClose5[[#This Row],[close]]&gt;E57),testdataClose5[[#This Row],[close]],IF(AND(D57="DN",testdataClose5[[#This Row],[close]]&lt;E57),testdataClose5[[#This Row],[close]],E57))</f>
        <v>3945.96</v>
      </c>
      <c r="F58" s="11">
        <f>(testdataClose5[[#This Row],[close]]-testdataClose5[[#This Row],[hl]])/testdataClose5[[#This Row],[hl]]</f>
        <v>2.1961702602155079E-2</v>
      </c>
      <c r="G58" s="15">
        <f t="shared" ca="1" si="0"/>
        <v>4169.9953748527896</v>
      </c>
      <c r="H58" s="6"/>
      <c r="K58" s="4">
        <v>56</v>
      </c>
      <c r="L58" s="27">
        <v>44496.295138888891</v>
      </c>
      <c r="M58" s="29">
        <v>4032.62</v>
      </c>
      <c r="O58" s="28">
        <v>-5.2488E-2</v>
      </c>
    </row>
    <row r="59" spans="1:15" x14ac:dyDescent="0.35">
      <c r="A59" s="7">
        <v>57</v>
      </c>
      <c r="B59" s="3">
        <v>44496.298611111109</v>
      </c>
      <c r="C59" s="14">
        <v>4045.31</v>
      </c>
      <c r="D59" s="6" t="s">
        <v>12</v>
      </c>
      <c r="E59" s="6">
        <f>IF(AND(D58="UP",testdataClose5[[#This Row],[close]]&gt;E58),testdataClose5[[#This Row],[close]],IF(AND(D58="DN",testdataClose5[[#This Row],[close]]&lt;E58),testdataClose5[[#This Row],[close]],E58))</f>
        <v>3945.96</v>
      </c>
      <c r="F59" s="11">
        <f>(testdataClose5[[#This Row],[close]]-testdataClose5[[#This Row],[hl]])/testdataClose5[[#This Row],[hl]]</f>
        <v>2.5177650052205271E-2</v>
      </c>
      <c r="G59" s="15">
        <f t="shared" ca="1" si="0"/>
        <v>4168.4593751104494</v>
      </c>
      <c r="H59" s="6"/>
      <c r="K59" s="4">
        <v>57</v>
      </c>
      <c r="L59" s="27">
        <v>44496.298611111109</v>
      </c>
      <c r="M59" s="29">
        <v>4045.31</v>
      </c>
      <c r="O59" s="28">
        <v>-4.9506000000000001E-2</v>
      </c>
    </row>
    <row r="60" spans="1:15" x14ac:dyDescent="0.35">
      <c r="A60" s="7">
        <v>58</v>
      </c>
      <c r="B60" s="3">
        <v>44496.302083333336</v>
      </c>
      <c r="C60" s="14">
        <v>4036.28</v>
      </c>
      <c r="D60" s="6" t="s">
        <v>12</v>
      </c>
      <c r="E60" s="6">
        <f>IF(AND(D59="UP",testdataClose5[[#This Row],[close]]&gt;E59),testdataClose5[[#This Row],[close]],IF(AND(D59="DN",testdataClose5[[#This Row],[close]]&lt;E59),testdataClose5[[#This Row],[close]],E59))</f>
        <v>3945.96</v>
      </c>
      <c r="F60" s="11">
        <f>(testdataClose5[[#This Row],[close]]-testdataClose5[[#This Row],[hl]])/testdataClose5[[#This Row],[hl]]</f>
        <v>2.2889233545195634E-2</v>
      </c>
      <c r="G60" s="15">
        <f t="shared" ca="1" si="0"/>
        <v>4166.9233741509961</v>
      </c>
      <c r="H60" s="6"/>
      <c r="K60" s="4">
        <v>58</v>
      </c>
      <c r="L60" s="27">
        <v>44496.302083333336</v>
      </c>
      <c r="M60" s="29">
        <v>4036.28</v>
      </c>
      <c r="O60" s="28">
        <v>-5.1628E-2</v>
      </c>
    </row>
    <row r="61" spans="1:15" x14ac:dyDescent="0.35">
      <c r="A61" s="7">
        <v>59</v>
      </c>
      <c r="B61" s="3">
        <v>44496.305555555555</v>
      </c>
      <c r="C61" s="14">
        <v>4027.62</v>
      </c>
      <c r="D61" s="6" t="s">
        <v>12</v>
      </c>
      <c r="E61" s="6">
        <f>IF(AND(D60="UP",testdataClose5[[#This Row],[close]]&gt;E60),testdataClose5[[#This Row],[close]],IF(AND(D60="DN",testdataClose5[[#This Row],[close]]&lt;E60),testdataClose5[[#This Row],[close]],E60))</f>
        <v>3945.96</v>
      </c>
      <c r="F61" s="11">
        <f>(testdataClose5[[#This Row],[close]]-testdataClose5[[#This Row],[hl]])/testdataClose5[[#This Row],[hl]]</f>
        <v>2.0694583827509619E-2</v>
      </c>
      <c r="G61" s="15">
        <f t="shared" ca="1" si="0"/>
        <v>4165.38737195863</v>
      </c>
      <c r="H61" s="6"/>
      <c r="K61" s="4">
        <v>59</v>
      </c>
      <c r="L61" s="27">
        <v>44496.305555555555</v>
      </c>
      <c r="M61" s="29">
        <v>4027.62</v>
      </c>
      <c r="O61" s="28">
        <v>-5.3663000000000002E-2</v>
      </c>
    </row>
    <row r="62" spans="1:15" x14ac:dyDescent="0.35">
      <c r="A62" s="7">
        <v>60</v>
      </c>
      <c r="B62" s="3">
        <v>44496.309027777781</v>
      </c>
      <c r="C62" s="14">
        <v>4019.34</v>
      </c>
      <c r="D62" s="6" t="s">
        <v>12</v>
      </c>
      <c r="E62" s="6">
        <f>IF(AND(D61="UP",testdataClose5[[#This Row],[close]]&gt;E61),testdataClose5[[#This Row],[close]],IF(AND(D61="DN",testdataClose5[[#This Row],[close]]&lt;E61),testdataClose5[[#This Row],[close]],E61))</f>
        <v>3945.96</v>
      </c>
      <c r="F62" s="11">
        <f>(testdataClose5[[#This Row],[close]]-testdataClose5[[#This Row],[hl]])/testdataClose5[[#This Row],[hl]]</f>
        <v>1.8596235136696802E-2</v>
      </c>
      <c r="G62" s="15">
        <f t="shared" ca="1" si="0"/>
        <v>4163.8513685178023</v>
      </c>
      <c r="H62" s="6"/>
      <c r="K62" s="4">
        <v>60</v>
      </c>
      <c r="L62" s="27">
        <v>44496.309027777781</v>
      </c>
      <c r="M62" s="29">
        <v>4019.34</v>
      </c>
      <c r="O62" s="28">
        <v>-5.5607999999999998E-2</v>
      </c>
    </row>
    <row r="63" spans="1:15" x14ac:dyDescent="0.35">
      <c r="A63" s="7">
        <v>61</v>
      </c>
      <c r="B63" s="3">
        <v>44496.3125</v>
      </c>
      <c r="C63" s="14">
        <v>4008.38</v>
      </c>
      <c r="D63" s="6" t="s">
        <v>12</v>
      </c>
      <c r="E63" s="6">
        <f>IF(AND(D62="UP",testdataClose5[[#This Row],[close]]&gt;E62),testdataClose5[[#This Row],[close]],IF(AND(D62="DN",testdataClose5[[#This Row],[close]]&lt;E62),testdataClose5[[#This Row],[close]],E62))</f>
        <v>3945.96</v>
      </c>
      <c r="F63" s="11">
        <f>(testdataClose5[[#This Row],[close]]-testdataClose5[[#This Row],[hl]])/testdataClose5[[#This Row],[hl]]</f>
        <v>1.5818710782673943E-2</v>
      </c>
      <c r="G63" s="15">
        <f t="shared" ca="1" si="0"/>
        <v>4162.3153638132135</v>
      </c>
      <c r="H63" s="6"/>
      <c r="K63" s="4">
        <v>61</v>
      </c>
      <c r="L63" s="27">
        <v>44496.3125</v>
      </c>
      <c r="M63" s="29">
        <v>4008.38</v>
      </c>
      <c r="O63" s="28">
        <v>-5.8184E-2</v>
      </c>
    </row>
    <row r="64" spans="1:15" x14ac:dyDescent="0.35">
      <c r="A64" s="7">
        <v>62</v>
      </c>
      <c r="B64" s="3">
        <v>44496.315972222219</v>
      </c>
      <c r="C64" s="14">
        <v>4004</v>
      </c>
      <c r="D64" s="6" t="s">
        <v>12</v>
      </c>
      <c r="E64" s="6">
        <f>IF(AND(D63="UP",testdataClose5[[#This Row],[close]]&gt;E63),testdataClose5[[#This Row],[close]],IF(AND(D63="DN",testdataClose5[[#This Row],[close]]&lt;E63),testdataClose5[[#This Row],[close]],E63))</f>
        <v>3945.96</v>
      </c>
      <c r="F64" s="11">
        <f>(testdataClose5[[#This Row],[close]]-testdataClose5[[#This Row],[hl]])/testdataClose5[[#This Row],[hl]]</f>
        <v>1.4708714736084491E-2</v>
      </c>
      <c r="G64" s="15">
        <f t="shared" ca="1" si="0"/>
        <v>4160.7793578298242</v>
      </c>
      <c r="H64" s="6"/>
      <c r="K64" s="4">
        <v>62</v>
      </c>
      <c r="L64" s="27">
        <v>44496.315972222219</v>
      </c>
      <c r="M64" s="29">
        <v>4004</v>
      </c>
      <c r="O64" s="28">
        <v>-5.9213000000000002E-2</v>
      </c>
    </row>
    <row r="65" spans="1:15" x14ac:dyDescent="0.35">
      <c r="A65" s="7">
        <v>63</v>
      </c>
      <c r="B65" s="3">
        <v>44496.319444444445</v>
      </c>
      <c r="C65" s="14">
        <v>4005.16</v>
      </c>
      <c r="D65" s="6" t="s">
        <v>12</v>
      </c>
      <c r="E65" s="6">
        <f>IF(AND(D64="UP",testdataClose5[[#This Row],[close]]&gt;E64),testdataClose5[[#This Row],[close]],IF(AND(D64="DN",testdataClose5[[#This Row],[close]]&lt;E64),testdataClose5[[#This Row],[close]],E64))</f>
        <v>3945.96</v>
      </c>
      <c r="F65" s="11">
        <f>(testdataClose5[[#This Row],[close]]-testdataClose5[[#This Row],[hl]])/testdataClose5[[#This Row],[hl]]</f>
        <v>1.5002686291802202E-2</v>
      </c>
      <c r="G65" s="15">
        <f t="shared" ca="1" si="0"/>
        <v>4159.2433505528516</v>
      </c>
      <c r="H65" s="6"/>
      <c r="K65" s="4">
        <v>63</v>
      </c>
      <c r="L65" s="27">
        <v>44496.319444444445</v>
      </c>
      <c r="M65" s="29">
        <v>4005.16</v>
      </c>
      <c r="O65" s="28">
        <v>-5.8939999999999999E-2</v>
      </c>
    </row>
    <row r="66" spans="1:15" x14ac:dyDescent="0.35">
      <c r="A66" s="7">
        <v>64</v>
      </c>
      <c r="B66" s="3">
        <v>44496.322916666664</v>
      </c>
      <c r="C66" s="14">
        <v>3998.02</v>
      </c>
      <c r="D66" s="6" t="s">
        <v>12</v>
      </c>
      <c r="E66" s="6">
        <f>IF(AND(D65="UP",testdataClose5[[#This Row],[close]]&gt;E65),testdataClose5[[#This Row],[close]],IF(AND(D65="DN",testdataClose5[[#This Row],[close]]&lt;E65),testdataClose5[[#This Row],[close]],E65))</f>
        <v>3945.96</v>
      </c>
      <c r="F66" s="11">
        <f>(testdataClose5[[#This Row],[close]]-testdataClose5[[#This Row],[hl]])/testdataClose5[[#This Row],[hl]]</f>
        <v>1.3193240681608518E-2</v>
      </c>
      <c r="G66" s="15">
        <f t="shared" ca="1" si="0"/>
        <v>4157.7073419677763</v>
      </c>
      <c r="H66" s="6"/>
      <c r="K66" s="4">
        <v>64</v>
      </c>
      <c r="L66" s="27">
        <v>44496.322916666664</v>
      </c>
      <c r="M66" s="29">
        <v>3998.02</v>
      </c>
      <c r="O66" s="28">
        <v>-6.0617999999999998E-2</v>
      </c>
    </row>
    <row r="67" spans="1:15" x14ac:dyDescent="0.35">
      <c r="A67" s="7">
        <v>65</v>
      </c>
      <c r="B67" s="3">
        <v>44496.326388888891</v>
      </c>
      <c r="C67" s="14">
        <v>3988.17</v>
      </c>
      <c r="D67" s="6" t="s">
        <v>12</v>
      </c>
      <c r="E67" s="6">
        <f>IF(AND(D66="UP",testdataClose5[[#This Row],[close]]&gt;E66),testdataClose5[[#This Row],[close]],IF(AND(D66="DN",testdataClose5[[#This Row],[close]]&lt;E66),testdataClose5[[#This Row],[close]],E66))</f>
        <v>3945.96</v>
      </c>
      <c r="F67" s="11">
        <f>(testdataClose5[[#This Row],[close]]-testdataClose5[[#This Row],[hl]])/testdataClose5[[#This Row],[hl]]</f>
        <v>1.0697016695556984E-2</v>
      </c>
      <c r="G67" s="15">
        <f t="shared" ca="1" si="0"/>
        <v>4156.1713320603421</v>
      </c>
      <c r="H67" s="6"/>
      <c r="K67" s="4">
        <v>65</v>
      </c>
      <c r="L67" s="27">
        <v>44496.326388888891</v>
      </c>
      <c r="M67" s="29">
        <v>3988.17</v>
      </c>
      <c r="O67" s="28">
        <v>-6.2932000000000002E-2</v>
      </c>
    </row>
    <row r="68" spans="1:15" x14ac:dyDescent="0.35">
      <c r="A68" s="7">
        <v>66</v>
      </c>
      <c r="B68" s="3">
        <v>44496.329861111109</v>
      </c>
      <c r="C68" s="14">
        <v>3994.2</v>
      </c>
      <c r="D68" s="6" t="s">
        <v>12</v>
      </c>
      <c r="E68" s="6">
        <f>IF(AND(D67="UP",testdataClose5[[#This Row],[close]]&gt;E67),testdataClose5[[#This Row],[close]],IF(AND(D67="DN",testdataClose5[[#This Row],[close]]&lt;E67),testdataClose5[[#This Row],[close]],E67))</f>
        <v>3945.96</v>
      </c>
      <c r="F68" s="11">
        <f>(testdataClose5[[#This Row],[close]]-testdataClose5[[#This Row],[hl]])/testdataClose5[[#This Row],[hl]]</f>
        <v>1.2225161937779344E-2</v>
      </c>
      <c r="G68" s="15">
        <f t="shared" ref="G68:G131" ca="1" si="1">AVERAGE(G67,G69)</f>
        <v>4154.6353208165619</v>
      </c>
      <c r="H68" s="6"/>
      <c r="K68" s="4">
        <v>66</v>
      </c>
      <c r="L68" s="27">
        <v>44496.329861111109</v>
      </c>
      <c r="M68" s="29">
        <v>3994.2</v>
      </c>
      <c r="O68" s="28">
        <v>-6.1515E-2</v>
      </c>
    </row>
    <row r="69" spans="1:15" x14ac:dyDescent="0.35">
      <c r="A69" s="7">
        <v>67</v>
      </c>
      <c r="B69" s="3">
        <v>44496.333333333336</v>
      </c>
      <c r="C69" s="14">
        <v>3997</v>
      </c>
      <c r="D69" s="6" t="s">
        <v>12</v>
      </c>
      <c r="E69" s="6">
        <f>IF(AND(D68="UP",testdataClose5[[#This Row],[close]]&gt;E68),testdataClose5[[#This Row],[close]],IF(AND(D68="DN",testdataClose5[[#This Row],[close]]&lt;E68),testdataClose5[[#This Row],[close]],E68))</f>
        <v>3945.96</v>
      </c>
      <c r="F69" s="11">
        <f>(testdataClose5[[#This Row],[close]]-testdataClose5[[#This Row],[hl]])/testdataClose5[[#This Row],[hl]]</f>
        <v>1.2934748451580848E-2</v>
      </c>
      <c r="G69" s="15">
        <f t="shared" ca="1" si="1"/>
        <v>4153.0993082227196</v>
      </c>
      <c r="H69" s="6"/>
      <c r="K69" s="4">
        <v>67</v>
      </c>
      <c r="L69" s="27">
        <v>44496.333333333336</v>
      </c>
      <c r="M69" s="29">
        <v>3997</v>
      </c>
      <c r="O69" s="28">
        <v>-6.0857000000000001E-2</v>
      </c>
    </row>
    <row r="70" spans="1:15" x14ac:dyDescent="0.35">
      <c r="A70" s="7">
        <v>68</v>
      </c>
      <c r="B70" s="3">
        <v>44496.336805555555</v>
      </c>
      <c r="C70" s="14">
        <v>3996</v>
      </c>
      <c r="D70" s="6" t="s">
        <v>12</v>
      </c>
      <c r="E70" s="6">
        <f>IF(AND(D69="UP",testdataClose5[[#This Row],[close]]&gt;E69),testdataClose5[[#This Row],[close]],IF(AND(D69="DN",testdataClose5[[#This Row],[close]]&lt;E69),testdataClose5[[#This Row],[close]],E69))</f>
        <v>3945.96</v>
      </c>
      <c r="F70" s="11">
        <f>(testdataClose5[[#This Row],[close]]-testdataClose5[[#This Row],[hl]])/testdataClose5[[#This Row],[hl]]</f>
        <v>1.2681324696651756E-2</v>
      </c>
      <c r="G70" s="15">
        <f t="shared" ca="1" si="1"/>
        <v>4151.5632942653701</v>
      </c>
      <c r="H70" s="6"/>
      <c r="K70" s="4">
        <v>68</v>
      </c>
      <c r="L70" s="27">
        <v>44496.336805555555</v>
      </c>
      <c r="M70" s="29">
        <v>3996</v>
      </c>
      <c r="O70" s="28">
        <v>-6.1092E-2</v>
      </c>
    </row>
    <row r="71" spans="1:15" x14ac:dyDescent="0.35">
      <c r="A71" s="7">
        <v>69</v>
      </c>
      <c r="B71" s="3">
        <v>44496.340277777781</v>
      </c>
      <c r="C71" s="14">
        <v>3989.32</v>
      </c>
      <c r="D71" s="6" t="s">
        <v>12</v>
      </c>
      <c r="E71" s="6">
        <f>IF(AND(D70="UP",testdataClose5[[#This Row],[close]]&gt;E70),testdataClose5[[#This Row],[close]],IF(AND(D70="DN",testdataClose5[[#This Row],[close]]&lt;E70),testdataClose5[[#This Row],[close]],E70))</f>
        <v>3945.96</v>
      </c>
      <c r="F71" s="11">
        <f>(testdataClose5[[#This Row],[close]]-testdataClose5[[#This Row],[hl]])/testdataClose5[[#This Row],[hl]]</f>
        <v>1.0988454013725463E-2</v>
      </c>
      <c r="G71" s="15">
        <f t="shared" ca="1" si="1"/>
        <v>4150.0272789313467</v>
      </c>
      <c r="H71" s="6"/>
      <c r="K71" s="4">
        <v>69</v>
      </c>
      <c r="L71" s="27">
        <v>44496.340277777781</v>
      </c>
      <c r="M71" s="29">
        <v>3989.32</v>
      </c>
      <c r="O71" s="28">
        <v>-6.2661999999999995E-2</v>
      </c>
    </row>
    <row r="72" spans="1:15" x14ac:dyDescent="0.35">
      <c r="A72" s="7">
        <v>70</v>
      </c>
      <c r="B72" s="3">
        <v>44496.34375</v>
      </c>
      <c r="C72" s="14">
        <v>3997.71</v>
      </c>
      <c r="D72" s="6" t="s">
        <v>12</v>
      </c>
      <c r="E72" s="6">
        <f>IF(AND(D71="UP",testdataClose5[[#This Row],[close]]&gt;E71),testdataClose5[[#This Row],[close]],IF(AND(D71="DN",testdataClose5[[#This Row],[close]]&lt;E71),testdataClose5[[#This Row],[close]],E71))</f>
        <v>3945.96</v>
      </c>
      <c r="F72" s="11">
        <f>(testdataClose5[[#This Row],[close]]-testdataClose5[[#This Row],[hl]])/testdataClose5[[#This Row],[hl]]</f>
        <v>1.3114679317580513E-2</v>
      </c>
      <c r="G72" s="15">
        <f t="shared" ca="1" si="1"/>
        <v>4148.4912622077572</v>
      </c>
      <c r="H72" s="6"/>
      <c r="K72" s="4">
        <v>70</v>
      </c>
      <c r="L72" s="27">
        <v>44496.34375</v>
      </c>
      <c r="M72" s="29">
        <v>3997.71</v>
      </c>
      <c r="O72" s="28">
        <v>-6.0691000000000002E-2</v>
      </c>
    </row>
    <row r="73" spans="1:15" x14ac:dyDescent="0.35">
      <c r="A73" s="7">
        <v>71</v>
      </c>
      <c r="B73" s="3">
        <v>44496.347222222219</v>
      </c>
      <c r="C73" s="14">
        <v>4008.27</v>
      </c>
      <c r="D73" s="6" t="s">
        <v>12</v>
      </c>
      <c r="E73" s="6">
        <f>IF(AND(D72="UP",testdataClose5[[#This Row],[close]]&gt;E72),testdataClose5[[#This Row],[close]],IF(AND(D72="DN",testdataClose5[[#This Row],[close]]&lt;E72),testdataClose5[[#This Row],[close]],E72))</f>
        <v>3945.96</v>
      </c>
      <c r="F73" s="11">
        <f>(testdataClose5[[#This Row],[close]]-testdataClose5[[#This Row],[hl]])/testdataClose5[[#This Row],[hl]]</f>
        <v>1.5790834169631712E-2</v>
      </c>
      <c r="G73" s="15">
        <f t="shared" ca="1" si="1"/>
        <v>4146.9552440819944</v>
      </c>
      <c r="H73" s="6"/>
      <c r="K73" s="4">
        <v>71</v>
      </c>
      <c r="L73" s="27">
        <v>44496.347222222219</v>
      </c>
      <c r="M73" s="29">
        <v>4008.27</v>
      </c>
      <c r="O73" s="28">
        <v>-5.8208999999999997E-2</v>
      </c>
    </row>
    <row r="74" spans="1:15" x14ac:dyDescent="0.35">
      <c r="A74" s="7">
        <v>72</v>
      </c>
      <c r="B74" s="3">
        <v>44496.350694444445</v>
      </c>
      <c r="C74" s="14">
        <v>4014.72</v>
      </c>
      <c r="D74" s="6" t="s">
        <v>12</v>
      </c>
      <c r="E74" s="6">
        <f>IF(AND(D73="UP",testdataClose5[[#This Row],[close]]&gt;E73),testdataClose5[[#This Row],[close]],IF(AND(D73="DN",testdataClose5[[#This Row],[close]]&lt;E73),testdataClose5[[#This Row],[close]],E73))</f>
        <v>3945.96</v>
      </c>
      <c r="F74" s="11">
        <f>(testdataClose5[[#This Row],[close]]-testdataClose5[[#This Row],[hl]])/testdataClose5[[#This Row],[hl]]</f>
        <v>1.7425417388924308E-2</v>
      </c>
      <c r="G74" s="15">
        <f t="shared" ca="1" si="1"/>
        <v>4145.4192245417316</v>
      </c>
      <c r="H74" s="6"/>
      <c r="K74" s="4">
        <v>72</v>
      </c>
      <c r="L74" s="27">
        <v>44496.350694444445</v>
      </c>
      <c r="M74" s="29">
        <v>4014.72</v>
      </c>
      <c r="O74" s="28">
        <v>-5.6694000000000001E-2</v>
      </c>
    </row>
    <row r="75" spans="1:15" x14ac:dyDescent="0.35">
      <c r="A75" s="7">
        <v>73</v>
      </c>
      <c r="B75" s="3">
        <v>44496.354166666664</v>
      </c>
      <c r="C75" s="14">
        <v>4018.83</v>
      </c>
      <c r="D75" s="6" t="s">
        <v>12</v>
      </c>
      <c r="E75" s="6">
        <f>IF(AND(D74="UP",testdataClose5[[#This Row],[close]]&gt;E74),testdataClose5[[#This Row],[close]],IF(AND(D74="DN",testdataClose5[[#This Row],[close]]&lt;E74),testdataClose5[[#This Row],[close]],E74))</f>
        <v>3945.96</v>
      </c>
      <c r="F75" s="11">
        <f>(testdataClose5[[#This Row],[close]]-testdataClose5[[#This Row],[hl]])/testdataClose5[[#This Row],[hl]]</f>
        <v>1.8466989021682909E-2</v>
      </c>
      <c r="G75" s="15">
        <f t="shared" ca="1" si="1"/>
        <v>4143.8832035749292</v>
      </c>
      <c r="H75" s="6"/>
      <c r="K75" s="4">
        <v>73</v>
      </c>
      <c r="L75" s="27">
        <v>44496.354166666664</v>
      </c>
      <c r="M75" s="29">
        <v>4018.83</v>
      </c>
      <c r="O75" s="28">
        <v>-5.5728E-2</v>
      </c>
    </row>
    <row r="76" spans="1:15" x14ac:dyDescent="0.35">
      <c r="A76" s="7">
        <v>74</v>
      </c>
      <c r="B76" s="3">
        <v>44496.357638888891</v>
      </c>
      <c r="C76" s="14">
        <v>4022.39</v>
      </c>
      <c r="D76" s="6" t="s">
        <v>12</v>
      </c>
      <c r="E76" s="6">
        <f>IF(AND(D75="UP",testdataClose5[[#This Row],[close]]&gt;E75),testdataClose5[[#This Row],[close]],IF(AND(D75="DN",testdataClose5[[#This Row],[close]]&lt;E75),testdataClose5[[#This Row],[close]],E75))</f>
        <v>3945.96</v>
      </c>
      <c r="F76" s="11">
        <f>(testdataClose5[[#This Row],[close]]-testdataClose5[[#This Row],[hl]])/testdataClose5[[#This Row],[hl]]</f>
        <v>1.9369177589230461E-2</v>
      </c>
      <c r="G76" s="15">
        <f t="shared" ca="1" si="1"/>
        <v>4142.3471811698346</v>
      </c>
      <c r="H76" s="6"/>
      <c r="K76" s="4">
        <v>74</v>
      </c>
      <c r="L76" s="27">
        <v>44496.357638888891</v>
      </c>
      <c r="M76" s="29">
        <v>4022.39</v>
      </c>
      <c r="O76" s="28">
        <v>-5.4892000000000003E-2</v>
      </c>
    </row>
    <row r="77" spans="1:15" x14ac:dyDescent="0.35">
      <c r="A77" s="7">
        <v>75</v>
      </c>
      <c r="B77" s="3">
        <v>44496.361111111109</v>
      </c>
      <c r="C77" s="14">
        <v>4010</v>
      </c>
      <c r="D77" s="6" t="s">
        <v>12</v>
      </c>
      <c r="E77" s="6">
        <f>IF(AND(D76="UP",testdataClose5[[#This Row],[close]]&gt;E76),testdataClose5[[#This Row],[close]],IF(AND(D76="DN",testdataClose5[[#This Row],[close]]&lt;E76),testdataClose5[[#This Row],[close]],E76))</f>
        <v>3945.96</v>
      </c>
      <c r="F77" s="11">
        <f>(testdataClose5[[#This Row],[close]]-testdataClose5[[#This Row],[hl]])/testdataClose5[[#This Row],[hl]]</f>
        <v>1.6229257265659044E-2</v>
      </c>
      <c r="G77" s="15">
        <f t="shared" ca="1" si="1"/>
        <v>4140.8111573149863</v>
      </c>
      <c r="H77" s="6"/>
      <c r="K77" s="4">
        <v>75</v>
      </c>
      <c r="L77" s="27">
        <v>44496.361111111109</v>
      </c>
      <c r="M77" s="29">
        <v>4010</v>
      </c>
      <c r="O77" s="28">
        <v>-5.7803E-2</v>
      </c>
    </row>
    <row r="78" spans="1:15" x14ac:dyDescent="0.35">
      <c r="A78" s="7">
        <v>76</v>
      </c>
      <c r="B78" s="3">
        <v>44496.364583333336</v>
      </c>
      <c r="C78" s="14">
        <v>3998.4</v>
      </c>
      <c r="D78" s="6" t="s">
        <v>12</v>
      </c>
      <c r="E78" s="6">
        <f>IF(AND(D77="UP",testdataClose5[[#This Row],[close]]&gt;E77),testdataClose5[[#This Row],[close]],IF(AND(D77="DN",testdataClose5[[#This Row],[close]]&lt;E77),testdataClose5[[#This Row],[close]],E77))</f>
        <v>3945.96</v>
      </c>
      <c r="F78" s="11">
        <f>(testdataClose5[[#This Row],[close]]-testdataClose5[[#This Row],[hl]])/testdataClose5[[#This Row],[hl]]</f>
        <v>1.32895417084816E-2</v>
      </c>
      <c r="G78" s="15">
        <f t="shared" ca="1" si="1"/>
        <v>4139.2751319992149</v>
      </c>
      <c r="H78" s="6"/>
      <c r="K78" s="4">
        <v>76</v>
      </c>
      <c r="L78" s="27">
        <v>44496.364583333336</v>
      </c>
      <c r="M78" s="29">
        <v>3998.4</v>
      </c>
      <c r="O78" s="28">
        <v>-6.0528999999999999E-2</v>
      </c>
    </row>
    <row r="79" spans="1:15" x14ac:dyDescent="0.35">
      <c r="A79" s="7">
        <v>77</v>
      </c>
      <c r="B79" s="3">
        <v>44496.368055555555</v>
      </c>
      <c r="C79" s="14">
        <v>4008.4</v>
      </c>
      <c r="D79" s="6" t="s">
        <v>12</v>
      </c>
      <c r="E79" s="6">
        <f>IF(AND(D78="UP",testdataClose5[[#This Row],[close]]&gt;E78),testdataClose5[[#This Row],[close]],IF(AND(D78="DN",testdataClose5[[#This Row],[close]]&lt;E78),testdataClose5[[#This Row],[close]],E78))</f>
        <v>3945.96</v>
      </c>
      <c r="F79" s="11">
        <f>(testdataClose5[[#This Row],[close]]-testdataClose5[[#This Row],[hl]])/testdataClose5[[#This Row],[hl]]</f>
        <v>1.5823779257772522E-2</v>
      </c>
      <c r="G79" s="15">
        <f t="shared" ca="1" si="1"/>
        <v>4137.7391052116473</v>
      </c>
      <c r="H79" s="6"/>
      <c r="K79" s="4">
        <v>77</v>
      </c>
      <c r="L79" s="27">
        <v>44496.368055555555</v>
      </c>
      <c r="M79" s="29">
        <v>4008.4</v>
      </c>
      <c r="O79" s="28">
        <v>-5.8179000000000002E-2</v>
      </c>
    </row>
    <row r="80" spans="1:15" x14ac:dyDescent="0.35">
      <c r="A80" s="7">
        <v>78</v>
      </c>
      <c r="B80" s="3">
        <v>44496.371527777781</v>
      </c>
      <c r="C80" s="14">
        <v>4012</v>
      </c>
      <c r="D80" s="6" t="s">
        <v>12</v>
      </c>
      <c r="E80" s="6">
        <f>IF(AND(D79="UP",testdataClose5[[#This Row],[close]]&gt;E79),testdataClose5[[#This Row],[close]],IF(AND(D79="DN",testdataClose5[[#This Row],[close]]&lt;E79),testdataClose5[[#This Row],[close]],E79))</f>
        <v>3945.96</v>
      </c>
      <c r="F80" s="11">
        <f>(testdataClose5[[#This Row],[close]]-testdataClose5[[#This Row],[hl]])/testdataClose5[[#This Row],[hl]]</f>
        <v>1.6736104775517228E-2</v>
      </c>
      <c r="G80" s="15">
        <f t="shared" ca="1" si="1"/>
        <v>4136.2030769417051</v>
      </c>
      <c r="H80" s="6"/>
      <c r="K80" s="4">
        <v>78</v>
      </c>
      <c r="L80" s="27">
        <v>44496.371527777781</v>
      </c>
      <c r="M80" s="29">
        <v>4012</v>
      </c>
      <c r="O80" s="28">
        <v>-5.7333000000000002E-2</v>
      </c>
    </row>
    <row r="81" spans="1:15" x14ac:dyDescent="0.35">
      <c r="A81" s="7">
        <v>79</v>
      </c>
      <c r="B81" s="3">
        <v>44496.375</v>
      </c>
      <c r="C81" s="14">
        <v>4014.77</v>
      </c>
      <c r="D81" s="6" t="s">
        <v>12</v>
      </c>
      <c r="E81" s="6">
        <f>IF(AND(D80="UP",testdataClose5[[#This Row],[close]]&gt;E80),testdataClose5[[#This Row],[close]],IF(AND(D80="DN",testdataClose5[[#This Row],[close]]&lt;E80),testdataClose5[[#This Row],[close]],E80))</f>
        <v>3945.96</v>
      </c>
      <c r="F81" s="11">
        <f>(testdataClose5[[#This Row],[close]]-testdataClose5[[#This Row],[hl]])/testdataClose5[[#This Row],[hl]]</f>
        <v>1.7438088576670809E-2</v>
      </c>
      <c r="G81" s="15">
        <f t="shared" ca="1" si="1"/>
        <v>4134.6670471791103</v>
      </c>
      <c r="H81" s="6"/>
      <c r="K81" s="4">
        <v>79</v>
      </c>
      <c r="L81" s="27">
        <v>44496.375</v>
      </c>
      <c r="M81" s="29">
        <v>4014.77</v>
      </c>
      <c r="O81" s="28">
        <v>-5.6682000000000003E-2</v>
      </c>
    </row>
    <row r="82" spans="1:15" x14ac:dyDescent="0.35">
      <c r="A82" s="7">
        <v>80</v>
      </c>
      <c r="B82" s="3">
        <v>44496.378472222219</v>
      </c>
      <c r="C82" s="14">
        <v>4018.87</v>
      </c>
      <c r="D82" s="6" t="s">
        <v>12</v>
      </c>
      <c r="E82" s="6">
        <f>IF(AND(D81="UP",testdataClose5[[#This Row],[close]]&gt;E81),testdataClose5[[#This Row],[close]],IF(AND(D81="DN",testdataClose5[[#This Row],[close]]&lt;E81),testdataClose5[[#This Row],[close]],E81))</f>
        <v>3945.96</v>
      </c>
      <c r="F82" s="11">
        <f>(testdataClose5[[#This Row],[close]]-testdataClose5[[#This Row],[hl]])/testdataClose5[[#This Row],[hl]]</f>
        <v>1.8477125971880063E-2</v>
      </c>
      <c r="G82" s="15">
        <f t="shared" ca="1" si="1"/>
        <v>4133.1310159138848</v>
      </c>
      <c r="H82" s="6"/>
      <c r="K82" s="4">
        <v>80</v>
      </c>
      <c r="L82" s="27">
        <v>44496.378472222219</v>
      </c>
      <c r="M82" s="29">
        <v>4018.87</v>
      </c>
      <c r="O82" s="28">
        <v>-5.5718999999999998E-2</v>
      </c>
    </row>
    <row r="83" spans="1:15" x14ac:dyDescent="0.35">
      <c r="A83" s="7">
        <v>81</v>
      </c>
      <c r="B83" s="3">
        <v>44496.381944444445</v>
      </c>
      <c r="C83" s="14">
        <v>4026</v>
      </c>
      <c r="D83" s="6" t="s">
        <v>12</v>
      </c>
      <c r="E83" s="6">
        <f>IF(AND(D82="UP",testdataClose5[[#This Row],[close]]&gt;E82),testdataClose5[[#This Row],[close]],IF(AND(D82="DN",testdataClose5[[#This Row],[close]]&lt;E82),testdataClose5[[#This Row],[close]],E82))</f>
        <v>3945.96</v>
      </c>
      <c r="F83" s="11">
        <f>(testdataClose5[[#This Row],[close]]-testdataClose5[[#This Row],[hl]])/testdataClose5[[#This Row],[hl]]</f>
        <v>2.0284037344524518E-2</v>
      </c>
      <c r="G83" s="15">
        <f t="shared" ca="1" si="1"/>
        <v>4131.5949831363559</v>
      </c>
      <c r="H83" s="6"/>
      <c r="K83" s="4">
        <v>81</v>
      </c>
      <c r="L83" s="27">
        <v>44496.381944444445</v>
      </c>
      <c r="M83" s="29">
        <v>4026</v>
      </c>
      <c r="O83" s="28">
        <v>-5.4044000000000002E-2</v>
      </c>
    </row>
    <row r="84" spans="1:15" x14ac:dyDescent="0.35">
      <c r="A84" s="7">
        <v>82</v>
      </c>
      <c r="B84" s="3">
        <v>44496.385416666664</v>
      </c>
      <c r="C84" s="14">
        <v>4016.99</v>
      </c>
      <c r="D84" s="6" t="s">
        <v>12</v>
      </c>
      <c r="E84" s="6">
        <f>IF(AND(D83="UP",testdataClose5[[#This Row],[close]]&gt;E83),testdataClose5[[#This Row],[close]],IF(AND(D83="DN",testdataClose5[[#This Row],[close]]&lt;E83),testdataClose5[[#This Row],[close]],E83))</f>
        <v>3945.96</v>
      </c>
      <c r="F84" s="11">
        <f>(testdataClose5[[#This Row],[close]]-testdataClose5[[#This Row],[hl]])/testdataClose5[[#This Row],[hl]]</f>
        <v>1.8000689312613342E-2</v>
      </c>
      <c r="G84" s="15">
        <f t="shared" ca="1" si="1"/>
        <v>4130.0589488371525</v>
      </c>
      <c r="H84" s="6"/>
      <c r="K84" s="4">
        <v>82</v>
      </c>
      <c r="L84" s="27">
        <v>44496.385416666664</v>
      </c>
      <c r="M84" s="29">
        <v>4016.99</v>
      </c>
      <c r="O84" s="28">
        <v>-5.6161000000000003E-2</v>
      </c>
    </row>
    <row r="85" spans="1:15" x14ac:dyDescent="0.35">
      <c r="A85" s="7">
        <v>83</v>
      </c>
      <c r="B85" s="3">
        <v>44496.388888888891</v>
      </c>
      <c r="C85" s="14">
        <v>4007.12</v>
      </c>
      <c r="D85" s="6" t="s">
        <v>12</v>
      </c>
      <c r="E85" s="6">
        <f>IF(AND(D84="UP",testdataClose5[[#This Row],[close]]&gt;E84),testdataClose5[[#This Row],[close]],IF(AND(D84="DN",testdataClose5[[#This Row],[close]]&lt;E84),testdataClose5[[#This Row],[close]],E84))</f>
        <v>3945.96</v>
      </c>
      <c r="F85" s="11">
        <f>(testdataClose5[[#This Row],[close]]-testdataClose5[[#This Row],[hl]])/testdataClose5[[#This Row],[hl]]</f>
        <v>1.5499396851463232E-2</v>
      </c>
      <c r="G85" s="15">
        <f t="shared" ca="1" si="1"/>
        <v>4128.5229130072112</v>
      </c>
      <c r="H85" s="6"/>
      <c r="K85" s="4">
        <v>83</v>
      </c>
      <c r="L85" s="27">
        <v>44496.388888888891</v>
      </c>
      <c r="M85" s="29">
        <v>4007.12</v>
      </c>
      <c r="O85" s="28">
        <v>-5.8479999999999997E-2</v>
      </c>
    </row>
    <row r="86" spans="1:15" x14ac:dyDescent="0.35">
      <c r="A86" s="7">
        <v>84</v>
      </c>
      <c r="B86" s="3">
        <v>44496.392361111109</v>
      </c>
      <c r="C86" s="14">
        <v>3994.96</v>
      </c>
      <c r="D86" s="6" t="s">
        <v>12</v>
      </c>
      <c r="E86" s="6">
        <f>IF(AND(D85="UP",testdataClose5[[#This Row],[close]]&gt;E85),testdataClose5[[#This Row],[close]],IF(AND(D85="DN",testdataClose5[[#This Row],[close]]&lt;E85),testdataClose5[[#This Row],[close]],E85))</f>
        <v>3945.96</v>
      </c>
      <c r="F86" s="11">
        <f>(testdataClose5[[#This Row],[close]]-testdataClose5[[#This Row],[hl]])/testdataClose5[[#This Row],[hl]]</f>
        <v>1.2417763991525509E-2</v>
      </c>
      <c r="G86" s="15">
        <f t="shared" ca="1" si="1"/>
        <v>4126.9868756377773</v>
      </c>
      <c r="H86" s="6"/>
      <c r="K86" s="4">
        <v>84</v>
      </c>
      <c r="L86" s="27">
        <v>44496.392361111109</v>
      </c>
      <c r="M86" s="29">
        <v>3994.96</v>
      </c>
      <c r="O86" s="28">
        <v>-6.1337000000000003E-2</v>
      </c>
    </row>
    <row r="87" spans="1:15" x14ac:dyDescent="0.35">
      <c r="A87" s="7">
        <v>85</v>
      </c>
      <c r="B87" s="3">
        <v>44496.395833333336</v>
      </c>
      <c r="C87" s="14">
        <v>3997</v>
      </c>
      <c r="D87" s="6" t="s">
        <v>12</v>
      </c>
      <c r="E87" s="6">
        <f>IF(AND(D86="UP",testdataClose5[[#This Row],[close]]&gt;E86),testdataClose5[[#This Row],[close]],IF(AND(D86="DN",testdataClose5[[#This Row],[close]]&lt;E86),testdataClose5[[#This Row],[close]],E86))</f>
        <v>3945.96</v>
      </c>
      <c r="F87" s="11">
        <f>(testdataClose5[[#This Row],[close]]-testdataClose5[[#This Row],[hl]])/testdataClose5[[#This Row],[hl]]</f>
        <v>1.2934748451580848E-2</v>
      </c>
      <c r="G87" s="15">
        <f t="shared" ca="1" si="1"/>
        <v>4125.4508367204071</v>
      </c>
      <c r="H87" s="6"/>
      <c r="K87" s="4">
        <v>85</v>
      </c>
      <c r="L87" s="27">
        <v>44496.395833333336</v>
      </c>
      <c r="M87" s="29">
        <v>3997</v>
      </c>
      <c r="O87" s="28">
        <v>-6.0857000000000001E-2</v>
      </c>
    </row>
    <row r="88" spans="1:15" x14ac:dyDescent="0.35">
      <c r="A88" s="7">
        <v>86</v>
      </c>
      <c r="B88" s="3">
        <v>44496.399305555555</v>
      </c>
      <c r="C88" s="14">
        <v>4014.91</v>
      </c>
      <c r="D88" s="6" t="s">
        <v>12</v>
      </c>
      <c r="E88" s="6">
        <f>IF(AND(D87="UP",testdataClose5[[#This Row],[close]]&gt;E87),testdataClose5[[#This Row],[close]],IF(AND(D87="DN",testdataClose5[[#This Row],[close]]&lt;E87),testdataClose5[[#This Row],[close]],E87))</f>
        <v>3945.96</v>
      </c>
      <c r="F88" s="11">
        <f>(testdataClose5[[#This Row],[close]]-testdataClose5[[#This Row],[hl]])/testdataClose5[[#This Row],[hl]]</f>
        <v>1.7473567902360848E-2</v>
      </c>
      <c r="G88" s="15">
        <f t="shared" ca="1" si="1"/>
        <v>4123.9147962469651</v>
      </c>
      <c r="H88" s="6"/>
      <c r="K88" s="4">
        <v>86</v>
      </c>
      <c r="L88" s="27">
        <v>44496.399305555555</v>
      </c>
      <c r="M88" s="29">
        <v>4014.91</v>
      </c>
      <c r="O88" s="28">
        <v>-5.6648999999999998E-2</v>
      </c>
    </row>
    <row r="89" spans="1:15" x14ac:dyDescent="0.35">
      <c r="A89" s="7">
        <v>87</v>
      </c>
      <c r="B89" s="3">
        <v>44496.402777777781</v>
      </c>
      <c r="C89" s="14">
        <v>4021</v>
      </c>
      <c r="D89" s="6" t="s">
        <v>12</v>
      </c>
      <c r="E89" s="6">
        <f>IF(AND(D88="UP",testdataClose5[[#This Row],[close]]&gt;E88),testdataClose5[[#This Row],[close]],IF(AND(D88="DN",testdataClose5[[#This Row],[close]]&lt;E88),testdataClose5[[#This Row],[close]],E88))</f>
        <v>3945.96</v>
      </c>
      <c r="F89" s="11">
        <f>(testdataClose5[[#This Row],[close]]-testdataClose5[[#This Row],[hl]])/testdataClose5[[#This Row],[hl]]</f>
        <v>1.9016918569879058E-2</v>
      </c>
      <c r="G89" s="15">
        <f t="shared" ca="1" si="1"/>
        <v>4122.3787542096334</v>
      </c>
      <c r="H89" s="6"/>
      <c r="K89" s="4">
        <v>87</v>
      </c>
      <c r="L89" s="27">
        <v>44496.402777777781</v>
      </c>
      <c r="M89" s="29">
        <v>4021</v>
      </c>
      <c r="O89" s="28">
        <v>-5.5218000000000003E-2</v>
      </c>
    </row>
    <row r="90" spans="1:15" x14ac:dyDescent="0.35">
      <c r="A90" s="7">
        <v>88</v>
      </c>
      <c r="B90" s="3">
        <v>44496.40625</v>
      </c>
      <c r="C90" s="14">
        <v>4003.55</v>
      </c>
      <c r="D90" s="6" t="s">
        <v>12</v>
      </c>
      <c r="E90" s="6">
        <f>IF(AND(D89="UP",testdataClose5[[#This Row],[close]]&gt;E89),testdataClose5[[#This Row],[close]],IF(AND(D89="DN",testdataClose5[[#This Row],[close]]&lt;E89),testdataClose5[[#This Row],[close]],E89))</f>
        <v>3945.96</v>
      </c>
      <c r="F90" s="11">
        <f>(testdataClose5[[#This Row],[close]]-testdataClose5[[#This Row],[hl]])/testdataClose5[[#This Row],[hl]]</f>
        <v>1.4594674046366447E-2</v>
      </c>
      <c r="G90" s="15">
        <f t="shared" ca="1" si="1"/>
        <v>4120.8427106009058</v>
      </c>
      <c r="H90" s="6"/>
      <c r="K90" s="4">
        <v>88</v>
      </c>
      <c r="L90" s="27">
        <v>44496.40625</v>
      </c>
      <c r="M90" s="29">
        <v>4003.55</v>
      </c>
      <c r="O90" s="28">
        <v>-5.9318000000000003E-2</v>
      </c>
    </row>
    <row r="91" spans="1:15" x14ac:dyDescent="0.35">
      <c r="A91" s="7">
        <v>89</v>
      </c>
      <c r="B91" s="3">
        <v>44496.409722222219</v>
      </c>
      <c r="C91" s="14">
        <v>4000</v>
      </c>
      <c r="D91" s="6" t="s">
        <v>12</v>
      </c>
      <c r="E91" s="6">
        <f>IF(AND(D90="UP",testdataClose5[[#This Row],[close]]&gt;E90),testdataClose5[[#This Row],[close]],IF(AND(D90="DN",testdataClose5[[#This Row],[close]]&lt;E90),testdataClose5[[#This Row],[close]],E90))</f>
        <v>3945.96</v>
      </c>
      <c r="F91" s="11">
        <f>(testdataClose5[[#This Row],[close]]-testdataClose5[[#This Row],[hl]])/testdataClose5[[#This Row],[hl]]</f>
        <v>1.3695019716368124E-2</v>
      </c>
      <c r="G91" s="15">
        <f t="shared" ca="1" si="1"/>
        <v>4119.3066654135946</v>
      </c>
      <c r="H91" s="6"/>
      <c r="K91" s="4">
        <v>89</v>
      </c>
      <c r="L91" s="27">
        <v>44496.409722222219</v>
      </c>
      <c r="M91" s="29">
        <v>4000</v>
      </c>
      <c r="O91" s="28">
        <v>-6.0152999999999998E-2</v>
      </c>
    </row>
    <row r="92" spans="1:15" x14ac:dyDescent="0.35">
      <c r="A92" s="7">
        <v>90</v>
      </c>
      <c r="B92" s="3">
        <v>44496.413194444445</v>
      </c>
      <c r="C92" s="14">
        <v>3994.62</v>
      </c>
      <c r="D92" s="6" t="s">
        <v>12</v>
      </c>
      <c r="E92" s="6">
        <f>IF(AND(D91="UP",testdataClose5[[#This Row],[close]]&gt;E91),testdataClose5[[#This Row],[close]],IF(AND(D91="DN",testdataClose5[[#This Row],[close]]&lt;E91),testdataClose5[[#This Row],[close]],E91))</f>
        <v>3945.96</v>
      </c>
      <c r="F92" s="11">
        <f>(testdataClose5[[#This Row],[close]]-testdataClose5[[#This Row],[hl]])/testdataClose5[[#This Row],[hl]]</f>
        <v>1.2331599914849582E-2</v>
      </c>
      <c r="G92" s="15">
        <f t="shared" ca="1" si="1"/>
        <v>4117.7706186408268</v>
      </c>
      <c r="H92" s="6"/>
      <c r="K92" s="4">
        <v>90</v>
      </c>
      <c r="L92" s="27">
        <v>44496.413194444445</v>
      </c>
      <c r="M92" s="29">
        <v>3994.62</v>
      </c>
      <c r="O92" s="28">
        <v>-6.1416999999999999E-2</v>
      </c>
    </row>
    <row r="93" spans="1:15" x14ac:dyDescent="0.35">
      <c r="A93" s="7">
        <v>91</v>
      </c>
      <c r="B93" s="3">
        <v>44496.416666666664</v>
      </c>
      <c r="C93" s="14">
        <v>3992</v>
      </c>
      <c r="D93" s="6" t="s">
        <v>12</v>
      </c>
      <c r="E93" s="6">
        <f>IF(AND(D92="UP",testdataClose5[[#This Row],[close]]&gt;E92),testdataClose5[[#This Row],[close]],IF(AND(D92="DN",testdataClose5[[#This Row],[close]]&lt;E92),testdataClose5[[#This Row],[close]],E92))</f>
        <v>3945.96</v>
      </c>
      <c r="F93" s="11">
        <f>(testdataClose5[[#This Row],[close]]-testdataClose5[[#This Row],[hl]])/testdataClose5[[#This Row],[hl]]</f>
        <v>1.1667629676935388E-2</v>
      </c>
      <c r="G93" s="15">
        <f t="shared" ca="1" si="1"/>
        <v>4116.2345702760504</v>
      </c>
      <c r="H93" s="6"/>
      <c r="K93" s="4">
        <v>91</v>
      </c>
      <c r="L93" s="27">
        <v>44496.416666666664</v>
      </c>
      <c r="M93" s="29">
        <v>3992</v>
      </c>
      <c r="O93" s="28">
        <v>-6.2031999999999997E-2</v>
      </c>
    </row>
    <row r="94" spans="1:15" x14ac:dyDescent="0.35">
      <c r="A94" s="7">
        <v>92</v>
      </c>
      <c r="B94" s="3">
        <v>44496.420138888891</v>
      </c>
      <c r="C94" s="14">
        <v>3993.06</v>
      </c>
      <c r="D94" s="6" t="s">
        <v>12</v>
      </c>
      <c r="E94" s="6">
        <f>IF(AND(D93="UP",testdataClose5[[#This Row],[close]]&gt;E93),testdataClose5[[#This Row],[close]],IF(AND(D93="DN",testdataClose5[[#This Row],[close]]&lt;E93),testdataClose5[[#This Row],[close]],E93))</f>
        <v>3945.96</v>
      </c>
      <c r="F94" s="11">
        <f>(testdataClose5[[#This Row],[close]]-testdataClose5[[#This Row],[hl]])/testdataClose5[[#This Row],[hl]]</f>
        <v>1.1936258857160211E-2</v>
      </c>
      <c r="G94" s="15">
        <f t="shared" ca="1" si="1"/>
        <v>4114.6985203130325</v>
      </c>
      <c r="H94" s="6"/>
      <c r="K94" s="4">
        <v>92</v>
      </c>
      <c r="L94" s="27">
        <v>44496.420138888891</v>
      </c>
      <c r="M94" s="29">
        <v>3993.06</v>
      </c>
      <c r="O94" s="28">
        <v>-6.1782999999999998E-2</v>
      </c>
    </row>
    <row r="95" spans="1:15" x14ac:dyDescent="0.35">
      <c r="A95" s="7">
        <v>93</v>
      </c>
      <c r="B95" s="3">
        <v>44496.423611111109</v>
      </c>
      <c r="C95" s="14">
        <v>3982.95</v>
      </c>
      <c r="D95" s="6" t="s">
        <v>12</v>
      </c>
      <c r="E95" s="6">
        <f>IF(AND(D94="UP",testdataClose5[[#This Row],[close]]&gt;E94),testdataClose5[[#This Row],[close]],IF(AND(D94="DN",testdataClose5[[#This Row],[close]]&lt;E94),testdataClose5[[#This Row],[close]],E94))</f>
        <v>3945.96</v>
      </c>
      <c r="F95" s="11">
        <f>(testdataClose5[[#This Row],[close]]-testdataClose5[[#This Row],[hl]])/testdataClose5[[#This Row],[hl]]</f>
        <v>9.3741446948270597E-3</v>
      </c>
      <c r="G95" s="15">
        <f t="shared" ca="1" si="1"/>
        <v>4113.1624687458625</v>
      </c>
      <c r="H95" s="6"/>
      <c r="K95" s="4">
        <v>93</v>
      </c>
      <c r="L95" s="27">
        <v>44496.423611111109</v>
      </c>
      <c r="M95" s="29">
        <v>3982.95</v>
      </c>
      <c r="O95" s="28">
        <v>-6.4158999999999994E-2</v>
      </c>
    </row>
    <row r="96" spans="1:15" x14ac:dyDescent="0.35">
      <c r="A96" s="7">
        <v>94</v>
      </c>
      <c r="B96" s="3">
        <v>44496.427083333336</v>
      </c>
      <c r="C96" s="14">
        <v>3978</v>
      </c>
      <c r="D96" s="6" t="s">
        <v>12</v>
      </c>
      <c r="E96" s="6">
        <f>IF(AND(D95="UP",testdataClose5[[#This Row],[close]]&gt;E95),testdataClose5[[#This Row],[close]],IF(AND(D95="DN",testdataClose5[[#This Row],[close]]&lt;E95),testdataClose5[[#This Row],[close]],E95))</f>
        <v>3945.96</v>
      </c>
      <c r="F96" s="11">
        <f>(testdataClose5[[#This Row],[close]]-testdataClose5[[#This Row],[hl]])/testdataClose5[[#This Row],[hl]]</f>
        <v>8.1196971079280991E-3</v>
      </c>
      <c r="G96" s="15">
        <f t="shared" ca="1" si="1"/>
        <v>4111.6264155689505</v>
      </c>
      <c r="H96" s="6"/>
      <c r="K96" s="4">
        <v>94</v>
      </c>
      <c r="L96" s="27">
        <v>44496.427083333336</v>
      </c>
      <c r="M96" s="29">
        <v>3978</v>
      </c>
      <c r="O96" s="28">
        <v>-6.5322000000000005E-2</v>
      </c>
    </row>
    <row r="97" spans="1:15" x14ac:dyDescent="0.35">
      <c r="A97" s="7">
        <v>95</v>
      </c>
      <c r="B97" s="3">
        <v>44496.430555555555</v>
      </c>
      <c r="C97" s="14">
        <v>4002.8</v>
      </c>
      <c r="D97" s="6" t="s">
        <v>12</v>
      </c>
      <c r="E97" s="6">
        <f>IF(AND(D96="UP",testdataClose5[[#This Row],[close]]&gt;E96),testdataClose5[[#This Row],[close]],IF(AND(D96="DN",testdataClose5[[#This Row],[close]]&lt;E96),testdataClose5[[#This Row],[close]],E96))</f>
        <v>3945.96</v>
      </c>
      <c r="F97" s="11">
        <f>(testdataClose5[[#This Row],[close]]-testdataClose5[[#This Row],[hl]])/testdataClose5[[#This Row],[hl]]</f>
        <v>1.4404606230169629E-2</v>
      </c>
      <c r="G97" s="15">
        <f t="shared" ca="1" si="1"/>
        <v>4110.0903607770324</v>
      </c>
      <c r="H97" s="6"/>
      <c r="K97" s="4">
        <v>95</v>
      </c>
      <c r="L97" s="27">
        <v>44496.430555555555</v>
      </c>
      <c r="M97" s="29">
        <v>4002.8</v>
      </c>
      <c r="O97" s="28">
        <v>-5.9494999999999999E-2</v>
      </c>
    </row>
    <row r="98" spans="1:15" x14ac:dyDescent="0.35">
      <c r="A98" s="7">
        <v>96</v>
      </c>
      <c r="B98" s="3">
        <v>44496.434027777781</v>
      </c>
      <c r="C98" s="14">
        <v>3987.13</v>
      </c>
      <c r="D98" s="6" t="s">
        <v>12</v>
      </c>
      <c r="E98" s="6">
        <f>IF(AND(D97="UP",testdataClose5[[#This Row],[close]]&gt;E97),testdataClose5[[#This Row],[close]],IF(AND(D97="DN",testdataClose5[[#This Row],[close]]&lt;E97),testdataClose5[[#This Row],[close]],E97))</f>
        <v>3945.96</v>
      </c>
      <c r="F98" s="11">
        <f>(testdataClose5[[#This Row],[close]]-testdataClose5[[#This Row],[hl]])/testdataClose5[[#This Row],[hl]]</f>
        <v>1.0433455990430737E-2</v>
      </c>
      <c r="G98" s="15">
        <f t="shared" ca="1" si="1"/>
        <v>4108.5543043651669</v>
      </c>
      <c r="H98" s="6"/>
      <c r="K98" s="4">
        <v>96</v>
      </c>
      <c r="L98" s="27">
        <v>44496.434027777781</v>
      </c>
      <c r="M98" s="29">
        <v>3987.13</v>
      </c>
      <c r="O98" s="28">
        <v>-6.3176999999999997E-2</v>
      </c>
    </row>
    <row r="99" spans="1:15" x14ac:dyDescent="0.35">
      <c r="A99" s="7">
        <v>97</v>
      </c>
      <c r="B99" s="3">
        <v>44496.4375</v>
      </c>
      <c r="C99" s="14">
        <v>4003</v>
      </c>
      <c r="D99" s="6" t="s">
        <v>12</v>
      </c>
      <c r="E99" s="6">
        <f>IF(AND(D98="UP",testdataClose5[[#This Row],[close]]&gt;E98),testdataClose5[[#This Row],[close]],IF(AND(D98="DN",testdataClose5[[#This Row],[close]]&lt;E98),testdataClose5[[#This Row],[close]],E98))</f>
        <v>3945.96</v>
      </c>
      <c r="F99" s="11">
        <f>(testdataClose5[[#This Row],[close]]-testdataClose5[[#This Row],[hl]])/testdataClose5[[#This Row],[hl]]</f>
        <v>1.4455290981155401E-2</v>
      </c>
      <c r="G99" s="15">
        <f t="shared" ca="1" si="1"/>
        <v>4107.0182463287383</v>
      </c>
      <c r="H99" s="6"/>
      <c r="K99" s="4">
        <v>97</v>
      </c>
      <c r="L99" s="27">
        <v>44496.4375</v>
      </c>
      <c r="M99" s="29">
        <v>4003</v>
      </c>
      <c r="O99" s="28">
        <v>-5.9448000000000001E-2</v>
      </c>
    </row>
    <row r="100" spans="1:15" x14ac:dyDescent="0.35">
      <c r="A100" s="7">
        <v>98</v>
      </c>
      <c r="B100" s="3">
        <v>44496.440972222219</v>
      </c>
      <c r="C100" s="14">
        <v>4022.4</v>
      </c>
      <c r="D100" s="6" t="s">
        <v>12</v>
      </c>
      <c r="E100" s="6">
        <f>IF(AND(D99="UP",testdataClose5[[#This Row],[close]]&gt;E99),testdataClose5[[#This Row],[close]],IF(AND(D99="DN",testdataClose5[[#This Row],[close]]&lt;E99),testdataClose5[[#This Row],[close]],E99))</f>
        <v>3945.96</v>
      </c>
      <c r="F100" s="11">
        <f>(testdataClose5[[#This Row],[close]]-testdataClose5[[#This Row],[hl]])/testdataClose5[[#This Row],[hl]]</f>
        <v>1.9371711826779808E-2</v>
      </c>
      <c r="G100" s="15">
        <f t="shared" ca="1" si="1"/>
        <v>4105.4821866634575</v>
      </c>
      <c r="H100" s="6"/>
      <c r="K100" s="4">
        <v>98</v>
      </c>
      <c r="L100" s="27">
        <v>44496.440972222219</v>
      </c>
      <c r="M100" s="29">
        <v>4022.4</v>
      </c>
      <c r="O100" s="28">
        <v>-5.4889E-2</v>
      </c>
    </row>
    <row r="101" spans="1:15" x14ac:dyDescent="0.35">
      <c r="A101" s="7">
        <v>99</v>
      </c>
      <c r="B101" s="3">
        <v>44496.444444444445</v>
      </c>
      <c r="C101" s="14">
        <v>4016.03</v>
      </c>
      <c r="D101" s="6" t="s">
        <v>12</v>
      </c>
      <c r="E101" s="6">
        <f>IF(AND(D100="UP",testdataClose5[[#This Row],[close]]&gt;E100),testdataClose5[[#This Row],[close]],IF(AND(D100="DN",testdataClose5[[#This Row],[close]]&lt;E100),testdataClose5[[#This Row],[close]],E100))</f>
        <v>3945.96</v>
      </c>
      <c r="F101" s="11">
        <f>(testdataClose5[[#This Row],[close]]-testdataClose5[[#This Row],[hl]])/testdataClose5[[#This Row],[hl]]</f>
        <v>1.775740250788152E-2</v>
      </c>
      <c r="G101" s="15">
        <f t="shared" ca="1" si="1"/>
        <v>4103.9461253653626</v>
      </c>
      <c r="H101" s="6"/>
      <c r="K101" s="4">
        <v>99</v>
      </c>
      <c r="L101" s="27">
        <v>44496.444444444445</v>
      </c>
      <c r="M101" s="29">
        <v>4016.03</v>
      </c>
      <c r="O101" s="28">
        <v>-5.6385999999999999E-2</v>
      </c>
    </row>
    <row r="102" spans="1:15" x14ac:dyDescent="0.35">
      <c r="A102" s="7">
        <v>100</v>
      </c>
      <c r="B102" s="3">
        <v>44496.447916666664</v>
      </c>
      <c r="C102" s="14">
        <v>4039.52</v>
      </c>
      <c r="D102" s="6" t="s">
        <v>12</v>
      </c>
      <c r="E102" s="6">
        <f>IF(AND(D101="UP",testdataClose5[[#This Row],[close]]&gt;E101),testdataClose5[[#This Row],[close]],IF(AND(D101="DN",testdataClose5[[#This Row],[close]]&lt;E101),testdataClose5[[#This Row],[close]],E101))</f>
        <v>3945.96</v>
      </c>
      <c r="F102" s="11">
        <f>(testdataClose5[[#This Row],[close]]-testdataClose5[[#This Row],[hl]])/testdataClose5[[#This Row],[hl]]</f>
        <v>2.3710326511165836E-2</v>
      </c>
      <c r="G102" s="15">
        <f t="shared" ca="1" si="1"/>
        <v>4102.4100624308176</v>
      </c>
      <c r="H102" s="6"/>
      <c r="K102" s="4">
        <v>100</v>
      </c>
      <c r="L102" s="27">
        <v>44496.447916666664</v>
      </c>
      <c r="M102" s="29">
        <v>4039.52</v>
      </c>
      <c r="O102" s="28">
        <v>-5.0867000000000002E-2</v>
      </c>
    </row>
    <row r="103" spans="1:15" x14ac:dyDescent="0.35">
      <c r="A103" s="7">
        <v>101</v>
      </c>
      <c r="B103" s="3">
        <v>44496.451388888891</v>
      </c>
      <c r="C103" s="14">
        <v>4021.05</v>
      </c>
      <c r="D103" s="6" t="s">
        <v>12</v>
      </c>
      <c r="E103" s="6">
        <f>IF(AND(D102="UP",testdataClose5[[#This Row],[close]]&gt;E102),testdataClose5[[#This Row],[close]],IF(AND(D102="DN",testdataClose5[[#This Row],[close]]&lt;E102),testdataClose5[[#This Row],[close]],E102))</f>
        <v>3945.96</v>
      </c>
      <c r="F103" s="11">
        <f>(testdataClose5[[#This Row],[close]]-testdataClose5[[#This Row],[hl]])/testdataClose5[[#This Row],[hl]]</f>
        <v>1.9029589757625559E-2</v>
      </c>
      <c r="G103" s="15">
        <f t="shared" ca="1" si="1"/>
        <v>4100.8739978565181</v>
      </c>
      <c r="H103" s="6"/>
      <c r="K103" s="4">
        <v>101</v>
      </c>
      <c r="L103" s="27">
        <v>44496.451388888891</v>
      </c>
      <c r="M103" s="29">
        <v>4021.05</v>
      </c>
      <c r="O103" s="28">
        <v>-5.5206999999999999E-2</v>
      </c>
    </row>
    <row r="104" spans="1:15" x14ac:dyDescent="0.35">
      <c r="A104" s="7">
        <v>102</v>
      </c>
      <c r="B104" s="3">
        <v>44496.454861111109</v>
      </c>
      <c r="C104" s="14">
        <v>4012.21</v>
      </c>
      <c r="D104" s="6" t="s">
        <v>12</v>
      </c>
      <c r="E104" s="6">
        <f>IF(AND(D103="UP",testdataClose5[[#This Row],[close]]&gt;E103),testdataClose5[[#This Row],[close]],IF(AND(D103="DN",testdataClose5[[#This Row],[close]]&lt;E103),testdataClose5[[#This Row],[close]],E103))</f>
        <v>3945.96</v>
      </c>
      <c r="F104" s="11">
        <f>(testdataClose5[[#This Row],[close]]-testdataClose5[[#This Row],[hl]])/testdataClose5[[#This Row],[hl]]</f>
        <v>1.6789323764052348E-2</v>
      </c>
      <c r="G104" s="15">
        <f t="shared" ca="1" si="1"/>
        <v>4099.3379316394858</v>
      </c>
      <c r="H104" s="6"/>
      <c r="K104" s="4">
        <v>102</v>
      </c>
      <c r="L104" s="27">
        <v>44496.454861111109</v>
      </c>
      <c r="M104" s="29">
        <v>4012.21</v>
      </c>
      <c r="O104" s="28">
        <v>-5.7284000000000002E-2</v>
      </c>
    </row>
    <row r="105" spans="1:15" x14ac:dyDescent="0.35">
      <c r="A105" s="7">
        <v>103</v>
      </c>
      <c r="B105" s="3">
        <v>44496.458333333336</v>
      </c>
      <c r="C105" s="14">
        <v>4011.52</v>
      </c>
      <c r="D105" s="6" t="s">
        <v>12</v>
      </c>
      <c r="E105" s="6">
        <f>IF(AND(D104="UP",testdataClose5[[#This Row],[close]]&gt;E104),testdataClose5[[#This Row],[close]],IF(AND(D104="DN",testdataClose5[[#This Row],[close]]&lt;E104),testdataClose5[[#This Row],[close]],E104))</f>
        <v>3945.96</v>
      </c>
      <c r="F105" s="11">
        <f>(testdataClose5[[#This Row],[close]]-testdataClose5[[#This Row],[hl]])/testdataClose5[[#This Row],[hl]]</f>
        <v>1.661446137315126E-2</v>
      </c>
      <c r="G105" s="15">
        <f t="shared" ca="1" si="1"/>
        <v>4097.8018637770747</v>
      </c>
      <c r="H105" s="6"/>
      <c r="K105" s="4">
        <v>103</v>
      </c>
      <c r="L105" s="27">
        <v>44496.458333333336</v>
      </c>
      <c r="M105" s="29">
        <v>4011.52</v>
      </c>
      <c r="O105" s="28">
        <v>-5.7445999999999997E-2</v>
      </c>
    </row>
    <row r="106" spans="1:15" x14ac:dyDescent="0.35">
      <c r="A106" s="7">
        <v>104</v>
      </c>
      <c r="B106" s="3">
        <v>44496.461805555555</v>
      </c>
      <c r="C106" s="14">
        <v>4024.99</v>
      </c>
      <c r="D106" s="6" t="s">
        <v>12</v>
      </c>
      <c r="E106" s="6">
        <f>IF(AND(D105="UP",testdataClose5[[#This Row],[close]]&gt;E105),testdataClose5[[#This Row],[close]],IF(AND(D105="DN",testdataClose5[[#This Row],[close]]&lt;E105),testdataClose5[[#This Row],[close]],E105))</f>
        <v>3945.96</v>
      </c>
      <c r="F106" s="11">
        <f>(testdataClose5[[#This Row],[close]]-testdataClose5[[#This Row],[hl]])/testdataClose5[[#This Row],[hl]]</f>
        <v>2.0028079352046077E-2</v>
      </c>
      <c r="G106" s="15">
        <f t="shared" ca="1" si="1"/>
        <v>4096.2657942669657</v>
      </c>
      <c r="H106" s="6"/>
      <c r="K106" s="4">
        <v>104</v>
      </c>
      <c r="L106" s="27">
        <v>44496.461805555555</v>
      </c>
      <c r="M106" s="29">
        <v>4024.99</v>
      </c>
      <c r="O106" s="28">
        <v>-5.4281000000000003E-2</v>
      </c>
    </row>
    <row r="107" spans="1:15" x14ac:dyDescent="0.35">
      <c r="A107" s="7">
        <v>105</v>
      </c>
      <c r="B107" s="3">
        <v>44496.465277777781</v>
      </c>
      <c r="C107" s="14">
        <v>4033.01</v>
      </c>
      <c r="D107" s="6" t="s">
        <v>12</v>
      </c>
      <c r="E107" s="6">
        <f>IF(AND(D106="UP",testdataClose5[[#This Row],[close]]&gt;E106),testdataClose5[[#This Row],[close]],IF(AND(D106="DN",testdataClose5[[#This Row],[close]]&lt;E106),testdataClose5[[#This Row],[close]],E106))</f>
        <v>3945.96</v>
      </c>
      <c r="F107" s="11">
        <f>(testdataClose5[[#This Row],[close]]-testdataClose5[[#This Row],[hl]])/testdataClose5[[#This Row],[hl]]</f>
        <v>2.2060537866577506E-2</v>
      </c>
      <c r="G107" s="15">
        <f t="shared" ca="1" si="1"/>
        <v>4094.7297231071725</v>
      </c>
      <c r="H107" s="6"/>
      <c r="K107" s="4">
        <v>105</v>
      </c>
      <c r="L107" s="27">
        <v>44496.465277777781</v>
      </c>
      <c r="M107" s="29">
        <v>4033.01</v>
      </c>
      <c r="O107" s="28">
        <v>-5.2395999999999998E-2</v>
      </c>
    </row>
    <row r="108" spans="1:15" x14ac:dyDescent="0.35">
      <c r="A108" s="7">
        <v>106</v>
      </c>
      <c r="B108" s="3">
        <v>44496.46875</v>
      </c>
      <c r="C108" s="14">
        <v>4022.86</v>
      </c>
      <c r="D108" s="6" t="s">
        <v>12</v>
      </c>
      <c r="E108" s="6">
        <f>IF(AND(D107="UP",testdataClose5[[#This Row],[close]]&gt;E107),testdataClose5[[#This Row],[close]],IF(AND(D107="DN",testdataClose5[[#This Row],[close]]&lt;E107),testdataClose5[[#This Row],[close]],E107))</f>
        <v>3945.96</v>
      </c>
      <c r="F108" s="11">
        <f>(testdataClose5[[#This Row],[close]]-testdataClose5[[#This Row],[hl]])/testdataClose5[[#This Row],[hl]]</f>
        <v>1.94882867540472E-2</v>
      </c>
      <c r="G108" s="15">
        <f t="shared" ca="1" si="1"/>
        <v>4093.1936502960389</v>
      </c>
      <c r="H108" s="6"/>
      <c r="K108" s="4">
        <v>106</v>
      </c>
      <c r="L108" s="27">
        <v>44496.46875</v>
      </c>
      <c r="M108" s="29">
        <v>4022.86</v>
      </c>
      <c r="O108" s="28">
        <v>-5.4781000000000003E-2</v>
      </c>
    </row>
    <row r="109" spans="1:15" x14ac:dyDescent="0.35">
      <c r="A109" s="7">
        <v>107</v>
      </c>
      <c r="B109" s="3">
        <v>44496.472222222219</v>
      </c>
      <c r="C109" s="14">
        <v>4007.72</v>
      </c>
      <c r="D109" s="6" t="s">
        <v>12</v>
      </c>
      <c r="E109" s="6">
        <f>IF(AND(D108="UP",testdataClose5[[#This Row],[close]]&gt;E108),testdataClose5[[#This Row],[close]],IF(AND(D108="DN",testdataClose5[[#This Row],[close]]&lt;E108),testdataClose5[[#This Row],[close]],E108))</f>
        <v>3945.96</v>
      </c>
      <c r="F109" s="11">
        <f>(testdataClose5[[#This Row],[close]]-testdataClose5[[#This Row],[hl]])/testdataClose5[[#This Row],[hl]]</f>
        <v>1.5651451104420663E-2</v>
      </c>
      <c r="G109" s="15">
        <f t="shared" ca="1" si="1"/>
        <v>4091.6575758322388</v>
      </c>
      <c r="H109" s="6"/>
      <c r="K109" s="4">
        <v>107</v>
      </c>
      <c r="L109" s="27">
        <v>44496.472222222219</v>
      </c>
      <c r="M109" s="29">
        <v>4007.72</v>
      </c>
      <c r="O109" s="28">
        <v>-5.8339000000000002E-2</v>
      </c>
    </row>
    <row r="110" spans="1:15" x14ac:dyDescent="0.35">
      <c r="A110" s="7">
        <v>108</v>
      </c>
      <c r="B110" s="3">
        <v>44496.475694444445</v>
      </c>
      <c r="C110" s="14">
        <v>3995.37</v>
      </c>
      <c r="D110" s="6" t="s">
        <v>12</v>
      </c>
      <c r="E110" s="6">
        <f>IF(AND(D109="UP",testdataClose5[[#This Row],[close]]&gt;E109),testdataClose5[[#This Row],[close]],IF(AND(D109="DN",testdataClose5[[#This Row],[close]]&lt;E109),testdataClose5[[#This Row],[close]],E109))</f>
        <v>3945.96</v>
      </c>
      <c r="F110" s="11">
        <f>(testdataClose5[[#This Row],[close]]-testdataClose5[[#This Row],[hl]])/testdataClose5[[#This Row],[hl]]</f>
        <v>1.2521667731046401E-2</v>
      </c>
      <c r="G110" s="15">
        <f t="shared" ca="1" si="1"/>
        <v>4090.1214997147786</v>
      </c>
      <c r="H110" s="6"/>
      <c r="K110" s="4">
        <v>108</v>
      </c>
      <c r="L110" s="27">
        <v>44496.475694444445</v>
      </c>
      <c r="M110" s="29">
        <v>3995.37</v>
      </c>
      <c r="O110" s="28">
        <v>-6.1240000000000003E-2</v>
      </c>
    </row>
    <row r="111" spans="1:15" x14ac:dyDescent="0.35">
      <c r="A111" s="7">
        <v>109</v>
      </c>
      <c r="B111" s="3">
        <v>44496.479166666664</v>
      </c>
      <c r="C111" s="14">
        <v>4006.35</v>
      </c>
      <c r="D111" s="6" t="s">
        <v>12</v>
      </c>
      <c r="E111" s="6">
        <f>IF(AND(D110="UP",testdataClose5[[#This Row],[close]]&gt;E110),testdataClose5[[#This Row],[close]],IF(AND(D110="DN",testdataClose5[[#This Row],[close]]&lt;E110),testdataClose5[[#This Row],[close]],E110))</f>
        <v>3945.96</v>
      </c>
      <c r="F111" s="11">
        <f>(testdataClose5[[#This Row],[close]]-testdataClose5[[#This Row],[hl]])/testdataClose5[[#This Row],[hl]]</f>
        <v>1.5304260560167836E-2</v>
      </c>
      <c r="G111" s="15">
        <f t="shared" ca="1" si="1"/>
        <v>4088.5854219429953</v>
      </c>
      <c r="H111" s="6"/>
      <c r="K111" s="4">
        <v>109</v>
      </c>
      <c r="L111" s="27">
        <v>44496.479166666664</v>
      </c>
      <c r="M111" s="29">
        <v>4006.35</v>
      </c>
      <c r="O111" s="28">
        <v>-5.8660999999999998E-2</v>
      </c>
    </row>
    <row r="112" spans="1:15" x14ac:dyDescent="0.35">
      <c r="A112" s="7">
        <v>110</v>
      </c>
      <c r="B112" s="3">
        <v>44496.482638888891</v>
      </c>
      <c r="C112" s="14">
        <v>3996.41</v>
      </c>
      <c r="D112" s="6" t="s">
        <v>12</v>
      </c>
      <c r="E112" s="6">
        <f>IF(AND(D111="UP",testdataClose5[[#This Row],[close]]&gt;E111),testdataClose5[[#This Row],[close]],IF(AND(D111="DN",testdataClose5[[#This Row],[close]]&lt;E111),testdataClose5[[#This Row],[close]],E111))</f>
        <v>3945.96</v>
      </c>
      <c r="F112" s="11">
        <f>(testdataClose5[[#This Row],[close]]-testdataClose5[[#This Row],[hl]])/testdataClose5[[#This Row],[hl]]</f>
        <v>1.2785228436172648E-2</v>
      </c>
      <c r="G112" s="15">
        <f t="shared" ca="1" si="1"/>
        <v>4087.0493425165578</v>
      </c>
      <c r="H112" s="6"/>
      <c r="K112" s="4">
        <v>110</v>
      </c>
      <c r="L112" s="27">
        <v>44496.482638888891</v>
      </c>
      <c r="M112" s="29">
        <v>3996.41</v>
      </c>
      <c r="O112" s="28">
        <v>-6.0996000000000002E-2</v>
      </c>
    </row>
    <row r="113" spans="1:15" x14ac:dyDescent="0.35">
      <c r="A113" s="7">
        <v>111</v>
      </c>
      <c r="B113" s="3">
        <v>44496.486111111109</v>
      </c>
      <c r="C113" s="14">
        <v>3989.49</v>
      </c>
      <c r="D113" s="6" t="s">
        <v>12</v>
      </c>
      <c r="E113" s="6">
        <f>IF(AND(D112="UP",testdataClose5[[#This Row],[close]]&gt;E112),testdataClose5[[#This Row],[close]],IF(AND(D112="DN",testdataClose5[[#This Row],[close]]&lt;E112),testdataClose5[[#This Row],[close]],E112))</f>
        <v>3945.96</v>
      </c>
      <c r="F113" s="11">
        <f>(testdataClose5[[#This Row],[close]]-testdataClose5[[#This Row],[hl]])/testdataClose5[[#This Row],[hl]]</f>
        <v>1.1031536052063312E-2</v>
      </c>
      <c r="G113" s="15">
        <f t="shared" ca="1" si="1"/>
        <v>4085.5132614354657</v>
      </c>
      <c r="H113" s="6"/>
      <c r="K113" s="4">
        <v>111</v>
      </c>
      <c r="L113" s="27">
        <v>44496.486111111109</v>
      </c>
      <c r="M113" s="29">
        <v>3989.49</v>
      </c>
      <c r="O113" s="28">
        <v>-6.2621999999999997E-2</v>
      </c>
    </row>
    <row r="114" spans="1:15" x14ac:dyDescent="0.35">
      <c r="A114" s="7">
        <v>112</v>
      </c>
      <c r="B114" s="3">
        <v>44496.489583333336</v>
      </c>
      <c r="C114" s="14">
        <v>3990.8</v>
      </c>
      <c r="D114" s="6" t="s">
        <v>12</v>
      </c>
      <c r="E114" s="6">
        <f>IF(AND(D113="UP",testdataClose5[[#This Row],[close]]&gt;E113),testdataClose5[[#This Row],[close]],IF(AND(D113="DN",testdataClose5[[#This Row],[close]]&lt;E113),testdataClose5[[#This Row],[close]],E113))</f>
        <v>3945.96</v>
      </c>
      <c r="F114" s="11">
        <f>(testdataClose5[[#This Row],[close]]-testdataClose5[[#This Row],[hl]])/testdataClose5[[#This Row],[hl]]</f>
        <v>1.1363521171020524E-2</v>
      </c>
      <c r="G114" s="15">
        <f t="shared" ca="1" si="1"/>
        <v>4083.9771787000509</v>
      </c>
      <c r="H114" s="6"/>
      <c r="K114" s="4">
        <v>112</v>
      </c>
      <c r="L114" s="27">
        <v>44496.489583333336</v>
      </c>
      <c r="M114" s="29">
        <v>3990.8</v>
      </c>
      <c r="O114" s="28">
        <v>-6.2314000000000001E-2</v>
      </c>
    </row>
    <row r="115" spans="1:15" x14ac:dyDescent="0.35">
      <c r="A115" s="7">
        <v>113</v>
      </c>
      <c r="B115" s="3">
        <v>44496.493055555555</v>
      </c>
      <c r="C115" s="14">
        <v>3985.87</v>
      </c>
      <c r="D115" s="6" t="s">
        <v>12</v>
      </c>
      <c r="E115" s="6">
        <f>IF(AND(D114="UP",testdataClose5[[#This Row],[close]]&gt;E114),testdataClose5[[#This Row],[close]],IF(AND(D114="DN",testdataClose5[[#This Row],[close]]&lt;E114),testdataClose5[[#This Row],[close]],E114))</f>
        <v>3945.96</v>
      </c>
      <c r="F115" s="11">
        <f>(testdataClose5[[#This Row],[close]]-testdataClose5[[#This Row],[hl]])/testdataClose5[[#This Row],[hl]]</f>
        <v>1.0114142059220026E-2</v>
      </c>
      <c r="G115" s="15">
        <f t="shared" ca="1" si="1"/>
        <v>4082.4410943109751</v>
      </c>
      <c r="H115" s="6"/>
      <c r="K115" s="4">
        <v>113</v>
      </c>
      <c r="L115" s="27">
        <v>44496.493055555555</v>
      </c>
      <c r="M115" s="29">
        <v>3985.87</v>
      </c>
      <c r="O115" s="28">
        <v>-6.3473000000000002E-2</v>
      </c>
    </row>
    <row r="116" spans="1:15" x14ac:dyDescent="0.35">
      <c r="A116" s="7">
        <v>114</v>
      </c>
      <c r="B116" s="3">
        <v>44496.496527777781</v>
      </c>
      <c r="C116" s="14">
        <v>3993.9</v>
      </c>
      <c r="D116" s="6" t="s">
        <v>12</v>
      </c>
      <c r="E116" s="6">
        <f>IF(AND(D115="UP",testdataClose5[[#This Row],[close]]&gt;E115),testdataClose5[[#This Row],[close]],IF(AND(D115="DN",testdataClose5[[#This Row],[close]]&lt;E115),testdataClose5[[#This Row],[close]],E115))</f>
        <v>3945.96</v>
      </c>
      <c r="F116" s="11">
        <f>(testdataClose5[[#This Row],[close]]-testdataClose5[[#This Row],[hl]])/testdataClose5[[#This Row],[hl]]</f>
        <v>1.2149134811300685E-2</v>
      </c>
      <c r="G116" s="15">
        <f t="shared" ca="1" si="1"/>
        <v>4080.9050082692324</v>
      </c>
      <c r="H116" s="6"/>
      <c r="K116" s="4">
        <v>114</v>
      </c>
      <c r="L116" s="27">
        <v>44496.496527777781</v>
      </c>
      <c r="M116" s="29">
        <v>3993.9</v>
      </c>
      <c r="O116" s="28">
        <v>-6.1586000000000002E-2</v>
      </c>
    </row>
    <row r="117" spans="1:15" x14ac:dyDescent="0.35">
      <c r="A117" s="7">
        <v>115</v>
      </c>
      <c r="B117" s="3">
        <v>44496.5</v>
      </c>
      <c r="C117" s="14">
        <v>3997.66</v>
      </c>
      <c r="D117" s="6" t="s">
        <v>12</v>
      </c>
      <c r="E117" s="6">
        <f>IF(AND(D116="UP",testdataClose5[[#This Row],[close]]&gt;E116),testdataClose5[[#This Row],[close]],IF(AND(D116="DN",testdataClose5[[#This Row],[close]]&lt;E116),testdataClose5[[#This Row],[close]],E116))</f>
        <v>3945.96</v>
      </c>
      <c r="F117" s="11">
        <f>(testdataClose5[[#This Row],[close]]-testdataClose5[[#This Row],[hl]])/testdataClose5[[#This Row],[hl]]</f>
        <v>1.3102008129834012E-2</v>
      </c>
      <c r="G117" s="15">
        <f t="shared" ca="1" si="1"/>
        <v>4079.3689205761475</v>
      </c>
      <c r="H117" s="6"/>
      <c r="K117" s="4">
        <v>115</v>
      </c>
      <c r="L117" s="27">
        <v>44496.5</v>
      </c>
      <c r="M117" s="29">
        <v>3997.66</v>
      </c>
      <c r="O117" s="28">
        <v>-6.0701999999999999E-2</v>
      </c>
    </row>
    <row r="118" spans="1:15" x14ac:dyDescent="0.35">
      <c r="A118" s="7">
        <v>116</v>
      </c>
      <c r="B118" s="3">
        <v>44496.503472222219</v>
      </c>
      <c r="C118" s="14">
        <v>3987.13</v>
      </c>
      <c r="D118" s="6" t="s">
        <v>12</v>
      </c>
      <c r="E118" s="6">
        <f>IF(AND(D117="UP",testdataClose5[[#This Row],[close]]&gt;E117),testdataClose5[[#This Row],[close]],IF(AND(D117="DN",testdataClose5[[#This Row],[close]]&lt;E117),testdataClose5[[#This Row],[close]],E117))</f>
        <v>3945.96</v>
      </c>
      <c r="F118" s="11">
        <f>(testdataClose5[[#This Row],[close]]-testdataClose5[[#This Row],[hl]])/testdataClose5[[#This Row],[hl]]</f>
        <v>1.0433455990430737E-2</v>
      </c>
      <c r="G118" s="15">
        <f t="shared" ca="1" si="1"/>
        <v>4077.8328312333742</v>
      </c>
      <c r="H118" s="6"/>
      <c r="K118" s="4">
        <v>116</v>
      </c>
      <c r="L118" s="27">
        <v>44496.503472222219</v>
      </c>
      <c r="M118" s="29">
        <v>3987.13</v>
      </c>
      <c r="O118" s="28">
        <v>-6.3176999999999997E-2</v>
      </c>
    </row>
    <row r="119" spans="1:15" x14ac:dyDescent="0.35">
      <c r="A119" s="7">
        <v>117</v>
      </c>
      <c r="B119" s="3">
        <v>44496.506944444445</v>
      </c>
      <c r="C119" s="14">
        <v>3980.29</v>
      </c>
      <c r="D119" s="6" t="s">
        <v>12</v>
      </c>
      <c r="E119" s="6">
        <f>IF(AND(D118="UP",testdataClose5[[#This Row],[close]]&gt;E118),testdataClose5[[#This Row],[close]],IF(AND(D118="DN",testdataClose5[[#This Row],[close]]&lt;E118),testdataClose5[[#This Row],[close]],E118))</f>
        <v>3945.96</v>
      </c>
      <c r="F119" s="11">
        <f>(testdataClose5[[#This Row],[close]]-testdataClose5[[#This Row],[hl]])/testdataClose5[[#This Row],[hl]]</f>
        <v>8.7000375067157118E-3</v>
      </c>
      <c r="G119" s="15">
        <f t="shared" ca="1" si="1"/>
        <v>4076.2967402428976</v>
      </c>
      <c r="H119" s="6"/>
      <c r="K119" s="4">
        <v>117</v>
      </c>
      <c r="L119" s="27">
        <v>44496.506944444445</v>
      </c>
      <c r="M119" s="29">
        <v>3980.29</v>
      </c>
      <c r="O119" s="28">
        <v>-6.4783999999999994E-2</v>
      </c>
    </row>
    <row r="120" spans="1:15" x14ac:dyDescent="0.35">
      <c r="A120" s="7">
        <v>118</v>
      </c>
      <c r="B120" s="3">
        <v>44496.510416666664</v>
      </c>
      <c r="C120" s="14">
        <v>3982.58</v>
      </c>
      <c r="D120" s="6" t="s">
        <v>12</v>
      </c>
      <c r="E120" s="6">
        <f>IF(AND(D119="UP",testdataClose5[[#This Row],[close]]&gt;E119),testdataClose5[[#This Row],[close]],IF(AND(D119="DN",testdataClose5[[#This Row],[close]]&lt;E119),testdataClose5[[#This Row],[close]],E119))</f>
        <v>3945.96</v>
      </c>
      <c r="F120" s="11">
        <f>(testdataClose5[[#This Row],[close]]-testdataClose5[[#This Row],[hl]])/testdataClose5[[#This Row],[hl]]</f>
        <v>9.2803779055033227E-3</v>
      </c>
      <c r="G120" s="15">
        <f t="shared" ca="1" si="1"/>
        <v>4074.7606476070323</v>
      </c>
      <c r="H120" s="6"/>
      <c r="K120" s="4">
        <v>118</v>
      </c>
      <c r="L120" s="27">
        <v>44496.510416666664</v>
      </c>
      <c r="M120" s="29">
        <v>3982.58</v>
      </c>
      <c r="O120" s="28">
        <v>-6.4245999999999998E-2</v>
      </c>
    </row>
    <row r="121" spans="1:15" x14ac:dyDescent="0.35">
      <c r="A121" s="7">
        <v>119</v>
      </c>
      <c r="B121" s="3">
        <v>44496.513888888891</v>
      </c>
      <c r="C121" s="14">
        <v>3971.26</v>
      </c>
      <c r="D121" s="6" t="s">
        <v>12</v>
      </c>
      <c r="E121" s="6">
        <f>IF(AND(D120="UP",testdataClose5[[#This Row],[close]]&gt;E120),testdataClose5[[#This Row],[close]],IF(AND(D120="DN",testdataClose5[[#This Row],[close]]&lt;E120),testdataClose5[[#This Row],[close]],E120))</f>
        <v>3945.96</v>
      </c>
      <c r="F121" s="11">
        <f>(testdataClose5[[#This Row],[close]]-testdataClose5[[#This Row],[hl]])/testdataClose5[[#This Row],[hl]]</f>
        <v>6.4116209997060747E-3</v>
      </c>
      <c r="G121" s="15">
        <f t="shared" ca="1" si="1"/>
        <v>4073.2245533284213</v>
      </c>
      <c r="H121" s="6"/>
      <c r="K121" s="4">
        <v>119</v>
      </c>
      <c r="L121" s="27">
        <v>44496.513888888891</v>
      </c>
      <c r="M121" s="29">
        <v>3971.26</v>
      </c>
      <c r="O121" s="28">
        <v>-6.6905000000000006E-2</v>
      </c>
    </row>
    <row r="122" spans="1:15" x14ac:dyDescent="0.35">
      <c r="A122" s="7">
        <v>120</v>
      </c>
      <c r="B122" s="3">
        <v>44496.517361111109</v>
      </c>
      <c r="C122" s="14">
        <v>3954.24</v>
      </c>
      <c r="D122" s="6" t="s">
        <v>12</v>
      </c>
      <c r="E122" s="6">
        <f>IF(AND(D121="UP",testdataClose5[[#This Row],[close]]&gt;E121),testdataClose5[[#This Row],[close]],IF(AND(D121="DN",testdataClose5[[#This Row],[close]]&lt;E121),testdataClose5[[#This Row],[close]],E121))</f>
        <v>3945.96</v>
      </c>
      <c r="F122" s="11">
        <f>(testdataClose5[[#This Row],[close]]-testdataClose5[[#This Row],[hl]])/testdataClose5[[#This Row],[hl]]</f>
        <v>2.0983486908128174E-3</v>
      </c>
      <c r="G122" s="15">
        <f t="shared" ca="1" si="1"/>
        <v>4071.6884574100368</v>
      </c>
      <c r="H122" s="6"/>
      <c r="K122" s="4">
        <v>120</v>
      </c>
      <c r="L122" s="27">
        <v>44496.517361111109</v>
      </c>
      <c r="M122" s="29">
        <v>3954.24</v>
      </c>
      <c r="O122" s="28">
        <v>-7.0903999999999995E-2</v>
      </c>
    </row>
    <row r="123" spans="1:15" x14ac:dyDescent="0.35">
      <c r="A123" s="7">
        <v>121</v>
      </c>
      <c r="B123" s="3">
        <v>44496.520833333336</v>
      </c>
      <c r="C123" s="14">
        <v>3969.19</v>
      </c>
      <c r="D123" s="6" t="s">
        <v>12</v>
      </c>
      <c r="E123" s="6">
        <f>IF(AND(D122="UP",testdataClose5[[#This Row],[close]]&gt;E122),testdataClose5[[#This Row],[close]],IF(AND(D122="DN",testdataClose5[[#This Row],[close]]&lt;E122),testdataClose5[[#This Row],[close]],E122))</f>
        <v>3945.96</v>
      </c>
      <c r="F123" s="11">
        <f>(testdataClose5[[#This Row],[close]]-testdataClose5[[#This Row],[hl]])/testdataClose5[[#This Row],[hl]]</f>
        <v>5.8870338270028124E-3</v>
      </c>
      <c r="G123" s="15">
        <f t="shared" ca="1" si="1"/>
        <v>4070.1523598551776</v>
      </c>
      <c r="H123" s="6"/>
      <c r="K123" s="4">
        <v>121</v>
      </c>
      <c r="L123" s="27">
        <v>44496.520833333336</v>
      </c>
      <c r="M123" s="29">
        <v>3969.19</v>
      </c>
      <c r="O123" s="28">
        <v>-6.7391999999999994E-2</v>
      </c>
    </row>
    <row r="124" spans="1:15" x14ac:dyDescent="0.35">
      <c r="A124" s="7">
        <v>122</v>
      </c>
      <c r="B124" s="3">
        <v>44496.524305555555</v>
      </c>
      <c r="C124" s="14">
        <v>3975.05</v>
      </c>
      <c r="D124" s="6" t="s">
        <v>12</v>
      </c>
      <c r="E124" s="6">
        <f>IF(AND(D123="UP",testdataClose5[[#This Row],[close]]&gt;E123),testdataClose5[[#This Row],[close]],IF(AND(D123="DN",testdataClose5[[#This Row],[close]]&lt;E123),testdataClose5[[#This Row],[close]],E123))</f>
        <v>3945.96</v>
      </c>
      <c r="F124" s="11">
        <f>(testdataClose5[[#This Row],[close]]-testdataClose5[[#This Row],[hl]])/testdataClose5[[#This Row],[hl]]</f>
        <v>7.3720970308873241E-3</v>
      </c>
      <c r="G124" s="15">
        <f t="shared" ca="1" si="1"/>
        <v>4068.6162606674707</v>
      </c>
      <c r="H124" s="6"/>
      <c r="K124" s="4">
        <v>122</v>
      </c>
      <c r="L124" s="27">
        <v>44496.524305555555</v>
      </c>
      <c r="M124" s="29">
        <v>3975.05</v>
      </c>
      <c r="O124" s="28">
        <v>-6.6015000000000004E-2</v>
      </c>
    </row>
    <row r="125" spans="1:15" x14ac:dyDescent="0.35">
      <c r="A125" s="7">
        <v>123</v>
      </c>
      <c r="B125" s="3">
        <v>44496.527777777781</v>
      </c>
      <c r="C125" s="14">
        <v>3989</v>
      </c>
      <c r="D125" s="6" t="s">
        <v>12</v>
      </c>
      <c r="E125" s="6">
        <f>IF(AND(D124="UP",testdataClose5[[#This Row],[close]]&gt;E124),testdataClose5[[#This Row],[close]],IF(AND(D124="DN",testdataClose5[[#This Row],[close]]&lt;E124),testdataClose5[[#This Row],[close]],E124))</f>
        <v>3945.96</v>
      </c>
      <c r="F125" s="11">
        <f>(testdataClose5[[#This Row],[close]]-testdataClose5[[#This Row],[hl]])/testdataClose5[[#This Row],[hl]]</f>
        <v>1.0907358412148111E-2</v>
      </c>
      <c r="G125" s="15">
        <f t="shared" ca="1" si="1"/>
        <v>4067.0801598508688</v>
      </c>
      <c r="H125" s="6"/>
      <c r="K125" s="4">
        <v>123</v>
      </c>
      <c r="L125" s="27">
        <v>44496.527777777781</v>
      </c>
      <c r="M125" s="29">
        <v>3989</v>
      </c>
      <c r="O125" s="28">
        <v>-6.2737000000000001E-2</v>
      </c>
    </row>
    <row r="126" spans="1:15" x14ac:dyDescent="0.35">
      <c r="A126" s="7">
        <v>124</v>
      </c>
      <c r="B126" s="3">
        <v>44496.53125</v>
      </c>
      <c r="C126" s="14">
        <v>3980.28</v>
      </c>
      <c r="D126" s="6" t="s">
        <v>12</v>
      </c>
      <c r="E126" s="6">
        <f>IF(AND(D125="UP",testdataClose5[[#This Row],[close]]&gt;E125),testdataClose5[[#This Row],[close]],IF(AND(D125="DN",testdataClose5[[#This Row],[close]]&lt;E125),testdataClose5[[#This Row],[close]],E125))</f>
        <v>3945.96</v>
      </c>
      <c r="F126" s="11">
        <f>(testdataClose5[[#This Row],[close]]-testdataClose5[[#This Row],[hl]])/testdataClose5[[#This Row],[hl]]</f>
        <v>8.6975032691664796E-3</v>
      </c>
      <c r="G126" s="15">
        <f t="shared" ca="1" si="1"/>
        <v>4065.5440574096497</v>
      </c>
      <c r="H126" s="6"/>
      <c r="K126" s="4">
        <v>124</v>
      </c>
      <c r="L126" s="27">
        <v>44496.53125</v>
      </c>
      <c r="M126" s="29">
        <v>3980.28</v>
      </c>
      <c r="O126" s="28">
        <v>-6.4785999999999996E-2</v>
      </c>
    </row>
    <row r="127" spans="1:15" x14ac:dyDescent="0.35">
      <c r="A127" s="7">
        <v>125</v>
      </c>
      <c r="B127" s="3">
        <v>44496.534722222219</v>
      </c>
      <c r="C127" s="14">
        <v>3991.22</v>
      </c>
      <c r="D127" s="6" t="s">
        <v>12</v>
      </c>
      <c r="E127" s="6">
        <f>IF(AND(D126="UP",testdataClose5[[#This Row],[close]]&gt;E126),testdataClose5[[#This Row],[close]],IF(AND(D126="DN",testdataClose5[[#This Row],[close]]&lt;E126),testdataClose5[[#This Row],[close]],E126))</f>
        <v>3945.96</v>
      </c>
      <c r="F127" s="11">
        <f>(testdataClose5[[#This Row],[close]]-testdataClose5[[#This Row],[hl]])/testdataClose5[[#This Row],[hl]]</f>
        <v>1.1469959148090646E-2</v>
      </c>
      <c r="G127" s="15">
        <f t="shared" ca="1" si="1"/>
        <v>4064.0079533484159</v>
      </c>
      <c r="H127" s="6"/>
      <c r="K127" s="4">
        <v>125</v>
      </c>
      <c r="L127" s="27">
        <v>44496.534722222219</v>
      </c>
      <c r="M127" s="29">
        <v>3991.22</v>
      </c>
      <c r="O127" s="28">
        <v>-6.2216E-2</v>
      </c>
    </row>
    <row r="128" spans="1:15" x14ac:dyDescent="0.35">
      <c r="A128" s="7">
        <v>126</v>
      </c>
      <c r="B128" s="3">
        <v>44496.538194444445</v>
      </c>
      <c r="C128" s="14">
        <v>3977.15</v>
      </c>
      <c r="D128" s="6" t="s">
        <v>12</v>
      </c>
      <c r="E128" s="6">
        <f>IF(AND(D127="UP",testdataClose5[[#This Row],[close]]&gt;E127),testdataClose5[[#This Row],[close]],IF(AND(D127="DN",testdataClose5[[#This Row],[close]]&lt;E127),testdataClose5[[#This Row],[close]],E127))</f>
        <v>3945.96</v>
      </c>
      <c r="F128" s="11">
        <f>(testdataClose5[[#This Row],[close]]-testdataClose5[[#This Row],[hl]])/testdataClose5[[#This Row],[hl]]</f>
        <v>7.9042869162383941E-3</v>
      </c>
      <c r="G128" s="15">
        <f t="shared" ca="1" si="1"/>
        <v>4062.4718476720941</v>
      </c>
      <c r="H128" s="6"/>
      <c r="K128" s="4">
        <v>126</v>
      </c>
      <c r="L128" s="27">
        <v>44496.538194444445</v>
      </c>
      <c r="M128" s="29">
        <v>3977.15</v>
      </c>
      <c r="O128" s="28">
        <v>-6.5520999999999996E-2</v>
      </c>
    </row>
    <row r="129" spans="1:15" x14ac:dyDescent="0.35">
      <c r="A129" s="7">
        <v>127</v>
      </c>
      <c r="B129" s="3">
        <v>44496.541666666664</v>
      </c>
      <c r="C129" s="14">
        <v>3986.19</v>
      </c>
      <c r="D129" s="6" t="s">
        <v>12</v>
      </c>
      <c r="E129" s="6">
        <f>IF(AND(D128="UP",testdataClose5[[#This Row],[close]]&gt;E128),testdataClose5[[#This Row],[close]],IF(AND(D128="DN",testdataClose5[[#This Row],[close]]&lt;E128),testdataClose5[[#This Row],[close]],E128))</f>
        <v>3945.96</v>
      </c>
      <c r="F129" s="11">
        <f>(testdataClose5[[#This Row],[close]]-testdataClose5[[#This Row],[hl]])/testdataClose5[[#This Row],[hl]]</f>
        <v>1.0195237660797376E-2</v>
      </c>
      <c r="G129" s="15">
        <f t="shared" ca="1" si="1"/>
        <v>4060.9357403859331</v>
      </c>
      <c r="H129" s="6"/>
      <c r="K129" s="4">
        <v>127</v>
      </c>
      <c r="L129" s="27">
        <v>44496.541666666664</v>
      </c>
      <c r="M129" s="29">
        <v>3986.19</v>
      </c>
      <c r="O129" s="28">
        <v>-6.3396999999999995E-2</v>
      </c>
    </row>
    <row r="130" spans="1:15" x14ac:dyDescent="0.35">
      <c r="A130" s="7">
        <v>128</v>
      </c>
      <c r="B130" s="3">
        <v>44496.545138888891</v>
      </c>
      <c r="C130" s="14">
        <v>3996.49</v>
      </c>
      <c r="D130" s="6" t="s">
        <v>12</v>
      </c>
      <c r="E130" s="6">
        <f>IF(AND(D129="UP",testdataClose5[[#This Row],[close]]&gt;E129),testdataClose5[[#This Row],[close]],IF(AND(D129="DN",testdataClose5[[#This Row],[close]]&lt;E129),testdataClose5[[#This Row],[close]],E129))</f>
        <v>3945.96</v>
      </c>
      <c r="F130" s="11">
        <f>(testdataClose5[[#This Row],[close]]-testdataClose5[[#This Row],[hl]])/testdataClose5[[#This Row],[hl]]</f>
        <v>1.2805502336566956E-2</v>
      </c>
      <c r="G130" s="15">
        <f t="shared" ca="1" si="1"/>
        <v>4059.3996314955016</v>
      </c>
      <c r="H130" s="6"/>
      <c r="K130" s="4">
        <v>128</v>
      </c>
      <c r="L130" s="27">
        <v>44496.545138888891</v>
      </c>
      <c r="M130" s="29">
        <v>3996.49</v>
      </c>
      <c r="O130" s="28">
        <v>-6.0977000000000003E-2</v>
      </c>
    </row>
    <row r="131" spans="1:15" x14ac:dyDescent="0.35">
      <c r="A131" s="7">
        <v>129</v>
      </c>
      <c r="B131" s="3">
        <v>44496.548611111109</v>
      </c>
      <c r="C131" s="14">
        <v>3994.08</v>
      </c>
      <c r="D131" s="6" t="s">
        <v>12</v>
      </c>
      <c r="E131" s="6">
        <f>IF(AND(D130="UP",testdataClose5[[#This Row],[close]]&gt;E130),testdataClose5[[#This Row],[close]],IF(AND(D130="DN",testdataClose5[[#This Row],[close]]&lt;E130),testdataClose5[[#This Row],[close]],E130))</f>
        <v>3945.96</v>
      </c>
      <c r="F131" s="11">
        <f>(testdataClose5[[#This Row],[close]]-testdataClose5[[#This Row],[hl]])/testdataClose5[[#This Row],[hl]]</f>
        <v>1.219475108718788E-2</v>
      </c>
      <c r="G131" s="15">
        <f t="shared" ca="1" si="1"/>
        <v>4057.8635210066905</v>
      </c>
      <c r="H131" s="6"/>
      <c r="K131" s="4">
        <v>129</v>
      </c>
      <c r="L131" s="27">
        <v>44496.548611111109</v>
      </c>
      <c r="M131" s="29">
        <v>3994.08</v>
      </c>
      <c r="O131" s="28">
        <v>-6.1544000000000001E-2</v>
      </c>
    </row>
    <row r="132" spans="1:15" x14ac:dyDescent="0.35">
      <c r="A132" s="7">
        <v>130</v>
      </c>
      <c r="B132" s="3">
        <v>44496.552083333336</v>
      </c>
      <c r="C132" s="14">
        <v>3995.41</v>
      </c>
      <c r="D132" s="6" t="s">
        <v>12</v>
      </c>
      <c r="E132" s="6">
        <f>IF(AND(D131="UP",testdataClose5[[#This Row],[close]]&gt;E131),testdataClose5[[#This Row],[close]],IF(AND(D131="DN",testdataClose5[[#This Row],[close]]&lt;E131),testdataClose5[[#This Row],[close]],E131))</f>
        <v>3945.96</v>
      </c>
      <c r="F132" s="11">
        <f>(testdataClose5[[#This Row],[close]]-testdataClose5[[#This Row],[hl]])/testdataClose5[[#This Row],[hl]]</f>
        <v>1.2531804681243555E-2</v>
      </c>
      <c r="G132" s="15">
        <f t="shared" ref="G132:G195" ca="1" si="2">AVERAGE(G131,G133)</f>
        <v>4056.3274089257079</v>
      </c>
      <c r="H132" s="6"/>
      <c r="K132" s="4">
        <v>130</v>
      </c>
      <c r="L132" s="27">
        <v>44496.552083333336</v>
      </c>
      <c r="M132" s="29">
        <v>3995.41</v>
      </c>
      <c r="O132" s="28">
        <v>-6.1231000000000001E-2</v>
      </c>
    </row>
    <row r="133" spans="1:15" x14ac:dyDescent="0.35">
      <c r="A133" s="7">
        <v>131</v>
      </c>
      <c r="B133" s="3">
        <v>44496.555555555555</v>
      </c>
      <c r="C133" s="14">
        <v>3997</v>
      </c>
      <c r="D133" s="6" t="s">
        <v>12</v>
      </c>
      <c r="E133" s="6">
        <f>IF(AND(D132="UP",testdataClose5[[#This Row],[close]]&gt;E132),testdataClose5[[#This Row],[close]],IF(AND(D132="DN",testdataClose5[[#This Row],[close]]&lt;E132),testdataClose5[[#This Row],[close]],E132))</f>
        <v>3945.96</v>
      </c>
      <c r="F133" s="11">
        <f>(testdataClose5[[#This Row],[close]]-testdataClose5[[#This Row],[hl]])/testdataClose5[[#This Row],[hl]]</f>
        <v>1.2934748451580848E-2</v>
      </c>
      <c r="G133" s="15">
        <f t="shared" ca="1" si="2"/>
        <v>4054.7912952590809</v>
      </c>
      <c r="H133" s="6"/>
      <c r="K133" s="4">
        <v>131</v>
      </c>
      <c r="L133" s="27">
        <v>44496.555555555555</v>
      </c>
      <c r="M133" s="29">
        <v>3997</v>
      </c>
      <c r="O133" s="28">
        <v>-6.0857000000000001E-2</v>
      </c>
    </row>
    <row r="134" spans="1:15" x14ac:dyDescent="0.35">
      <c r="A134" s="7">
        <v>132</v>
      </c>
      <c r="B134" s="3">
        <v>44496.559027777781</v>
      </c>
      <c r="C134" s="14">
        <v>3995.42</v>
      </c>
      <c r="D134" s="6" t="s">
        <v>12</v>
      </c>
      <c r="E134" s="6">
        <f>IF(AND(D133="UP",testdataClose5[[#This Row],[close]]&gt;E133),testdataClose5[[#This Row],[close]],IF(AND(D133="DN",testdataClose5[[#This Row],[close]]&lt;E133),testdataClose5[[#This Row],[close]],E133))</f>
        <v>3945.96</v>
      </c>
      <c r="F134" s="11">
        <f>(testdataClose5[[#This Row],[close]]-testdataClose5[[#This Row],[hl]])/testdataClose5[[#This Row],[hl]]</f>
        <v>1.2534338918792902E-2</v>
      </c>
      <c r="G134" s="15">
        <f t="shared" ca="1" si="2"/>
        <v>4053.2551800136521</v>
      </c>
      <c r="H134" s="6"/>
      <c r="K134" s="4">
        <v>132</v>
      </c>
      <c r="L134" s="27">
        <v>44496.559027777781</v>
      </c>
      <c r="M134" s="29">
        <v>3995.42</v>
      </c>
      <c r="O134" s="28">
        <v>-6.1228999999999999E-2</v>
      </c>
    </row>
    <row r="135" spans="1:15" x14ac:dyDescent="0.35">
      <c r="A135" s="7">
        <v>133</v>
      </c>
      <c r="B135" s="3">
        <v>44496.5625</v>
      </c>
      <c r="C135" s="14">
        <v>4001.76</v>
      </c>
      <c r="D135" s="6" t="s">
        <v>12</v>
      </c>
      <c r="E135" s="6">
        <f>IF(AND(D134="UP",testdataClose5[[#This Row],[close]]&gt;E134),testdataClose5[[#This Row],[close]],IF(AND(D134="DN",testdataClose5[[#This Row],[close]]&lt;E134),testdataClose5[[#This Row],[close]],E134))</f>
        <v>3945.96</v>
      </c>
      <c r="F135" s="11">
        <f>(testdataClose5[[#This Row],[close]]-testdataClose5[[#This Row],[hl]])/testdataClose5[[#This Row],[hl]]</f>
        <v>1.4141045525043382E-2</v>
      </c>
      <c r="G135" s="15">
        <f t="shared" ca="1" si="2"/>
        <v>4051.7190631965786</v>
      </c>
      <c r="H135" s="6"/>
      <c r="K135" s="4">
        <v>133</v>
      </c>
      <c r="L135" s="27">
        <v>44496.5625</v>
      </c>
      <c r="M135" s="29">
        <v>4001.76</v>
      </c>
      <c r="O135" s="28">
        <v>-5.9739E-2</v>
      </c>
    </row>
    <row r="136" spans="1:15" x14ac:dyDescent="0.35">
      <c r="A136" s="7">
        <v>134</v>
      </c>
      <c r="B136" s="3">
        <v>44496.565972222219</v>
      </c>
      <c r="C136" s="14">
        <v>3993</v>
      </c>
      <c r="D136" s="6" t="s">
        <v>12</v>
      </c>
      <c r="E136" s="6">
        <f>IF(AND(D135="UP",testdataClose5[[#This Row],[close]]&gt;E135),testdataClose5[[#This Row],[close]],IF(AND(D135="DN",testdataClose5[[#This Row],[close]]&lt;E135),testdataClose5[[#This Row],[close]],E135))</f>
        <v>3945.96</v>
      </c>
      <c r="F136" s="11">
        <f>(testdataClose5[[#This Row],[close]]-testdataClose5[[#This Row],[hl]])/testdataClose5[[#This Row],[hl]]</f>
        <v>1.1921053431864479E-2</v>
      </c>
      <c r="G136" s="15">
        <f t="shared" ca="1" si="2"/>
        <v>4050.1829448153317</v>
      </c>
      <c r="H136" s="6"/>
      <c r="K136" s="4">
        <v>134</v>
      </c>
      <c r="L136" s="27">
        <v>44496.565972222219</v>
      </c>
      <c r="M136" s="29">
        <v>3993</v>
      </c>
      <c r="O136" s="28">
        <v>-6.1796999999999998E-2</v>
      </c>
    </row>
    <row r="137" spans="1:15" x14ac:dyDescent="0.35">
      <c r="A137" s="7">
        <v>135</v>
      </c>
      <c r="B137" s="3">
        <v>44496.569444444445</v>
      </c>
      <c r="C137" s="14">
        <v>3985.65</v>
      </c>
      <c r="D137" s="6" t="s">
        <v>12</v>
      </c>
      <c r="E137" s="6">
        <f>IF(AND(D136="UP",testdataClose5[[#This Row],[close]]&gt;E136),testdataClose5[[#This Row],[close]],IF(AND(D136="DN",testdataClose5[[#This Row],[close]]&lt;E136),testdataClose5[[#This Row],[close]],E136))</f>
        <v>3945.96</v>
      </c>
      <c r="F137" s="11">
        <f>(testdataClose5[[#This Row],[close]]-testdataClose5[[#This Row],[hl]])/testdataClose5[[#This Row],[hl]]</f>
        <v>1.0058388833135676E-2</v>
      </c>
      <c r="G137" s="15">
        <f t="shared" ca="1" si="2"/>
        <v>4048.6468248776937</v>
      </c>
      <c r="H137" s="6"/>
      <c r="K137" s="4">
        <v>135</v>
      </c>
      <c r="L137" s="27">
        <v>44496.569444444445</v>
      </c>
      <c r="M137" s="29">
        <v>3985.65</v>
      </c>
      <c r="O137" s="28">
        <v>-6.3523999999999997E-2</v>
      </c>
    </row>
    <row r="138" spans="1:15" x14ac:dyDescent="0.35">
      <c r="A138" s="7">
        <v>136</v>
      </c>
      <c r="B138" s="3">
        <v>44496.572916666664</v>
      </c>
      <c r="C138" s="14">
        <v>3985.25</v>
      </c>
      <c r="D138" s="6" t="s">
        <v>12</v>
      </c>
      <c r="E138" s="6">
        <f>IF(AND(D137="UP",testdataClose5[[#This Row],[close]]&gt;E137),testdataClose5[[#This Row],[close]],IF(AND(D137="DN",testdataClose5[[#This Row],[close]]&lt;E137),testdataClose5[[#This Row],[close]],E137))</f>
        <v>3945.96</v>
      </c>
      <c r="F138" s="11">
        <f>(testdataClose5[[#This Row],[close]]-testdataClose5[[#This Row],[hl]])/testdataClose5[[#This Row],[hl]]</f>
        <v>9.9570193311640173E-3</v>
      </c>
      <c r="G138" s="15">
        <f t="shared" ca="1" si="2"/>
        <v>4047.1107033917569</v>
      </c>
      <c r="H138" s="6"/>
      <c r="K138" s="4">
        <v>136</v>
      </c>
      <c r="L138" s="27">
        <v>44496.572916666664</v>
      </c>
      <c r="M138" s="29">
        <v>3985.25</v>
      </c>
      <c r="O138" s="28">
        <v>-6.3617999999999994E-2</v>
      </c>
    </row>
    <row r="139" spans="1:15" x14ac:dyDescent="0.35">
      <c r="A139" s="7">
        <v>137</v>
      </c>
      <c r="B139" s="3">
        <v>44496.576388888891</v>
      </c>
      <c r="C139" s="14">
        <v>3982.49</v>
      </c>
      <c r="D139" s="6" t="s">
        <v>12</v>
      </c>
      <c r="E139" s="6">
        <f>IF(AND(D138="UP",testdataClose5[[#This Row],[close]]&gt;E138),testdataClose5[[#This Row],[close]],IF(AND(D138="DN",testdataClose5[[#This Row],[close]]&lt;E138),testdataClose5[[#This Row],[close]],E138))</f>
        <v>3945.96</v>
      </c>
      <c r="F139" s="11">
        <f>(testdataClose5[[#This Row],[close]]-testdataClose5[[#This Row],[hl]])/testdataClose5[[#This Row],[hl]]</f>
        <v>9.2575697675596671E-3</v>
      </c>
      <c r="G139" s="15">
        <f t="shared" ca="1" si="2"/>
        <v>4045.574580365922</v>
      </c>
      <c r="H139" s="6"/>
      <c r="K139" s="4">
        <v>137</v>
      </c>
      <c r="L139" s="27">
        <v>44496.576388888891</v>
      </c>
      <c r="M139" s="29">
        <v>3982.49</v>
      </c>
      <c r="O139" s="28">
        <v>-6.4267000000000005E-2</v>
      </c>
    </row>
    <row r="140" spans="1:15" x14ac:dyDescent="0.35">
      <c r="A140" s="7">
        <v>138</v>
      </c>
      <c r="B140" s="3">
        <v>44496.579861111109</v>
      </c>
      <c r="C140" s="14">
        <v>3987.06</v>
      </c>
      <c r="D140" s="6" t="s">
        <v>12</v>
      </c>
      <c r="E140" s="6">
        <f>IF(AND(D139="UP",testdataClose5[[#This Row],[close]]&gt;E139),testdataClose5[[#This Row],[close]],IF(AND(D139="DN",testdataClose5[[#This Row],[close]]&lt;E139),testdataClose5[[#This Row],[close]],E139))</f>
        <v>3945.96</v>
      </c>
      <c r="F140" s="11">
        <f>(testdataClose5[[#This Row],[close]]-testdataClose5[[#This Row],[hl]])/testdataClose5[[#This Row],[hl]]</f>
        <v>1.041571632758566E-2</v>
      </c>
      <c r="G140" s="15">
        <f t="shared" ca="1" si="2"/>
        <v>4044.0384558088972</v>
      </c>
      <c r="H140" s="6"/>
      <c r="K140" s="4">
        <v>138</v>
      </c>
      <c r="L140" s="27">
        <v>44496.579861111109</v>
      </c>
      <c r="M140" s="29">
        <v>3987.06</v>
      </c>
      <c r="O140" s="28">
        <v>-6.3192999999999999E-2</v>
      </c>
    </row>
    <row r="141" spans="1:15" x14ac:dyDescent="0.35">
      <c r="A141" s="7">
        <v>139</v>
      </c>
      <c r="B141" s="3">
        <v>44496.583333333336</v>
      </c>
      <c r="C141" s="14">
        <v>3999.41</v>
      </c>
      <c r="D141" s="6" t="s">
        <v>12</v>
      </c>
      <c r="E141" s="6">
        <f>IF(AND(D140="UP",testdataClose5[[#This Row],[close]]&gt;E140),testdataClose5[[#This Row],[close]],IF(AND(D140="DN",testdataClose5[[#This Row],[close]]&lt;E140),testdataClose5[[#This Row],[close]],E140))</f>
        <v>3945.96</v>
      </c>
      <c r="F141" s="11">
        <f>(testdataClose5[[#This Row],[close]]-testdataClose5[[#This Row],[hl]])/testdataClose5[[#This Row],[hl]]</f>
        <v>1.3545499700959923E-2</v>
      </c>
      <c r="G141" s="15">
        <f t="shared" ca="1" si="2"/>
        <v>4042.5023297296948</v>
      </c>
      <c r="H141" s="6"/>
      <c r="K141" s="4">
        <v>139</v>
      </c>
      <c r="L141" s="27">
        <v>44496.583333333336</v>
      </c>
      <c r="M141" s="29">
        <v>3999.41</v>
      </c>
      <c r="O141" s="28">
        <v>-6.0290999999999997E-2</v>
      </c>
    </row>
    <row r="142" spans="1:15" x14ac:dyDescent="0.35">
      <c r="A142" s="7">
        <v>140</v>
      </c>
      <c r="B142" s="3">
        <v>44496.586805555555</v>
      </c>
      <c r="C142" s="14">
        <v>3992.74</v>
      </c>
      <c r="D142" s="6" t="s">
        <v>12</v>
      </c>
      <c r="E142" s="6">
        <f>IF(AND(D141="UP",testdataClose5[[#This Row],[close]]&gt;E141),testdataClose5[[#This Row],[close]],IF(AND(D141="DN",testdataClose5[[#This Row],[close]]&lt;E141),testdataClose5[[#This Row],[close]],E141))</f>
        <v>3945.96</v>
      </c>
      <c r="F142" s="11">
        <f>(testdataClose5[[#This Row],[close]]-testdataClose5[[#This Row],[hl]])/testdataClose5[[#This Row],[hl]]</f>
        <v>1.1855163255582861E-2</v>
      </c>
      <c r="G142" s="15">
        <f t="shared" ca="1" si="2"/>
        <v>4040.9662021376307</v>
      </c>
      <c r="H142" s="6"/>
      <c r="K142" s="4">
        <v>140</v>
      </c>
      <c r="L142" s="27">
        <v>44496.586805555555</v>
      </c>
      <c r="M142" s="29">
        <v>3992.74</v>
      </c>
      <c r="O142" s="28">
        <v>-6.1858000000000003E-2</v>
      </c>
    </row>
    <row r="143" spans="1:15" x14ac:dyDescent="0.35">
      <c r="A143" s="7">
        <v>141</v>
      </c>
      <c r="B143" s="3">
        <v>44496.590277777781</v>
      </c>
      <c r="C143" s="14">
        <v>3986.26</v>
      </c>
      <c r="D143" s="6" t="s">
        <v>12</v>
      </c>
      <c r="E143" s="6">
        <f>IF(AND(D142="UP",testdataClose5[[#This Row],[close]]&gt;E142),testdataClose5[[#This Row],[close]],IF(AND(D142="DN",testdataClose5[[#This Row],[close]]&lt;E142),testdataClose5[[#This Row],[close]],E142))</f>
        <v>3945.96</v>
      </c>
      <c r="F143" s="11">
        <f>(testdataClose5[[#This Row],[close]]-testdataClose5[[#This Row],[hl]])/testdataClose5[[#This Row],[hl]]</f>
        <v>1.0212977323642455E-2</v>
      </c>
      <c r="G143" s="15">
        <f t="shared" ca="1" si="2"/>
        <v>4039.4300730423206</v>
      </c>
      <c r="H143" s="6"/>
      <c r="K143" s="4">
        <v>141</v>
      </c>
      <c r="L143" s="27">
        <v>44496.590277777781</v>
      </c>
      <c r="M143" s="29">
        <v>3986.26</v>
      </c>
      <c r="O143" s="28">
        <v>-6.3381000000000007E-2</v>
      </c>
    </row>
    <row r="144" spans="1:15" x14ac:dyDescent="0.35">
      <c r="A144" s="7">
        <v>142</v>
      </c>
      <c r="B144" s="3">
        <v>44496.59375</v>
      </c>
      <c r="C144" s="14">
        <v>3995.05</v>
      </c>
      <c r="D144" s="6" t="s">
        <v>12</v>
      </c>
      <c r="E144" s="6">
        <f>IF(AND(D143="UP",testdataClose5[[#This Row],[close]]&gt;E143),testdataClose5[[#This Row],[close]],IF(AND(D143="DN",testdataClose5[[#This Row],[close]]&lt;E143),testdataClose5[[#This Row],[close]],E143))</f>
        <v>3945.96</v>
      </c>
      <c r="F144" s="11">
        <f>(testdataClose5[[#This Row],[close]]-testdataClose5[[#This Row],[hl]])/testdataClose5[[#This Row],[hl]]</f>
        <v>1.2440572129469165E-2</v>
      </c>
      <c r="G144" s="15">
        <f t="shared" ca="1" si="2"/>
        <v>4037.8939424536811</v>
      </c>
      <c r="H144" s="6"/>
      <c r="K144" s="4">
        <v>142</v>
      </c>
      <c r="L144" s="27">
        <v>44496.59375</v>
      </c>
      <c r="M144" s="29">
        <v>3995.05</v>
      </c>
      <c r="O144" s="28">
        <v>-6.1316000000000002E-2</v>
      </c>
    </row>
    <row r="145" spans="1:15" x14ac:dyDescent="0.35">
      <c r="A145" s="7">
        <v>143</v>
      </c>
      <c r="B145" s="3">
        <v>44496.597222222219</v>
      </c>
      <c r="C145" s="14">
        <v>4000</v>
      </c>
      <c r="D145" s="6" t="s">
        <v>12</v>
      </c>
      <c r="E145" s="6">
        <f>IF(AND(D144="UP",testdataClose5[[#This Row],[close]]&gt;E144),testdataClose5[[#This Row],[close]],IF(AND(D144="DN",testdataClose5[[#This Row],[close]]&lt;E144),testdataClose5[[#This Row],[close]],E144))</f>
        <v>3945.96</v>
      </c>
      <c r="F145" s="11">
        <f>(testdataClose5[[#This Row],[close]]-testdataClose5[[#This Row],[hl]])/testdataClose5[[#This Row],[hl]]</f>
        <v>1.3695019716368124E-2</v>
      </c>
      <c r="G145" s="15">
        <f t="shared" ca="1" si="2"/>
        <v>4036.3578103819245</v>
      </c>
      <c r="H145" s="6"/>
      <c r="K145" s="4">
        <v>143</v>
      </c>
      <c r="L145" s="27">
        <v>44496.597222222219</v>
      </c>
      <c r="M145" s="29">
        <v>4000</v>
      </c>
      <c r="O145" s="28">
        <v>-6.0152999999999998E-2</v>
      </c>
    </row>
    <row r="146" spans="1:15" x14ac:dyDescent="0.35">
      <c r="A146" s="7">
        <v>144</v>
      </c>
      <c r="B146" s="3">
        <v>44496.600694444445</v>
      </c>
      <c r="C146" s="14">
        <v>3997.84</v>
      </c>
      <c r="D146" s="6" t="s">
        <v>12</v>
      </c>
      <c r="E146" s="6">
        <f>IF(AND(D145="UP",testdataClose5[[#This Row],[close]]&gt;E145),testdataClose5[[#This Row],[close]],IF(AND(D145="DN",testdataClose5[[#This Row],[close]]&lt;E145),testdataClose5[[#This Row],[close]],E145))</f>
        <v>3945.96</v>
      </c>
      <c r="F146" s="11">
        <f>(testdataClose5[[#This Row],[close]]-testdataClose5[[#This Row],[hl]])/testdataClose5[[#This Row],[hl]]</f>
        <v>1.3147624405721323E-2</v>
      </c>
      <c r="G146" s="15">
        <f t="shared" ca="1" si="2"/>
        <v>4034.8216768375582</v>
      </c>
      <c r="H146" s="6"/>
      <c r="K146" s="4">
        <v>144</v>
      </c>
      <c r="L146" s="27">
        <v>44496.600694444445</v>
      </c>
      <c r="M146" s="29">
        <v>3997.84</v>
      </c>
      <c r="O146" s="28">
        <v>-6.0659999999999999E-2</v>
      </c>
    </row>
    <row r="147" spans="1:15" x14ac:dyDescent="0.35">
      <c r="A147" s="7">
        <v>145</v>
      </c>
      <c r="B147" s="3">
        <v>44496.604166666664</v>
      </c>
      <c r="C147" s="14">
        <v>4000</v>
      </c>
      <c r="D147" s="6" t="s">
        <v>12</v>
      </c>
      <c r="E147" s="6">
        <f>IF(AND(D146="UP",testdataClose5[[#This Row],[close]]&gt;E146),testdataClose5[[#This Row],[close]],IF(AND(D146="DN",testdataClose5[[#This Row],[close]]&lt;E146),testdataClose5[[#This Row],[close]],E146))</f>
        <v>3945.96</v>
      </c>
      <c r="F147" s="11">
        <f>(testdataClose5[[#This Row],[close]]-testdataClose5[[#This Row],[hl]])/testdataClose5[[#This Row],[hl]]</f>
        <v>1.3695019716368124E-2</v>
      </c>
      <c r="G147" s="15">
        <f t="shared" ca="1" si="2"/>
        <v>4033.2855418313829</v>
      </c>
      <c r="H147" s="6"/>
      <c r="K147" s="4">
        <v>145</v>
      </c>
      <c r="L147" s="27">
        <v>44496.604166666664</v>
      </c>
      <c r="M147" s="29">
        <v>4000</v>
      </c>
      <c r="O147" s="28">
        <v>-6.0152999999999998E-2</v>
      </c>
    </row>
    <row r="148" spans="1:15" x14ac:dyDescent="0.35">
      <c r="A148" s="7">
        <v>146</v>
      </c>
      <c r="B148" s="3">
        <v>44496.607638888891</v>
      </c>
      <c r="C148" s="14">
        <v>3993.83</v>
      </c>
      <c r="D148" s="6" t="s">
        <v>12</v>
      </c>
      <c r="E148" s="6">
        <f>IF(AND(D147="UP",testdataClose5[[#This Row],[close]]&gt;E147),testdataClose5[[#This Row],[close]],IF(AND(D147="DN",testdataClose5[[#This Row],[close]]&lt;E147),testdataClose5[[#This Row],[close]],E147))</f>
        <v>3945.96</v>
      </c>
      <c r="F148" s="11">
        <f>(testdataClose5[[#This Row],[close]]-testdataClose5[[#This Row],[hl]])/testdataClose5[[#This Row],[hl]]</f>
        <v>1.2131395148455609E-2</v>
      </c>
      <c r="G148" s="15">
        <f t="shared" ca="1" si="2"/>
        <v>4031.7494053744904</v>
      </c>
      <c r="H148" s="6"/>
      <c r="K148" s="4">
        <v>146</v>
      </c>
      <c r="L148" s="27">
        <v>44496.607638888891</v>
      </c>
      <c r="M148" s="29">
        <v>3993.83</v>
      </c>
      <c r="O148" s="28">
        <v>-6.1601999999999997E-2</v>
      </c>
    </row>
    <row r="149" spans="1:15" x14ac:dyDescent="0.35">
      <c r="A149" s="7">
        <v>147</v>
      </c>
      <c r="B149" s="3">
        <v>44496.611111111109</v>
      </c>
      <c r="C149" s="14">
        <v>3985.21</v>
      </c>
      <c r="D149" s="6" t="s">
        <v>12</v>
      </c>
      <c r="E149" s="6">
        <f>IF(AND(D148="UP",testdataClose5[[#This Row],[close]]&gt;E148),testdataClose5[[#This Row],[close]],IF(AND(D148="DN",testdataClose5[[#This Row],[close]]&lt;E148),testdataClose5[[#This Row],[close]],E148))</f>
        <v>3945.96</v>
      </c>
      <c r="F149" s="11">
        <f>(testdataClose5[[#This Row],[close]]-testdataClose5[[#This Row],[hl]])/testdataClose5[[#This Row],[hl]]</f>
        <v>9.9468823809668629E-3</v>
      </c>
      <c r="G149" s="15">
        <f t="shared" ca="1" si="2"/>
        <v>4030.2132674782592</v>
      </c>
      <c r="H149" s="6"/>
      <c r="K149" s="4">
        <v>147</v>
      </c>
      <c r="L149" s="27">
        <v>44496.611111111109</v>
      </c>
      <c r="M149" s="29">
        <v>3985.21</v>
      </c>
      <c r="O149" s="28">
        <v>-6.3628000000000004E-2</v>
      </c>
    </row>
    <row r="150" spans="1:15" x14ac:dyDescent="0.35">
      <c r="A150" s="7">
        <v>148</v>
      </c>
      <c r="B150" s="3">
        <v>44496.614583333336</v>
      </c>
      <c r="C150" s="14">
        <v>3977</v>
      </c>
      <c r="D150" s="6" t="s">
        <v>12</v>
      </c>
      <c r="E150" s="6">
        <f>IF(AND(D149="UP",testdataClose5[[#This Row],[close]]&gt;E149),testdataClose5[[#This Row],[close]],IF(AND(D149="DN",testdataClose5[[#This Row],[close]]&lt;E149),testdataClose5[[#This Row],[close]],E149))</f>
        <v>3945.96</v>
      </c>
      <c r="F150" s="11">
        <f>(testdataClose5[[#This Row],[close]]-testdataClose5[[#This Row],[hl]])/testdataClose5[[#This Row],[hl]]</f>
        <v>7.8662733529990068E-3</v>
      </c>
      <c r="G150" s="15">
        <f t="shared" ca="1" si="2"/>
        <v>4028.6771281543552</v>
      </c>
      <c r="H150" s="6"/>
      <c r="K150" s="4">
        <v>148</v>
      </c>
      <c r="L150" s="27">
        <v>44496.614583333336</v>
      </c>
      <c r="M150" s="29">
        <v>3977</v>
      </c>
      <c r="O150" s="28">
        <v>-6.5557000000000004E-2</v>
      </c>
    </row>
    <row r="151" spans="1:15" x14ac:dyDescent="0.35">
      <c r="A151" s="7">
        <v>149</v>
      </c>
      <c r="B151" s="3">
        <v>44496.618055555555</v>
      </c>
      <c r="C151" s="14">
        <v>3979.71</v>
      </c>
      <c r="D151" s="6" t="s">
        <v>12</v>
      </c>
      <c r="E151" s="6">
        <f>IF(AND(D150="UP",testdataClose5[[#This Row],[close]]&gt;E150),testdataClose5[[#This Row],[close]],IF(AND(D150="DN",testdataClose5[[#This Row],[close]]&lt;E150),testdataClose5[[#This Row],[close]],E150))</f>
        <v>3945.96</v>
      </c>
      <c r="F151" s="11">
        <f>(testdataClose5[[#This Row],[close]]-testdataClose5[[#This Row],[hl]])/testdataClose5[[#This Row],[hl]]</f>
        <v>8.5530517288568558E-3</v>
      </c>
      <c r="G151" s="15">
        <f t="shared" ca="1" si="2"/>
        <v>4027.1409874147266</v>
      </c>
      <c r="H151" s="6"/>
      <c r="K151" s="4">
        <v>149</v>
      </c>
      <c r="L151" s="27">
        <v>44496.618055555555</v>
      </c>
      <c r="M151" s="29">
        <v>3979.71</v>
      </c>
      <c r="O151" s="28">
        <v>-6.4920000000000005E-2</v>
      </c>
    </row>
    <row r="152" spans="1:15" x14ac:dyDescent="0.35">
      <c r="A152" s="7">
        <v>150</v>
      </c>
      <c r="B152" s="3">
        <v>44496.621527777781</v>
      </c>
      <c r="C152" s="14">
        <v>3968.2</v>
      </c>
      <c r="D152" s="6" t="s">
        <v>12</v>
      </c>
      <c r="E152" s="6">
        <f>IF(AND(D151="UP",testdataClose5[[#This Row],[close]]&gt;E151),testdataClose5[[#This Row],[close]],IF(AND(D151="DN",testdataClose5[[#This Row],[close]]&lt;E151),testdataClose5[[#This Row],[close]],E151))</f>
        <v>3945.96</v>
      </c>
      <c r="F152" s="11">
        <f>(testdataClose5[[#This Row],[close]]-testdataClose5[[#This Row],[hl]])/testdataClose5[[#This Row],[hl]]</f>
        <v>5.6361443096229515E-3</v>
      </c>
      <c r="G152" s="15">
        <f t="shared" ca="1" si="2"/>
        <v>4025.6048452716032</v>
      </c>
      <c r="H152" s="6"/>
      <c r="K152" s="4">
        <v>150</v>
      </c>
      <c r="L152" s="27">
        <v>44496.621527777781</v>
      </c>
      <c r="M152" s="29">
        <v>3968.2</v>
      </c>
      <c r="O152" s="28">
        <v>-6.7624000000000004E-2</v>
      </c>
    </row>
    <row r="153" spans="1:15" x14ac:dyDescent="0.35">
      <c r="A153" s="7">
        <v>151</v>
      </c>
      <c r="B153" s="3">
        <v>44496.625</v>
      </c>
      <c r="C153" s="14">
        <v>3956.21</v>
      </c>
      <c r="D153" s="6" t="s">
        <v>12</v>
      </c>
      <c r="E153" s="6">
        <f>IF(AND(D152="UP",testdataClose5[[#This Row],[close]]&gt;E152),testdataClose5[[#This Row],[close]],IF(AND(D152="DN",testdataClose5[[#This Row],[close]]&lt;E152),testdataClose5[[#This Row],[close]],E152))</f>
        <v>3945.96</v>
      </c>
      <c r="F153" s="11">
        <f>(testdataClose5[[#This Row],[close]]-testdataClose5[[#This Row],[hl]])/testdataClose5[[#This Row],[hl]]</f>
        <v>2.5975934880231935E-3</v>
      </c>
      <c r="G153" s="15">
        <f t="shared" ca="1" si="2"/>
        <v>4024.0687017374939</v>
      </c>
      <c r="H153" s="6"/>
      <c r="K153" s="4">
        <v>151</v>
      </c>
      <c r="L153" s="27">
        <v>44496.625</v>
      </c>
      <c r="M153" s="29">
        <v>3956.21</v>
      </c>
      <c r="O153" s="28">
        <v>-7.0442000000000005E-2</v>
      </c>
    </row>
    <row r="154" spans="1:15" x14ac:dyDescent="0.35">
      <c r="A154" s="7">
        <v>152</v>
      </c>
      <c r="B154" s="3">
        <v>44496.628472222219</v>
      </c>
      <c r="C154" s="14">
        <v>3957.04</v>
      </c>
      <c r="D154" s="6" t="s">
        <v>12</v>
      </c>
      <c r="E154" s="6">
        <f>IF(AND(D153="UP",testdataClose5[[#This Row],[close]]&gt;E153),testdataClose5[[#This Row],[close]],IF(AND(D153="DN",testdataClose5[[#This Row],[close]]&lt;E153),testdataClose5[[#This Row],[close]],E153))</f>
        <v>3945.96</v>
      </c>
      <c r="F154" s="11">
        <f>(testdataClose5[[#This Row],[close]]-testdataClose5[[#This Row],[hl]])/testdataClose5[[#This Row],[hl]]</f>
        <v>2.8079352046143213E-3</v>
      </c>
      <c r="G154" s="15">
        <f t="shared" ca="1" si="2"/>
        <v>4022.5325568251833</v>
      </c>
      <c r="H154" s="6"/>
      <c r="K154" s="4">
        <v>152</v>
      </c>
      <c r="L154" s="27">
        <v>44496.628472222219</v>
      </c>
      <c r="M154" s="29">
        <v>3957.04</v>
      </c>
      <c r="O154" s="28">
        <v>-7.0247000000000004E-2</v>
      </c>
    </row>
    <row r="155" spans="1:15" x14ac:dyDescent="0.35">
      <c r="A155" s="7">
        <v>153</v>
      </c>
      <c r="B155" s="3">
        <v>44496.631944444445</v>
      </c>
      <c r="C155" s="14">
        <v>3949.6</v>
      </c>
      <c r="D155" s="6" t="s">
        <v>12</v>
      </c>
      <c r="E155" s="6">
        <f>IF(AND(D154="UP",testdataClose5[[#This Row],[close]]&gt;E154),testdataClose5[[#This Row],[close]],IF(AND(D154="DN",testdataClose5[[#This Row],[close]]&lt;E154),testdataClose5[[#This Row],[close]],E154))</f>
        <v>3945.96</v>
      </c>
      <c r="F155" s="11">
        <f>(testdataClose5[[#This Row],[close]]-testdataClose5[[#This Row],[hl]])/testdataClose5[[#This Row],[hl]]</f>
        <v>9.2246246794186275E-4</v>
      </c>
      <c r="G155" s="15">
        <f t="shared" ca="1" si="2"/>
        <v>4020.9964105477293</v>
      </c>
      <c r="H155" s="6"/>
      <c r="K155" s="4">
        <v>153</v>
      </c>
      <c r="L155" s="27">
        <v>44496.631944444445</v>
      </c>
      <c r="M155" s="29">
        <v>3949.6</v>
      </c>
      <c r="O155" s="28">
        <v>-7.1995000000000003E-2</v>
      </c>
    </row>
    <row r="156" spans="1:15" x14ac:dyDescent="0.35">
      <c r="A156" s="7">
        <v>154</v>
      </c>
      <c r="B156" s="3">
        <v>44496.635416666664</v>
      </c>
      <c r="C156" s="14">
        <v>3952.5</v>
      </c>
      <c r="D156" s="6" t="s">
        <v>12</v>
      </c>
      <c r="E156" s="6">
        <f>IF(AND(D155="UP",testdataClose5[[#This Row],[close]]&gt;E155),testdataClose5[[#This Row],[close]],IF(AND(D155="DN",testdataClose5[[#This Row],[close]]&lt;E155),testdataClose5[[#This Row],[close]],E155))</f>
        <v>3945.96</v>
      </c>
      <c r="F156" s="11">
        <f>(testdataClose5[[#This Row],[close]]-testdataClose5[[#This Row],[hl]])/testdataClose5[[#This Row],[hl]]</f>
        <v>1.6573913572362528E-3</v>
      </c>
      <c r="G156" s="15">
        <f t="shared" ca="1" si="2"/>
        <v>4019.4602629184601</v>
      </c>
      <c r="H156" s="6"/>
      <c r="K156" s="4">
        <v>154</v>
      </c>
      <c r="L156" s="27">
        <v>44496.635416666664</v>
      </c>
      <c r="M156" s="29">
        <v>3952.5</v>
      </c>
      <c r="O156" s="28">
        <v>-7.1313000000000001E-2</v>
      </c>
    </row>
    <row r="157" spans="1:15" x14ac:dyDescent="0.35">
      <c r="A157" s="7">
        <v>155</v>
      </c>
      <c r="B157" s="3">
        <v>44496.638888888891</v>
      </c>
      <c r="C157" s="14">
        <v>3970.65</v>
      </c>
      <c r="D157" s="6" t="s">
        <v>12</v>
      </c>
      <c r="E157" s="6">
        <f>IF(AND(D156="UP",testdataClose5[[#This Row],[close]]&gt;E156),testdataClose5[[#This Row],[close]],IF(AND(D156="DN",testdataClose5[[#This Row],[close]]&lt;E156),testdataClose5[[#This Row],[close]],E156))</f>
        <v>3945.96</v>
      </c>
      <c r="F157" s="11">
        <f>(testdataClose5[[#This Row],[close]]-testdataClose5[[#This Row],[hl]])/testdataClose5[[#This Row],[hl]]</f>
        <v>6.2570325091992965E-3</v>
      </c>
      <c r="G157" s="15">
        <f t="shared" ca="1" si="2"/>
        <v>4017.9241139509732</v>
      </c>
      <c r="H157" s="6"/>
      <c r="K157" s="4">
        <v>155</v>
      </c>
      <c r="L157" s="27">
        <v>44496.638888888891</v>
      </c>
      <c r="M157" s="29">
        <v>3970.65</v>
      </c>
      <c r="O157" s="28">
        <v>-6.7048999999999997E-2</v>
      </c>
    </row>
    <row r="158" spans="1:15" x14ac:dyDescent="0.35">
      <c r="A158" s="7">
        <v>156</v>
      </c>
      <c r="B158" s="3">
        <v>44496.642361111109</v>
      </c>
      <c r="C158" s="14">
        <v>3960</v>
      </c>
      <c r="D158" s="6" t="s">
        <v>12</v>
      </c>
      <c r="E158" s="6">
        <f>IF(AND(D157="UP",testdataClose5[[#This Row],[close]]&gt;E157),testdataClose5[[#This Row],[close]],IF(AND(D157="DN",testdataClose5[[#This Row],[close]]&lt;E157),testdataClose5[[#This Row],[close]],E157))</f>
        <v>3945.96</v>
      </c>
      <c r="F158" s="11">
        <f>(testdataClose5[[#This Row],[close]]-testdataClose5[[#This Row],[hl]])/testdataClose5[[#This Row],[hl]]</f>
        <v>3.558069519204443E-3</v>
      </c>
      <c r="G158" s="15">
        <f t="shared" ca="1" si="2"/>
        <v>4016.3879636591296</v>
      </c>
      <c r="H158" s="6"/>
      <c r="K158" s="4">
        <v>156</v>
      </c>
      <c r="L158" s="27">
        <v>44496.642361111109</v>
      </c>
      <c r="M158" s="29">
        <v>3960</v>
      </c>
      <c r="O158" s="28">
        <v>-6.9551000000000002E-2</v>
      </c>
    </row>
    <row r="159" spans="1:15" x14ac:dyDescent="0.35">
      <c r="A159" s="7">
        <v>157</v>
      </c>
      <c r="B159" s="3">
        <v>44496.645833333336</v>
      </c>
      <c r="C159" s="14">
        <v>3959.1</v>
      </c>
      <c r="D159" s="6" t="s">
        <v>12</v>
      </c>
      <c r="E159" s="6">
        <f>IF(AND(D158="UP",testdataClose5[[#This Row],[close]]&gt;E158),testdataClose5[[#This Row],[close]],IF(AND(D158="DN",testdataClose5[[#This Row],[close]]&lt;E158),testdataClose5[[#This Row],[close]],E158))</f>
        <v>3945.96</v>
      </c>
      <c r="F159" s="11">
        <f>(testdataClose5[[#This Row],[close]]-testdataClose5[[#This Row],[hl]])/testdataClose5[[#This Row],[hl]]</f>
        <v>3.3299881397682372E-3</v>
      </c>
      <c r="G159" s="15">
        <f t="shared" ca="1" si="2"/>
        <v>4014.8518120570543</v>
      </c>
      <c r="H159" s="6"/>
      <c r="K159" s="4">
        <v>157</v>
      </c>
      <c r="L159" s="27">
        <v>44496.645833333336</v>
      </c>
      <c r="M159" s="29">
        <v>3959.1</v>
      </c>
      <c r="O159" s="28">
        <v>-6.9763000000000006E-2</v>
      </c>
    </row>
    <row r="160" spans="1:15" x14ac:dyDescent="0.35">
      <c r="A160" s="7">
        <v>158</v>
      </c>
      <c r="B160" s="3">
        <v>44496.649305555555</v>
      </c>
      <c r="C160" s="14">
        <v>3966.81</v>
      </c>
      <c r="D160" s="6" t="s">
        <v>12</v>
      </c>
      <c r="E160" s="6">
        <f>IF(AND(D159="UP",testdataClose5[[#This Row],[close]]&gt;E159),testdataClose5[[#This Row],[close]],IF(AND(D159="DN",testdataClose5[[#This Row],[close]]&lt;E159),testdataClose5[[#This Row],[close]],E159))</f>
        <v>3945.96</v>
      </c>
      <c r="F160" s="11">
        <f>(testdataClose5[[#This Row],[close]]-testdataClose5[[#This Row],[hl]])/testdataClose5[[#This Row],[hl]]</f>
        <v>5.2838852902715458E-3</v>
      </c>
      <c r="G160" s="15">
        <f t="shared" ca="1" si="2"/>
        <v>4013.3156591591319</v>
      </c>
      <c r="H160" s="6"/>
      <c r="K160" s="4">
        <v>158</v>
      </c>
      <c r="L160" s="27">
        <v>44496.649305555555</v>
      </c>
      <c r="M160" s="29">
        <v>3966.81</v>
      </c>
      <c r="O160" s="28">
        <v>-6.7950999999999998E-2</v>
      </c>
    </row>
    <row r="161" spans="1:15" x14ac:dyDescent="0.35">
      <c r="A161" s="7">
        <v>159</v>
      </c>
      <c r="B161" s="3">
        <v>44496.652777777781</v>
      </c>
      <c r="C161" s="14">
        <v>3956.39</v>
      </c>
      <c r="D161" s="6" t="s">
        <v>12</v>
      </c>
      <c r="E161" s="6">
        <f>IF(AND(D160="UP",testdataClose5[[#This Row],[close]]&gt;E160),testdataClose5[[#This Row],[close]],IF(AND(D160="DN",testdataClose5[[#This Row],[close]]&lt;E160),testdataClose5[[#This Row],[close]],E160))</f>
        <v>3945.96</v>
      </c>
      <c r="F161" s="11">
        <f>(testdataClose5[[#This Row],[close]]-testdataClose5[[#This Row],[hl]])/testdataClose5[[#This Row],[hl]]</f>
        <v>2.6432097639103886E-3</v>
      </c>
      <c r="G161" s="15">
        <f t="shared" ca="1" si="2"/>
        <v>4011.7795049800025</v>
      </c>
      <c r="H161" s="6"/>
      <c r="K161" s="4">
        <v>159</v>
      </c>
      <c r="L161" s="27">
        <v>44496.652777777781</v>
      </c>
      <c r="M161" s="29">
        <v>3956.39</v>
      </c>
      <c r="O161" s="28">
        <v>-7.0399000000000003E-2</v>
      </c>
    </row>
    <row r="162" spans="1:15" x14ac:dyDescent="0.35">
      <c r="A162" s="7">
        <v>160</v>
      </c>
      <c r="B162" s="3">
        <v>44496.65625</v>
      </c>
      <c r="C162" s="14">
        <v>3971.78</v>
      </c>
      <c r="D162" s="6" t="s">
        <v>12</v>
      </c>
      <c r="E162" s="6">
        <f>IF(AND(D161="UP",testdataClose5[[#This Row],[close]]&gt;E161),testdataClose5[[#This Row],[close]],IF(AND(D161="DN",testdataClose5[[#This Row],[close]]&lt;E161),testdataClose5[[#This Row],[close]],E161))</f>
        <v>3945.96</v>
      </c>
      <c r="F162" s="11">
        <f>(testdataClose5[[#This Row],[close]]-testdataClose5[[#This Row],[hl]])/testdataClose5[[#This Row],[hl]]</f>
        <v>6.5434013522691981E-3</v>
      </c>
      <c r="G162" s="15">
        <f t="shared" ca="1" si="2"/>
        <v>4010.2433495345595</v>
      </c>
      <c r="H162" s="6"/>
      <c r="K162" s="4">
        <v>160</v>
      </c>
      <c r="L162" s="27">
        <v>44496.65625</v>
      </c>
      <c r="M162" s="29">
        <v>3971.78</v>
      </c>
      <c r="O162" s="28">
        <v>-6.6782999999999995E-2</v>
      </c>
    </row>
    <row r="163" spans="1:15" x14ac:dyDescent="0.35">
      <c r="A163" s="7">
        <v>161</v>
      </c>
      <c r="B163" s="3">
        <v>44496.659722222219</v>
      </c>
      <c r="C163" s="14">
        <v>3989.98</v>
      </c>
      <c r="D163" s="6" t="s">
        <v>12</v>
      </c>
      <c r="E163" s="6">
        <f>IF(AND(D162="UP",testdataClose5[[#This Row],[close]]&gt;E162),testdataClose5[[#This Row],[close]],IF(AND(D162="DN",testdataClose5[[#This Row],[close]]&lt;E162),testdataClose5[[#This Row],[close]],E162))</f>
        <v>3945.96</v>
      </c>
      <c r="F163" s="11">
        <f>(testdataClose5[[#This Row],[close]]-testdataClose5[[#This Row],[hl]])/testdataClose5[[#This Row],[hl]]</f>
        <v>1.1155713691978627E-2</v>
      </c>
      <c r="G163" s="15">
        <f t="shared" ca="1" si="2"/>
        <v>4008.7071928379487</v>
      </c>
      <c r="H163" s="6"/>
      <c r="K163" s="4">
        <v>161</v>
      </c>
      <c r="L163" s="27">
        <v>44496.659722222219</v>
      </c>
      <c r="M163" s="29">
        <v>3989.98</v>
      </c>
      <c r="O163" s="28">
        <v>-6.2506999999999993E-2</v>
      </c>
    </row>
    <row r="164" spans="1:15" x14ac:dyDescent="0.35">
      <c r="A164" s="7">
        <v>162</v>
      </c>
      <c r="B164" s="3">
        <v>44496.663194444445</v>
      </c>
      <c r="C164" s="14">
        <v>3999</v>
      </c>
      <c r="D164" s="6" t="s">
        <v>12</v>
      </c>
      <c r="E164" s="6">
        <f>IF(AND(D163="UP",testdataClose5[[#This Row],[close]]&gt;E163),testdataClose5[[#This Row],[close]],IF(AND(D163="DN",testdataClose5[[#This Row],[close]]&lt;E163),testdataClose5[[#This Row],[close]],E163))</f>
        <v>3945.96</v>
      </c>
      <c r="F164" s="11">
        <f>(testdataClose5[[#This Row],[close]]-testdataClose5[[#This Row],[hl]])/testdataClose5[[#This Row],[hl]]</f>
        <v>1.3441595961439031E-2</v>
      </c>
      <c r="G164" s="15">
        <f t="shared" ca="1" si="2"/>
        <v>4007.171034905562</v>
      </c>
      <c r="H164" s="6"/>
      <c r="K164" s="4">
        <v>162</v>
      </c>
      <c r="L164" s="27">
        <v>44496.663194444445</v>
      </c>
      <c r="M164" s="29">
        <v>3999</v>
      </c>
      <c r="O164" s="28">
        <v>-6.0387999999999997E-2</v>
      </c>
    </row>
    <row r="165" spans="1:15" x14ac:dyDescent="0.35">
      <c r="A165" s="7">
        <v>163</v>
      </c>
      <c r="B165" s="3">
        <v>44496.666666666664</v>
      </c>
      <c r="C165" s="14">
        <v>4022.52</v>
      </c>
      <c r="D165" s="6" t="s">
        <v>12</v>
      </c>
      <c r="E165" s="6">
        <f>IF(AND(D164="UP",testdataClose5[[#This Row],[close]]&gt;E164),testdataClose5[[#This Row],[close]],IF(AND(D164="DN",testdataClose5[[#This Row],[close]]&lt;E164),testdataClose5[[#This Row],[close]],E164))</f>
        <v>3945.96</v>
      </c>
      <c r="F165" s="11">
        <f>(testdataClose5[[#This Row],[close]]-testdataClose5[[#This Row],[hl]])/testdataClose5[[#This Row],[hl]]</f>
        <v>1.9402122677371271E-2</v>
      </c>
      <c r="G165" s="15">
        <f t="shared" ca="1" si="2"/>
        <v>4005.6348757530359</v>
      </c>
      <c r="H165" s="6"/>
      <c r="K165" s="4">
        <v>163</v>
      </c>
      <c r="L165" s="27">
        <v>44496.666666666664</v>
      </c>
      <c r="M165" s="29">
        <v>4022.52</v>
      </c>
      <c r="O165" s="28">
        <v>-5.4861E-2</v>
      </c>
    </row>
    <row r="166" spans="1:15" x14ac:dyDescent="0.35">
      <c r="A166" s="7">
        <v>164</v>
      </c>
      <c r="B166" s="3">
        <v>44496.670138888891</v>
      </c>
      <c r="C166" s="14">
        <v>4006.84</v>
      </c>
      <c r="D166" s="6" t="s">
        <v>12</v>
      </c>
      <c r="E166" s="6">
        <f>IF(AND(D165="UP",testdataClose5[[#This Row],[close]]&gt;E165),testdataClose5[[#This Row],[close]],IF(AND(D165="DN",testdataClose5[[#This Row],[close]]&lt;E165),testdataClose5[[#This Row],[close]],E165))</f>
        <v>3945.96</v>
      </c>
      <c r="F166" s="11">
        <f>(testdataClose5[[#This Row],[close]]-testdataClose5[[#This Row],[hl]])/testdataClose5[[#This Row],[hl]]</f>
        <v>1.5428438200083151E-2</v>
      </c>
      <c r="G166" s="15">
        <f t="shared" ca="1" si="2"/>
        <v>4004.0987153962483</v>
      </c>
      <c r="H166" s="6"/>
      <c r="K166" s="4">
        <v>164</v>
      </c>
      <c r="L166" s="27">
        <v>44496.670138888891</v>
      </c>
      <c r="M166" s="29">
        <v>4006.84</v>
      </c>
      <c r="O166" s="28">
        <v>-5.8545E-2</v>
      </c>
    </row>
    <row r="167" spans="1:15" x14ac:dyDescent="0.35">
      <c r="A167" s="7">
        <v>165</v>
      </c>
      <c r="B167" s="3">
        <v>44496.673611111109</v>
      </c>
      <c r="C167" s="14">
        <v>3979.04</v>
      </c>
      <c r="D167" s="6" t="s">
        <v>12</v>
      </c>
      <c r="E167" s="6">
        <f>IF(AND(D166="UP",testdataClose5[[#This Row],[close]]&gt;E166),testdataClose5[[#This Row],[close]],IF(AND(D166="DN",testdataClose5[[#This Row],[close]]&lt;E166),testdataClose5[[#This Row],[close]],E166))</f>
        <v>3945.96</v>
      </c>
      <c r="F167" s="11">
        <f>(testdataClose5[[#This Row],[close]]-testdataClose5[[#This Row],[hl]])/testdataClose5[[#This Row],[hl]]</f>
        <v>8.3832578130543459E-3</v>
      </c>
      <c r="G167" s="15">
        <f t="shared" ca="1" si="2"/>
        <v>4002.562553851315</v>
      </c>
      <c r="H167" s="6"/>
      <c r="K167" s="4">
        <v>165</v>
      </c>
      <c r="L167" s="27">
        <v>44496.673611111109</v>
      </c>
      <c r="M167" s="29">
        <v>3979.04</v>
      </c>
      <c r="O167" s="28">
        <v>-6.5076999999999996E-2</v>
      </c>
    </row>
    <row r="168" spans="1:15" x14ac:dyDescent="0.35">
      <c r="A168" s="7">
        <v>166</v>
      </c>
      <c r="B168" s="3">
        <v>44496.677083333336</v>
      </c>
      <c r="C168" s="14">
        <v>3981.61</v>
      </c>
      <c r="D168" s="6" t="s">
        <v>12</v>
      </c>
      <c r="E168" s="6">
        <f>IF(AND(D167="UP",testdataClose5[[#This Row],[close]]&gt;E167),testdataClose5[[#This Row],[close]],IF(AND(D167="DN",testdataClose5[[#This Row],[close]]&lt;E167),testdataClose5[[#This Row],[close]],E167))</f>
        <v>3945.96</v>
      </c>
      <c r="F168" s="11">
        <f>(testdataClose5[[#This Row],[close]]-testdataClose5[[#This Row],[hl]])/testdataClose5[[#This Row],[hl]]</f>
        <v>9.0345568632221544E-3</v>
      </c>
      <c r="G168" s="15">
        <f t="shared" ca="1" si="2"/>
        <v>4001.0263911345869</v>
      </c>
      <c r="H168" s="6"/>
      <c r="K168" s="4">
        <v>166</v>
      </c>
      <c r="L168" s="27">
        <v>44496.677083333336</v>
      </c>
      <c r="M168" s="29">
        <v>3981.61</v>
      </c>
      <c r="O168" s="28">
        <v>-6.4474000000000004E-2</v>
      </c>
    </row>
    <row r="169" spans="1:15" x14ac:dyDescent="0.35">
      <c r="A169" s="7">
        <v>167</v>
      </c>
      <c r="B169" s="3">
        <v>44496.680555555555</v>
      </c>
      <c r="C169" s="14">
        <v>3978.33</v>
      </c>
      <c r="D169" s="6" t="s">
        <v>12</v>
      </c>
      <c r="E169" s="6">
        <f>IF(AND(D168="UP",testdataClose5[[#This Row],[close]]&gt;E168),testdataClose5[[#This Row],[close]],IF(AND(D168="DN",testdataClose5[[#This Row],[close]]&lt;E168),testdataClose5[[#This Row],[close]],E168))</f>
        <v>3945.96</v>
      </c>
      <c r="F169" s="11">
        <f>(testdataClose5[[#This Row],[close]]-testdataClose5[[#This Row],[hl]])/testdataClose5[[#This Row],[hl]]</f>
        <v>8.2033269470546816E-3</v>
      </c>
      <c r="G169" s="15">
        <f t="shared" ca="1" si="2"/>
        <v>3999.4902272626459</v>
      </c>
      <c r="H169" s="6"/>
      <c r="K169" s="4">
        <v>167</v>
      </c>
      <c r="L169" s="27">
        <v>44496.680555555555</v>
      </c>
      <c r="M169" s="29">
        <v>3978.33</v>
      </c>
      <c r="O169" s="28">
        <v>-6.5243999999999996E-2</v>
      </c>
    </row>
    <row r="170" spans="1:15" x14ac:dyDescent="0.35">
      <c r="A170" s="7">
        <v>168</v>
      </c>
      <c r="B170" s="3">
        <v>44496.684027777781</v>
      </c>
      <c r="C170" s="14">
        <v>3975</v>
      </c>
      <c r="D170" s="6" t="s">
        <v>12</v>
      </c>
      <c r="E170" s="6">
        <f>IF(AND(D169="UP",testdataClose5[[#This Row],[close]]&gt;E169),testdataClose5[[#This Row],[close]],IF(AND(D169="DN",testdataClose5[[#This Row],[close]]&lt;E169),testdataClose5[[#This Row],[close]],E169))</f>
        <v>3945.96</v>
      </c>
      <c r="F170" s="11">
        <f>(testdataClose5[[#This Row],[close]]-testdataClose5[[#This Row],[hl]])/testdataClose5[[#This Row],[hl]]</f>
        <v>7.359425843140823E-3</v>
      </c>
      <c r="G170" s="15">
        <f t="shared" ca="1" si="2"/>
        <v>3997.9540622523014</v>
      </c>
      <c r="H170" s="6"/>
      <c r="K170" s="4">
        <v>168</v>
      </c>
      <c r="L170" s="27">
        <v>44496.684027777781</v>
      </c>
      <c r="M170" s="29">
        <v>3975</v>
      </c>
      <c r="O170" s="28">
        <v>-6.6027000000000002E-2</v>
      </c>
    </row>
    <row r="171" spans="1:15" x14ac:dyDescent="0.35">
      <c r="A171" s="7">
        <v>169</v>
      </c>
      <c r="B171" s="3">
        <v>44496.6875</v>
      </c>
      <c r="C171" s="14">
        <v>3968.73</v>
      </c>
      <c r="D171" s="6" t="s">
        <v>12</v>
      </c>
      <c r="E171" s="6">
        <f>IF(AND(D170="UP",testdataClose5[[#This Row],[close]]&gt;E170),testdataClose5[[#This Row],[close]],IF(AND(D170="DN",testdataClose5[[#This Row],[close]]&lt;E170),testdataClose5[[#This Row],[close]],E170))</f>
        <v>3945.96</v>
      </c>
      <c r="F171" s="11">
        <f>(testdataClose5[[#This Row],[close]]-testdataClose5[[#This Row],[hl]])/testdataClose5[[#This Row],[hl]]</f>
        <v>5.7704588997354207E-3</v>
      </c>
      <c r="G171" s="15">
        <f t="shared" ca="1" si="2"/>
        <v>3996.417896120588</v>
      </c>
      <c r="H171" s="6"/>
      <c r="K171" s="4">
        <v>169</v>
      </c>
      <c r="L171" s="27">
        <v>44496.6875</v>
      </c>
      <c r="M171" s="29">
        <v>3968.73</v>
      </c>
      <c r="O171" s="28">
        <v>-6.7500000000000004E-2</v>
      </c>
    </row>
    <row r="172" spans="1:15" x14ac:dyDescent="0.35">
      <c r="A172" s="7">
        <v>170</v>
      </c>
      <c r="B172" s="3">
        <v>44496.690972222219</v>
      </c>
      <c r="C172" s="14">
        <v>3967.97</v>
      </c>
      <c r="D172" s="6" t="s">
        <v>12</v>
      </c>
      <c r="E172" s="6">
        <f>IF(AND(D171="UP",testdataClose5[[#This Row],[close]]&gt;E171),testdataClose5[[#This Row],[close]],IF(AND(D171="DN",testdataClose5[[#This Row],[close]]&lt;E171),testdataClose5[[#This Row],[close]],E171))</f>
        <v>3945.96</v>
      </c>
      <c r="F172" s="11">
        <f>(testdataClose5[[#This Row],[close]]-testdataClose5[[#This Row],[hl]])/testdataClose5[[#This Row],[hl]]</f>
        <v>5.577856845989256E-3</v>
      </c>
      <c r="G172" s="15">
        <f t="shared" ca="1" si="2"/>
        <v>3994.8817288847613</v>
      </c>
      <c r="H172" s="6"/>
      <c r="K172" s="4">
        <v>170</v>
      </c>
      <c r="L172" s="27">
        <v>44496.690972222219</v>
      </c>
      <c r="M172" s="29">
        <v>3967.97</v>
      </c>
      <c r="O172" s="28">
        <v>-6.7678000000000002E-2</v>
      </c>
    </row>
    <row r="173" spans="1:15" x14ac:dyDescent="0.35">
      <c r="A173" s="7">
        <v>171</v>
      </c>
      <c r="B173" s="3">
        <v>44496.694444444445</v>
      </c>
      <c r="C173" s="14">
        <v>3961.53</v>
      </c>
      <c r="D173" s="6" t="s">
        <v>12</v>
      </c>
      <c r="E173" s="6">
        <f>IF(AND(D172="UP",testdataClose5[[#This Row],[close]]&gt;E172),testdataClose5[[#This Row],[close]],IF(AND(D172="DN",testdataClose5[[#This Row],[close]]&lt;E172),testdataClose5[[#This Row],[close]],E172))</f>
        <v>3945.96</v>
      </c>
      <c r="F173" s="11">
        <f>(testdataClose5[[#This Row],[close]]-testdataClose5[[#This Row],[hl]])/testdataClose5[[#This Row],[hl]]</f>
        <v>3.9458078642460046E-3</v>
      </c>
      <c r="G173" s="15">
        <f t="shared" ca="1" si="2"/>
        <v>3993.3455605622948</v>
      </c>
      <c r="H173" s="6"/>
      <c r="K173" s="4">
        <v>171</v>
      </c>
      <c r="L173" s="27">
        <v>44496.694444444445</v>
      </c>
      <c r="M173" s="29">
        <v>3961.53</v>
      </c>
      <c r="O173" s="28">
        <v>-6.9192000000000004E-2</v>
      </c>
    </row>
    <row r="174" spans="1:15" x14ac:dyDescent="0.35">
      <c r="A174" s="7">
        <v>172</v>
      </c>
      <c r="B174" s="3">
        <v>44496.697916666664</v>
      </c>
      <c r="C174" s="14">
        <v>3974</v>
      </c>
      <c r="D174" s="6" t="s">
        <v>12</v>
      </c>
      <c r="E174" s="6">
        <f>IF(AND(D173="UP",testdataClose5[[#This Row],[close]]&gt;E173),testdataClose5[[#This Row],[close]],IF(AND(D173="DN",testdataClose5[[#This Row],[close]]&lt;E173),testdataClose5[[#This Row],[close]],E173))</f>
        <v>3945.96</v>
      </c>
      <c r="F174" s="11">
        <f>(testdataClose5[[#This Row],[close]]-testdataClose5[[#This Row],[hl]])/testdataClose5[[#This Row],[hl]]</f>
        <v>7.1060020882117315E-3</v>
      </c>
      <c r="G174" s="15">
        <f t="shared" ca="1" si="2"/>
        <v>3991.8093911708761</v>
      </c>
      <c r="H174" s="6"/>
      <c r="K174" s="4">
        <v>172</v>
      </c>
      <c r="L174" s="27">
        <v>44496.697916666664</v>
      </c>
      <c r="M174" s="29">
        <v>3974</v>
      </c>
      <c r="O174" s="28">
        <v>-6.6262000000000001E-2</v>
      </c>
    </row>
    <row r="175" spans="1:15" x14ac:dyDescent="0.35">
      <c r="A175" s="7">
        <v>173</v>
      </c>
      <c r="B175" s="3">
        <v>44496.701388888891</v>
      </c>
      <c r="C175" s="14">
        <v>3978.45</v>
      </c>
      <c r="D175" s="6" t="s">
        <v>12</v>
      </c>
      <c r="E175" s="6">
        <f>IF(AND(D174="UP",testdataClose5[[#This Row],[close]]&gt;E174),testdataClose5[[#This Row],[close]],IF(AND(D174="DN",testdataClose5[[#This Row],[close]]&lt;E174),testdataClose5[[#This Row],[close]],E174))</f>
        <v>3945.96</v>
      </c>
      <c r="F175" s="11">
        <f>(testdataClose5[[#This Row],[close]]-testdataClose5[[#This Row],[hl]])/testdataClose5[[#This Row],[hl]]</f>
        <v>8.233737797646145E-3</v>
      </c>
      <c r="G175" s="15">
        <f t="shared" ca="1" si="2"/>
        <v>3990.2732207284025</v>
      </c>
      <c r="H175" s="6"/>
      <c r="K175" s="4">
        <v>173</v>
      </c>
      <c r="L175" s="27">
        <v>44496.701388888891</v>
      </c>
      <c r="M175" s="29">
        <v>3978.45</v>
      </c>
      <c r="O175" s="28">
        <v>-6.5215999999999996E-2</v>
      </c>
    </row>
    <row r="176" spans="1:15" x14ac:dyDescent="0.35">
      <c r="A176" s="7">
        <v>174</v>
      </c>
      <c r="B176" s="3">
        <v>44496.704861111109</v>
      </c>
      <c r="C176" s="14">
        <v>3981.08</v>
      </c>
      <c r="D176" s="6" t="s">
        <v>12</v>
      </c>
      <c r="E176" s="6">
        <f>IF(AND(D175="UP",testdataClose5[[#This Row],[close]]&gt;E175),testdataClose5[[#This Row],[close]],IF(AND(D175="DN",testdataClose5[[#This Row],[close]]&lt;E175),testdataClose5[[#This Row],[close]],E175))</f>
        <v>3945.96</v>
      </c>
      <c r="F176" s="11">
        <f>(testdataClose5[[#This Row],[close]]-testdataClose5[[#This Row],[hl]])/testdataClose5[[#This Row],[hl]]</f>
        <v>8.9002422731096851E-3</v>
      </c>
      <c r="G176" s="15">
        <f t="shared" ca="1" si="2"/>
        <v>3988.7370492529794</v>
      </c>
      <c r="H176" s="6"/>
      <c r="K176" s="4">
        <v>174</v>
      </c>
      <c r="L176" s="27">
        <v>44496.704861111109</v>
      </c>
      <c r="M176" s="29">
        <v>3981.08</v>
      </c>
      <c r="O176" s="28">
        <v>-6.4598000000000003E-2</v>
      </c>
    </row>
    <row r="177" spans="1:15" x14ac:dyDescent="0.35">
      <c r="A177" s="7">
        <v>175</v>
      </c>
      <c r="B177" s="3">
        <v>44496.708333333336</v>
      </c>
      <c r="C177" s="14">
        <v>3987.36</v>
      </c>
      <c r="D177" s="6" t="s">
        <v>12</v>
      </c>
      <c r="E177" s="6">
        <f>IF(AND(D176="UP",testdataClose5[[#This Row],[close]]&gt;E176),testdataClose5[[#This Row],[close]],IF(AND(D176="DN",testdataClose5[[#This Row],[close]]&lt;E176),testdataClose5[[#This Row],[close]],E176))</f>
        <v>3945.96</v>
      </c>
      <c r="F177" s="11">
        <f>(testdataClose5[[#This Row],[close]]-testdataClose5[[#This Row],[hl]])/testdataClose5[[#This Row],[hl]]</f>
        <v>1.0491743454064433E-2</v>
      </c>
      <c r="G177" s="15">
        <f t="shared" ca="1" si="2"/>
        <v>3987.2008767629145</v>
      </c>
      <c r="H177" s="6"/>
      <c r="K177" s="4">
        <v>175</v>
      </c>
      <c r="L177" s="27">
        <v>44496.708333333336</v>
      </c>
      <c r="M177" s="29">
        <v>3987.36</v>
      </c>
      <c r="O177" s="28">
        <v>-6.3122999999999999E-2</v>
      </c>
    </row>
    <row r="178" spans="1:15" x14ac:dyDescent="0.35">
      <c r="A178" s="7">
        <v>176</v>
      </c>
      <c r="B178" s="3">
        <v>44496.711805555555</v>
      </c>
      <c r="C178" s="14">
        <v>3983.51</v>
      </c>
      <c r="D178" s="6" t="s">
        <v>12</v>
      </c>
      <c r="E178" s="6">
        <f>IF(AND(D177="UP",testdataClose5[[#This Row],[close]]&gt;E177),testdataClose5[[#This Row],[close]],IF(AND(D177="DN",testdataClose5[[#This Row],[close]]&lt;E177),testdataClose5[[#This Row],[close]],E177))</f>
        <v>3945.96</v>
      </c>
      <c r="F178" s="11">
        <f>(testdataClose5[[#This Row],[close]]-testdataClose5[[#This Row],[hl]])/testdataClose5[[#This Row],[hl]]</f>
        <v>9.5160619975874512E-3</v>
      </c>
      <c r="G178" s="15">
        <f t="shared" ca="1" si="2"/>
        <v>3985.664703276715</v>
      </c>
      <c r="H178" s="6"/>
      <c r="K178" s="4">
        <v>176</v>
      </c>
      <c r="L178" s="27">
        <v>44496.711805555555</v>
      </c>
      <c r="M178" s="29">
        <v>3983.51</v>
      </c>
      <c r="O178" s="28">
        <v>-6.4027000000000001E-2</v>
      </c>
    </row>
    <row r="179" spans="1:15" x14ac:dyDescent="0.35">
      <c r="A179" s="7">
        <v>177</v>
      </c>
      <c r="B179" s="3">
        <v>44496.715277777781</v>
      </c>
      <c r="C179" s="14">
        <v>3991</v>
      </c>
      <c r="D179" s="6" t="s">
        <v>12</v>
      </c>
      <c r="E179" s="6">
        <f>IF(AND(D178="UP",testdataClose5[[#This Row],[close]]&gt;E178),testdataClose5[[#This Row],[close]],IF(AND(D178="DN",testdataClose5[[#This Row],[close]]&lt;E178),testdataClose5[[#This Row],[close]],E178))</f>
        <v>3945.96</v>
      </c>
      <c r="F179" s="11">
        <f>(testdataClose5[[#This Row],[close]]-testdataClose5[[#This Row],[hl]])/testdataClose5[[#This Row],[hl]]</f>
        <v>1.1414205922006296E-2</v>
      </c>
      <c r="G179" s="15">
        <f t="shared" ca="1" si="2"/>
        <v>3984.1285288130848</v>
      </c>
      <c r="H179" s="6"/>
      <c r="K179" s="4">
        <v>177</v>
      </c>
      <c r="L179" s="27">
        <v>44496.715277777781</v>
      </c>
      <c r="M179" s="29">
        <v>3991</v>
      </c>
      <c r="O179" s="28">
        <v>-6.2267000000000003E-2</v>
      </c>
    </row>
    <row r="180" spans="1:15" x14ac:dyDescent="0.35">
      <c r="A180" s="7">
        <v>178</v>
      </c>
      <c r="B180" s="3">
        <v>44496.71875</v>
      </c>
      <c r="C180" s="14">
        <v>3994.58</v>
      </c>
      <c r="D180" s="6" t="s">
        <v>12</v>
      </c>
      <c r="E180" s="6">
        <f>IF(AND(D179="UP",testdataClose5[[#This Row],[close]]&gt;E179),testdataClose5[[#This Row],[close]],IF(AND(D179="DN",testdataClose5[[#This Row],[close]]&lt;E179),testdataClose5[[#This Row],[close]],E179))</f>
        <v>3945.96</v>
      </c>
      <c r="F180" s="11">
        <f>(testdataClose5[[#This Row],[close]]-testdataClose5[[#This Row],[hl]])/testdataClose5[[#This Row],[hl]]</f>
        <v>1.2321462964652427E-2</v>
      </c>
      <c r="G180" s="15">
        <f t="shared" ca="1" si="2"/>
        <v>3982.5923533909186</v>
      </c>
      <c r="H180" s="6"/>
      <c r="K180" s="4">
        <v>178</v>
      </c>
      <c r="L180" s="27">
        <v>44496.71875</v>
      </c>
      <c r="M180" s="29">
        <v>3994.58</v>
      </c>
      <c r="O180" s="28">
        <v>-6.1426000000000001E-2</v>
      </c>
    </row>
    <row r="181" spans="1:15" x14ac:dyDescent="0.35">
      <c r="A181" s="7">
        <v>179</v>
      </c>
      <c r="B181" s="3">
        <v>44496.722222222219</v>
      </c>
      <c r="C181" s="14">
        <v>3988.71</v>
      </c>
      <c r="D181" s="6" t="s">
        <v>12</v>
      </c>
      <c r="E181" s="6">
        <f>IF(AND(D180="UP",testdataClose5[[#This Row],[close]]&gt;E180),testdataClose5[[#This Row],[close]],IF(AND(D180="DN",testdataClose5[[#This Row],[close]]&lt;E180),testdataClose5[[#This Row],[close]],E180))</f>
        <v>3945.96</v>
      </c>
      <c r="F181" s="11">
        <f>(testdataClose5[[#This Row],[close]]-testdataClose5[[#This Row],[hl]])/testdataClose5[[#This Row],[hl]]</f>
        <v>1.0833865523218683E-2</v>
      </c>
      <c r="G181" s="15">
        <f t="shared" ca="1" si="2"/>
        <v>3981.0561770292998</v>
      </c>
      <c r="H181" s="6"/>
      <c r="K181" s="4">
        <v>179</v>
      </c>
      <c r="L181" s="27">
        <v>44496.722222222219</v>
      </c>
      <c r="M181" s="29">
        <v>3988.71</v>
      </c>
      <c r="O181" s="28">
        <v>-6.2805E-2</v>
      </c>
    </row>
    <row r="182" spans="1:15" x14ac:dyDescent="0.35">
      <c r="A182" s="7">
        <v>180</v>
      </c>
      <c r="B182" s="3">
        <v>44496.725694444445</v>
      </c>
      <c r="C182" s="14">
        <v>3986.9</v>
      </c>
      <c r="D182" s="6" t="s">
        <v>12</v>
      </c>
      <c r="E182" s="6">
        <f>IF(AND(D181="UP",testdataClose5[[#This Row],[close]]&gt;E181),testdataClose5[[#This Row],[close]],IF(AND(D181="DN",testdataClose5[[#This Row],[close]]&lt;E181),testdataClose5[[#This Row],[close]],E181))</f>
        <v>3945.96</v>
      </c>
      <c r="F182" s="11">
        <f>(testdataClose5[[#This Row],[close]]-testdataClose5[[#This Row],[hl]])/testdataClose5[[#This Row],[hl]]</f>
        <v>1.0375168526797042E-2</v>
      </c>
      <c r="G182" s="15">
        <f t="shared" ca="1" si="2"/>
        <v>3979.5199997474961</v>
      </c>
      <c r="H182" s="6"/>
      <c r="K182" s="4">
        <v>180</v>
      </c>
      <c r="L182" s="27">
        <v>44496.725694444445</v>
      </c>
      <c r="M182" s="29">
        <v>3986.9</v>
      </c>
      <c r="O182" s="28">
        <v>-6.3230999999999996E-2</v>
      </c>
    </row>
    <row r="183" spans="1:15" x14ac:dyDescent="0.35">
      <c r="A183" s="7">
        <v>181</v>
      </c>
      <c r="B183" s="3">
        <v>44496.729166666664</v>
      </c>
      <c r="C183" s="14">
        <v>3996.92</v>
      </c>
      <c r="D183" s="6" t="s">
        <v>12</v>
      </c>
      <c r="E183" s="6">
        <f>IF(AND(D182="UP",testdataClose5[[#This Row],[close]]&gt;E182),testdataClose5[[#This Row],[close]],IF(AND(D182="DN",testdataClose5[[#This Row],[close]]&lt;E182),testdataClose5[[#This Row],[close]],E182))</f>
        <v>3945.96</v>
      </c>
      <c r="F183" s="11">
        <f>(testdataClose5[[#This Row],[close]]-testdataClose5[[#This Row],[hl]])/testdataClose5[[#This Row],[hl]]</f>
        <v>1.291447455118654E-2</v>
      </c>
      <c r="G183" s="15">
        <f t="shared" ca="1" si="2"/>
        <v>3977.9838215649561</v>
      </c>
      <c r="H183" s="6"/>
      <c r="K183" s="4">
        <v>181</v>
      </c>
      <c r="L183" s="27">
        <v>44496.729166666664</v>
      </c>
      <c r="M183" s="29">
        <v>3996.92</v>
      </c>
      <c r="O183" s="28">
        <v>-6.0876E-2</v>
      </c>
    </row>
    <row r="184" spans="1:15" x14ac:dyDescent="0.35">
      <c r="A184" s="7">
        <v>182</v>
      </c>
      <c r="B184" s="3">
        <v>44496.732638888891</v>
      </c>
      <c r="C184" s="14">
        <v>3996.97</v>
      </c>
      <c r="D184" s="6" t="s">
        <v>12</v>
      </c>
      <c r="E184" s="6">
        <f>IF(AND(D183="UP",testdataClose5[[#This Row],[close]]&gt;E183),testdataClose5[[#This Row],[close]],IF(AND(D183="DN",testdataClose5[[#This Row],[close]]&lt;E183),testdataClose5[[#This Row],[close]],E183))</f>
        <v>3945.96</v>
      </c>
      <c r="F184" s="11">
        <f>(testdataClose5[[#This Row],[close]]-testdataClose5[[#This Row],[hl]])/testdataClose5[[#This Row],[hl]]</f>
        <v>1.2927145738932925E-2</v>
      </c>
      <c r="G184" s="15">
        <f t="shared" ca="1" si="2"/>
        <v>3976.447642501304</v>
      </c>
      <c r="H184" s="6"/>
      <c r="K184" s="4">
        <v>182</v>
      </c>
      <c r="L184" s="27">
        <v>44496.732638888891</v>
      </c>
      <c r="M184" s="29">
        <v>3996.97</v>
      </c>
      <c r="O184" s="28">
        <v>-6.0865000000000002E-2</v>
      </c>
    </row>
    <row r="185" spans="1:15" x14ac:dyDescent="0.35">
      <c r="A185" s="7">
        <v>183</v>
      </c>
      <c r="B185" s="3">
        <v>44496.736111111109</v>
      </c>
      <c r="C185" s="14">
        <v>4003</v>
      </c>
      <c r="D185" s="6" t="s">
        <v>12</v>
      </c>
      <c r="E185" s="6">
        <f>IF(AND(D184="UP",testdataClose5[[#This Row],[close]]&gt;E184),testdataClose5[[#This Row],[close]],IF(AND(D184="DN",testdataClose5[[#This Row],[close]]&lt;E184),testdataClose5[[#This Row],[close]],E184))</f>
        <v>3945.96</v>
      </c>
      <c r="F185" s="11">
        <f>(testdataClose5[[#This Row],[close]]-testdataClose5[[#This Row],[hl]])/testdataClose5[[#This Row],[hl]]</f>
        <v>1.4455290981155401E-2</v>
      </c>
      <c r="G185" s="15">
        <f t="shared" ca="1" si="2"/>
        <v>3974.9114625763368</v>
      </c>
      <c r="H185" s="6"/>
      <c r="K185" s="4">
        <v>183</v>
      </c>
      <c r="L185" s="27">
        <v>44496.736111111109</v>
      </c>
      <c r="M185" s="29">
        <v>4003</v>
      </c>
      <c r="O185" s="28">
        <v>-5.9448000000000001E-2</v>
      </c>
    </row>
    <row r="186" spans="1:15" x14ac:dyDescent="0.35">
      <c r="A186" s="7">
        <v>184</v>
      </c>
      <c r="B186" s="3">
        <v>44496.739583333336</v>
      </c>
      <c r="C186" s="14">
        <v>4004</v>
      </c>
      <c r="D186" s="6" t="s">
        <v>12</v>
      </c>
      <c r="E186" s="6">
        <f>IF(AND(D185="UP",testdataClose5[[#This Row],[close]]&gt;E185),testdataClose5[[#This Row],[close]],IF(AND(D185="DN",testdataClose5[[#This Row],[close]]&lt;E185),testdataClose5[[#This Row],[close]],E185))</f>
        <v>3945.96</v>
      </c>
      <c r="F186" s="11">
        <f>(testdataClose5[[#This Row],[close]]-testdataClose5[[#This Row],[hl]])/testdataClose5[[#This Row],[hl]]</f>
        <v>1.4708714736084491E-2</v>
      </c>
      <c r="G186" s="15">
        <f t="shared" ca="1" si="2"/>
        <v>3973.3752818100206</v>
      </c>
      <c r="H186" s="6"/>
      <c r="K186" s="4">
        <v>184</v>
      </c>
      <c r="L186" s="27">
        <v>44496.739583333336</v>
      </c>
      <c r="M186" s="29">
        <v>4004</v>
      </c>
      <c r="O186" s="28">
        <v>-5.9213000000000002E-2</v>
      </c>
    </row>
    <row r="187" spans="1:15" x14ac:dyDescent="0.35">
      <c r="A187" s="7">
        <v>185</v>
      </c>
      <c r="B187" s="3">
        <v>44496.743055555555</v>
      </c>
      <c r="C187" s="14">
        <v>4002.3</v>
      </c>
      <c r="D187" s="6" t="s">
        <v>12</v>
      </c>
      <c r="E187" s="6">
        <f>IF(AND(D186="UP",testdataClose5[[#This Row],[close]]&gt;E186),testdataClose5[[#This Row],[close]],IF(AND(D186="DN",testdataClose5[[#This Row],[close]]&lt;E186),testdataClose5[[#This Row],[close]],E186))</f>
        <v>3945.96</v>
      </c>
      <c r="F187" s="11">
        <f>(testdataClose5[[#This Row],[close]]-testdataClose5[[#This Row],[hl]])/testdataClose5[[#This Row],[hl]]</f>
        <v>1.4277894352705081E-2</v>
      </c>
      <c r="G187" s="15">
        <f t="shared" ca="1" si="2"/>
        <v>3971.8391002224853</v>
      </c>
      <c r="H187" s="6"/>
      <c r="K187" s="4">
        <v>185</v>
      </c>
      <c r="L187" s="27">
        <v>44496.743055555555</v>
      </c>
      <c r="M187" s="29">
        <v>4002.3</v>
      </c>
      <c r="O187" s="28">
        <v>-5.9611999999999998E-2</v>
      </c>
    </row>
    <row r="188" spans="1:15" x14ac:dyDescent="0.35">
      <c r="A188" s="7">
        <v>186</v>
      </c>
      <c r="B188" s="3">
        <v>44496.746527777781</v>
      </c>
      <c r="C188" s="14">
        <v>3993.57</v>
      </c>
      <c r="D188" s="6" t="s">
        <v>12</v>
      </c>
      <c r="E188" s="6">
        <f>IF(AND(D187="UP",testdataClose5[[#This Row],[close]]&gt;E187),testdataClose5[[#This Row],[close]],IF(AND(D187="DN",testdataClose5[[#This Row],[close]]&lt;E187),testdataClose5[[#This Row],[close]],E187))</f>
        <v>3945.96</v>
      </c>
      <c r="F188" s="11">
        <f>(testdataClose5[[#This Row],[close]]-testdataClose5[[#This Row],[hl]])/testdataClose5[[#This Row],[hl]]</f>
        <v>1.2065504972174105E-2</v>
      </c>
      <c r="G188" s="15">
        <f t="shared" ca="1" si="2"/>
        <v>3970.3029178340212</v>
      </c>
      <c r="H188" s="6"/>
      <c r="K188" s="4">
        <v>186</v>
      </c>
      <c r="L188" s="27">
        <v>44496.746527777781</v>
      </c>
      <c r="M188" s="29">
        <v>3993.57</v>
      </c>
      <c r="O188" s="28">
        <v>-6.1663000000000003E-2</v>
      </c>
    </row>
    <row r="189" spans="1:15" x14ac:dyDescent="0.35">
      <c r="A189" s="7">
        <v>187</v>
      </c>
      <c r="B189" s="3">
        <v>44496.75</v>
      </c>
      <c r="C189" s="14">
        <v>3988.38</v>
      </c>
      <c r="D189" s="6" t="s">
        <v>12</v>
      </c>
      <c r="E189" s="6">
        <f>IF(AND(D188="UP",testdataClose5[[#This Row],[close]]&gt;E188),testdataClose5[[#This Row],[close]],IF(AND(D188="DN",testdataClose5[[#This Row],[close]]&lt;E188),testdataClose5[[#This Row],[close]],E188))</f>
        <v>3945.96</v>
      </c>
      <c r="F189" s="11">
        <f>(testdataClose5[[#This Row],[close]]-testdataClose5[[#This Row],[hl]])/testdataClose5[[#This Row],[hl]]</f>
        <v>1.0750235684092103E-2</v>
      </c>
      <c r="G189" s="15">
        <f t="shared" ca="1" si="2"/>
        <v>3968.7667346650751</v>
      </c>
      <c r="H189" s="6"/>
      <c r="K189" s="4">
        <v>187</v>
      </c>
      <c r="L189" s="27">
        <v>44496.75</v>
      </c>
      <c r="M189" s="29">
        <v>3988.38</v>
      </c>
      <c r="O189" s="28">
        <v>-6.2882999999999994E-2</v>
      </c>
    </row>
    <row r="190" spans="1:15" x14ac:dyDescent="0.35">
      <c r="A190" s="7">
        <v>188</v>
      </c>
      <c r="B190" s="3">
        <v>44496.753472222219</v>
      </c>
      <c r="C190" s="14">
        <v>3988.15</v>
      </c>
      <c r="D190" s="6" t="s">
        <v>12</v>
      </c>
      <c r="E190" s="6">
        <f>IF(AND(D189="UP",testdataClose5[[#This Row],[close]]&gt;E189),testdataClose5[[#This Row],[close]],IF(AND(D189="DN",testdataClose5[[#This Row],[close]]&lt;E189),testdataClose5[[#This Row],[close]],E189))</f>
        <v>3945.96</v>
      </c>
      <c r="F190" s="11">
        <f>(testdataClose5[[#This Row],[close]]-testdataClose5[[#This Row],[hl]])/testdataClose5[[#This Row],[hl]]</f>
        <v>1.0691948220458406E-2</v>
      </c>
      <c r="G190" s="15">
        <f t="shared" ca="1" si="2"/>
        <v>3967.2305507362462</v>
      </c>
      <c r="H190" s="6"/>
      <c r="K190" s="4">
        <v>188</v>
      </c>
      <c r="L190" s="27">
        <v>44496.753472222219</v>
      </c>
      <c r="M190" s="29">
        <v>3988.15</v>
      </c>
      <c r="O190" s="28">
        <v>-6.2937000000000007E-2</v>
      </c>
    </row>
    <row r="191" spans="1:15" x14ac:dyDescent="0.35">
      <c r="A191" s="7">
        <v>189</v>
      </c>
      <c r="B191" s="3">
        <v>44496.756944444445</v>
      </c>
      <c r="C191" s="14">
        <v>3974.78</v>
      </c>
      <c r="D191" s="6" t="s">
        <v>12</v>
      </c>
      <c r="E191" s="6">
        <f>IF(AND(D190="UP",testdataClose5[[#This Row],[close]]&gt;E190),testdataClose5[[#This Row],[close]],IF(AND(D190="DN",testdataClose5[[#This Row],[close]]&lt;E190),testdataClose5[[#This Row],[close]],E190))</f>
        <v>3945.96</v>
      </c>
      <c r="F191" s="11">
        <f>(testdataClose5[[#This Row],[close]]-testdataClose5[[#This Row],[hl]])/testdataClose5[[#This Row],[hl]]</f>
        <v>7.3036726170564734E-3</v>
      </c>
      <c r="G191" s="15">
        <f t="shared" ca="1" si="2"/>
        <v>3965.6943660682814</v>
      </c>
      <c r="H191" s="6"/>
      <c r="K191" s="4">
        <v>189</v>
      </c>
      <c r="L191" s="27">
        <v>44496.756944444445</v>
      </c>
      <c r="M191" s="29">
        <v>3974.78</v>
      </c>
      <c r="O191" s="28">
        <v>-6.6077999999999998E-2</v>
      </c>
    </row>
    <row r="192" spans="1:15" x14ac:dyDescent="0.35">
      <c r="A192" s="7">
        <v>190</v>
      </c>
      <c r="B192" s="3">
        <v>44496.760416666664</v>
      </c>
      <c r="C192" s="14">
        <v>3977.98</v>
      </c>
      <c r="D192" s="6" t="s">
        <v>12</v>
      </c>
      <c r="E192" s="6">
        <f>IF(AND(D191="UP",testdataClose5[[#This Row],[close]]&gt;E191),testdataClose5[[#This Row],[close]],IF(AND(D191="DN",testdataClose5[[#This Row],[close]]&lt;E191),testdataClose5[[#This Row],[close]],E191))</f>
        <v>3945.96</v>
      </c>
      <c r="F192" s="11">
        <f>(testdataClose5[[#This Row],[close]]-testdataClose5[[#This Row],[hl]])/testdataClose5[[#This Row],[hl]]</f>
        <v>8.1146286328295219E-3</v>
      </c>
      <c r="G192" s="15">
        <f t="shared" ca="1" si="2"/>
        <v>3964.1581806820714</v>
      </c>
      <c r="H192" s="6"/>
      <c r="K192" s="4">
        <v>190</v>
      </c>
      <c r="L192" s="27">
        <v>44496.760416666664</v>
      </c>
      <c r="M192" s="29">
        <v>3977.98</v>
      </c>
      <c r="O192" s="28">
        <v>-6.5325999999999995E-2</v>
      </c>
    </row>
    <row r="193" spans="1:15" x14ac:dyDescent="0.35">
      <c r="A193" s="7">
        <v>191</v>
      </c>
      <c r="B193" s="3">
        <v>44496.763888888891</v>
      </c>
      <c r="C193" s="14">
        <v>3971</v>
      </c>
      <c r="D193" s="6" t="s">
        <v>12</v>
      </c>
      <c r="E193" s="6">
        <f>IF(AND(D192="UP",testdataClose5[[#This Row],[close]]&gt;E192),testdataClose5[[#This Row],[close]],IF(AND(D192="DN",testdataClose5[[#This Row],[close]]&lt;E192),testdataClose5[[#This Row],[close]],E192))</f>
        <v>3945.96</v>
      </c>
      <c r="F193" s="11">
        <f>(testdataClose5[[#This Row],[close]]-testdataClose5[[#This Row],[hl]])/testdataClose5[[#This Row],[hl]]</f>
        <v>6.3457308234244553E-3</v>
      </c>
      <c r="G193" s="15">
        <f t="shared" ca="1" si="2"/>
        <v>3962.6219945986477</v>
      </c>
      <c r="H193" s="6"/>
      <c r="K193" s="4">
        <v>191</v>
      </c>
      <c r="L193" s="27">
        <v>44496.763888888891</v>
      </c>
      <c r="M193" s="29">
        <v>3971</v>
      </c>
      <c r="O193" s="28">
        <v>-6.6965999999999998E-2</v>
      </c>
    </row>
    <row r="194" spans="1:15" x14ac:dyDescent="0.35">
      <c r="A194" s="7">
        <v>192</v>
      </c>
      <c r="B194" s="3">
        <v>44496.767361111109</v>
      </c>
      <c r="C194" s="14">
        <v>3985.61</v>
      </c>
      <c r="D194" s="6" t="s">
        <v>12</v>
      </c>
      <c r="E194" s="6">
        <f>IF(AND(D193="UP",testdataClose5[[#This Row],[close]]&gt;E193),testdataClose5[[#This Row],[close]],IF(AND(D193="DN",testdataClose5[[#This Row],[close]]&lt;E193),testdataClose5[[#This Row],[close]],E193))</f>
        <v>3945.96</v>
      </c>
      <c r="F194" s="11">
        <f>(testdataClose5[[#This Row],[close]]-testdataClose5[[#This Row],[hl]])/testdataClose5[[#This Row],[hl]]</f>
        <v>1.0048251882938522E-2</v>
      </c>
      <c r="G194" s="15">
        <f t="shared" ca="1" si="2"/>
        <v>3961.0858078391752</v>
      </c>
      <c r="H194" s="6"/>
      <c r="K194" s="4">
        <v>192</v>
      </c>
      <c r="L194" s="27">
        <v>44496.767361111109</v>
      </c>
      <c r="M194" s="29">
        <v>3985.61</v>
      </c>
      <c r="O194" s="28">
        <v>-6.3533999999999993E-2</v>
      </c>
    </row>
    <row r="195" spans="1:15" x14ac:dyDescent="0.35">
      <c r="A195" s="7">
        <v>193</v>
      </c>
      <c r="B195" s="3">
        <v>44496.770833333336</v>
      </c>
      <c r="C195" s="14">
        <v>3985.31</v>
      </c>
      <c r="D195" s="6" t="s">
        <v>12</v>
      </c>
      <c r="E195" s="6">
        <f>IF(AND(D194="UP",testdataClose5[[#This Row],[close]]&gt;E194),testdataClose5[[#This Row],[close]],IF(AND(D194="DN",testdataClose5[[#This Row],[close]]&lt;E194),testdataClose5[[#This Row],[close]],E194))</f>
        <v>3945.96</v>
      </c>
      <c r="F195" s="11">
        <f>(testdataClose5[[#This Row],[close]]-testdataClose5[[#This Row],[hl]])/testdataClose5[[#This Row],[hl]]</f>
        <v>9.972224756459749E-3</v>
      </c>
      <c r="G195" s="15">
        <f t="shared" ca="1" si="2"/>
        <v>3959.5496204249516</v>
      </c>
      <c r="H195" s="6"/>
      <c r="K195" s="4">
        <v>193</v>
      </c>
      <c r="L195" s="27">
        <v>44496.770833333336</v>
      </c>
      <c r="M195" s="29">
        <v>3985.31</v>
      </c>
      <c r="O195" s="28">
        <v>-6.3603999999999994E-2</v>
      </c>
    </row>
    <row r="196" spans="1:15" x14ac:dyDescent="0.35">
      <c r="A196" s="7">
        <v>194</v>
      </c>
      <c r="B196" s="3">
        <v>44496.774305555555</v>
      </c>
      <c r="C196" s="14">
        <v>3975.92</v>
      </c>
      <c r="D196" s="6" t="s">
        <v>12</v>
      </c>
      <c r="E196" s="6">
        <f>IF(AND(D195="UP",testdataClose5[[#This Row],[close]]&gt;E195),testdataClose5[[#This Row],[close]],IF(AND(D195="DN",testdataClose5[[#This Row],[close]]&lt;E195),testdataClose5[[#This Row],[close]],E195))</f>
        <v>3945.96</v>
      </c>
      <c r="F196" s="11">
        <f>(testdataClose5[[#This Row],[close]]-testdataClose5[[#This Row],[hl]])/testdataClose5[[#This Row],[hl]]</f>
        <v>7.5925756976756064E-3</v>
      </c>
      <c r="G196" s="15">
        <f t="shared" ref="G196:G259" ca="1" si="3">AVERAGE(G195,G197)</f>
        <v>3958.0134323774009</v>
      </c>
      <c r="H196" s="6"/>
      <c r="K196" s="4">
        <v>194</v>
      </c>
      <c r="L196" s="27">
        <v>44496.774305555555</v>
      </c>
      <c r="M196" s="29">
        <v>3975.92</v>
      </c>
      <c r="O196" s="28">
        <v>-6.5809999999999994E-2</v>
      </c>
    </row>
    <row r="197" spans="1:15" x14ac:dyDescent="0.35">
      <c r="A197" s="7">
        <v>195</v>
      </c>
      <c r="B197" s="3">
        <v>44496.777777777781</v>
      </c>
      <c r="C197" s="14">
        <v>3970.01</v>
      </c>
      <c r="D197" s="6" t="s">
        <v>12</v>
      </c>
      <c r="E197" s="6">
        <f>IF(AND(D196="UP",testdataClose5[[#This Row],[close]]&gt;E196),testdataClose5[[#This Row],[close]],IF(AND(D196="DN",testdataClose5[[#This Row],[close]]&lt;E196),testdataClose5[[#This Row],[close]],E196))</f>
        <v>3945.96</v>
      </c>
      <c r="F197" s="11">
        <f>(testdataClose5[[#This Row],[close]]-testdataClose5[[#This Row],[hl]])/testdataClose5[[#This Row],[hl]]</f>
        <v>6.0948413060447097E-3</v>
      </c>
      <c r="G197" s="15">
        <f t="shared" ca="1" si="3"/>
        <v>3956.4772437180691</v>
      </c>
      <c r="H197" s="6"/>
      <c r="K197" s="4">
        <v>195</v>
      </c>
      <c r="L197" s="27">
        <v>44496.777777777781</v>
      </c>
      <c r="M197" s="29">
        <v>3970.01</v>
      </c>
      <c r="O197" s="28">
        <v>-6.7198999999999995E-2</v>
      </c>
    </row>
    <row r="198" spans="1:15" x14ac:dyDescent="0.35">
      <c r="A198" s="7">
        <v>196</v>
      </c>
      <c r="B198" s="3">
        <v>44496.78125</v>
      </c>
      <c r="C198" s="14">
        <v>3960.22</v>
      </c>
      <c r="D198" s="6" t="s">
        <v>12</v>
      </c>
      <c r="E198" s="6">
        <f>IF(AND(D197="UP",testdataClose5[[#This Row],[close]]&gt;E197),testdataClose5[[#This Row],[close]],IF(AND(D197="DN",testdataClose5[[#This Row],[close]]&lt;E197),testdataClose5[[#This Row],[close]],E197))</f>
        <v>3945.96</v>
      </c>
      <c r="F198" s="11">
        <f>(testdataClose5[[#This Row],[close]]-testdataClose5[[#This Row],[hl]])/testdataClose5[[#This Row],[hl]]</f>
        <v>3.6138227452887925E-3</v>
      </c>
      <c r="G198" s="15">
        <f t="shared" ca="1" si="3"/>
        <v>3954.9410544686211</v>
      </c>
      <c r="H198" s="6"/>
      <c r="K198" s="4">
        <v>196</v>
      </c>
      <c r="L198" s="27">
        <v>44496.78125</v>
      </c>
      <c r="M198" s="29">
        <v>3960.22</v>
      </c>
      <c r="O198" s="28">
        <v>-6.9499000000000005E-2</v>
      </c>
    </row>
    <row r="199" spans="1:15" x14ac:dyDescent="0.35">
      <c r="A199" s="7">
        <v>197</v>
      </c>
      <c r="B199" s="3">
        <v>44496.784722222219</v>
      </c>
      <c r="C199" s="14">
        <v>3961.28</v>
      </c>
      <c r="D199" s="6" t="s">
        <v>12</v>
      </c>
      <c r="E199" s="6">
        <f>IF(AND(D198="UP",testdataClose5[[#This Row],[close]]&gt;E198),testdataClose5[[#This Row],[close]],IF(AND(D198="DN",testdataClose5[[#This Row],[close]]&lt;E198),testdataClose5[[#This Row],[close]],E198))</f>
        <v>3945.96</v>
      </c>
      <c r="F199" s="11">
        <f>(testdataClose5[[#This Row],[close]]-testdataClose5[[#This Row],[hl]])/testdataClose5[[#This Row],[hl]]</f>
        <v>3.8824519255137315E-3</v>
      </c>
      <c r="G199" s="15">
        <f t="shared" ca="1" si="3"/>
        <v>3953.4048646508354</v>
      </c>
      <c r="H199" s="6"/>
      <c r="K199" s="4">
        <v>197</v>
      </c>
      <c r="L199" s="27">
        <v>44496.784722222219</v>
      </c>
      <c r="M199" s="29">
        <v>3961.28</v>
      </c>
      <c r="O199" s="28">
        <v>-6.9250000000000006E-2</v>
      </c>
    </row>
    <row r="200" spans="1:15" x14ac:dyDescent="0.35">
      <c r="A200" s="7">
        <v>198</v>
      </c>
      <c r="B200" s="3">
        <v>44496.788194444445</v>
      </c>
      <c r="C200" s="14">
        <v>3975.14</v>
      </c>
      <c r="D200" s="6" t="s">
        <v>12</v>
      </c>
      <c r="E200" s="6">
        <f>IF(AND(D199="UP",testdataClose5[[#This Row],[close]]&gt;E199),testdataClose5[[#This Row],[close]],IF(AND(D199="DN",testdataClose5[[#This Row],[close]]&lt;E199),testdataClose5[[#This Row],[close]],E199))</f>
        <v>3945.96</v>
      </c>
      <c r="F200" s="11">
        <f>(testdataClose5[[#This Row],[close]]-testdataClose5[[#This Row],[hl]])/testdataClose5[[#This Row],[hl]]</f>
        <v>7.3949051688308636E-3</v>
      </c>
      <c r="G200" s="15">
        <f t="shared" ca="1" si="3"/>
        <v>3951.8686742865998</v>
      </c>
      <c r="H200" s="6"/>
      <c r="K200" s="4">
        <v>198</v>
      </c>
      <c r="L200" s="27">
        <v>44496.788194444445</v>
      </c>
      <c r="M200" s="29">
        <v>3975.14</v>
      </c>
      <c r="O200" s="28">
        <v>-6.5993999999999997E-2</v>
      </c>
    </row>
    <row r="201" spans="1:15" x14ac:dyDescent="0.35">
      <c r="A201" s="7">
        <v>199</v>
      </c>
      <c r="B201" s="3">
        <v>44496.791666666664</v>
      </c>
      <c r="C201" s="14">
        <v>3976.49</v>
      </c>
      <c r="D201" s="6" t="s">
        <v>12</v>
      </c>
      <c r="E201" s="6">
        <f>IF(AND(D200="UP",testdataClose5[[#This Row],[close]]&gt;E200),testdataClose5[[#This Row],[close]],IF(AND(D200="DN",testdataClose5[[#This Row],[close]]&lt;E200),testdataClose5[[#This Row],[close]],E200))</f>
        <v>3945.96</v>
      </c>
      <c r="F201" s="11">
        <f>(testdataClose5[[#This Row],[close]]-testdataClose5[[#This Row],[hl]])/testdataClose5[[#This Row],[hl]]</f>
        <v>7.7370272379851147E-3</v>
      </c>
      <c r="G201" s="15">
        <f t="shared" ca="1" si="3"/>
        <v>3950.3324833979077</v>
      </c>
      <c r="H201" s="6"/>
      <c r="K201" s="4">
        <v>199</v>
      </c>
      <c r="L201" s="27">
        <v>44496.791666666664</v>
      </c>
      <c r="M201" s="29">
        <v>3976.49</v>
      </c>
      <c r="O201" s="28">
        <v>-6.5676999999999999E-2</v>
      </c>
    </row>
    <row r="202" spans="1:15" x14ac:dyDescent="0.35">
      <c r="A202" s="7">
        <v>200</v>
      </c>
      <c r="B202" s="3">
        <v>44496.795138888891</v>
      </c>
      <c r="C202" s="14">
        <v>3981.33</v>
      </c>
      <c r="D202" s="6" t="s">
        <v>12</v>
      </c>
      <c r="E202" s="6">
        <f>IF(AND(D201="UP",testdataClose5[[#This Row],[close]]&gt;E201),testdataClose5[[#This Row],[close]],IF(AND(D201="DN",testdataClose5[[#This Row],[close]]&lt;E201),testdataClose5[[#This Row],[close]],E201))</f>
        <v>3945.96</v>
      </c>
      <c r="F202" s="11">
        <f>(testdataClose5[[#This Row],[close]]-testdataClose5[[#This Row],[hl]])/testdataClose5[[#This Row],[hl]]</f>
        <v>8.9635982118419569E-3</v>
      </c>
      <c r="G202" s="15">
        <f t="shared" ca="1" si="3"/>
        <v>3948.7962920068521</v>
      </c>
      <c r="H202" s="6"/>
      <c r="K202" s="4">
        <v>200</v>
      </c>
      <c r="L202" s="27">
        <v>44496.795138888891</v>
      </c>
      <c r="M202" s="29">
        <v>3981.33</v>
      </c>
      <c r="O202" s="28">
        <v>-6.4538999999999999E-2</v>
      </c>
    </row>
    <row r="203" spans="1:15" x14ac:dyDescent="0.35">
      <c r="A203" s="7">
        <v>201</v>
      </c>
      <c r="B203" s="3">
        <v>44496.798611111109</v>
      </c>
      <c r="C203" s="14">
        <v>3970.78</v>
      </c>
      <c r="D203" s="6" t="s">
        <v>12</v>
      </c>
      <c r="E203" s="6">
        <f>IF(AND(D202="UP",testdataClose5[[#This Row],[close]]&gt;E202),testdataClose5[[#This Row],[close]],IF(AND(D202="DN",testdataClose5[[#This Row],[close]]&lt;E202),testdataClose5[[#This Row],[close]],E202))</f>
        <v>3945.96</v>
      </c>
      <c r="F203" s="11">
        <f>(testdataClose5[[#This Row],[close]]-testdataClose5[[#This Row],[hl]])/testdataClose5[[#This Row],[hl]]</f>
        <v>6.2899775973401057E-3</v>
      </c>
      <c r="G203" s="15">
        <f t="shared" ca="1" si="3"/>
        <v>3947.2601001356229</v>
      </c>
      <c r="H203" s="6"/>
      <c r="K203" s="4">
        <v>201</v>
      </c>
      <c r="L203" s="27">
        <v>44496.798611111109</v>
      </c>
      <c r="M203" s="29">
        <v>3970.78</v>
      </c>
      <c r="O203" s="28">
        <v>-6.7017999999999994E-2</v>
      </c>
    </row>
    <row r="204" spans="1:15" x14ac:dyDescent="0.35">
      <c r="A204" s="7">
        <v>202</v>
      </c>
      <c r="B204" s="3">
        <v>44496.802083333336</v>
      </c>
      <c r="C204" s="14">
        <v>3961.79</v>
      </c>
      <c r="D204" s="6" t="s">
        <v>12</v>
      </c>
      <c r="E204" s="6">
        <f>IF(AND(D203="UP",testdataClose5[[#This Row],[close]]&gt;E203),testdataClose5[[#This Row],[close]],IF(AND(D203="DN",testdataClose5[[#This Row],[close]]&lt;E203),testdataClose5[[#This Row],[close]],E203))</f>
        <v>3945.96</v>
      </c>
      <c r="F204" s="11">
        <f>(testdataClose5[[#This Row],[close]]-testdataClose5[[#This Row],[hl]])/testdataClose5[[#This Row],[hl]]</f>
        <v>4.0116980405275086E-3</v>
      </c>
      <c r="G204" s="15">
        <f t="shared" ca="1" si="3"/>
        <v>3945.7239078065018</v>
      </c>
      <c r="H204" s="6"/>
      <c r="K204" s="4">
        <v>202</v>
      </c>
      <c r="L204" s="27">
        <v>44496.802083333336</v>
      </c>
      <c r="M204" s="29">
        <v>3961.79</v>
      </c>
      <c r="O204" s="28">
        <v>-6.9129999999999997E-2</v>
      </c>
    </row>
    <row r="205" spans="1:15" x14ac:dyDescent="0.35">
      <c r="A205" s="7">
        <v>203</v>
      </c>
      <c r="B205" s="3">
        <v>44496.805555555555</v>
      </c>
      <c r="C205" s="14">
        <v>3953</v>
      </c>
      <c r="D205" s="6" t="s">
        <v>12</v>
      </c>
      <c r="E205" s="6">
        <f>IF(AND(D204="UP",testdataClose5[[#This Row],[close]]&gt;E204),testdataClose5[[#This Row],[close]],IF(AND(D204="DN",testdataClose5[[#This Row],[close]]&lt;E204),testdataClose5[[#This Row],[close]],E204))</f>
        <v>3945.96</v>
      </c>
      <c r="F205" s="11">
        <f>(testdataClose5[[#This Row],[close]]-testdataClose5[[#This Row],[hl]])/testdataClose5[[#This Row],[hl]]</f>
        <v>1.7841032347007987E-3</v>
      </c>
      <c r="G205" s="15">
        <f t="shared" ca="1" si="3"/>
        <v>3944.1877150418577</v>
      </c>
      <c r="H205" s="6"/>
      <c r="K205" s="4">
        <v>203</v>
      </c>
      <c r="L205" s="27">
        <v>44496.805555555555</v>
      </c>
      <c r="M205" s="29">
        <v>3953</v>
      </c>
      <c r="O205" s="28">
        <v>-7.1195999999999995E-2</v>
      </c>
    </row>
    <row r="206" spans="1:15" x14ac:dyDescent="0.35">
      <c r="A206" s="7">
        <v>204</v>
      </c>
      <c r="B206" s="3">
        <v>44496.809027777781</v>
      </c>
      <c r="C206" s="14">
        <v>3952.51</v>
      </c>
      <c r="D206" s="6" t="s">
        <v>12</v>
      </c>
      <c r="E206" s="6">
        <f>IF(AND(D205="UP",testdataClose5[[#This Row],[close]]&gt;E205),testdataClose5[[#This Row],[close]],IF(AND(D205="DN",testdataClose5[[#This Row],[close]]&lt;E205),testdataClose5[[#This Row],[close]],E205))</f>
        <v>3945.96</v>
      </c>
      <c r="F206" s="11">
        <f>(testdataClose5[[#This Row],[close]]-testdataClose5[[#This Row],[hl]])/testdataClose5[[#This Row],[hl]]</f>
        <v>1.6599255947855988E-3</v>
      </c>
      <c r="G206" s="15">
        <f t="shared" ca="1" si="3"/>
        <v>3942.6515218641416</v>
      </c>
      <c r="H206" s="6"/>
      <c r="K206" s="4">
        <v>204</v>
      </c>
      <c r="L206" s="27">
        <v>44496.809027777781</v>
      </c>
      <c r="M206" s="29">
        <v>3952.51</v>
      </c>
      <c r="O206" s="28">
        <v>-7.1310999999999999E-2</v>
      </c>
    </row>
    <row r="207" spans="1:15" x14ac:dyDescent="0.35">
      <c r="A207" s="7">
        <v>205</v>
      </c>
      <c r="B207" s="3">
        <v>44496.8125</v>
      </c>
      <c r="C207" s="14">
        <v>3960.81</v>
      </c>
      <c r="D207" s="6" t="s">
        <v>12</v>
      </c>
      <c r="E207" s="6">
        <f>IF(AND(D206="UP",testdataClose5[[#This Row],[close]]&gt;E206),testdataClose5[[#This Row],[close]],IF(AND(D206="DN",testdataClose5[[#This Row],[close]]&lt;E206),testdataClose5[[#This Row],[close]],E206))</f>
        <v>3945.96</v>
      </c>
      <c r="F207" s="11">
        <f>(testdataClose5[[#This Row],[close]]-testdataClose5[[#This Row],[hl]])/testdataClose5[[#This Row],[hl]]</f>
        <v>3.7633427606969935E-3</v>
      </c>
      <c r="G207" s="15">
        <f t="shared" ca="1" si="3"/>
        <v>3941.1153282958835</v>
      </c>
      <c r="H207" s="6"/>
      <c r="K207" s="4">
        <v>205</v>
      </c>
      <c r="L207" s="27">
        <v>44496.8125</v>
      </c>
      <c r="M207" s="29">
        <v>3960.81</v>
      </c>
      <c r="O207" s="28">
        <v>-6.9361000000000006E-2</v>
      </c>
    </row>
    <row r="208" spans="1:15" x14ac:dyDescent="0.35">
      <c r="A208" s="7">
        <v>206</v>
      </c>
      <c r="B208" s="3">
        <v>44496.815972222219</v>
      </c>
      <c r="C208" s="14">
        <v>3944.3</v>
      </c>
      <c r="D208" s="6" t="s">
        <v>12</v>
      </c>
      <c r="E208" s="6">
        <f>IF(AND(D207="UP",testdataClose5[[#This Row],[close]]&gt;E207),testdataClose5[[#This Row],[close]],IF(AND(D207="DN",testdataClose5[[#This Row],[close]]&lt;E207),testdataClose5[[#This Row],[close]],E207))</f>
        <v>3944.3</v>
      </c>
      <c r="F208" s="11">
        <f>(testdataClose5[[#This Row],[close]]-testdataClose5[[#This Row],[hl]])/testdataClose5[[#This Row],[hl]]</f>
        <v>0</v>
      </c>
      <c r="G208" s="15">
        <f t="shared" ca="1" si="3"/>
        <v>3939.5791343596866</v>
      </c>
      <c r="H208" s="6"/>
      <c r="K208" s="4">
        <v>206</v>
      </c>
      <c r="L208" s="27">
        <v>44496.815972222219</v>
      </c>
      <c r="M208" s="29">
        <v>3944.3</v>
      </c>
      <c r="O208" s="28">
        <v>-7.324E-2</v>
      </c>
    </row>
    <row r="209" spans="1:16" x14ac:dyDescent="0.35">
      <c r="A209" s="7">
        <v>207</v>
      </c>
      <c r="B209" s="3">
        <v>44496.819444444445</v>
      </c>
      <c r="C209" s="14">
        <v>3944.93</v>
      </c>
      <c r="D209" s="6" t="s">
        <v>12</v>
      </c>
      <c r="E209" s="6">
        <f>IF(AND(D208="UP",testdataClose5[[#This Row],[close]]&gt;E208),testdataClose5[[#This Row],[close]],IF(AND(D208="DN",testdataClose5[[#This Row],[close]]&lt;E208),testdataClose5[[#This Row],[close]],E208))</f>
        <v>3944.3</v>
      </c>
      <c r="F209" s="11">
        <f>(testdataClose5[[#This Row],[close]]-testdataClose5[[#This Row],[hl]])/testdataClose5[[#This Row],[hl]]</f>
        <v>1.5972415891277398E-4</v>
      </c>
      <c r="G209" s="15">
        <f t="shared" ca="1" si="3"/>
        <v>3938.0429400782232</v>
      </c>
      <c r="H209" s="6"/>
      <c r="K209" s="4">
        <v>207</v>
      </c>
      <c r="L209" s="27">
        <v>44496.819444444445</v>
      </c>
      <c r="M209" s="29">
        <v>3944.93</v>
      </c>
      <c r="O209" s="28">
        <v>-7.3092000000000004E-2</v>
      </c>
    </row>
    <row r="210" spans="1:16" x14ac:dyDescent="0.35">
      <c r="A210" s="7">
        <v>208</v>
      </c>
      <c r="B210" s="3">
        <v>44496.822916666664</v>
      </c>
      <c r="C210" s="14">
        <v>3935.39</v>
      </c>
      <c r="D210" s="6" t="s">
        <v>12</v>
      </c>
      <c r="E210" s="6">
        <f>IF(AND(D209="UP",testdataClose5[[#This Row],[close]]&gt;E209),testdataClose5[[#This Row],[close]],IF(AND(D209="DN",testdataClose5[[#This Row],[close]]&lt;E209),testdataClose5[[#This Row],[close]],E209))</f>
        <v>3935.39</v>
      </c>
      <c r="F210" s="11">
        <f>(testdataClose5[[#This Row],[close]]-testdataClose5[[#This Row],[hl]])/testdataClose5[[#This Row],[hl]]</f>
        <v>0</v>
      </c>
      <c r="G210" s="15">
        <f t="shared" ca="1" si="3"/>
        <v>3936.5067454742311</v>
      </c>
      <c r="H210" s="6"/>
      <c r="K210" s="4">
        <v>208</v>
      </c>
      <c r="L210" s="27">
        <v>44496.822916666664</v>
      </c>
      <c r="M210" s="29">
        <v>3935.39</v>
      </c>
      <c r="O210" s="28">
        <v>-7.5332999999999997E-2</v>
      </c>
    </row>
    <row r="211" spans="1:16" x14ac:dyDescent="0.35">
      <c r="A211" s="7">
        <v>209</v>
      </c>
      <c r="B211" s="3">
        <v>44496.826388888891</v>
      </c>
      <c r="C211" s="14">
        <v>3948.13</v>
      </c>
      <c r="D211" s="6" t="s">
        <v>12</v>
      </c>
      <c r="E211" s="6">
        <f>IF(AND(D210="UP",testdataClose5[[#This Row],[close]]&gt;E210),testdataClose5[[#This Row],[close]],IF(AND(D210="DN",testdataClose5[[#This Row],[close]]&lt;E210),testdataClose5[[#This Row],[close]],E210))</f>
        <v>3935.39</v>
      </c>
      <c r="F211" s="11">
        <f>(testdataClose5[[#This Row],[close]]-testdataClose5[[#This Row],[hl]])/testdataClose5[[#This Row],[hl]]</f>
        <v>3.2372903320891291E-3</v>
      </c>
      <c r="G211" s="15">
        <f t="shared" ca="1" si="3"/>
        <v>3934.9705505705069</v>
      </c>
      <c r="H211" s="6"/>
      <c r="K211" s="4">
        <v>209</v>
      </c>
      <c r="L211" s="27">
        <v>44496.826388888891</v>
      </c>
      <c r="M211" s="29">
        <v>3948.13</v>
      </c>
      <c r="O211" s="28">
        <v>-7.2340000000000002E-2</v>
      </c>
    </row>
    <row r="212" spans="1:16" x14ac:dyDescent="0.35">
      <c r="A212" s="7">
        <v>210</v>
      </c>
      <c r="B212" s="3">
        <v>44496.829861111109</v>
      </c>
      <c r="C212" s="14">
        <v>3920.88</v>
      </c>
      <c r="D212" s="6" t="s">
        <v>12</v>
      </c>
      <c r="E212" s="6">
        <f>IF(AND(D211="UP",testdataClose5[[#This Row],[close]]&gt;E211),testdataClose5[[#This Row],[close]],IF(AND(D211="DN",testdataClose5[[#This Row],[close]]&lt;E211),testdataClose5[[#This Row],[close]],E211))</f>
        <v>3920.88</v>
      </c>
      <c r="F212" s="11">
        <f>(testdataClose5[[#This Row],[close]]-testdataClose5[[#This Row],[hl]])/testdataClose5[[#This Row],[hl]]</f>
        <v>0</v>
      </c>
      <c r="G212" s="15">
        <f t="shared" ca="1" si="3"/>
        <v>3933.4343553899034</v>
      </c>
      <c r="H212" s="6"/>
      <c r="K212" s="4">
        <v>210</v>
      </c>
      <c r="L212" s="27">
        <v>44496.829861111109</v>
      </c>
      <c r="M212" s="29">
        <v>3920.88</v>
      </c>
      <c r="O212" s="28">
        <v>-7.8742999999999994E-2</v>
      </c>
    </row>
    <row r="213" spans="1:16" x14ac:dyDescent="0.35">
      <c r="A213" s="7">
        <v>211</v>
      </c>
      <c r="B213" s="3">
        <v>44496.833333333336</v>
      </c>
      <c r="C213" s="14">
        <v>3939.59</v>
      </c>
      <c r="D213" s="6" t="s">
        <v>12</v>
      </c>
      <c r="E213" s="6">
        <f>IF(AND(D212="UP",testdataClose5[[#This Row],[close]]&gt;E212),testdataClose5[[#This Row],[close]],IF(AND(D212="DN",testdataClose5[[#This Row],[close]]&lt;E212),testdataClose5[[#This Row],[close]],E212))</f>
        <v>3920.88</v>
      </c>
      <c r="F213" s="11">
        <f>(testdataClose5[[#This Row],[close]]-testdataClose5[[#This Row],[hl]])/testdataClose5[[#This Row],[hl]]</f>
        <v>4.7718879435228916E-3</v>
      </c>
      <c r="G213" s="15">
        <f t="shared" ca="1" si="3"/>
        <v>3931.8981599553235</v>
      </c>
      <c r="H213" s="6"/>
      <c r="K213" s="4">
        <v>211</v>
      </c>
      <c r="L213" s="27">
        <v>44496.833333333336</v>
      </c>
      <c r="M213" s="29">
        <v>3939.59</v>
      </c>
      <c r="O213" s="28">
        <v>-7.4346999999999996E-2</v>
      </c>
    </row>
    <row r="214" spans="1:16" x14ac:dyDescent="0.35">
      <c r="A214" s="7">
        <v>212</v>
      </c>
      <c r="B214" s="3">
        <v>44496.836805555555</v>
      </c>
      <c r="C214" s="14">
        <v>3933.26</v>
      </c>
      <c r="D214" s="6" t="s">
        <v>12</v>
      </c>
      <c r="E214" s="6">
        <f>IF(AND(D213="UP",testdataClose5[[#This Row],[close]]&gt;E213),testdataClose5[[#This Row],[close]],IF(AND(D213="DN",testdataClose5[[#This Row],[close]]&lt;E213),testdataClose5[[#This Row],[close]],E213))</f>
        <v>3920.88</v>
      </c>
      <c r="F214" s="11">
        <f>(testdataClose5[[#This Row],[close]]-testdataClose5[[#This Row],[hl]])/testdataClose5[[#This Row],[hl]]</f>
        <v>3.1574544490012724E-3</v>
      </c>
      <c r="G214" s="15">
        <f t="shared" ca="1" si="3"/>
        <v>3930.3619642897174</v>
      </c>
      <c r="H214" s="6"/>
      <c r="K214" s="4">
        <v>212</v>
      </c>
      <c r="L214" s="27">
        <v>44496.836805555555</v>
      </c>
      <c r="M214" s="29">
        <v>3933.26</v>
      </c>
      <c r="O214" s="28">
        <v>-7.5833999999999999E-2</v>
      </c>
    </row>
    <row r="215" spans="1:16" x14ac:dyDescent="0.35">
      <c r="A215" s="7">
        <v>213</v>
      </c>
      <c r="B215" s="3">
        <v>44496.840277777781</v>
      </c>
      <c r="C215" s="14">
        <v>3952.91</v>
      </c>
      <c r="D215" s="6" t="s">
        <v>12</v>
      </c>
      <c r="E215" s="6">
        <f>IF(AND(D214="UP",testdataClose5[[#This Row],[close]]&gt;E214),testdataClose5[[#This Row],[close]],IF(AND(D214="DN",testdataClose5[[#This Row],[close]]&lt;E214),testdataClose5[[#This Row],[close]],E214))</f>
        <v>3920.88</v>
      </c>
      <c r="F215" s="11">
        <f>(testdataClose5[[#This Row],[close]]-testdataClose5[[#This Row],[hl]])/testdataClose5[[#This Row],[hl]]</f>
        <v>8.1690844912365966E-3</v>
      </c>
      <c r="G215" s="15">
        <f t="shared" ca="1" si="3"/>
        <v>3928.8257684160762</v>
      </c>
      <c r="H215" s="6"/>
      <c r="K215" s="4">
        <v>213</v>
      </c>
      <c r="L215" s="27">
        <v>44496.840277777781</v>
      </c>
      <c r="M215" s="29">
        <v>3952.91</v>
      </c>
      <c r="O215" s="28">
        <v>-7.1217000000000003E-2</v>
      </c>
    </row>
    <row r="216" spans="1:16" x14ac:dyDescent="0.35">
      <c r="A216" s="7">
        <v>214</v>
      </c>
      <c r="B216" s="3">
        <v>44496.84375</v>
      </c>
      <c r="C216" s="14">
        <v>3959.51</v>
      </c>
      <c r="D216" s="6" t="s">
        <v>12</v>
      </c>
      <c r="E216" s="6">
        <f>IF(AND(D215="UP",testdataClose5[[#This Row],[close]]&gt;E215),testdataClose5[[#This Row],[close]],IF(AND(D215="DN",testdataClose5[[#This Row],[close]]&lt;E215),testdataClose5[[#This Row],[close]],E215))</f>
        <v>3920.88</v>
      </c>
      <c r="F216" s="11">
        <f>(testdataClose5[[#This Row],[close]]-testdataClose5[[#This Row],[hl]])/testdataClose5[[#This Row],[hl]]</f>
        <v>9.8523800779417147E-3</v>
      </c>
      <c r="G216" s="15">
        <f t="shared" ca="1" si="3"/>
        <v>3927.2895723574288</v>
      </c>
      <c r="H216" s="6"/>
      <c r="K216" s="4">
        <v>214</v>
      </c>
      <c r="L216" s="27">
        <v>44496.84375</v>
      </c>
      <c r="M216" s="29">
        <v>3959.51</v>
      </c>
      <c r="O216" s="28">
        <v>-6.9666000000000006E-2</v>
      </c>
    </row>
    <row r="217" spans="1:16" x14ac:dyDescent="0.35">
      <c r="A217" s="7">
        <v>215</v>
      </c>
      <c r="B217" s="3">
        <v>44496.847222222219</v>
      </c>
      <c r="C217" s="14">
        <v>3957.01</v>
      </c>
      <c r="D217" s="6" t="s">
        <v>12</v>
      </c>
      <c r="E217" s="6">
        <f>IF(AND(D216="UP",testdataClose5[[#This Row],[close]]&gt;E216),testdataClose5[[#This Row],[close]],IF(AND(D216="DN",testdataClose5[[#This Row],[close]]&lt;E216),testdataClose5[[#This Row],[close]],E216))</f>
        <v>3920.88</v>
      </c>
      <c r="F217" s="11">
        <f>(testdataClose5[[#This Row],[close]]-testdataClose5[[#This Row],[hl]])/testdataClose5[[#This Row],[hl]]</f>
        <v>9.2147681132807198E-3</v>
      </c>
      <c r="G217" s="15">
        <f t="shared" ca="1" si="3"/>
        <v>3925.7533761368359</v>
      </c>
      <c r="H217" s="6"/>
      <c r="K217" s="4">
        <v>215</v>
      </c>
      <c r="L217" s="27">
        <v>44496.847222222219</v>
      </c>
      <c r="M217" s="29">
        <v>3957.01</v>
      </c>
      <c r="O217" s="28">
        <v>-7.0253999999999997E-2</v>
      </c>
    </row>
    <row r="218" spans="1:16" x14ac:dyDescent="0.35">
      <c r="A218" s="7">
        <v>216</v>
      </c>
      <c r="B218" s="3">
        <v>44496.850694444445</v>
      </c>
      <c r="C218" s="14">
        <v>3945.96</v>
      </c>
      <c r="D218" s="6" t="s">
        <v>12</v>
      </c>
      <c r="E218" s="6">
        <f>IF(AND(D217="UP",testdataClose5[[#This Row],[close]]&gt;E217),testdataClose5[[#This Row],[close]],IF(AND(D217="DN",testdataClose5[[#This Row],[close]]&lt;E217),testdataClose5[[#This Row],[close]],E217))</f>
        <v>3920.88</v>
      </c>
      <c r="F218" s="11">
        <f>(testdataClose5[[#This Row],[close]]-testdataClose5[[#This Row],[hl]])/testdataClose5[[#This Row],[hl]]</f>
        <v>6.3965232294790775E-3</v>
      </c>
      <c r="G218" s="15">
        <f t="shared" ca="1" si="3"/>
        <v>3924.2171797773863</v>
      </c>
      <c r="H218" s="6"/>
      <c r="K218" s="4">
        <v>216</v>
      </c>
      <c r="L218" s="27">
        <v>44496.850694444445</v>
      </c>
      <c r="M218" s="29">
        <v>3945.96</v>
      </c>
      <c r="O218" s="28">
        <v>-7.2849999999999998E-2</v>
      </c>
    </row>
    <row r="219" spans="1:16" x14ac:dyDescent="0.35">
      <c r="A219" s="7">
        <v>217</v>
      </c>
      <c r="B219" s="3">
        <v>44496.854166666664</v>
      </c>
      <c r="C219" s="14">
        <v>3929.76</v>
      </c>
      <c r="D219" s="6" t="s">
        <v>12</v>
      </c>
      <c r="E219" s="6">
        <f>IF(AND(D218="UP",testdataClose5[[#This Row],[close]]&gt;E218),testdataClose5[[#This Row],[close]],IF(AND(D218="DN",testdataClose5[[#This Row],[close]]&lt;E218),testdataClose5[[#This Row],[close]],E218))</f>
        <v>3920.88</v>
      </c>
      <c r="F219" s="11">
        <f>(testdataClose5[[#This Row],[close]]-testdataClose5[[#This Row],[hl]])/testdataClose5[[#This Row],[hl]]</f>
        <v>2.2647976984758802E-3</v>
      </c>
      <c r="G219" s="15">
        <f t="shared" ca="1" si="3"/>
        <v>3922.6809833021916</v>
      </c>
      <c r="H219" s="6"/>
      <c r="K219" s="4">
        <v>217</v>
      </c>
      <c r="L219" s="27">
        <v>44496.854166666664</v>
      </c>
      <c r="M219" s="29">
        <v>3929.76</v>
      </c>
      <c r="O219" s="28">
        <v>-7.6656000000000002E-2</v>
      </c>
    </row>
    <row r="220" spans="1:16" x14ac:dyDescent="0.35">
      <c r="A220" s="7">
        <v>218</v>
      </c>
      <c r="B220" s="3">
        <v>44496.857638888891</v>
      </c>
      <c r="C220" s="14">
        <v>3947.36</v>
      </c>
      <c r="D220" s="6" t="s">
        <v>12</v>
      </c>
      <c r="E220" s="6">
        <f>IF(AND(D219="UP",testdataClose5[[#This Row],[close]]&gt;E219),testdataClose5[[#This Row],[close]],IF(AND(D219="DN",testdataClose5[[#This Row],[close]]&lt;E219),testdataClose5[[#This Row],[close]],E219))</f>
        <v>3920.88</v>
      </c>
      <c r="F220" s="11">
        <f>(testdataClose5[[#This Row],[close]]-testdataClose5[[#This Row],[hl]])/testdataClose5[[#This Row],[hl]]</f>
        <v>6.7535859296892582E-3</v>
      </c>
      <c r="G220" s="15">
        <f t="shared" ca="1" si="3"/>
        <v>3921.1447867343827</v>
      </c>
      <c r="H220" s="6"/>
      <c r="K220" s="4">
        <v>218</v>
      </c>
      <c r="L220" s="27">
        <v>44496.857638888891</v>
      </c>
      <c r="M220" s="29">
        <v>3947.36</v>
      </c>
      <c r="O220" s="28">
        <v>-7.2521000000000002E-2</v>
      </c>
    </row>
    <row r="221" spans="1:16" x14ac:dyDescent="0.35">
      <c r="A221" s="7">
        <v>219</v>
      </c>
      <c r="B221" s="3">
        <v>44496.861111111109</v>
      </c>
      <c r="C221" s="14">
        <v>3938</v>
      </c>
      <c r="D221" s="6" t="s">
        <v>12</v>
      </c>
      <c r="E221" s="6">
        <f>IF(AND(D220="UP",testdataClose5[[#This Row],[close]]&gt;E220),testdataClose5[[#This Row],[close]],IF(AND(D220="DN",testdataClose5[[#This Row],[close]]&lt;E220),testdataClose5[[#This Row],[close]],E220))</f>
        <v>3920.88</v>
      </c>
      <c r="F221" s="11">
        <f>(testdataClose5[[#This Row],[close]]-testdataClose5[[#This Row],[hl]])/testdataClose5[[#This Row],[hl]]</f>
        <v>4.3663667339984618E-3</v>
      </c>
      <c r="G221" s="15">
        <f t="shared" ca="1" si="3"/>
        <v>3919.6085900971038</v>
      </c>
      <c r="H221" s="6"/>
      <c r="K221" s="4">
        <v>219</v>
      </c>
      <c r="L221" s="27">
        <v>44496.861111111109</v>
      </c>
      <c r="M221" s="29">
        <v>3938</v>
      </c>
      <c r="O221" s="28">
        <v>-7.4719999999999995E-2</v>
      </c>
    </row>
    <row r="222" spans="1:16" x14ac:dyDescent="0.35">
      <c r="A222" s="7">
        <v>220</v>
      </c>
      <c r="B222" s="3">
        <v>44496.864583333336</v>
      </c>
      <c r="C222" s="14">
        <v>3931.44</v>
      </c>
      <c r="D222" s="6" t="s">
        <v>12</v>
      </c>
      <c r="E222" s="6">
        <f>IF(AND(D221="UP",testdataClose5[[#This Row],[close]]&gt;E221),testdataClose5[[#This Row],[close]],IF(AND(D221="DN",testdataClose5[[#This Row],[close]]&lt;E221),testdataClose5[[#This Row],[close]],E221))</f>
        <v>3920.88</v>
      </c>
      <c r="F222" s="11">
        <f>(testdataClose5[[#This Row],[close]]-testdataClose5[[#This Row],[hl]])/testdataClose5[[#This Row],[hl]]</f>
        <v>2.6932729387280268E-3</v>
      </c>
      <c r="G222" s="15">
        <f t="shared" ca="1" si="3"/>
        <v>3918.0723934135081</v>
      </c>
      <c r="H222" s="6"/>
      <c r="K222" s="4">
        <v>220</v>
      </c>
      <c r="L222" s="27">
        <v>44496.864583333336</v>
      </c>
      <c r="M222" s="29">
        <v>3931.44</v>
      </c>
      <c r="O222" s="28">
        <v>-7.6261999999999996E-2</v>
      </c>
    </row>
    <row r="223" spans="1:16" x14ac:dyDescent="0.35">
      <c r="A223" s="7">
        <v>221</v>
      </c>
      <c r="B223" s="3">
        <v>44496.868055555555</v>
      </c>
      <c r="C223" s="14">
        <v>3931.05</v>
      </c>
      <c r="D223" s="6" t="s">
        <v>12</v>
      </c>
      <c r="E223" s="6">
        <f>IF(AND(D222="UP",testdataClose5[[#This Row],[close]]&gt;E222),testdataClose5[[#This Row],[close]],IF(AND(D222="DN",testdataClose5[[#This Row],[close]]&lt;E222),testdataClose5[[#This Row],[close]],E222))</f>
        <v>3920.88</v>
      </c>
      <c r="F223" s="11">
        <f>(testdataClose5[[#This Row],[close]]-testdataClose5[[#This Row],[hl]])/testdataClose5[[#This Row],[hl]]</f>
        <v>2.5938054722409441E-3</v>
      </c>
      <c r="G223" s="15">
        <f t="shared" ca="1" si="3"/>
        <v>3916.5361967067538</v>
      </c>
      <c r="H223" s="6"/>
      <c r="K223" s="4">
        <v>221</v>
      </c>
      <c r="L223" s="27">
        <v>44496.868055555555</v>
      </c>
      <c r="M223" s="29">
        <v>3931.05</v>
      </c>
      <c r="O223" s="28">
        <v>-7.6353000000000004E-2</v>
      </c>
    </row>
    <row r="224" spans="1:16" x14ac:dyDescent="0.35">
      <c r="A224" s="7">
        <v>222</v>
      </c>
      <c r="B224" s="3">
        <v>44496.871527777781</v>
      </c>
      <c r="C224" s="14">
        <v>3915</v>
      </c>
      <c r="D224" s="6" t="s">
        <v>12</v>
      </c>
      <c r="E224" s="6">
        <f>IF(AND(D223="UP",testdataClose5[[#This Row],[close]]&gt;E223),testdataClose5[[#This Row],[close]],IF(AND(D223="DN",testdataClose5[[#This Row],[close]]&lt;E223),testdataClose5[[#This Row],[close]],E223))</f>
        <v>3915</v>
      </c>
      <c r="F224" s="11">
        <f>(testdataClose5[[#This Row],[close]]-testdataClose5[[#This Row],[hl]])/testdataClose5[[#This Row],[hl]]</f>
        <v>0</v>
      </c>
      <c r="G224" s="18">
        <f>testdataClose5[[#This Row],[close]]</f>
        <v>3915</v>
      </c>
      <c r="H224" s="6" t="s">
        <v>15</v>
      </c>
      <c r="K224" s="4">
        <v>222</v>
      </c>
      <c r="L224" s="27">
        <v>44496.871527777781</v>
      </c>
      <c r="M224" s="29">
        <v>3915</v>
      </c>
      <c r="N224" s="30">
        <v>3915</v>
      </c>
      <c r="O224" s="28">
        <v>-8.0124000000000001E-2</v>
      </c>
      <c r="P224" s="4" t="s">
        <v>15</v>
      </c>
    </row>
    <row r="225" spans="1:15" x14ac:dyDescent="0.35">
      <c r="A225" s="7">
        <v>223</v>
      </c>
      <c r="B225" s="3">
        <v>44496.875</v>
      </c>
      <c r="C225" s="14">
        <v>3930.02</v>
      </c>
      <c r="D225" s="6" t="s">
        <v>12</v>
      </c>
      <c r="E225" s="6">
        <f>IF(AND(D224="UP",testdataClose5[[#This Row],[close]]&gt;E224),testdataClose5[[#This Row],[close]],IF(AND(D224="DN",testdataClose5[[#This Row],[close]]&lt;E224),testdataClose5[[#This Row],[close]],E224))</f>
        <v>3915</v>
      </c>
      <c r="F225" s="11">
        <f>(testdataClose5[[#This Row],[close]]-testdataClose5[[#This Row],[hl]])/testdataClose5[[#This Row],[hl]]</f>
        <v>3.836526181353763E-3</v>
      </c>
      <c r="G225" s="15">
        <f t="shared" ca="1" si="3"/>
        <v>3916.2985714285824</v>
      </c>
      <c r="H225" s="6"/>
      <c r="K225" s="4">
        <v>223</v>
      </c>
      <c r="L225" s="27">
        <v>44496.875</v>
      </c>
      <c r="M225" s="29">
        <v>3930.02</v>
      </c>
      <c r="N225" s="30">
        <v>3916.5420270270201</v>
      </c>
      <c r="O225" s="28">
        <v>3.8370000000000001E-3</v>
      </c>
    </row>
    <row r="226" spans="1:15" x14ac:dyDescent="0.35">
      <c r="A226" s="7">
        <v>224</v>
      </c>
      <c r="B226" s="3">
        <v>44496.878472222219</v>
      </c>
      <c r="C226" s="14">
        <v>3942.5</v>
      </c>
      <c r="D226" s="6" t="s">
        <v>12</v>
      </c>
      <c r="E226" s="6">
        <f>IF(AND(D225="UP",testdataClose5[[#This Row],[close]]&gt;E225),testdataClose5[[#This Row],[close]],IF(AND(D225="DN",testdataClose5[[#This Row],[close]]&lt;E225),testdataClose5[[#This Row],[close]],E225))</f>
        <v>3915</v>
      </c>
      <c r="F226" s="11">
        <f>(testdataClose5[[#This Row],[close]]-testdataClose5[[#This Row],[hl]])/testdataClose5[[#This Row],[hl]]</f>
        <v>7.0242656449553001E-3</v>
      </c>
      <c r="G226" s="15">
        <f t="shared" ca="1" si="3"/>
        <v>3917.5971428571647</v>
      </c>
      <c r="H226" s="6"/>
      <c r="K226" s="4">
        <v>224</v>
      </c>
      <c r="L226" s="27">
        <v>44496.878472222219</v>
      </c>
      <c r="M226" s="29">
        <v>3942.5</v>
      </c>
      <c r="N226" s="30">
        <v>3918.0840540540498</v>
      </c>
      <c r="O226" s="28">
        <v>7.0239999999999999E-3</v>
      </c>
    </row>
    <row r="227" spans="1:15" x14ac:dyDescent="0.35">
      <c r="A227" s="7">
        <v>225</v>
      </c>
      <c r="B227" s="3">
        <v>44496.881944444445</v>
      </c>
      <c r="C227" s="14">
        <v>3949.59</v>
      </c>
      <c r="D227" s="6" t="s">
        <v>12</v>
      </c>
      <c r="E227" s="6">
        <f>IF(AND(D226="UP",testdataClose5[[#This Row],[close]]&gt;E226),testdataClose5[[#This Row],[close]],IF(AND(D226="DN",testdataClose5[[#This Row],[close]]&lt;E226),testdataClose5[[#This Row],[close]],E226))</f>
        <v>3915</v>
      </c>
      <c r="F227" s="11">
        <f>(testdataClose5[[#This Row],[close]]-testdataClose5[[#This Row],[hl]])/testdataClose5[[#This Row],[hl]]</f>
        <v>8.8352490421456306E-3</v>
      </c>
      <c r="G227" s="15">
        <f t="shared" ca="1" si="3"/>
        <v>3918.8957142857466</v>
      </c>
      <c r="H227" s="6"/>
      <c r="K227" s="4">
        <v>225</v>
      </c>
      <c r="L227" s="27">
        <v>44496.881944444445</v>
      </c>
      <c r="M227" s="29">
        <v>3949.59</v>
      </c>
      <c r="N227" s="30">
        <v>3919.62608108108</v>
      </c>
      <c r="O227" s="28">
        <v>8.8350000000000008E-3</v>
      </c>
    </row>
    <row r="228" spans="1:15" x14ac:dyDescent="0.35">
      <c r="A228" s="7">
        <v>226</v>
      </c>
      <c r="B228" s="3">
        <v>44496.885416666664</v>
      </c>
      <c r="C228" s="14">
        <v>3961.01</v>
      </c>
      <c r="D228" s="6" t="s">
        <v>12</v>
      </c>
      <c r="E228" s="6">
        <f>IF(AND(D227="UP",testdataClose5[[#This Row],[close]]&gt;E227),testdataClose5[[#This Row],[close]],IF(AND(D227="DN",testdataClose5[[#This Row],[close]]&lt;E227),testdataClose5[[#This Row],[close]],E227))</f>
        <v>3915</v>
      </c>
      <c r="F228" s="11">
        <f>(testdataClose5[[#This Row],[close]]-testdataClose5[[#This Row],[hl]])/testdataClose5[[#This Row],[hl]]</f>
        <v>1.1752234993614359E-2</v>
      </c>
      <c r="G228" s="15">
        <f t="shared" ca="1" si="3"/>
        <v>3920.1942857143285</v>
      </c>
      <c r="H228" s="6"/>
      <c r="K228" s="4">
        <v>226</v>
      </c>
      <c r="L228" s="27">
        <v>44496.885416666664</v>
      </c>
      <c r="M228" s="29">
        <v>3961.01</v>
      </c>
      <c r="N228" s="30">
        <v>3921.1681081081001</v>
      </c>
      <c r="O228" s="28">
        <v>1.1752E-2</v>
      </c>
    </row>
    <row r="229" spans="1:15" x14ac:dyDescent="0.35">
      <c r="A229" s="7">
        <v>227</v>
      </c>
      <c r="B229" s="3">
        <v>44496.888888888891</v>
      </c>
      <c r="C229" s="14">
        <v>3949.07</v>
      </c>
      <c r="D229" s="6" t="s">
        <v>12</v>
      </c>
      <c r="E229" s="6">
        <f>IF(AND(D228="UP",testdataClose5[[#This Row],[close]]&gt;E228),testdataClose5[[#This Row],[close]],IF(AND(D228="DN",testdataClose5[[#This Row],[close]]&lt;E228),testdataClose5[[#This Row],[close]],E228))</f>
        <v>3915</v>
      </c>
      <c r="F229" s="11">
        <f>(testdataClose5[[#This Row],[close]]-testdataClose5[[#This Row],[hl]])/testdataClose5[[#This Row],[hl]]</f>
        <v>8.702426564495571E-3</v>
      </c>
      <c r="G229" s="15">
        <f t="shared" ca="1" si="3"/>
        <v>3921.49285714291</v>
      </c>
      <c r="H229" s="6"/>
      <c r="K229" s="4">
        <v>227</v>
      </c>
      <c r="L229" s="27">
        <v>44496.888888888891</v>
      </c>
      <c r="M229" s="29">
        <v>3949.07</v>
      </c>
      <c r="N229" s="30">
        <v>3922.7101351351298</v>
      </c>
      <c r="O229" s="28">
        <v>8.7019999999999997E-3</v>
      </c>
    </row>
    <row r="230" spans="1:15" x14ac:dyDescent="0.35">
      <c r="A230" s="7">
        <v>228</v>
      </c>
      <c r="B230" s="3">
        <v>44496.892361111109</v>
      </c>
      <c r="C230" s="14">
        <v>3960.75</v>
      </c>
      <c r="D230" s="6" t="s">
        <v>12</v>
      </c>
      <c r="E230" s="6">
        <f>IF(AND(D229="UP",testdataClose5[[#This Row],[close]]&gt;E229),testdataClose5[[#This Row],[close]],IF(AND(D229="DN",testdataClose5[[#This Row],[close]]&lt;E229),testdataClose5[[#This Row],[close]],E229))</f>
        <v>3915</v>
      </c>
      <c r="F230" s="11">
        <f>(testdataClose5[[#This Row],[close]]-testdataClose5[[#This Row],[hl]])/testdataClose5[[#This Row],[hl]]</f>
        <v>1.1685823754789272E-2</v>
      </c>
      <c r="G230" s="15">
        <f t="shared" ca="1" si="3"/>
        <v>3922.7914285714915</v>
      </c>
      <c r="H230" s="6"/>
      <c r="K230" s="4">
        <v>228</v>
      </c>
      <c r="L230" s="27">
        <v>44496.892361111109</v>
      </c>
      <c r="M230" s="29">
        <v>3960.75</v>
      </c>
      <c r="N230" s="30">
        <v>3924.2521621621599</v>
      </c>
      <c r="O230" s="28">
        <v>1.1686E-2</v>
      </c>
    </row>
    <row r="231" spans="1:15" x14ac:dyDescent="0.35">
      <c r="A231" s="7">
        <v>229</v>
      </c>
      <c r="B231" s="3">
        <v>44496.895833333336</v>
      </c>
      <c r="C231" s="14">
        <v>3956.14</v>
      </c>
      <c r="D231" s="6" t="s">
        <v>12</v>
      </c>
      <c r="E231" s="6">
        <f>IF(AND(D230="UP",testdataClose5[[#This Row],[close]]&gt;E230),testdataClose5[[#This Row],[close]],IF(AND(D230="DN",testdataClose5[[#This Row],[close]]&lt;E230),testdataClose5[[#This Row],[close]],E230))</f>
        <v>3915</v>
      </c>
      <c r="F231" s="11">
        <f>(testdataClose5[[#This Row],[close]]-testdataClose5[[#This Row],[hl]])/testdataClose5[[#This Row],[hl]]</f>
        <v>1.0508301404853097E-2</v>
      </c>
      <c r="G231" s="15">
        <f t="shared" ca="1" si="3"/>
        <v>3924.0900000000725</v>
      </c>
      <c r="H231" s="6"/>
      <c r="K231" s="4">
        <v>229</v>
      </c>
      <c r="L231" s="27">
        <v>44496.895833333336</v>
      </c>
      <c r="M231" s="29">
        <v>3956.14</v>
      </c>
      <c r="N231" s="30">
        <v>3925.7941891891801</v>
      </c>
      <c r="O231" s="28">
        <v>1.0508E-2</v>
      </c>
    </row>
    <row r="232" spans="1:15" x14ac:dyDescent="0.35">
      <c r="A232" s="7">
        <v>230</v>
      </c>
      <c r="B232" s="3">
        <v>44496.899305555555</v>
      </c>
      <c r="C232" s="14">
        <v>3961.31</v>
      </c>
      <c r="D232" s="6" t="s">
        <v>12</v>
      </c>
      <c r="E232" s="6">
        <f>IF(AND(D231="UP",testdataClose5[[#This Row],[close]]&gt;E231),testdataClose5[[#This Row],[close]],IF(AND(D231="DN",testdataClose5[[#This Row],[close]]&lt;E231),testdataClose5[[#This Row],[close]],E231))</f>
        <v>3915</v>
      </c>
      <c r="F232" s="11">
        <f>(testdataClose5[[#This Row],[close]]-testdataClose5[[#This Row],[hl]])/testdataClose5[[#This Row],[hl]]</f>
        <v>1.1828863346104711E-2</v>
      </c>
      <c r="G232" s="15">
        <f t="shared" ca="1" si="3"/>
        <v>3925.3885714286534</v>
      </c>
      <c r="H232" s="6"/>
      <c r="K232" s="4">
        <v>230</v>
      </c>
      <c r="L232" s="27">
        <v>44496.899305555555</v>
      </c>
      <c r="M232" s="29">
        <v>3961.31</v>
      </c>
      <c r="N232" s="30">
        <v>3927.3362162162098</v>
      </c>
      <c r="O232" s="28">
        <v>1.1828999999999999E-2</v>
      </c>
    </row>
    <row r="233" spans="1:15" x14ac:dyDescent="0.35">
      <c r="A233" s="7">
        <v>231</v>
      </c>
      <c r="B233" s="3">
        <v>44496.902777777781</v>
      </c>
      <c r="C233" s="14">
        <v>3983</v>
      </c>
      <c r="D233" s="6" t="s">
        <v>12</v>
      </c>
      <c r="E233" s="6">
        <f>IF(AND(D232="UP",testdataClose5[[#This Row],[close]]&gt;E232),testdataClose5[[#This Row],[close]],IF(AND(D232="DN",testdataClose5[[#This Row],[close]]&lt;E232),testdataClose5[[#This Row],[close]],E232))</f>
        <v>3915</v>
      </c>
      <c r="F233" s="11">
        <f>(testdataClose5[[#This Row],[close]]-testdataClose5[[#This Row],[hl]])/testdataClose5[[#This Row],[hl]]</f>
        <v>1.7369093231162196E-2</v>
      </c>
      <c r="G233" s="15">
        <f t="shared" ca="1" si="3"/>
        <v>3926.687142857234</v>
      </c>
      <c r="H233" s="6"/>
      <c r="K233" s="4">
        <v>231</v>
      </c>
      <c r="L233" s="27">
        <v>44496.902777777781</v>
      </c>
      <c r="M233" s="29">
        <v>3983</v>
      </c>
      <c r="N233" s="30">
        <v>3928.8782432432399</v>
      </c>
      <c r="O233" s="28">
        <v>1.7368999999999999E-2</v>
      </c>
    </row>
    <row r="234" spans="1:15" x14ac:dyDescent="0.35">
      <c r="A234" s="7">
        <v>232</v>
      </c>
      <c r="B234" s="3">
        <v>44496.90625</v>
      </c>
      <c r="C234" s="14">
        <v>3973.5</v>
      </c>
      <c r="D234" s="6" t="s">
        <v>12</v>
      </c>
      <c r="E234" s="6">
        <f>IF(AND(D233="UP",testdataClose5[[#This Row],[close]]&gt;E233),testdataClose5[[#This Row],[close]],IF(AND(D233="DN",testdataClose5[[#This Row],[close]]&lt;E233),testdataClose5[[#This Row],[close]],E233))</f>
        <v>3915</v>
      </c>
      <c r="F234" s="11">
        <f>(testdataClose5[[#This Row],[close]]-testdataClose5[[#This Row],[hl]])/testdataClose5[[#This Row],[hl]]</f>
        <v>1.4942528735632184E-2</v>
      </c>
      <c r="G234" s="15">
        <f t="shared" ca="1" si="3"/>
        <v>3927.9857142858141</v>
      </c>
      <c r="H234" s="6"/>
      <c r="K234" s="4">
        <v>232</v>
      </c>
      <c r="L234" s="27">
        <v>44496.90625</v>
      </c>
      <c r="M234" s="29">
        <v>3973.5</v>
      </c>
      <c r="N234" s="30">
        <v>3930.4202702702701</v>
      </c>
      <c r="O234" s="28">
        <v>1.4943E-2</v>
      </c>
    </row>
    <row r="235" spans="1:15" x14ac:dyDescent="0.35">
      <c r="A235" s="7">
        <v>233</v>
      </c>
      <c r="B235" s="3">
        <v>44496.909722222219</v>
      </c>
      <c r="C235" s="14">
        <v>3984.68</v>
      </c>
      <c r="D235" s="6" t="s">
        <v>12</v>
      </c>
      <c r="E235" s="6">
        <f>IF(AND(D234="UP",testdataClose5[[#This Row],[close]]&gt;E234),testdataClose5[[#This Row],[close]],IF(AND(D234="DN",testdataClose5[[#This Row],[close]]&lt;E234),testdataClose5[[#This Row],[close]],E234))</f>
        <v>3915</v>
      </c>
      <c r="F235" s="11">
        <f>(testdataClose5[[#This Row],[close]]-testdataClose5[[#This Row],[hl]])/testdataClose5[[#This Row],[hl]]</f>
        <v>1.7798212005108515E-2</v>
      </c>
      <c r="G235" s="15">
        <f t="shared" ca="1" si="3"/>
        <v>3929.2842857143942</v>
      </c>
      <c r="H235" s="6"/>
      <c r="K235" s="4">
        <v>233</v>
      </c>
      <c r="L235" s="27">
        <v>44496.909722222219</v>
      </c>
      <c r="M235" s="29">
        <v>3984.68</v>
      </c>
      <c r="N235" s="30">
        <v>3931.9622972972902</v>
      </c>
      <c r="O235" s="28">
        <v>1.7798000000000001E-2</v>
      </c>
    </row>
    <row r="236" spans="1:15" x14ac:dyDescent="0.35">
      <c r="A236" s="7">
        <v>234</v>
      </c>
      <c r="B236" s="3">
        <v>44496.913194444445</v>
      </c>
      <c r="C236" s="14">
        <v>3994.15</v>
      </c>
      <c r="D236" s="6" t="s">
        <v>12</v>
      </c>
      <c r="E236" s="6">
        <f>IF(AND(D235="UP",testdataClose5[[#This Row],[close]]&gt;E235),testdataClose5[[#This Row],[close]],IF(AND(D235="DN",testdataClose5[[#This Row],[close]]&lt;E235),testdataClose5[[#This Row],[close]],E235))</f>
        <v>3915</v>
      </c>
      <c r="F236" s="11">
        <f>(testdataClose5[[#This Row],[close]]-testdataClose5[[#This Row],[hl]])/testdataClose5[[#This Row],[hl]]</f>
        <v>2.0217113665389551E-2</v>
      </c>
      <c r="G236" s="15">
        <f t="shared" ca="1" si="3"/>
        <v>3930.5828571429738</v>
      </c>
      <c r="H236" s="6"/>
      <c r="K236" s="4">
        <v>234</v>
      </c>
      <c r="L236" s="27">
        <v>44496.913194444445</v>
      </c>
      <c r="M236" s="29">
        <v>3994.15</v>
      </c>
      <c r="N236" s="30">
        <v>3933.5043243243199</v>
      </c>
      <c r="O236" s="28">
        <v>2.0216999999999999E-2</v>
      </c>
    </row>
    <row r="237" spans="1:15" x14ac:dyDescent="0.35">
      <c r="A237" s="7">
        <v>235</v>
      </c>
      <c r="B237" s="3">
        <v>44496.916666666664</v>
      </c>
      <c r="C237" s="14">
        <v>3981.81</v>
      </c>
      <c r="D237" s="6" t="s">
        <v>12</v>
      </c>
      <c r="E237" s="6">
        <f>IF(AND(D236="UP",testdataClose5[[#This Row],[close]]&gt;E236),testdataClose5[[#This Row],[close]],IF(AND(D236="DN",testdataClose5[[#This Row],[close]]&lt;E236),testdataClose5[[#This Row],[close]],E236))</f>
        <v>3915</v>
      </c>
      <c r="F237" s="11">
        <f>(testdataClose5[[#This Row],[close]]-testdataClose5[[#This Row],[hl]])/testdataClose5[[#This Row],[hl]]</f>
        <v>1.7065134099616845E-2</v>
      </c>
      <c r="G237" s="15">
        <f t="shared" ca="1" si="3"/>
        <v>3931.881428571553</v>
      </c>
      <c r="H237" s="6"/>
      <c r="K237" s="4">
        <v>235</v>
      </c>
      <c r="L237" s="27">
        <v>44496.916666666664</v>
      </c>
      <c r="M237" s="29">
        <v>3981.81</v>
      </c>
      <c r="N237" s="30">
        <v>3935.04635135135</v>
      </c>
      <c r="O237" s="28">
        <v>1.7065E-2</v>
      </c>
    </row>
    <row r="238" spans="1:15" x14ac:dyDescent="0.35">
      <c r="A238" s="7">
        <v>236</v>
      </c>
      <c r="B238" s="3">
        <v>44496.920138888891</v>
      </c>
      <c r="C238" s="14">
        <v>3992.54</v>
      </c>
      <c r="D238" s="6" t="s">
        <v>12</v>
      </c>
      <c r="E238" s="6">
        <f>IF(AND(D237="UP",testdataClose5[[#This Row],[close]]&gt;E237),testdataClose5[[#This Row],[close]],IF(AND(D237="DN",testdataClose5[[#This Row],[close]]&lt;E237),testdataClose5[[#This Row],[close]],E237))</f>
        <v>3915</v>
      </c>
      <c r="F238" s="11">
        <f>(testdataClose5[[#This Row],[close]]-testdataClose5[[#This Row],[hl]])/testdataClose5[[#This Row],[hl]]</f>
        <v>1.980587484035759E-2</v>
      </c>
      <c r="G238" s="15">
        <f t="shared" ca="1" si="3"/>
        <v>3933.1800000001322</v>
      </c>
      <c r="H238" s="6"/>
      <c r="K238" s="4">
        <v>236</v>
      </c>
      <c r="L238" s="27">
        <v>44496.920138888891</v>
      </c>
      <c r="M238" s="29">
        <v>3992.54</v>
      </c>
      <c r="N238" s="30">
        <v>3936.5883783783702</v>
      </c>
      <c r="O238" s="28">
        <v>1.9806000000000001E-2</v>
      </c>
    </row>
    <row r="239" spans="1:15" x14ac:dyDescent="0.35">
      <c r="A239" s="7">
        <v>237</v>
      </c>
      <c r="B239" s="3">
        <v>44496.923611111109</v>
      </c>
      <c r="C239" s="14">
        <v>3979.46</v>
      </c>
      <c r="D239" s="6" t="s">
        <v>12</v>
      </c>
      <c r="E239" s="6">
        <f>IF(AND(D238="UP",testdataClose5[[#This Row],[close]]&gt;E238),testdataClose5[[#This Row],[close]],IF(AND(D238="DN",testdataClose5[[#This Row],[close]]&lt;E238),testdataClose5[[#This Row],[close]],E238))</f>
        <v>3915</v>
      </c>
      <c r="F239" s="11">
        <f>(testdataClose5[[#This Row],[close]]-testdataClose5[[#This Row],[hl]])/testdataClose5[[#This Row],[hl]]</f>
        <v>1.6464878671775231E-2</v>
      </c>
      <c r="G239" s="15">
        <f t="shared" ca="1" si="3"/>
        <v>3934.4785714287109</v>
      </c>
      <c r="H239" s="6"/>
      <c r="K239" s="4">
        <v>237</v>
      </c>
      <c r="L239" s="27">
        <v>44496.923611111109</v>
      </c>
      <c r="M239" s="29">
        <v>3979.46</v>
      </c>
      <c r="N239" s="30">
        <v>3938.1304054053999</v>
      </c>
      <c r="O239" s="28">
        <v>1.6465E-2</v>
      </c>
    </row>
    <row r="240" spans="1:15" x14ac:dyDescent="0.35">
      <c r="A240" s="7">
        <v>238</v>
      </c>
      <c r="B240" s="3">
        <v>44496.927083333336</v>
      </c>
      <c r="C240" s="14">
        <v>3977.41</v>
      </c>
      <c r="D240" s="6" t="s">
        <v>12</v>
      </c>
      <c r="E240" s="6">
        <f>IF(AND(D239="UP",testdataClose5[[#This Row],[close]]&gt;E239),testdataClose5[[#This Row],[close]],IF(AND(D239="DN",testdataClose5[[#This Row],[close]]&lt;E239),testdataClose5[[#This Row],[close]],E239))</f>
        <v>3915</v>
      </c>
      <c r="F240" s="11">
        <f>(testdataClose5[[#This Row],[close]]-testdataClose5[[#This Row],[hl]])/testdataClose5[[#This Row],[hl]]</f>
        <v>1.5941251596423973E-2</v>
      </c>
      <c r="G240" s="15">
        <f t="shared" ca="1" si="3"/>
        <v>3935.7771428572892</v>
      </c>
      <c r="H240" s="6"/>
      <c r="K240" s="4">
        <v>238</v>
      </c>
      <c r="L240" s="27">
        <v>44496.927083333336</v>
      </c>
      <c r="M240" s="29">
        <v>3977.41</v>
      </c>
      <c r="N240" s="30">
        <v>3939.67243243243</v>
      </c>
      <c r="O240" s="28">
        <v>1.5941E-2</v>
      </c>
    </row>
    <row r="241" spans="1:15" x14ac:dyDescent="0.35">
      <c r="A241" s="7">
        <v>239</v>
      </c>
      <c r="B241" s="3">
        <v>44496.930555555555</v>
      </c>
      <c r="C241" s="14">
        <v>3974.27</v>
      </c>
      <c r="D241" s="6" t="s">
        <v>12</v>
      </c>
      <c r="E241" s="6">
        <f>IF(AND(D240="UP",testdataClose5[[#This Row],[close]]&gt;E240),testdataClose5[[#This Row],[close]],IF(AND(D240="DN",testdataClose5[[#This Row],[close]]&lt;E240),testdataClose5[[#This Row],[close]],E240))</f>
        <v>3915</v>
      </c>
      <c r="F241" s="11">
        <f>(testdataClose5[[#This Row],[close]]-testdataClose5[[#This Row],[hl]])/testdataClose5[[#This Row],[hl]]</f>
        <v>1.5139208173690927E-2</v>
      </c>
      <c r="G241" s="15">
        <f t="shared" ca="1" si="3"/>
        <v>3937.0757142858674</v>
      </c>
      <c r="H241" s="6"/>
      <c r="K241" s="4">
        <v>239</v>
      </c>
      <c r="L241" s="27">
        <v>44496.930555555555</v>
      </c>
      <c r="M241" s="29">
        <v>3974.27</v>
      </c>
      <c r="N241" s="30">
        <v>3941.2144594594502</v>
      </c>
      <c r="O241" s="28">
        <v>1.5139E-2</v>
      </c>
    </row>
    <row r="242" spans="1:15" x14ac:dyDescent="0.35">
      <c r="A242" s="7">
        <v>240</v>
      </c>
      <c r="B242" s="3">
        <v>44496.934027777781</v>
      </c>
      <c r="C242" s="14">
        <v>3974.95</v>
      </c>
      <c r="D242" s="6" t="s">
        <v>12</v>
      </c>
      <c r="E242" s="6">
        <f>IF(AND(D241="UP",testdataClose5[[#This Row],[close]]&gt;E241),testdataClose5[[#This Row],[close]],IF(AND(D241="DN",testdataClose5[[#This Row],[close]]&lt;E241),testdataClose5[[#This Row],[close]],E241))</f>
        <v>3915</v>
      </c>
      <c r="F242" s="11">
        <f>(testdataClose5[[#This Row],[close]]-testdataClose5[[#This Row],[hl]])/testdataClose5[[#This Row],[hl]]</f>
        <v>1.5312899106002508E-2</v>
      </c>
      <c r="G242" s="15">
        <f t="shared" ca="1" si="3"/>
        <v>3938.3742857144453</v>
      </c>
      <c r="H242" s="6"/>
      <c r="K242" s="4">
        <v>240</v>
      </c>
      <c r="L242" s="27">
        <v>44496.934027777781</v>
      </c>
      <c r="M242" s="29">
        <v>3974.95</v>
      </c>
      <c r="N242" s="30">
        <v>3942.7564864864798</v>
      </c>
      <c r="O242" s="28">
        <v>1.5313E-2</v>
      </c>
    </row>
    <row r="243" spans="1:15" x14ac:dyDescent="0.35">
      <c r="A243" s="7">
        <v>241</v>
      </c>
      <c r="B243" s="3">
        <v>44496.9375</v>
      </c>
      <c r="C243" s="14">
        <v>3980.46</v>
      </c>
      <c r="D243" s="6" t="s">
        <v>12</v>
      </c>
      <c r="E243" s="6">
        <f>IF(AND(D242="UP",testdataClose5[[#This Row],[close]]&gt;E242),testdataClose5[[#This Row],[close]],IF(AND(D242="DN",testdataClose5[[#This Row],[close]]&lt;E242),testdataClose5[[#This Row],[close]],E242))</f>
        <v>3915</v>
      </c>
      <c r="F243" s="11">
        <f>(testdataClose5[[#This Row],[close]]-testdataClose5[[#This Row],[hl]])/testdataClose5[[#This Row],[hl]]</f>
        <v>1.6720306513409972E-2</v>
      </c>
      <c r="G243" s="15">
        <f t="shared" ca="1" si="3"/>
        <v>3939.6728571430226</v>
      </c>
      <c r="H243" s="6"/>
      <c r="K243" s="4">
        <v>241</v>
      </c>
      <c r="L243" s="27">
        <v>44496.9375</v>
      </c>
      <c r="M243" s="29">
        <v>3980.46</v>
      </c>
      <c r="N243" s="30">
        <v>3944.29851351351</v>
      </c>
      <c r="O243" s="28">
        <v>1.6719999999999999E-2</v>
      </c>
    </row>
    <row r="244" spans="1:15" x14ac:dyDescent="0.35">
      <c r="A244" s="7">
        <v>242</v>
      </c>
      <c r="B244" s="3">
        <v>44496.940972222219</v>
      </c>
      <c r="C244" s="14">
        <v>3986.89</v>
      </c>
      <c r="D244" s="6" t="s">
        <v>12</v>
      </c>
      <c r="E244" s="6">
        <f>IF(AND(D243="UP",testdataClose5[[#This Row],[close]]&gt;E243),testdataClose5[[#This Row],[close]],IF(AND(D243="DN",testdataClose5[[#This Row],[close]]&lt;E243),testdataClose5[[#This Row],[close]],E243))</f>
        <v>3915</v>
      </c>
      <c r="F244" s="11">
        <f>(testdataClose5[[#This Row],[close]]-testdataClose5[[#This Row],[hl]])/testdataClose5[[#This Row],[hl]]</f>
        <v>1.8362707535121297E-2</v>
      </c>
      <c r="G244" s="15">
        <f t="shared" ca="1" si="3"/>
        <v>3940.9714285716</v>
      </c>
      <c r="H244" s="6"/>
      <c r="K244" s="4">
        <v>242</v>
      </c>
      <c r="L244" s="27">
        <v>44496.940972222219</v>
      </c>
      <c r="M244" s="29">
        <v>3986.89</v>
      </c>
      <c r="N244" s="30">
        <v>3945.8405405405401</v>
      </c>
      <c r="O244" s="28">
        <v>1.8363000000000001E-2</v>
      </c>
    </row>
    <row r="245" spans="1:15" x14ac:dyDescent="0.35">
      <c r="A245" s="7">
        <v>243</v>
      </c>
      <c r="B245" s="3">
        <v>44496.944444444445</v>
      </c>
      <c r="C245" s="14">
        <v>3986.47</v>
      </c>
      <c r="D245" s="6" t="s">
        <v>12</v>
      </c>
      <c r="E245" s="6">
        <f>IF(AND(D244="UP",testdataClose5[[#This Row],[close]]&gt;E244),testdataClose5[[#This Row],[close]],IF(AND(D244="DN",testdataClose5[[#This Row],[close]]&lt;E244),testdataClose5[[#This Row],[close]],E244))</f>
        <v>3915</v>
      </c>
      <c r="F245" s="11">
        <f>(testdataClose5[[#This Row],[close]]-testdataClose5[[#This Row],[hl]])/testdataClose5[[#This Row],[hl]]</f>
        <v>1.8255427841634687E-2</v>
      </c>
      <c r="G245" s="15">
        <f t="shared" ca="1" si="3"/>
        <v>3942.2700000001769</v>
      </c>
      <c r="H245" s="6"/>
      <c r="K245" s="4">
        <v>243</v>
      </c>
      <c r="L245" s="27">
        <v>44496.944444444445</v>
      </c>
      <c r="M245" s="29">
        <v>3986.47</v>
      </c>
      <c r="N245" s="30">
        <v>3947.3825675675598</v>
      </c>
      <c r="O245" s="28">
        <v>1.8255E-2</v>
      </c>
    </row>
    <row r="246" spans="1:15" x14ac:dyDescent="0.35">
      <c r="A246" s="7">
        <v>244</v>
      </c>
      <c r="B246" s="3">
        <v>44496.947916666664</v>
      </c>
      <c r="C246" s="14">
        <v>3990.81</v>
      </c>
      <c r="D246" s="6" t="s">
        <v>12</v>
      </c>
      <c r="E246" s="6">
        <f>IF(AND(D245="UP",testdataClose5[[#This Row],[close]]&gt;E245),testdataClose5[[#This Row],[close]],IF(AND(D245="DN",testdataClose5[[#This Row],[close]]&lt;E245),testdataClose5[[#This Row],[close]],E245))</f>
        <v>3915</v>
      </c>
      <c r="F246" s="11">
        <f>(testdataClose5[[#This Row],[close]]-testdataClose5[[#This Row],[hl]])/testdataClose5[[#This Row],[hl]]</f>
        <v>1.9363984674329489E-2</v>
      </c>
      <c r="G246" s="15">
        <f t="shared" ca="1" si="3"/>
        <v>3943.5685714287533</v>
      </c>
      <c r="H246" s="6"/>
      <c r="K246" s="4">
        <v>244</v>
      </c>
      <c r="L246" s="27">
        <v>44496.947916666664</v>
      </c>
      <c r="M246" s="29">
        <v>3990.81</v>
      </c>
      <c r="N246" s="30">
        <v>3948.92459459459</v>
      </c>
      <c r="O246" s="28">
        <v>1.9363999999999999E-2</v>
      </c>
    </row>
    <row r="247" spans="1:15" x14ac:dyDescent="0.35">
      <c r="A247" s="7">
        <v>245</v>
      </c>
      <c r="B247" s="3">
        <v>44496.951388888891</v>
      </c>
      <c r="C247" s="14">
        <v>3983.71</v>
      </c>
      <c r="D247" s="6" t="s">
        <v>12</v>
      </c>
      <c r="E247" s="6">
        <f>IF(AND(D246="UP",testdataClose5[[#This Row],[close]]&gt;E246),testdataClose5[[#This Row],[close]],IF(AND(D246="DN",testdataClose5[[#This Row],[close]]&lt;E246),testdataClose5[[#This Row],[close]],E246))</f>
        <v>3915</v>
      </c>
      <c r="F247" s="11">
        <f>(testdataClose5[[#This Row],[close]]-testdataClose5[[#This Row],[hl]])/testdataClose5[[#This Row],[hl]]</f>
        <v>1.7550446998722869E-2</v>
      </c>
      <c r="G247" s="15">
        <f t="shared" ca="1" si="3"/>
        <v>3944.8671428573298</v>
      </c>
      <c r="H247" s="6"/>
      <c r="K247" s="4">
        <v>245</v>
      </c>
      <c r="L247" s="27">
        <v>44496.951388888891</v>
      </c>
      <c r="M247" s="29">
        <v>3983.71</v>
      </c>
      <c r="N247" s="30">
        <v>3950.4666216216201</v>
      </c>
      <c r="O247" s="28">
        <v>1.755E-2</v>
      </c>
    </row>
    <row r="248" spans="1:15" x14ac:dyDescent="0.35">
      <c r="A248" s="7">
        <v>246</v>
      </c>
      <c r="B248" s="3">
        <v>44496.954861111109</v>
      </c>
      <c r="C248" s="14">
        <v>3995.95</v>
      </c>
      <c r="D248" s="6" t="s">
        <v>12</v>
      </c>
      <c r="E248" s="6">
        <f>IF(AND(D247="UP",testdataClose5[[#This Row],[close]]&gt;E247),testdataClose5[[#This Row],[close]],IF(AND(D247="DN",testdataClose5[[#This Row],[close]]&lt;E247),testdataClose5[[#This Row],[close]],E247))</f>
        <v>3915</v>
      </c>
      <c r="F248" s="11">
        <f>(testdataClose5[[#This Row],[close]]-testdataClose5[[#This Row],[hl]])/testdataClose5[[#This Row],[hl]]</f>
        <v>2.0676883780332011E-2</v>
      </c>
      <c r="G248" s="15">
        <f t="shared" ca="1" si="3"/>
        <v>3946.1657142859058</v>
      </c>
      <c r="H248" s="6"/>
      <c r="K248" s="4">
        <v>246</v>
      </c>
      <c r="L248" s="27">
        <v>44496.954861111109</v>
      </c>
      <c r="M248" s="29">
        <v>3995.95</v>
      </c>
      <c r="N248" s="30">
        <v>3952.0086486486398</v>
      </c>
      <c r="O248" s="28">
        <v>2.0677000000000001E-2</v>
      </c>
    </row>
    <row r="249" spans="1:15" x14ac:dyDescent="0.35">
      <c r="A249" s="7">
        <v>247</v>
      </c>
      <c r="B249" s="3">
        <v>44496.958333333336</v>
      </c>
      <c r="C249" s="14">
        <v>4017</v>
      </c>
      <c r="D249" s="6" t="s">
        <v>12</v>
      </c>
      <c r="E249" s="6">
        <f>IF(AND(D248="UP",testdataClose5[[#This Row],[close]]&gt;E248),testdataClose5[[#This Row],[close]],IF(AND(D248="DN",testdataClose5[[#This Row],[close]]&lt;E248),testdataClose5[[#This Row],[close]],E248))</f>
        <v>3915</v>
      </c>
      <c r="F249" s="11">
        <f>(testdataClose5[[#This Row],[close]]-testdataClose5[[#This Row],[hl]])/testdataClose5[[#This Row],[hl]]</f>
        <v>2.6053639846743294E-2</v>
      </c>
      <c r="G249" s="15">
        <f t="shared" ca="1" si="3"/>
        <v>3947.4642857144813</v>
      </c>
      <c r="H249" s="6"/>
      <c r="K249" s="4">
        <v>247</v>
      </c>
      <c r="L249" s="27">
        <v>44496.958333333336</v>
      </c>
      <c r="M249" s="29">
        <v>4017</v>
      </c>
      <c r="N249" s="30">
        <v>3953.5506756756699</v>
      </c>
      <c r="O249" s="28">
        <v>2.6054000000000001E-2</v>
      </c>
    </row>
    <row r="250" spans="1:15" x14ac:dyDescent="0.35">
      <c r="A250" s="7">
        <v>248</v>
      </c>
      <c r="B250" s="3">
        <v>44496.961805555555</v>
      </c>
      <c r="C250" s="14">
        <v>4003.28</v>
      </c>
      <c r="D250" s="6" t="s">
        <v>12</v>
      </c>
      <c r="E250" s="6">
        <f>IF(AND(D249="UP",testdataClose5[[#This Row],[close]]&gt;E249),testdataClose5[[#This Row],[close]],IF(AND(D249="DN",testdataClose5[[#This Row],[close]]&lt;E249),testdataClose5[[#This Row],[close]],E249))</f>
        <v>3915</v>
      </c>
      <c r="F250" s="11">
        <f>(testdataClose5[[#This Row],[close]]-testdataClose5[[#This Row],[hl]])/testdataClose5[[#This Row],[hl]]</f>
        <v>2.2549169859514738E-2</v>
      </c>
      <c r="G250" s="15">
        <f t="shared" ca="1" si="3"/>
        <v>3948.7628571430569</v>
      </c>
      <c r="H250" s="6"/>
      <c r="K250" s="4">
        <v>248</v>
      </c>
      <c r="L250" s="27">
        <v>44496.961805555555</v>
      </c>
      <c r="M250" s="29">
        <v>4003.28</v>
      </c>
      <c r="N250" s="30">
        <v>3955.0927027027001</v>
      </c>
      <c r="O250" s="28">
        <v>2.2549E-2</v>
      </c>
    </row>
    <row r="251" spans="1:15" x14ac:dyDescent="0.35">
      <c r="A251" s="7">
        <v>249</v>
      </c>
      <c r="B251" s="3">
        <v>44496.965277777781</v>
      </c>
      <c r="C251" s="14">
        <v>4005.71</v>
      </c>
      <c r="D251" s="6" t="s">
        <v>12</v>
      </c>
      <c r="E251" s="6">
        <f>IF(AND(D250="UP",testdataClose5[[#This Row],[close]]&gt;E250),testdataClose5[[#This Row],[close]],IF(AND(D250="DN",testdataClose5[[#This Row],[close]]&lt;E250),testdataClose5[[#This Row],[close]],E250))</f>
        <v>3915</v>
      </c>
      <c r="F251" s="11">
        <f>(testdataClose5[[#This Row],[close]]-testdataClose5[[#This Row],[hl]])/testdataClose5[[#This Row],[hl]]</f>
        <v>2.316985951468711E-2</v>
      </c>
      <c r="G251" s="15">
        <f t="shared" ca="1" si="3"/>
        <v>3950.061428571632</v>
      </c>
      <c r="H251" s="6"/>
      <c r="K251" s="4">
        <v>249</v>
      </c>
      <c r="L251" s="27">
        <v>44496.965277777781</v>
      </c>
      <c r="M251" s="29">
        <v>4005.71</v>
      </c>
      <c r="N251" s="30">
        <v>3956.6347297297202</v>
      </c>
      <c r="O251" s="28">
        <v>2.317E-2</v>
      </c>
    </row>
    <row r="252" spans="1:15" x14ac:dyDescent="0.35">
      <c r="A252" s="7">
        <v>250</v>
      </c>
      <c r="B252" s="3">
        <v>44496.96875</v>
      </c>
      <c r="C252" s="14">
        <v>3987.98</v>
      </c>
      <c r="D252" s="6" t="s">
        <v>12</v>
      </c>
      <c r="E252" s="6">
        <f>IF(AND(D251="UP",testdataClose5[[#This Row],[close]]&gt;E251),testdataClose5[[#This Row],[close]],IF(AND(D251="DN",testdataClose5[[#This Row],[close]]&lt;E251),testdataClose5[[#This Row],[close]],E251))</f>
        <v>3915</v>
      </c>
      <c r="F252" s="11">
        <f>(testdataClose5[[#This Row],[close]]-testdataClose5[[#This Row],[hl]])/testdataClose5[[#This Row],[hl]]</f>
        <v>1.8641123882503198E-2</v>
      </c>
      <c r="G252" s="15">
        <f t="shared" ca="1" si="3"/>
        <v>3951.3600000002066</v>
      </c>
      <c r="H252" s="6"/>
      <c r="K252" s="4">
        <v>250</v>
      </c>
      <c r="L252" s="27">
        <v>44496.96875</v>
      </c>
      <c r="M252" s="29">
        <v>3987.98</v>
      </c>
      <c r="N252" s="30">
        <v>3958.1767567567499</v>
      </c>
      <c r="O252" s="28">
        <v>1.8641000000000001E-2</v>
      </c>
    </row>
    <row r="253" spans="1:15" x14ac:dyDescent="0.35">
      <c r="A253" s="7">
        <v>251</v>
      </c>
      <c r="B253" s="3">
        <v>44496.972222222219</v>
      </c>
      <c r="C253" s="14">
        <v>3979.97</v>
      </c>
      <c r="D253" s="6" t="s">
        <v>12</v>
      </c>
      <c r="E253" s="6">
        <f>IF(AND(D252="UP",testdataClose5[[#This Row],[close]]&gt;E252),testdataClose5[[#This Row],[close]],IF(AND(D252="DN",testdataClose5[[#This Row],[close]]&lt;E252),testdataClose5[[#This Row],[close]],E252))</f>
        <v>3915</v>
      </c>
      <c r="F253" s="11">
        <f>(testdataClose5[[#This Row],[close]]-testdataClose5[[#This Row],[hl]])/testdataClose5[[#This Row],[hl]]</f>
        <v>1.6595146871008888E-2</v>
      </c>
      <c r="G253" s="15">
        <f t="shared" ca="1" si="3"/>
        <v>3952.6585714287812</v>
      </c>
      <c r="H253" s="6"/>
      <c r="K253" s="4">
        <v>251</v>
      </c>
      <c r="L253" s="27">
        <v>44496.972222222219</v>
      </c>
      <c r="M253" s="29">
        <v>3979.97</v>
      </c>
      <c r="N253" s="30">
        <v>3959.7187837837801</v>
      </c>
      <c r="O253" s="28">
        <v>1.6594999999999999E-2</v>
      </c>
    </row>
    <row r="254" spans="1:15" x14ac:dyDescent="0.35">
      <c r="A254" s="7">
        <v>252</v>
      </c>
      <c r="B254" s="3">
        <v>44496.975694444445</v>
      </c>
      <c r="C254" s="14">
        <v>3982.63</v>
      </c>
      <c r="D254" s="6" t="s">
        <v>12</v>
      </c>
      <c r="E254" s="6">
        <f>IF(AND(D253="UP",testdataClose5[[#This Row],[close]]&gt;E253),testdataClose5[[#This Row],[close]],IF(AND(D253="DN",testdataClose5[[#This Row],[close]]&lt;E253),testdataClose5[[#This Row],[close]],E253))</f>
        <v>3915</v>
      </c>
      <c r="F254" s="11">
        <f>(testdataClose5[[#This Row],[close]]-testdataClose5[[#This Row],[hl]])/testdataClose5[[#This Row],[hl]]</f>
        <v>1.7274584929757371E-2</v>
      </c>
      <c r="G254" s="15">
        <f t="shared" ca="1" si="3"/>
        <v>3953.9571428573554</v>
      </c>
      <c r="H254" s="6"/>
      <c r="K254" s="4">
        <v>252</v>
      </c>
      <c r="L254" s="27">
        <v>44496.975694444445</v>
      </c>
      <c r="M254" s="29">
        <v>3982.63</v>
      </c>
      <c r="N254" s="30">
        <v>3961.2608108108102</v>
      </c>
      <c r="O254" s="28">
        <v>1.7274999999999999E-2</v>
      </c>
    </row>
    <row r="255" spans="1:15" x14ac:dyDescent="0.35">
      <c r="A255" s="7">
        <v>253</v>
      </c>
      <c r="B255" s="3">
        <v>44496.979166666664</v>
      </c>
      <c r="C255" s="14">
        <v>3993.2</v>
      </c>
      <c r="D255" s="6" t="s">
        <v>12</v>
      </c>
      <c r="E255" s="6">
        <f>IF(AND(D254="UP",testdataClose5[[#This Row],[close]]&gt;E254),testdataClose5[[#This Row],[close]],IF(AND(D254="DN",testdataClose5[[#This Row],[close]]&lt;E254),testdataClose5[[#This Row],[close]],E254))</f>
        <v>3915</v>
      </c>
      <c r="F255" s="11">
        <f>(testdataClose5[[#This Row],[close]]-testdataClose5[[#This Row],[hl]])/testdataClose5[[#This Row],[hl]]</f>
        <v>1.9974457215836478E-2</v>
      </c>
      <c r="G255" s="15">
        <f t="shared" ca="1" si="3"/>
        <v>3955.2557142859291</v>
      </c>
      <c r="H255" s="6"/>
      <c r="K255" s="4">
        <v>253</v>
      </c>
      <c r="L255" s="27">
        <v>44496.979166666664</v>
      </c>
      <c r="M255" s="29">
        <v>3993.2</v>
      </c>
      <c r="N255" s="30">
        <v>3962.8028378378299</v>
      </c>
      <c r="O255" s="28">
        <v>1.9973999999999999E-2</v>
      </c>
    </row>
    <row r="256" spans="1:15" x14ac:dyDescent="0.35">
      <c r="A256" s="7">
        <v>254</v>
      </c>
      <c r="B256" s="3">
        <v>44496.982638888891</v>
      </c>
      <c r="C256" s="14">
        <v>3987.33</v>
      </c>
      <c r="D256" s="6" t="s">
        <v>12</v>
      </c>
      <c r="E256" s="6">
        <f>IF(AND(D255="UP",testdataClose5[[#This Row],[close]]&gt;E255),testdataClose5[[#This Row],[close]],IF(AND(D255="DN",testdataClose5[[#This Row],[close]]&lt;E255),testdataClose5[[#This Row],[close]],E255))</f>
        <v>3915</v>
      </c>
      <c r="F256" s="11">
        <f>(testdataClose5[[#This Row],[close]]-testdataClose5[[#This Row],[hl]])/testdataClose5[[#This Row],[hl]]</f>
        <v>1.8475095785440595E-2</v>
      </c>
      <c r="G256" s="15">
        <f t="shared" ca="1" si="3"/>
        <v>3956.5542857145028</v>
      </c>
      <c r="H256" s="6"/>
      <c r="K256" s="4">
        <v>254</v>
      </c>
      <c r="L256" s="27">
        <v>44496.982638888891</v>
      </c>
      <c r="M256" s="29">
        <v>3987.33</v>
      </c>
      <c r="N256" s="30">
        <v>3964.34486486486</v>
      </c>
      <c r="O256" s="28">
        <v>1.8474999999999998E-2</v>
      </c>
    </row>
    <row r="257" spans="1:15" x14ac:dyDescent="0.35">
      <c r="A257" s="7">
        <v>255</v>
      </c>
      <c r="B257" s="3">
        <v>44496.986111111109</v>
      </c>
      <c r="C257" s="14">
        <v>3986.74</v>
      </c>
      <c r="D257" s="6" t="s">
        <v>12</v>
      </c>
      <c r="E257" s="6">
        <f>IF(AND(D256="UP",testdataClose5[[#This Row],[close]]&gt;E256),testdataClose5[[#This Row],[close]],IF(AND(D256="DN",testdataClose5[[#This Row],[close]]&lt;E256),testdataClose5[[#This Row],[close]],E256))</f>
        <v>3915</v>
      </c>
      <c r="F257" s="11">
        <f>(testdataClose5[[#This Row],[close]]-testdataClose5[[#This Row],[hl]])/testdataClose5[[#This Row],[hl]]</f>
        <v>1.8324393358876062E-2</v>
      </c>
      <c r="G257" s="15">
        <f t="shared" ca="1" si="3"/>
        <v>3957.8528571430761</v>
      </c>
      <c r="H257" s="6"/>
      <c r="K257" s="4">
        <v>255</v>
      </c>
      <c r="L257" s="27">
        <v>44496.986111111109</v>
      </c>
      <c r="M257" s="29">
        <v>3986.74</v>
      </c>
      <c r="N257" s="30">
        <v>3965.8868918918902</v>
      </c>
      <c r="O257" s="28">
        <v>1.8324E-2</v>
      </c>
    </row>
    <row r="258" spans="1:15" x14ac:dyDescent="0.35">
      <c r="A258" s="7">
        <v>256</v>
      </c>
      <c r="B258" s="3">
        <v>44496.989583333336</v>
      </c>
      <c r="C258" s="14">
        <v>3995.6</v>
      </c>
      <c r="D258" s="6" t="s">
        <v>12</v>
      </c>
      <c r="E258" s="6">
        <f>IF(AND(D257="UP",testdataClose5[[#This Row],[close]]&gt;E257),testdataClose5[[#This Row],[close]],IF(AND(D257="DN",testdataClose5[[#This Row],[close]]&lt;E257),testdataClose5[[#This Row],[close]],E257))</f>
        <v>3915</v>
      </c>
      <c r="F258" s="11">
        <f>(testdataClose5[[#This Row],[close]]-testdataClose5[[#This Row],[hl]])/testdataClose5[[#This Row],[hl]]</f>
        <v>2.0587484035759874E-2</v>
      </c>
      <c r="G258" s="15">
        <f t="shared" ca="1" si="3"/>
        <v>3959.1514285716489</v>
      </c>
      <c r="H258" s="6"/>
      <c r="K258" s="4">
        <v>256</v>
      </c>
      <c r="L258" s="27">
        <v>44496.989583333336</v>
      </c>
      <c r="M258" s="29">
        <v>3995.6</v>
      </c>
      <c r="N258" s="30">
        <v>3967.4289189189099</v>
      </c>
      <c r="O258" s="28">
        <v>2.0587000000000001E-2</v>
      </c>
    </row>
    <row r="259" spans="1:15" x14ac:dyDescent="0.35">
      <c r="A259" s="7">
        <v>257</v>
      </c>
      <c r="B259" s="3">
        <v>44496.993055555555</v>
      </c>
      <c r="C259" s="14">
        <v>3995.69</v>
      </c>
      <c r="D259" s="6" t="s">
        <v>12</v>
      </c>
      <c r="E259" s="6">
        <f>IF(AND(D258="UP",testdataClose5[[#This Row],[close]]&gt;E258),testdataClose5[[#This Row],[close]],IF(AND(D258="DN",testdataClose5[[#This Row],[close]]&lt;E258),testdataClose5[[#This Row],[close]],E258))</f>
        <v>3915</v>
      </c>
      <c r="F259" s="11">
        <f>(testdataClose5[[#This Row],[close]]-testdataClose5[[#This Row],[hl]])/testdataClose5[[#This Row],[hl]]</f>
        <v>2.0610472541507038E-2</v>
      </c>
      <c r="G259" s="15">
        <f t="shared" ca="1" si="3"/>
        <v>3960.4500000002217</v>
      </c>
      <c r="H259" s="6"/>
      <c r="K259" s="4">
        <v>257</v>
      </c>
      <c r="L259" s="27">
        <v>44496.993055555555</v>
      </c>
      <c r="M259" s="29">
        <v>3995.69</v>
      </c>
      <c r="N259" s="30">
        <v>3968.97094594594</v>
      </c>
      <c r="O259" s="28">
        <v>2.061E-2</v>
      </c>
    </row>
    <row r="260" spans="1:15" x14ac:dyDescent="0.35">
      <c r="A260" s="7">
        <v>258</v>
      </c>
      <c r="B260" s="3">
        <v>44496.996527777781</v>
      </c>
      <c r="C260" s="14">
        <v>3993</v>
      </c>
      <c r="D260" s="6" t="s">
        <v>12</v>
      </c>
      <c r="E260" s="6">
        <f>IF(AND(D259="UP",testdataClose5[[#This Row],[close]]&gt;E259),testdataClose5[[#This Row],[close]],IF(AND(D259="DN",testdataClose5[[#This Row],[close]]&lt;E259),testdataClose5[[#This Row],[close]],E259))</f>
        <v>3915</v>
      </c>
      <c r="F260" s="11">
        <f>(testdataClose5[[#This Row],[close]]-testdataClose5[[#This Row],[hl]])/testdataClose5[[#This Row],[hl]]</f>
        <v>1.9923371647509579E-2</v>
      </c>
      <c r="G260" s="15">
        <f t="shared" ref="G260:G300" ca="1" si="4">AVERAGE(G259,G261)</f>
        <v>3961.7485714287941</v>
      </c>
      <c r="H260" s="6"/>
      <c r="K260" s="4">
        <v>258</v>
      </c>
      <c r="L260" s="27">
        <v>44496.996527777781</v>
      </c>
      <c r="M260" s="29">
        <v>3993</v>
      </c>
      <c r="N260" s="30">
        <v>3970.5129729729701</v>
      </c>
      <c r="O260" s="28">
        <v>1.9923E-2</v>
      </c>
    </row>
    <row r="261" spans="1:15" x14ac:dyDescent="0.35">
      <c r="A261" s="7">
        <v>259</v>
      </c>
      <c r="B261" s="3">
        <v>44497</v>
      </c>
      <c r="C261" s="14">
        <v>4002.62</v>
      </c>
      <c r="D261" s="6" t="s">
        <v>12</v>
      </c>
      <c r="E261" s="6">
        <f>IF(AND(D260="UP",testdataClose5[[#This Row],[close]]&gt;E260),testdataClose5[[#This Row],[close]],IF(AND(D260="DN",testdataClose5[[#This Row],[close]]&lt;E260),testdataClose5[[#This Row],[close]],E260))</f>
        <v>3915</v>
      </c>
      <c r="F261" s="11">
        <f>(testdataClose5[[#This Row],[close]]-testdataClose5[[#This Row],[hl]])/testdataClose5[[#This Row],[hl]]</f>
        <v>2.2380587484035732E-2</v>
      </c>
      <c r="G261" s="15">
        <f t="shared" ca="1" si="4"/>
        <v>3963.047142857366</v>
      </c>
      <c r="H261" s="6"/>
      <c r="K261" s="4">
        <v>259</v>
      </c>
      <c r="L261" s="27">
        <v>44497</v>
      </c>
      <c r="M261" s="29">
        <v>4002.62</v>
      </c>
      <c r="N261" s="30">
        <v>3972.0549999999998</v>
      </c>
      <c r="O261" s="28">
        <v>2.2381000000000002E-2</v>
      </c>
    </row>
    <row r="262" spans="1:15" x14ac:dyDescent="0.35">
      <c r="A262" s="7">
        <v>260</v>
      </c>
      <c r="B262" s="3">
        <v>44497.003472222219</v>
      </c>
      <c r="C262" s="14">
        <v>3998.91</v>
      </c>
      <c r="D262" s="6" t="s">
        <v>12</v>
      </c>
      <c r="E262" s="6">
        <f>IF(AND(D261="UP",testdataClose5[[#This Row],[close]]&gt;E261),testdataClose5[[#This Row],[close]],IF(AND(D261="DN",testdataClose5[[#This Row],[close]]&lt;E261),testdataClose5[[#This Row],[close]],E261))</f>
        <v>3915</v>
      </c>
      <c r="F262" s="11">
        <f>(testdataClose5[[#This Row],[close]]-testdataClose5[[#This Row],[hl]])/testdataClose5[[#This Row],[hl]]</f>
        <v>2.1432950191570845E-2</v>
      </c>
      <c r="G262" s="15">
        <f t="shared" ca="1" si="4"/>
        <v>3964.3457142859379</v>
      </c>
      <c r="H262" s="6"/>
      <c r="K262" s="4">
        <v>260</v>
      </c>
      <c r="L262" s="27">
        <v>44497.003472222219</v>
      </c>
      <c r="M262" s="29">
        <v>3998.91</v>
      </c>
      <c r="N262" s="30">
        <v>3973.59702702702</v>
      </c>
      <c r="O262" s="28">
        <v>2.1433000000000001E-2</v>
      </c>
    </row>
    <row r="263" spans="1:15" x14ac:dyDescent="0.35">
      <c r="A263" s="7">
        <v>261</v>
      </c>
      <c r="B263" s="3">
        <v>44497.006944444445</v>
      </c>
      <c r="C263" s="14">
        <v>4014.3</v>
      </c>
      <c r="D263" s="6" t="s">
        <v>12</v>
      </c>
      <c r="E263" s="6">
        <f>IF(AND(D262="UP",testdataClose5[[#This Row],[close]]&gt;E262),testdataClose5[[#This Row],[close]],IF(AND(D262="DN",testdataClose5[[#This Row],[close]]&lt;E262),testdataClose5[[#This Row],[close]],E262))</f>
        <v>3915</v>
      </c>
      <c r="F263" s="11">
        <f>(testdataClose5[[#This Row],[close]]-testdataClose5[[#This Row],[hl]])/testdataClose5[[#This Row],[hl]]</f>
        <v>2.536398467432955E-2</v>
      </c>
      <c r="G263" s="15">
        <f t="shared" ca="1" si="4"/>
        <v>3965.6442857145094</v>
      </c>
      <c r="H263" s="6"/>
      <c r="K263" s="4">
        <v>261</v>
      </c>
      <c r="L263" s="27">
        <v>44497.006944444445</v>
      </c>
      <c r="M263" s="29">
        <v>4014.3</v>
      </c>
      <c r="N263" s="30">
        <v>3975.1390540540501</v>
      </c>
      <c r="O263" s="28">
        <v>2.5364000000000001E-2</v>
      </c>
    </row>
    <row r="264" spans="1:15" x14ac:dyDescent="0.35">
      <c r="A264" s="7">
        <v>262</v>
      </c>
      <c r="B264" s="3">
        <v>44497.010416666664</v>
      </c>
      <c r="C264" s="14">
        <v>4005</v>
      </c>
      <c r="D264" s="6" t="s">
        <v>12</v>
      </c>
      <c r="E264" s="6">
        <f>IF(AND(D263="UP",testdataClose5[[#This Row],[close]]&gt;E263),testdataClose5[[#This Row],[close]],IF(AND(D263="DN",testdataClose5[[#This Row],[close]]&lt;E263),testdataClose5[[#This Row],[close]],E263))</f>
        <v>3915</v>
      </c>
      <c r="F264" s="11">
        <f>(testdataClose5[[#This Row],[close]]-testdataClose5[[#This Row],[hl]])/testdataClose5[[#This Row],[hl]]</f>
        <v>2.2988505747126436E-2</v>
      </c>
      <c r="G264" s="15">
        <f t="shared" ca="1" si="4"/>
        <v>3966.9428571430803</v>
      </c>
      <c r="H264" s="6"/>
      <c r="K264" s="4">
        <v>262</v>
      </c>
      <c r="L264" s="27">
        <v>44497.010416666664</v>
      </c>
      <c r="M264" s="29">
        <v>4005</v>
      </c>
      <c r="N264" s="30">
        <v>3976.6810810810798</v>
      </c>
      <c r="O264" s="28">
        <v>2.2988999999999999E-2</v>
      </c>
    </row>
    <row r="265" spans="1:15" x14ac:dyDescent="0.35">
      <c r="A265" s="7">
        <v>263</v>
      </c>
      <c r="B265" s="3">
        <v>44497.013888888891</v>
      </c>
      <c r="C265" s="14">
        <v>4000.1</v>
      </c>
      <c r="D265" s="6" t="s">
        <v>12</v>
      </c>
      <c r="E265" s="6">
        <f>IF(AND(D264="UP",testdataClose5[[#This Row],[close]]&gt;E264),testdataClose5[[#This Row],[close]],IF(AND(D264="DN",testdataClose5[[#This Row],[close]]&lt;E264),testdataClose5[[#This Row],[close]],E264))</f>
        <v>3915</v>
      </c>
      <c r="F265" s="11">
        <f>(testdataClose5[[#This Row],[close]]-testdataClose5[[#This Row],[hl]])/testdataClose5[[#This Row],[hl]]</f>
        <v>2.1736909323116196E-2</v>
      </c>
      <c r="G265" s="15">
        <f t="shared" ca="1" si="4"/>
        <v>3968.2414285716513</v>
      </c>
      <c r="H265" s="6"/>
      <c r="K265" s="4">
        <v>263</v>
      </c>
      <c r="L265" s="27">
        <v>44497.013888888891</v>
      </c>
      <c r="M265" s="29">
        <v>4000.1</v>
      </c>
      <c r="N265" s="30">
        <v>3978.2231081081</v>
      </c>
      <c r="O265" s="28">
        <v>2.1736999999999999E-2</v>
      </c>
    </row>
    <row r="266" spans="1:15" x14ac:dyDescent="0.35">
      <c r="A266" s="7">
        <v>264</v>
      </c>
      <c r="B266" s="3">
        <v>44497.017361111109</v>
      </c>
      <c r="C266" s="14">
        <v>3997.76</v>
      </c>
      <c r="D266" s="6" t="s">
        <v>12</v>
      </c>
      <c r="E266" s="6">
        <f>IF(AND(D265="UP",testdataClose5[[#This Row],[close]]&gt;E265),testdataClose5[[#This Row],[close]],IF(AND(D265="DN",testdataClose5[[#This Row],[close]]&lt;E265),testdataClose5[[#This Row],[close]],E265))</f>
        <v>3915</v>
      </c>
      <c r="F266" s="11">
        <f>(testdataClose5[[#This Row],[close]]-testdataClose5[[#This Row],[hl]])/testdataClose5[[#This Row],[hl]]</f>
        <v>2.1139208173690988E-2</v>
      </c>
      <c r="G266" s="15">
        <f t="shared" ca="1" si="4"/>
        <v>3969.5400000002219</v>
      </c>
      <c r="H266" s="6"/>
      <c r="K266" s="4">
        <v>264</v>
      </c>
      <c r="L266" s="27">
        <v>44497.017361111109</v>
      </c>
      <c r="M266" s="29">
        <v>3997.76</v>
      </c>
      <c r="N266" s="30">
        <v>3979.7651351351301</v>
      </c>
      <c r="O266" s="28">
        <v>2.1139000000000002E-2</v>
      </c>
    </row>
    <row r="267" spans="1:15" x14ac:dyDescent="0.35">
      <c r="A267" s="7">
        <v>265</v>
      </c>
      <c r="B267" s="3">
        <v>44497.020833333336</v>
      </c>
      <c r="C267" s="14">
        <v>3991.41</v>
      </c>
      <c r="D267" s="6" t="s">
        <v>12</v>
      </c>
      <c r="E267" s="6">
        <f>IF(AND(D266="UP",testdataClose5[[#This Row],[close]]&gt;E266),testdataClose5[[#This Row],[close]],IF(AND(D266="DN",testdataClose5[[#This Row],[close]]&lt;E266),testdataClose5[[#This Row],[close]],E266))</f>
        <v>3915</v>
      </c>
      <c r="F267" s="11">
        <f>(testdataClose5[[#This Row],[close]]-testdataClose5[[#This Row],[hl]])/testdataClose5[[#This Row],[hl]]</f>
        <v>1.9517241379310307E-2</v>
      </c>
      <c r="G267" s="15">
        <f t="shared" ca="1" si="4"/>
        <v>3970.838571428792</v>
      </c>
      <c r="H267" s="6"/>
      <c r="K267" s="4">
        <v>265</v>
      </c>
      <c r="L267" s="27">
        <v>44497.020833333336</v>
      </c>
      <c r="M267" s="29">
        <v>3991.41</v>
      </c>
      <c r="N267" s="30">
        <v>3981.3071621621598</v>
      </c>
      <c r="O267" s="28">
        <v>1.9517E-2</v>
      </c>
    </row>
    <row r="268" spans="1:15" x14ac:dyDescent="0.35">
      <c r="A268" s="7">
        <v>266</v>
      </c>
      <c r="B268" s="3">
        <v>44497.024305555555</v>
      </c>
      <c r="C268" s="14">
        <v>3994.91</v>
      </c>
      <c r="D268" s="6" t="s">
        <v>12</v>
      </c>
      <c r="E268" s="6">
        <f>IF(AND(D267="UP",testdataClose5[[#This Row],[close]]&gt;E267),testdataClose5[[#This Row],[close]],IF(AND(D267="DN",testdataClose5[[#This Row],[close]]&lt;E267),testdataClose5[[#This Row],[close]],E267))</f>
        <v>3915</v>
      </c>
      <c r="F268" s="11">
        <f>(testdataClose5[[#This Row],[close]]-testdataClose5[[#This Row],[hl]])/testdataClose5[[#This Row],[hl]]</f>
        <v>2.0411238825031892E-2</v>
      </c>
      <c r="G268" s="15">
        <f t="shared" ca="1" si="4"/>
        <v>3972.1371428573621</v>
      </c>
      <c r="H268" s="6"/>
      <c r="K268" s="4">
        <v>266</v>
      </c>
      <c r="L268" s="27">
        <v>44497.024305555555</v>
      </c>
      <c r="M268" s="29">
        <v>3994.91</v>
      </c>
      <c r="N268" s="30">
        <v>3982.8491891891799</v>
      </c>
      <c r="O268" s="28">
        <v>2.0410999999999999E-2</v>
      </c>
    </row>
    <row r="269" spans="1:15" x14ac:dyDescent="0.35">
      <c r="A269" s="7">
        <v>267</v>
      </c>
      <c r="B269" s="3">
        <v>44497.027777777781</v>
      </c>
      <c r="C269" s="14">
        <v>4004.41</v>
      </c>
      <c r="D269" s="6" t="s">
        <v>12</v>
      </c>
      <c r="E269" s="6">
        <f>IF(AND(D268="UP",testdataClose5[[#This Row],[close]]&gt;E268),testdataClose5[[#This Row],[close]],IF(AND(D268="DN",testdataClose5[[#This Row],[close]]&lt;E268),testdataClose5[[#This Row],[close]],E268))</f>
        <v>3915</v>
      </c>
      <c r="F269" s="11">
        <f>(testdataClose5[[#This Row],[close]]-testdataClose5[[#This Row],[hl]])/testdataClose5[[#This Row],[hl]]</f>
        <v>2.2837803320561904E-2</v>
      </c>
      <c r="G269" s="15">
        <f t="shared" ca="1" si="4"/>
        <v>3973.4357142859317</v>
      </c>
      <c r="H269" s="6"/>
      <c r="K269" s="4">
        <v>267</v>
      </c>
      <c r="L269" s="27">
        <v>44497.027777777781</v>
      </c>
      <c r="M269" s="29">
        <v>4004.41</v>
      </c>
      <c r="N269" s="30">
        <v>3984.3912162162101</v>
      </c>
      <c r="O269" s="28">
        <v>2.2838000000000001E-2</v>
      </c>
    </row>
    <row r="270" spans="1:15" x14ac:dyDescent="0.35">
      <c r="A270" s="7">
        <v>268</v>
      </c>
      <c r="B270" s="3">
        <v>44497.03125</v>
      </c>
      <c r="C270" s="14">
        <v>3994.29</v>
      </c>
      <c r="D270" s="6" t="s">
        <v>12</v>
      </c>
      <c r="E270" s="6">
        <f>IF(AND(D269="UP",testdataClose5[[#This Row],[close]]&gt;E269),testdataClose5[[#This Row],[close]],IF(AND(D269="DN",testdataClose5[[#This Row],[close]]&lt;E269),testdataClose5[[#This Row],[close]],E269))</f>
        <v>3915</v>
      </c>
      <c r="F270" s="11">
        <f>(testdataClose5[[#This Row],[close]]-testdataClose5[[#This Row],[hl]])/testdataClose5[[#This Row],[hl]]</f>
        <v>2.0252873563218383E-2</v>
      </c>
      <c r="G270" s="15">
        <f t="shared" ca="1" si="4"/>
        <v>3974.7342857145009</v>
      </c>
      <c r="H270" s="6"/>
      <c r="K270" s="4">
        <v>268</v>
      </c>
      <c r="L270" s="27">
        <v>44497.03125</v>
      </c>
      <c r="M270" s="29">
        <v>3994.29</v>
      </c>
      <c r="N270" s="30">
        <v>3985.9332432432402</v>
      </c>
      <c r="O270" s="28">
        <v>2.0253E-2</v>
      </c>
    </row>
    <row r="271" spans="1:15" x14ac:dyDescent="0.35">
      <c r="A271" s="7">
        <v>269</v>
      </c>
      <c r="B271" s="3">
        <v>44497.034722222219</v>
      </c>
      <c r="C271" s="14">
        <v>3987.61</v>
      </c>
      <c r="D271" s="6" t="s">
        <v>12</v>
      </c>
      <c r="E271" s="6">
        <f>IF(AND(D270="UP",testdataClose5[[#This Row],[close]]&gt;E270),testdataClose5[[#This Row],[close]],IF(AND(D270="DN",testdataClose5[[#This Row],[close]]&lt;E270),testdataClose5[[#This Row],[close]],E270))</f>
        <v>3915</v>
      </c>
      <c r="F271" s="11">
        <f>(testdataClose5[[#This Row],[close]]-testdataClose5[[#This Row],[hl]])/testdataClose5[[#This Row],[hl]]</f>
        <v>1.8546615581098373E-2</v>
      </c>
      <c r="G271" s="15">
        <f t="shared" ca="1" si="4"/>
        <v>3976.03285714307</v>
      </c>
      <c r="H271" s="6"/>
      <c r="K271" s="4">
        <v>269</v>
      </c>
      <c r="L271" s="27">
        <v>44497.034722222219</v>
      </c>
      <c r="M271" s="29">
        <v>3987.61</v>
      </c>
      <c r="N271" s="30">
        <v>3987.4752702702699</v>
      </c>
      <c r="O271" s="28">
        <v>1.8547000000000001E-2</v>
      </c>
    </row>
    <row r="272" spans="1:15" x14ac:dyDescent="0.35">
      <c r="A272" s="7">
        <v>270</v>
      </c>
      <c r="B272" s="3">
        <v>44497.038194444445</v>
      </c>
      <c r="C272" s="14">
        <v>3996.4</v>
      </c>
      <c r="D272" s="6" t="s">
        <v>12</v>
      </c>
      <c r="E272" s="6">
        <f>IF(AND(D271="UP",testdataClose5[[#This Row],[close]]&gt;E271),testdataClose5[[#This Row],[close]],IF(AND(D271="DN",testdataClose5[[#This Row],[close]]&lt;E271),testdataClose5[[#This Row],[close]],E271))</f>
        <v>3915</v>
      </c>
      <c r="F272" s="11">
        <f>(testdataClose5[[#This Row],[close]]-testdataClose5[[#This Row],[hl]])/testdataClose5[[#This Row],[hl]]</f>
        <v>2.0791826309067712E-2</v>
      </c>
      <c r="G272" s="15">
        <f t="shared" ca="1" si="4"/>
        <v>3977.3314285716388</v>
      </c>
      <c r="H272" s="6"/>
      <c r="K272" s="4">
        <v>270</v>
      </c>
      <c r="L272" s="27">
        <v>44497.038194444445</v>
      </c>
      <c r="M272" s="29">
        <v>3996.4</v>
      </c>
      <c r="N272" s="30">
        <v>3989.01729729729</v>
      </c>
      <c r="O272" s="28">
        <v>2.0792000000000001E-2</v>
      </c>
    </row>
    <row r="273" spans="1:15" x14ac:dyDescent="0.35">
      <c r="A273" s="7">
        <v>271</v>
      </c>
      <c r="B273" s="3">
        <v>44497.041666666664</v>
      </c>
      <c r="C273" s="14">
        <v>4005.01</v>
      </c>
      <c r="D273" s="6" t="s">
        <v>12</v>
      </c>
      <c r="E273" s="6">
        <f>IF(AND(D272="UP",testdataClose5[[#This Row],[close]]&gt;E272),testdataClose5[[#This Row],[close]],IF(AND(D272="DN",testdataClose5[[#This Row],[close]]&lt;E272),testdataClose5[[#This Row],[close]],E272))</f>
        <v>3915</v>
      </c>
      <c r="F273" s="11">
        <f>(testdataClose5[[#This Row],[close]]-testdataClose5[[#This Row],[hl]])/testdataClose5[[#This Row],[hl]]</f>
        <v>2.2991060025542839E-2</v>
      </c>
      <c r="G273" s="15">
        <f t="shared" ca="1" si="4"/>
        <v>3978.630000000207</v>
      </c>
      <c r="H273" s="6"/>
      <c r="K273" s="4">
        <v>271</v>
      </c>
      <c r="L273" s="27">
        <v>44497.041666666664</v>
      </c>
      <c r="M273" s="29">
        <v>4005.01</v>
      </c>
      <c r="N273" s="30">
        <v>3990.5593243243202</v>
      </c>
      <c r="O273" s="28">
        <v>2.2991000000000001E-2</v>
      </c>
    </row>
    <row r="274" spans="1:15" x14ac:dyDescent="0.35">
      <c r="A274" s="7">
        <v>272</v>
      </c>
      <c r="B274" s="3">
        <v>44497.045138888891</v>
      </c>
      <c r="C274" s="14">
        <v>4011</v>
      </c>
      <c r="D274" s="6" t="s">
        <v>12</v>
      </c>
      <c r="E274" s="6">
        <f>IF(AND(D273="UP",testdataClose5[[#This Row],[close]]&gt;E273),testdataClose5[[#This Row],[close]],IF(AND(D273="DN",testdataClose5[[#This Row],[close]]&lt;E273),testdataClose5[[#This Row],[close]],E273))</f>
        <v>3915</v>
      </c>
      <c r="F274" s="11">
        <f>(testdataClose5[[#This Row],[close]]-testdataClose5[[#This Row],[hl]])/testdataClose5[[#This Row],[hl]]</f>
        <v>2.4521072796934867E-2</v>
      </c>
      <c r="G274" s="15">
        <f t="shared" ca="1" si="4"/>
        <v>3979.9285714287753</v>
      </c>
      <c r="H274" s="6"/>
      <c r="K274" s="4">
        <v>272</v>
      </c>
      <c r="L274" s="27">
        <v>44497.045138888891</v>
      </c>
      <c r="M274" s="29">
        <v>4011</v>
      </c>
      <c r="N274" s="30">
        <v>3992.1013513513499</v>
      </c>
      <c r="O274" s="28">
        <v>2.4521000000000001E-2</v>
      </c>
    </row>
    <row r="275" spans="1:15" x14ac:dyDescent="0.35">
      <c r="A275" s="7">
        <v>273</v>
      </c>
      <c r="B275" s="3">
        <v>44497.048611111109</v>
      </c>
      <c r="C275" s="14">
        <v>4009</v>
      </c>
      <c r="D275" s="6" t="s">
        <v>12</v>
      </c>
      <c r="E275" s="6">
        <f>IF(AND(D274="UP",testdataClose5[[#This Row],[close]]&gt;E274),testdataClose5[[#This Row],[close]],IF(AND(D274="DN",testdataClose5[[#This Row],[close]]&lt;E274),testdataClose5[[#This Row],[close]],E274))</f>
        <v>3915</v>
      </c>
      <c r="F275" s="11">
        <f>(testdataClose5[[#This Row],[close]]-testdataClose5[[#This Row],[hl]])/testdataClose5[[#This Row],[hl]]</f>
        <v>2.401021711366539E-2</v>
      </c>
      <c r="G275" s="15">
        <f t="shared" ca="1" si="4"/>
        <v>3981.2271428573431</v>
      </c>
      <c r="H275" s="6"/>
      <c r="K275" s="4">
        <v>273</v>
      </c>
      <c r="L275" s="27">
        <v>44497.048611111109</v>
      </c>
      <c r="M275" s="29">
        <v>4009</v>
      </c>
      <c r="N275" s="30">
        <v>3993.64337837837</v>
      </c>
      <c r="O275" s="28">
        <v>2.401E-2</v>
      </c>
    </row>
    <row r="276" spans="1:15" x14ac:dyDescent="0.35">
      <c r="A276" s="7">
        <v>274</v>
      </c>
      <c r="B276" s="3">
        <v>44497.052083333336</v>
      </c>
      <c r="C276" s="14">
        <v>4005.01</v>
      </c>
      <c r="D276" s="6" t="s">
        <v>12</v>
      </c>
      <c r="E276" s="6">
        <f>IF(AND(D275="UP",testdataClose5[[#This Row],[close]]&gt;E275),testdataClose5[[#This Row],[close]],IF(AND(D275="DN",testdataClose5[[#This Row],[close]]&lt;E275),testdataClose5[[#This Row],[close]],E275))</f>
        <v>3915</v>
      </c>
      <c r="F276" s="11">
        <f>(testdataClose5[[#This Row],[close]]-testdataClose5[[#This Row],[hl]])/testdataClose5[[#This Row],[hl]]</f>
        <v>2.2991060025542839E-2</v>
      </c>
      <c r="G276" s="15">
        <f t="shared" ca="1" si="4"/>
        <v>3982.5257142859105</v>
      </c>
      <c r="H276" s="6"/>
      <c r="K276" s="4">
        <v>274</v>
      </c>
      <c r="L276" s="27">
        <v>44497.052083333336</v>
      </c>
      <c r="M276" s="29">
        <v>4005.01</v>
      </c>
      <c r="N276" s="30">
        <v>3995.1854054054002</v>
      </c>
      <c r="O276" s="28">
        <v>2.2991000000000001E-2</v>
      </c>
    </row>
    <row r="277" spans="1:15" x14ac:dyDescent="0.35">
      <c r="A277" s="7">
        <v>275</v>
      </c>
      <c r="B277" s="3">
        <v>44497.055555555555</v>
      </c>
      <c r="C277" s="14">
        <v>4000.3</v>
      </c>
      <c r="D277" s="6" t="s">
        <v>12</v>
      </c>
      <c r="E277" s="6">
        <f>IF(AND(D276="UP",testdataClose5[[#This Row],[close]]&gt;E276),testdataClose5[[#This Row],[close]],IF(AND(D276="DN",testdataClose5[[#This Row],[close]]&lt;E276),testdataClose5[[#This Row],[close]],E276))</f>
        <v>3915</v>
      </c>
      <c r="F277" s="11">
        <f>(testdataClose5[[#This Row],[close]]-testdataClose5[[#This Row],[hl]])/testdataClose5[[#This Row],[hl]]</f>
        <v>2.1787994891443212E-2</v>
      </c>
      <c r="G277" s="15">
        <f t="shared" ca="1" si="4"/>
        <v>3983.8242857144778</v>
      </c>
      <c r="H277" s="6"/>
      <c r="K277" s="4">
        <v>275</v>
      </c>
      <c r="L277" s="27">
        <v>44497.055555555555</v>
      </c>
      <c r="M277" s="29">
        <v>4000.3</v>
      </c>
      <c r="N277" s="30">
        <v>3996.7274324324299</v>
      </c>
      <c r="O277" s="28">
        <v>2.1787999999999998E-2</v>
      </c>
    </row>
    <row r="278" spans="1:15" x14ac:dyDescent="0.35">
      <c r="A278" s="7">
        <v>276</v>
      </c>
      <c r="B278" s="3">
        <v>44497.059027777781</v>
      </c>
      <c r="C278" s="14">
        <v>4006.99</v>
      </c>
      <c r="D278" s="6" t="s">
        <v>12</v>
      </c>
      <c r="E278" s="6">
        <f>IF(AND(D277="UP",testdataClose5[[#This Row],[close]]&gt;E277),testdataClose5[[#This Row],[close]],IF(AND(D277="DN",testdataClose5[[#This Row],[close]]&lt;E277),testdataClose5[[#This Row],[close]],E277))</f>
        <v>3915</v>
      </c>
      <c r="F278" s="11">
        <f>(testdataClose5[[#This Row],[close]]-testdataClose5[[#This Row],[hl]])/testdataClose5[[#This Row],[hl]]</f>
        <v>2.349680715197951E-2</v>
      </c>
      <c r="G278" s="15">
        <f t="shared" ca="1" si="4"/>
        <v>3985.1228571430447</v>
      </c>
      <c r="H278" s="6"/>
      <c r="K278" s="4">
        <v>276</v>
      </c>
      <c r="L278" s="27">
        <v>44497.059027777781</v>
      </c>
      <c r="M278" s="29">
        <v>4006.99</v>
      </c>
      <c r="N278" s="30">
        <v>3998.26945945945</v>
      </c>
      <c r="O278" s="28">
        <v>2.3497000000000001E-2</v>
      </c>
    </row>
    <row r="279" spans="1:15" x14ac:dyDescent="0.35">
      <c r="A279" s="7">
        <v>277</v>
      </c>
      <c r="B279" s="3">
        <v>44497.0625</v>
      </c>
      <c r="C279" s="14">
        <v>4003.01</v>
      </c>
      <c r="D279" s="6" t="s">
        <v>12</v>
      </c>
      <c r="E279" s="6">
        <f>IF(AND(D278="UP",testdataClose5[[#This Row],[close]]&gt;E278),testdataClose5[[#This Row],[close]],IF(AND(D278="DN",testdataClose5[[#This Row],[close]]&lt;E278),testdataClose5[[#This Row],[close]],E278))</f>
        <v>3915</v>
      </c>
      <c r="F279" s="11">
        <f>(testdataClose5[[#This Row],[close]]-testdataClose5[[#This Row],[hl]])/testdataClose5[[#This Row],[hl]]</f>
        <v>2.2480204342273363E-2</v>
      </c>
      <c r="G279" s="15">
        <f t="shared" ca="1" si="4"/>
        <v>3986.4214285716112</v>
      </c>
      <c r="H279" s="6"/>
      <c r="K279" s="4">
        <v>277</v>
      </c>
      <c r="L279" s="27">
        <v>44497.0625</v>
      </c>
      <c r="M279" s="29">
        <v>4003.01</v>
      </c>
      <c r="N279" s="30">
        <v>3999.8114864864801</v>
      </c>
      <c r="O279" s="28">
        <v>2.248E-2</v>
      </c>
    </row>
    <row r="280" spans="1:15" x14ac:dyDescent="0.35">
      <c r="A280" s="7">
        <v>278</v>
      </c>
      <c r="B280" s="3">
        <v>44497.065972222219</v>
      </c>
      <c r="C280" s="14">
        <v>4010.65</v>
      </c>
      <c r="D280" s="6" t="s">
        <v>12</v>
      </c>
      <c r="E280" s="6">
        <f>IF(AND(D279="UP",testdataClose5[[#This Row],[close]]&gt;E279),testdataClose5[[#This Row],[close]],IF(AND(D279="DN",testdataClose5[[#This Row],[close]]&lt;E279),testdataClose5[[#This Row],[close]],E279))</f>
        <v>3915</v>
      </c>
      <c r="F280" s="11">
        <f>(testdataClose5[[#This Row],[close]]-testdataClose5[[#This Row],[hl]])/testdataClose5[[#This Row],[hl]]</f>
        <v>2.443167305236273E-2</v>
      </c>
      <c r="G280" s="15">
        <f t="shared" ca="1" si="4"/>
        <v>3987.7200000001776</v>
      </c>
      <c r="H280" s="6"/>
      <c r="K280" s="4">
        <v>278</v>
      </c>
      <c r="L280" s="27">
        <v>44497.065972222219</v>
      </c>
      <c r="M280" s="29">
        <v>4010.65</v>
      </c>
      <c r="N280" s="30">
        <v>4001.3535135135098</v>
      </c>
      <c r="O280" s="28">
        <v>2.4431999999999999E-2</v>
      </c>
    </row>
    <row r="281" spans="1:15" x14ac:dyDescent="0.35">
      <c r="A281" s="7">
        <v>279</v>
      </c>
      <c r="B281" s="3">
        <v>44497.069444444445</v>
      </c>
      <c r="C281" s="14">
        <v>4013.97</v>
      </c>
      <c r="D281" s="6" t="s">
        <v>12</v>
      </c>
      <c r="E281" s="6">
        <f>IF(AND(D280="UP",testdataClose5[[#This Row],[close]]&gt;E280),testdataClose5[[#This Row],[close]],IF(AND(D280="DN",testdataClose5[[#This Row],[close]]&lt;E280),testdataClose5[[#This Row],[close]],E280))</f>
        <v>3915</v>
      </c>
      <c r="F281" s="11">
        <f>(testdataClose5[[#This Row],[close]]-testdataClose5[[#This Row],[hl]])/testdataClose5[[#This Row],[hl]]</f>
        <v>2.5279693486589986E-2</v>
      </c>
      <c r="G281" s="15">
        <f t="shared" ca="1" si="4"/>
        <v>3989.0185714287436</v>
      </c>
      <c r="H281" s="6"/>
      <c r="K281" s="4">
        <v>279</v>
      </c>
      <c r="L281" s="27">
        <v>44497.069444444445</v>
      </c>
      <c r="M281" s="29">
        <v>4013.97</v>
      </c>
      <c r="N281" s="30">
        <v>4002.89554054054</v>
      </c>
      <c r="O281" s="28">
        <v>2.528E-2</v>
      </c>
    </row>
    <row r="282" spans="1:15" x14ac:dyDescent="0.35">
      <c r="A282" s="7">
        <v>280</v>
      </c>
      <c r="B282" s="3">
        <v>44497.072916666664</v>
      </c>
      <c r="C282" s="14">
        <v>4008.1</v>
      </c>
      <c r="D282" s="6" t="s">
        <v>12</v>
      </c>
      <c r="E282" s="6">
        <f>IF(AND(D281="UP",testdataClose5[[#This Row],[close]]&gt;E281),testdataClose5[[#This Row],[close]],IF(AND(D281="DN",testdataClose5[[#This Row],[close]]&lt;E281),testdataClose5[[#This Row],[close]],E281))</f>
        <v>3915</v>
      </c>
      <c r="F282" s="11">
        <f>(testdataClose5[[#This Row],[close]]-testdataClose5[[#This Row],[hl]])/testdataClose5[[#This Row],[hl]]</f>
        <v>2.3780332056194103E-2</v>
      </c>
      <c r="G282" s="15">
        <f t="shared" ca="1" si="4"/>
        <v>3990.3171428573091</v>
      </c>
      <c r="H282" s="6"/>
      <c r="K282" s="4">
        <v>280</v>
      </c>
      <c r="L282" s="27">
        <v>44497.072916666664</v>
      </c>
      <c r="M282" s="29">
        <v>4008.1</v>
      </c>
      <c r="N282" s="30">
        <v>4004.4375675675601</v>
      </c>
      <c r="O282" s="28">
        <v>2.3779999999999999E-2</v>
      </c>
    </row>
    <row r="283" spans="1:15" x14ac:dyDescent="0.35">
      <c r="A283" s="7">
        <v>281</v>
      </c>
      <c r="B283" s="3">
        <v>44497.076388888891</v>
      </c>
      <c r="C283" s="14">
        <v>4010.38</v>
      </c>
      <c r="D283" s="6" t="s">
        <v>12</v>
      </c>
      <c r="E283" s="6">
        <f>IF(AND(D282="UP",testdataClose5[[#This Row],[close]]&gt;E282),testdataClose5[[#This Row],[close]],IF(AND(D282="DN",testdataClose5[[#This Row],[close]]&lt;E282),testdataClose5[[#This Row],[close]],E282))</f>
        <v>3915</v>
      </c>
      <c r="F283" s="11">
        <f>(testdataClose5[[#This Row],[close]]-testdataClose5[[#This Row],[hl]])/testdataClose5[[#This Row],[hl]]</f>
        <v>2.4362707535121358E-2</v>
      </c>
      <c r="G283" s="15">
        <f t="shared" ca="1" si="4"/>
        <v>3991.6157142858747</v>
      </c>
      <c r="H283" s="6"/>
      <c r="K283" s="4">
        <v>281</v>
      </c>
      <c r="L283" s="27">
        <v>44497.076388888891</v>
      </c>
      <c r="M283" s="29">
        <v>4010.38</v>
      </c>
      <c r="N283" s="30">
        <v>4005.9795945945898</v>
      </c>
      <c r="O283" s="28">
        <v>2.4362999999999999E-2</v>
      </c>
    </row>
    <row r="284" spans="1:15" x14ac:dyDescent="0.35">
      <c r="A284" s="7">
        <v>282</v>
      </c>
      <c r="B284" s="3">
        <v>44497.079861111109</v>
      </c>
      <c r="C284" s="14">
        <v>4021</v>
      </c>
      <c r="D284" s="6" t="s">
        <v>12</v>
      </c>
      <c r="E284" s="6">
        <f>IF(AND(D283="UP",testdataClose5[[#This Row],[close]]&gt;E283),testdataClose5[[#This Row],[close]],IF(AND(D283="DN",testdataClose5[[#This Row],[close]]&lt;E283),testdataClose5[[#This Row],[close]],E283))</f>
        <v>3915</v>
      </c>
      <c r="F284" s="11">
        <f>(testdataClose5[[#This Row],[close]]-testdataClose5[[#This Row],[hl]])/testdataClose5[[#This Row],[hl]]</f>
        <v>2.7075351213282247E-2</v>
      </c>
      <c r="G284" s="15">
        <f t="shared" ca="1" si="4"/>
        <v>3992.9142857144398</v>
      </c>
      <c r="H284" s="6"/>
      <c r="K284" s="4">
        <v>282</v>
      </c>
      <c r="L284" s="27">
        <v>44497.079861111109</v>
      </c>
      <c r="M284" s="29">
        <v>4021</v>
      </c>
      <c r="N284" s="30">
        <v>4007.5216216216199</v>
      </c>
      <c r="O284" s="28">
        <v>2.7074999999999998E-2</v>
      </c>
    </row>
    <row r="285" spans="1:15" x14ac:dyDescent="0.35">
      <c r="A285" s="7">
        <v>283</v>
      </c>
      <c r="B285" s="3">
        <v>44497.083333333336</v>
      </c>
      <c r="C285" s="14">
        <v>4002</v>
      </c>
      <c r="D285" s="6" t="s">
        <v>12</v>
      </c>
      <c r="E285" s="6">
        <f>IF(AND(D284="UP",testdataClose5[[#This Row],[close]]&gt;E284),testdataClose5[[#This Row],[close]],IF(AND(D284="DN",testdataClose5[[#This Row],[close]]&lt;E284),testdataClose5[[#This Row],[close]],E284))</f>
        <v>3915</v>
      </c>
      <c r="F285" s="11">
        <f>(testdataClose5[[#This Row],[close]]-testdataClose5[[#This Row],[hl]])/testdataClose5[[#This Row],[hl]]</f>
        <v>2.2222222222222223E-2</v>
      </c>
      <c r="G285" s="15">
        <f t="shared" ca="1" si="4"/>
        <v>3994.2128571430044</v>
      </c>
      <c r="H285" s="6"/>
      <c r="K285" s="4">
        <v>283</v>
      </c>
      <c r="L285" s="27">
        <v>44497.083333333336</v>
      </c>
      <c r="M285" s="29">
        <v>4002</v>
      </c>
      <c r="N285" s="30">
        <v>4009.0636486486401</v>
      </c>
      <c r="O285" s="28">
        <v>2.2221999999999999E-2</v>
      </c>
    </row>
    <row r="286" spans="1:15" x14ac:dyDescent="0.35">
      <c r="A286" s="7">
        <v>284</v>
      </c>
      <c r="B286" s="3">
        <v>44497.086805555555</v>
      </c>
      <c r="C286" s="14">
        <v>3995</v>
      </c>
      <c r="D286" s="6" t="s">
        <v>12</v>
      </c>
      <c r="E286" s="6">
        <f>IF(AND(D285="UP",testdataClose5[[#This Row],[close]]&gt;E285),testdataClose5[[#This Row],[close]],IF(AND(D285="DN",testdataClose5[[#This Row],[close]]&lt;E285),testdataClose5[[#This Row],[close]],E285))</f>
        <v>3915</v>
      </c>
      <c r="F286" s="11">
        <f>(testdataClose5[[#This Row],[close]]-testdataClose5[[#This Row],[hl]])/testdataClose5[[#This Row],[hl]]</f>
        <v>2.0434227330779056E-2</v>
      </c>
      <c r="G286" s="15">
        <f t="shared" ca="1" si="4"/>
        <v>3995.511428571569</v>
      </c>
      <c r="H286" s="6"/>
      <c r="K286" s="4">
        <v>284</v>
      </c>
      <c r="L286" s="27">
        <v>44497.086805555555</v>
      </c>
      <c r="M286" s="29">
        <v>3995</v>
      </c>
      <c r="N286" s="30">
        <v>4010.6056756756702</v>
      </c>
      <c r="O286" s="28">
        <v>2.0434000000000001E-2</v>
      </c>
    </row>
    <row r="287" spans="1:15" x14ac:dyDescent="0.35">
      <c r="A287" s="7">
        <v>285</v>
      </c>
      <c r="B287" s="3">
        <v>44497.090277777781</v>
      </c>
      <c r="C287" s="14">
        <v>4001.52</v>
      </c>
      <c r="D287" s="6" t="s">
        <v>12</v>
      </c>
      <c r="E287" s="6">
        <f>IF(AND(D286="UP",testdataClose5[[#This Row],[close]]&gt;E286),testdataClose5[[#This Row],[close]],IF(AND(D286="DN",testdataClose5[[#This Row],[close]]&lt;E286),testdataClose5[[#This Row],[close]],E286))</f>
        <v>3915</v>
      </c>
      <c r="F287" s="11">
        <f>(testdataClose5[[#This Row],[close]]-testdataClose5[[#This Row],[hl]])/testdataClose5[[#This Row],[hl]]</f>
        <v>2.2099616858237543E-2</v>
      </c>
      <c r="G287" s="15">
        <f t="shared" ca="1" si="4"/>
        <v>3996.8100000001332</v>
      </c>
      <c r="H287" s="6"/>
      <c r="K287" s="4">
        <v>285</v>
      </c>
      <c r="L287" s="27">
        <v>44497.090277777781</v>
      </c>
      <c r="M287" s="29">
        <v>4001.52</v>
      </c>
      <c r="N287" s="30">
        <v>4012.1477027026999</v>
      </c>
      <c r="O287" s="28">
        <v>2.2100000000000002E-2</v>
      </c>
    </row>
    <row r="288" spans="1:15" x14ac:dyDescent="0.35">
      <c r="A288" s="7">
        <v>286</v>
      </c>
      <c r="B288" s="3">
        <v>44497.09375</v>
      </c>
      <c r="C288" s="14">
        <v>4000.1</v>
      </c>
      <c r="D288" s="6" t="s">
        <v>12</v>
      </c>
      <c r="E288" s="6">
        <f>IF(AND(D287="UP",testdataClose5[[#This Row],[close]]&gt;E287),testdataClose5[[#This Row],[close]],IF(AND(D287="DN",testdataClose5[[#This Row],[close]]&lt;E287),testdataClose5[[#This Row],[close]],E287))</f>
        <v>3915</v>
      </c>
      <c r="F288" s="11">
        <f>(testdataClose5[[#This Row],[close]]-testdataClose5[[#This Row],[hl]])/testdataClose5[[#This Row],[hl]]</f>
        <v>2.1736909323116196E-2</v>
      </c>
      <c r="G288" s="15">
        <f t="shared" ca="1" si="4"/>
        <v>3998.1085714286969</v>
      </c>
      <c r="H288" s="6"/>
      <c r="K288" s="4">
        <v>286</v>
      </c>
      <c r="L288" s="27">
        <v>44497.09375</v>
      </c>
      <c r="M288" s="29">
        <v>4000.1</v>
      </c>
      <c r="N288" s="30">
        <v>4013.6897297297201</v>
      </c>
      <c r="O288" s="28">
        <v>2.1736999999999999E-2</v>
      </c>
    </row>
    <row r="289" spans="1:16" x14ac:dyDescent="0.35">
      <c r="A289" s="7">
        <v>287</v>
      </c>
      <c r="B289" s="3">
        <v>44497.097222222219</v>
      </c>
      <c r="C289" s="14">
        <v>4014.01</v>
      </c>
      <c r="D289" s="6" t="s">
        <v>12</v>
      </c>
      <c r="E289" s="6">
        <f>IF(AND(D288="UP",testdataClose5[[#This Row],[close]]&gt;E288),testdataClose5[[#This Row],[close]],IF(AND(D288="DN",testdataClose5[[#This Row],[close]]&lt;E288),testdataClose5[[#This Row],[close]],E288))</f>
        <v>3915</v>
      </c>
      <c r="F289" s="11">
        <f>(testdataClose5[[#This Row],[close]]-testdataClose5[[#This Row],[hl]])/testdataClose5[[#This Row],[hl]]</f>
        <v>2.5289910600255483E-2</v>
      </c>
      <c r="G289" s="15">
        <f t="shared" ca="1" si="4"/>
        <v>3999.4071428572606</v>
      </c>
      <c r="H289" s="6"/>
      <c r="K289" s="4">
        <v>287</v>
      </c>
      <c r="L289" s="27">
        <v>44497.097222222219</v>
      </c>
      <c r="M289" s="29">
        <v>4014.01</v>
      </c>
      <c r="N289" s="30">
        <v>4015.2317567567502</v>
      </c>
      <c r="O289" s="28">
        <v>2.529E-2</v>
      </c>
    </row>
    <row r="290" spans="1:16" x14ac:dyDescent="0.35">
      <c r="A290" s="7">
        <v>288</v>
      </c>
      <c r="B290" s="3">
        <v>44497.100694444445</v>
      </c>
      <c r="C290" s="14">
        <v>4021.01</v>
      </c>
      <c r="D290" s="6" t="s">
        <v>12</v>
      </c>
      <c r="E290" s="6">
        <f>IF(AND(D289="UP",testdataClose5[[#This Row],[close]]&gt;E289),testdataClose5[[#This Row],[close]],IF(AND(D289="DN",testdataClose5[[#This Row],[close]]&lt;E289),testdataClose5[[#This Row],[close]],E289))</f>
        <v>3915</v>
      </c>
      <c r="F290" s="11">
        <f>(testdataClose5[[#This Row],[close]]-testdataClose5[[#This Row],[hl]])/testdataClose5[[#This Row],[hl]]</f>
        <v>2.707790549169865E-2</v>
      </c>
      <c r="G290" s="15">
        <f t="shared" ca="1" si="4"/>
        <v>4000.7057142858239</v>
      </c>
      <c r="H290" s="6"/>
      <c r="K290" s="4">
        <v>288</v>
      </c>
      <c r="L290" s="27">
        <v>44497.100694444445</v>
      </c>
      <c r="M290" s="29">
        <v>4021.01</v>
      </c>
      <c r="N290" s="30">
        <v>4016.7737837837799</v>
      </c>
      <c r="O290" s="28">
        <v>2.7078000000000001E-2</v>
      </c>
    </row>
    <row r="291" spans="1:16" x14ac:dyDescent="0.35">
      <c r="A291" s="7">
        <v>289</v>
      </c>
      <c r="B291" s="3">
        <v>44497.104166666664</v>
      </c>
      <c r="C291" s="14">
        <v>4019.82</v>
      </c>
      <c r="D291" s="6" t="s">
        <v>12</v>
      </c>
      <c r="E291" s="6">
        <f>IF(AND(D290="UP",testdataClose5[[#This Row],[close]]&gt;E290),testdataClose5[[#This Row],[close]],IF(AND(D290="DN",testdataClose5[[#This Row],[close]]&lt;E290),testdataClose5[[#This Row],[close]],E290))</f>
        <v>3915</v>
      </c>
      <c r="F291" s="11">
        <f>(testdataClose5[[#This Row],[close]]-testdataClose5[[#This Row],[hl]])/testdataClose5[[#This Row],[hl]]</f>
        <v>2.6773946360153299E-2</v>
      </c>
      <c r="G291" s="15">
        <f t="shared" ca="1" si="4"/>
        <v>4002.0042857143867</v>
      </c>
      <c r="H291" s="6"/>
      <c r="K291" s="4">
        <v>289</v>
      </c>
      <c r="L291" s="27">
        <v>44497.104166666664</v>
      </c>
      <c r="M291" s="29">
        <v>4019.82</v>
      </c>
      <c r="N291" s="30">
        <v>4018.31581081081</v>
      </c>
      <c r="O291" s="28">
        <v>2.6773999999999999E-2</v>
      </c>
    </row>
    <row r="292" spans="1:16" x14ac:dyDescent="0.35">
      <c r="A292" s="7">
        <v>290</v>
      </c>
      <c r="B292" s="3">
        <v>44497.107638888891</v>
      </c>
      <c r="C292" s="14">
        <v>4023.98</v>
      </c>
      <c r="D292" s="6" t="s">
        <v>12</v>
      </c>
      <c r="E292" s="6">
        <f>IF(AND(D291="UP",testdataClose5[[#This Row],[close]]&gt;E291),testdataClose5[[#This Row],[close]],IF(AND(D291="DN",testdataClose5[[#This Row],[close]]&lt;E291),testdataClose5[[#This Row],[close]],E291))</f>
        <v>3915</v>
      </c>
      <c r="F292" s="11">
        <f>(testdataClose5[[#This Row],[close]]-testdataClose5[[#This Row],[hl]])/testdataClose5[[#This Row],[hl]]</f>
        <v>2.7836526181353773E-2</v>
      </c>
      <c r="G292" s="15">
        <f t="shared" ca="1" si="4"/>
        <v>4003.3028571429495</v>
      </c>
      <c r="H292" s="6"/>
      <c r="K292" s="4">
        <v>290</v>
      </c>
      <c r="L292" s="27">
        <v>44497.107638888891</v>
      </c>
      <c r="M292" s="29">
        <v>4023.98</v>
      </c>
      <c r="N292" s="30">
        <v>4019.8578378378302</v>
      </c>
      <c r="O292" s="28">
        <v>2.7837000000000001E-2</v>
      </c>
    </row>
    <row r="293" spans="1:16" x14ac:dyDescent="0.35">
      <c r="A293" s="7">
        <v>291</v>
      </c>
      <c r="B293" s="3">
        <v>44497.111111111109</v>
      </c>
      <c r="C293" s="14">
        <v>4015.2</v>
      </c>
      <c r="D293" s="6" t="s">
        <v>12</v>
      </c>
      <c r="E293" s="6">
        <f>IF(AND(D292="UP",testdataClose5[[#This Row],[close]]&gt;E292),testdataClose5[[#This Row],[close]],IF(AND(D292="DN",testdataClose5[[#This Row],[close]]&lt;E292),testdataClose5[[#This Row],[close]],E292))</f>
        <v>3915</v>
      </c>
      <c r="F293" s="11">
        <f>(testdataClose5[[#This Row],[close]]-testdataClose5[[#This Row],[hl]])/testdataClose5[[#This Row],[hl]]</f>
        <v>2.5593869731800719E-2</v>
      </c>
      <c r="G293" s="15">
        <f t="shared" ca="1" si="4"/>
        <v>4004.6014285715119</v>
      </c>
      <c r="H293" s="6"/>
      <c r="K293" s="4">
        <v>291</v>
      </c>
      <c r="L293" s="27">
        <v>44497.111111111109</v>
      </c>
      <c r="M293" s="29">
        <v>4015.2</v>
      </c>
      <c r="N293" s="30">
        <v>4021.3998648648599</v>
      </c>
      <c r="O293" s="28">
        <v>2.5593999999999999E-2</v>
      </c>
    </row>
    <row r="294" spans="1:16" x14ac:dyDescent="0.35">
      <c r="A294" s="7">
        <v>292</v>
      </c>
      <c r="B294" s="3">
        <v>44497.114583333336</v>
      </c>
      <c r="C294" s="14">
        <v>4028.98</v>
      </c>
      <c r="D294" s="6" t="s">
        <v>12</v>
      </c>
      <c r="E294" s="6">
        <f>IF(AND(D293="UP",testdataClose5[[#This Row],[close]]&gt;E293),testdataClose5[[#This Row],[close]],IF(AND(D293="DN",testdataClose5[[#This Row],[close]]&lt;E293),testdataClose5[[#This Row],[close]],E293))</f>
        <v>3915</v>
      </c>
      <c r="F294" s="11">
        <f>(testdataClose5[[#This Row],[close]]-testdataClose5[[#This Row],[hl]])/testdataClose5[[#This Row],[hl]]</f>
        <v>2.9113665389527463E-2</v>
      </c>
      <c r="G294" s="15">
        <f t="shared" ca="1" si="4"/>
        <v>4005.9000000000738</v>
      </c>
      <c r="H294" s="6"/>
      <c r="K294" s="4">
        <v>292</v>
      </c>
      <c r="L294" s="27">
        <v>44497.114583333336</v>
      </c>
      <c r="M294" s="29">
        <v>4028.98</v>
      </c>
      <c r="N294" s="30">
        <v>4022.94189189189</v>
      </c>
      <c r="O294" s="28">
        <v>2.9114000000000001E-2</v>
      </c>
    </row>
    <row r="295" spans="1:16" x14ac:dyDescent="0.35">
      <c r="A295" s="7">
        <v>293</v>
      </c>
      <c r="B295" s="3">
        <v>44497.118055555555</v>
      </c>
      <c r="C295" s="14">
        <v>4029</v>
      </c>
      <c r="D295" s="6" t="s">
        <v>12</v>
      </c>
      <c r="E295" s="6">
        <f>IF(AND(D294="UP",testdataClose5[[#This Row],[close]]&gt;E294),testdataClose5[[#This Row],[close]],IF(AND(D294="DN",testdataClose5[[#This Row],[close]]&lt;E294),testdataClose5[[#This Row],[close]],E294))</f>
        <v>3915</v>
      </c>
      <c r="F295" s="11">
        <f>(testdataClose5[[#This Row],[close]]-testdataClose5[[#This Row],[hl]])/testdataClose5[[#This Row],[hl]]</f>
        <v>2.9118773946360154E-2</v>
      </c>
      <c r="G295" s="15">
        <f t="shared" ca="1" si="4"/>
        <v>4007.1985714286357</v>
      </c>
      <c r="H295" s="6"/>
      <c r="K295" s="4">
        <v>293</v>
      </c>
      <c r="L295" s="27">
        <v>44497.118055555555</v>
      </c>
      <c r="M295" s="29">
        <v>4029</v>
      </c>
      <c r="N295" s="30">
        <v>4024.4839189189101</v>
      </c>
      <c r="O295" s="28">
        <v>2.9118999999999999E-2</v>
      </c>
    </row>
    <row r="296" spans="1:16" x14ac:dyDescent="0.35">
      <c r="A296" s="7">
        <v>294</v>
      </c>
      <c r="B296" s="3">
        <v>44497.121527777781</v>
      </c>
      <c r="C296" s="14">
        <v>4020.83</v>
      </c>
      <c r="D296" s="6" t="s">
        <v>12</v>
      </c>
      <c r="E296" s="6">
        <f>IF(AND(D295="UP",testdataClose5[[#This Row],[close]]&gt;E295),testdataClose5[[#This Row],[close]],IF(AND(D295="DN",testdataClose5[[#This Row],[close]]&lt;E295),testdataClose5[[#This Row],[close]],E295))</f>
        <v>3915</v>
      </c>
      <c r="F296" s="11">
        <f>(testdataClose5[[#This Row],[close]]-testdataClose5[[#This Row],[hl]])/testdataClose5[[#This Row],[hl]]</f>
        <v>2.7031928480204324E-2</v>
      </c>
      <c r="G296" s="15">
        <f t="shared" ca="1" si="4"/>
        <v>4008.4971428571971</v>
      </c>
      <c r="H296" s="6"/>
      <c r="K296" s="4">
        <v>294</v>
      </c>
      <c r="L296" s="27">
        <v>44497.121527777781</v>
      </c>
      <c r="M296" s="29">
        <v>4020.83</v>
      </c>
      <c r="N296" s="30">
        <v>4026.0259459459398</v>
      </c>
      <c r="O296" s="28">
        <v>2.7032E-2</v>
      </c>
    </row>
    <row r="297" spans="1:16" x14ac:dyDescent="0.35">
      <c r="A297" s="7">
        <v>295</v>
      </c>
      <c r="B297" s="3">
        <v>44497.125</v>
      </c>
      <c r="C297" s="14">
        <v>4024.29</v>
      </c>
      <c r="D297" s="6" t="s">
        <v>12</v>
      </c>
      <c r="E297" s="6">
        <f>IF(AND(D296="UP",testdataClose5[[#This Row],[close]]&gt;E296),testdataClose5[[#This Row],[close]],IF(AND(D296="DN",testdataClose5[[#This Row],[close]]&lt;E296),testdataClose5[[#This Row],[close]],E296))</f>
        <v>3915</v>
      </c>
      <c r="F297" s="11">
        <f>(testdataClose5[[#This Row],[close]]-testdataClose5[[#This Row],[hl]])/testdataClose5[[#This Row],[hl]]</f>
        <v>2.7915708812260527E-2</v>
      </c>
      <c r="G297" s="15">
        <f t="shared" ca="1" si="4"/>
        <v>4009.7957142857581</v>
      </c>
      <c r="H297" s="6"/>
      <c r="K297" s="4">
        <v>295</v>
      </c>
      <c r="L297" s="27">
        <v>44497.125</v>
      </c>
      <c r="M297" s="29">
        <v>4024.29</v>
      </c>
      <c r="N297" s="30">
        <v>4027.56797297297</v>
      </c>
      <c r="O297" s="28">
        <v>2.7916E-2</v>
      </c>
    </row>
    <row r="298" spans="1:16" x14ac:dyDescent="0.35">
      <c r="A298" s="7">
        <v>296</v>
      </c>
      <c r="B298" s="3">
        <v>44497.128472222219</v>
      </c>
      <c r="C298" s="14">
        <v>4029.11</v>
      </c>
      <c r="D298" s="6" t="s">
        <v>12</v>
      </c>
      <c r="E298" s="6">
        <f>IF(AND(D297="UP",testdataClose5[[#This Row],[close]]&gt;E297),testdataClose5[[#This Row],[close]],IF(AND(D297="DN",testdataClose5[[#This Row],[close]]&lt;E297),testdataClose5[[#This Row],[close]],E297))</f>
        <v>3915</v>
      </c>
      <c r="F298" s="11">
        <f>(testdataClose5[[#This Row],[close]]-testdataClose5[[#This Row],[hl]])/testdataClose5[[#This Row],[hl]]</f>
        <v>2.9146871008940006E-2</v>
      </c>
      <c r="G298" s="15">
        <f t="shared" ca="1" si="4"/>
        <v>4011.0942857143191</v>
      </c>
      <c r="H298" s="6"/>
      <c r="K298" s="4">
        <v>296</v>
      </c>
      <c r="L298" s="27">
        <v>44497.128472222219</v>
      </c>
      <c r="M298" s="29">
        <v>4029.11</v>
      </c>
      <c r="N298" s="30">
        <v>4029.11</v>
      </c>
      <c r="O298" s="28">
        <v>2.9146999999999999E-2</v>
      </c>
      <c r="P298" s="4" t="s">
        <v>14</v>
      </c>
    </row>
    <row r="299" spans="1:16" x14ac:dyDescent="0.35">
      <c r="A299" s="7">
        <v>297</v>
      </c>
      <c r="B299" s="3">
        <v>44497.131944444445</v>
      </c>
      <c r="C299" s="14">
        <v>4015</v>
      </c>
      <c r="D299" s="6" t="s">
        <v>12</v>
      </c>
      <c r="E299" s="6">
        <f>IF(AND(D298="UP",testdataClose5[[#This Row],[close]]&gt;E298),testdataClose5[[#This Row],[close]],IF(AND(D298="DN",testdataClose5[[#This Row],[close]]&lt;E298),testdataClose5[[#This Row],[close]],E298))</f>
        <v>3915</v>
      </c>
      <c r="F299" s="11">
        <f>(testdataClose5[[#This Row],[close]]-testdataClose5[[#This Row],[hl]])/testdataClose5[[#This Row],[hl]]</f>
        <v>2.554278416347382E-2</v>
      </c>
      <c r="G299" s="15">
        <f t="shared" ca="1" si="4"/>
        <v>4012.3928571428796</v>
      </c>
      <c r="H299" s="6"/>
      <c r="K299" s="4">
        <v>297</v>
      </c>
      <c r="L299" s="27">
        <v>44497.131944444445</v>
      </c>
      <c r="M299" s="29">
        <v>4015</v>
      </c>
      <c r="N299" s="30">
        <v>4020.54</v>
      </c>
      <c r="O299" s="28">
        <v>-3.5019999999999999E-3</v>
      </c>
    </row>
    <row r="300" spans="1:16" x14ac:dyDescent="0.35">
      <c r="A300" s="7">
        <v>298</v>
      </c>
      <c r="B300" s="3">
        <v>44497.135416666664</v>
      </c>
      <c r="C300" s="14">
        <v>4011.97</v>
      </c>
      <c r="D300" s="6" t="s">
        <v>12</v>
      </c>
      <c r="E300" s="6">
        <f>IF(AND(D299="UP",testdataClose5[[#This Row],[close]]&gt;E299),testdataClose5[[#This Row],[close]],IF(AND(D299="DN",testdataClose5[[#This Row],[close]]&lt;E299),testdataClose5[[#This Row],[close]],E299))</f>
        <v>3915</v>
      </c>
      <c r="F300" s="11">
        <f>(testdataClose5[[#This Row],[close]]-testdataClose5[[#This Row],[hl]])/testdataClose5[[#This Row],[hl]]</f>
        <v>2.4768837803320509E-2</v>
      </c>
      <c r="G300" s="15">
        <f t="shared" ca="1" si="4"/>
        <v>4013.6914285714397</v>
      </c>
      <c r="H300" s="6"/>
      <c r="K300" s="4">
        <v>298</v>
      </c>
      <c r="L300" s="27">
        <v>44497.135416666664</v>
      </c>
      <c r="M300" s="29">
        <v>4011.97</v>
      </c>
      <c r="N300" s="30">
        <v>4011.97</v>
      </c>
      <c r="O300" s="28">
        <v>-4.254E-3</v>
      </c>
      <c r="P300" s="4" t="s">
        <v>15</v>
      </c>
    </row>
    <row r="301" spans="1:16" x14ac:dyDescent="0.35">
      <c r="A301" s="7">
        <v>299</v>
      </c>
      <c r="B301" s="3">
        <v>44497.138888888891</v>
      </c>
      <c r="C301" s="14">
        <v>4014.99</v>
      </c>
      <c r="D301" s="6" t="s">
        <v>12</v>
      </c>
      <c r="E301" s="6">
        <f>IF(AND(D300="UP",testdataClose5[[#This Row],[close]]&gt;E300),testdataClose5[[#This Row],[close]],IF(AND(D300="DN",testdataClose5[[#This Row],[close]]&lt;E300),testdataClose5[[#This Row],[close]],E300))</f>
        <v>3915</v>
      </c>
      <c r="F301" s="11">
        <f>(testdataClose5[[#This Row],[close]]-testdataClose5[[#This Row],[hl]])/testdataClose5[[#This Row],[hl]]</f>
        <v>2.5540229885057414E-2</v>
      </c>
      <c r="G301" s="17">
        <f>testdataClose5[[#This Row],[close]]</f>
        <v>4014.99</v>
      </c>
      <c r="H301" s="6"/>
      <c r="K301" s="4">
        <v>299</v>
      </c>
      <c r="L301" s="27">
        <v>44497.138888888891</v>
      </c>
      <c r="M301" s="29">
        <v>4014.99</v>
      </c>
      <c r="N301" s="30">
        <v>4014.99</v>
      </c>
      <c r="O301" s="28">
        <v>7.5299999999999998E-4</v>
      </c>
      <c r="P301" s="4" t="s">
        <v>14</v>
      </c>
    </row>
  </sheetData>
  <conditionalFormatting sqref="E3:E301">
    <cfRule type="expression" dxfId="15" priority="1">
      <formula>E3=C3</formula>
    </cfRule>
  </conditionalFormatting>
  <conditionalFormatting sqref="F2:F301">
    <cfRule type="expression" dxfId="14" priority="4">
      <formula>F2&lt;(-$I$2)</formula>
    </cfRule>
    <cfRule type="expression" dxfId="13" priority="5">
      <formula>F2&gt;($I$2)</formula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B79B-19F4-4974-899E-505C02892FA8}">
  <dimension ref="A1:S1432"/>
  <sheetViews>
    <sheetView tabSelected="1" workbookViewId="0">
      <selection activeCell="N2" sqref="N2"/>
    </sheetView>
  </sheetViews>
  <sheetFormatPr defaultRowHeight="14.5" x14ac:dyDescent="0.35"/>
  <cols>
    <col min="1" max="1" width="4.81640625" style="4" bestFit="1" customWidth="1"/>
    <col min="2" max="2" width="15.1796875" style="37" bestFit="1" customWidth="1"/>
    <col min="3" max="3" width="11.08984375" style="2" bestFit="1" customWidth="1"/>
    <col min="4" max="5" width="11.08984375" style="40" bestFit="1" customWidth="1"/>
    <col min="6" max="6" width="11.08984375" style="2" bestFit="1" customWidth="1"/>
    <col min="7" max="7" width="8.26953125" style="1" bestFit="1" customWidth="1"/>
    <col min="8" max="8" width="3.7265625" customWidth="1"/>
    <col min="9" max="9" width="15.1796875" style="37" bestFit="1" customWidth="1"/>
    <col min="10" max="10" width="11.6328125" style="29" customWidth="1"/>
    <col min="11" max="11" width="4.6328125" style="4" customWidth="1"/>
    <col min="12" max="13" width="11.6328125" style="6" customWidth="1"/>
    <col min="14" max="14" width="3.6328125" customWidth="1"/>
    <col min="15" max="15" width="15.1796875" style="37" bestFit="1" customWidth="1"/>
    <col min="16" max="16" width="11.6328125" style="29" customWidth="1"/>
    <col min="17" max="17" width="4.6328125" style="4" customWidth="1"/>
    <col min="18" max="19" width="11.6328125" style="6" customWidth="1"/>
  </cols>
  <sheetData>
    <row r="1" spans="1:19" x14ac:dyDescent="0.35">
      <c r="D1" s="40">
        <f>MAX(testdataHighLow7[high])</f>
        <v>83756.070000000007</v>
      </c>
      <c r="E1" s="40">
        <f>MIN(testdataHighLow7[low])</f>
        <v>75540.800000000003</v>
      </c>
      <c r="I1" s="38" t="s">
        <v>24</v>
      </c>
      <c r="O1" s="38" t="s">
        <v>25</v>
      </c>
    </row>
    <row r="2" spans="1:19" x14ac:dyDescent="0.35">
      <c r="A2" s="7" t="s">
        <v>21</v>
      </c>
      <c r="B2" s="37" t="s">
        <v>0</v>
      </c>
      <c r="C2" s="6" t="s">
        <v>1</v>
      </c>
      <c r="D2" s="41" t="s">
        <v>2</v>
      </c>
      <c r="E2" s="41" t="s">
        <v>3</v>
      </c>
      <c r="F2" s="6" t="s">
        <v>4</v>
      </c>
      <c r="G2" s="5" t="s">
        <v>5</v>
      </c>
      <c r="I2" s="37" t="s">
        <v>0</v>
      </c>
      <c r="J2" s="35" t="s">
        <v>19</v>
      </c>
      <c r="K2" s="4" t="s">
        <v>16</v>
      </c>
      <c r="L2" s="6" t="s">
        <v>17</v>
      </c>
      <c r="M2" s="6" t="s">
        <v>18</v>
      </c>
      <c r="O2" s="37" t="s">
        <v>0</v>
      </c>
      <c r="P2" s="35" t="s">
        <v>19</v>
      </c>
      <c r="Q2" s="4" t="s">
        <v>16</v>
      </c>
      <c r="R2" s="6" t="s">
        <v>17</v>
      </c>
      <c r="S2" s="6" t="s">
        <v>18</v>
      </c>
    </row>
    <row r="3" spans="1:19" x14ac:dyDescent="0.35">
      <c r="A3" s="7">
        <v>0</v>
      </c>
      <c r="B3" s="37">
        <v>46053.28402777778</v>
      </c>
      <c r="C3" s="2">
        <v>83710.66</v>
      </c>
      <c r="D3" s="42">
        <v>83710.8</v>
      </c>
      <c r="E3" s="42">
        <v>83637.81</v>
      </c>
      <c r="F3" s="2">
        <v>83642.100000000006</v>
      </c>
      <c r="G3" s="1">
        <v>109</v>
      </c>
      <c r="I3" s="37">
        <v>46053.28402777778</v>
      </c>
      <c r="J3" s="36"/>
      <c r="L3" s="2"/>
      <c r="M3" s="2"/>
      <c r="O3" s="37">
        <v>46053.28402777778</v>
      </c>
      <c r="P3" s="36"/>
      <c r="R3" s="2"/>
      <c r="S3" s="2"/>
    </row>
    <row r="4" spans="1:19" x14ac:dyDescent="0.35">
      <c r="A4" s="7">
        <v>1</v>
      </c>
      <c r="B4" s="37">
        <v>46053.284722222219</v>
      </c>
      <c r="C4" s="2">
        <v>83642.100000000006</v>
      </c>
      <c r="D4" s="42">
        <v>83686.03</v>
      </c>
      <c r="E4" s="42">
        <v>83642.100000000006</v>
      </c>
      <c r="F4" s="2">
        <v>83685.62</v>
      </c>
      <c r="G4" s="1">
        <v>139</v>
      </c>
      <c r="I4" s="37">
        <v>46053.284722222219</v>
      </c>
      <c r="J4" s="36"/>
      <c r="L4" s="2"/>
      <c r="M4" s="2"/>
      <c r="O4" s="37">
        <v>46053.284722222219</v>
      </c>
      <c r="P4" s="36"/>
      <c r="R4" s="2"/>
      <c r="S4" s="2"/>
    </row>
    <row r="5" spans="1:19" x14ac:dyDescent="0.35">
      <c r="A5" s="7">
        <v>2</v>
      </c>
      <c r="B5" s="37">
        <v>46053.285416666666</v>
      </c>
      <c r="C5" s="2">
        <v>83695.88</v>
      </c>
      <c r="D5" s="42">
        <v>83738.3</v>
      </c>
      <c r="E5" s="42">
        <v>83695.81</v>
      </c>
      <c r="F5" s="2">
        <v>83727.77</v>
      </c>
      <c r="G5" s="1">
        <v>154</v>
      </c>
      <c r="I5" s="37">
        <v>46053.285416666666</v>
      </c>
      <c r="J5" s="36"/>
      <c r="L5" s="2"/>
      <c r="M5" s="2"/>
      <c r="O5" s="37">
        <v>46053.285416666666</v>
      </c>
      <c r="P5" s="36"/>
      <c r="R5" s="2"/>
      <c r="S5" s="2"/>
    </row>
    <row r="6" spans="1:19" x14ac:dyDescent="0.35">
      <c r="A6" s="7">
        <v>3</v>
      </c>
      <c r="B6" s="37">
        <v>46053.286111111112</v>
      </c>
      <c r="C6" s="2">
        <v>83727.77</v>
      </c>
      <c r="D6" s="42">
        <v>83728.03</v>
      </c>
      <c r="E6" s="42">
        <v>83711.75</v>
      </c>
      <c r="F6" s="2">
        <v>83725.09</v>
      </c>
      <c r="G6" s="1">
        <v>88</v>
      </c>
      <c r="I6" s="37">
        <v>46053.286111111112</v>
      </c>
      <c r="J6" s="36"/>
      <c r="L6" s="2"/>
      <c r="M6" s="2"/>
      <c r="O6" s="37">
        <v>46053.286111111112</v>
      </c>
      <c r="P6" s="36"/>
      <c r="R6" s="2"/>
      <c r="S6" s="2"/>
    </row>
    <row r="7" spans="1:19" x14ac:dyDescent="0.35">
      <c r="A7" s="7">
        <v>4</v>
      </c>
      <c r="B7" s="37">
        <v>46053.286805555559</v>
      </c>
      <c r="C7" s="2">
        <v>83725.09</v>
      </c>
      <c r="D7" s="42">
        <v>83730.58</v>
      </c>
      <c r="E7" s="42">
        <v>83718.03</v>
      </c>
      <c r="F7" s="2">
        <v>83730.58</v>
      </c>
      <c r="G7" s="1">
        <v>116</v>
      </c>
      <c r="I7" s="37">
        <v>46053.286805555559</v>
      </c>
      <c r="J7" s="36"/>
      <c r="L7" s="2"/>
      <c r="M7" s="2"/>
      <c r="O7" s="37">
        <v>46053.286805555559</v>
      </c>
      <c r="P7" s="36"/>
      <c r="R7" s="2"/>
      <c r="S7" s="2"/>
    </row>
    <row r="8" spans="1:19" x14ac:dyDescent="0.35">
      <c r="A8" s="7">
        <v>5</v>
      </c>
      <c r="B8" s="37">
        <v>46053.287499999999</v>
      </c>
      <c r="C8" s="2">
        <v>83730.41</v>
      </c>
      <c r="D8" s="42">
        <v>83737.600000000006</v>
      </c>
      <c r="E8" s="42">
        <v>83730.080000000002</v>
      </c>
      <c r="F8" s="2">
        <v>83737.41</v>
      </c>
      <c r="G8" s="1">
        <v>97</v>
      </c>
      <c r="I8" s="37">
        <v>46053.287499999999</v>
      </c>
      <c r="J8" s="36"/>
      <c r="L8" s="2"/>
      <c r="M8" s="2"/>
      <c r="O8" s="37">
        <v>46053.287499999999</v>
      </c>
      <c r="P8" s="36"/>
      <c r="R8" s="2"/>
      <c r="S8" s="2"/>
    </row>
    <row r="9" spans="1:19" x14ac:dyDescent="0.35">
      <c r="A9" s="7">
        <v>6</v>
      </c>
      <c r="B9" s="37">
        <v>46053.288194444445</v>
      </c>
      <c r="C9" s="2">
        <v>83737.41</v>
      </c>
      <c r="D9" s="42">
        <v>83756.070000000007</v>
      </c>
      <c r="E9" s="42">
        <v>83730.649999999994</v>
      </c>
      <c r="F9" s="2">
        <v>83736.960000000006</v>
      </c>
      <c r="G9" s="1">
        <v>114</v>
      </c>
      <c r="I9" s="37">
        <v>46053.288194444445</v>
      </c>
      <c r="J9" s="36"/>
      <c r="L9" s="2"/>
      <c r="M9" s="2"/>
      <c r="O9" s="37">
        <v>46053.288194444445</v>
      </c>
      <c r="P9" s="36"/>
      <c r="R9" s="2"/>
      <c r="S9" s="2"/>
    </row>
    <row r="10" spans="1:19" x14ac:dyDescent="0.35">
      <c r="A10" s="7">
        <v>7</v>
      </c>
      <c r="B10" s="37">
        <v>46053.288888888892</v>
      </c>
      <c r="C10" s="2">
        <v>83736.91</v>
      </c>
      <c r="D10" s="42">
        <v>83736.91</v>
      </c>
      <c r="E10" s="42">
        <v>83708.38</v>
      </c>
      <c r="F10" s="2">
        <v>83709</v>
      </c>
      <c r="G10" s="1">
        <v>70</v>
      </c>
      <c r="I10" s="37">
        <v>46053.288888888892</v>
      </c>
      <c r="J10" s="36"/>
      <c r="L10" s="2"/>
      <c r="M10" s="2"/>
      <c r="O10" s="37">
        <v>46053.288888888892</v>
      </c>
      <c r="P10" s="36"/>
      <c r="R10" s="2"/>
      <c r="S10" s="2"/>
    </row>
    <row r="11" spans="1:19" x14ac:dyDescent="0.35">
      <c r="A11" s="7">
        <v>8</v>
      </c>
      <c r="B11" s="37">
        <v>46053.289583333331</v>
      </c>
      <c r="C11" s="2">
        <v>83709</v>
      </c>
      <c r="D11" s="42">
        <v>83716.84</v>
      </c>
      <c r="E11" s="42">
        <v>83708.03</v>
      </c>
      <c r="F11" s="2">
        <v>83708.77</v>
      </c>
      <c r="G11" s="1">
        <v>107</v>
      </c>
      <c r="I11" s="37">
        <v>46053.289583333331</v>
      </c>
      <c r="J11" s="36"/>
      <c r="L11" s="2"/>
      <c r="M11" s="2"/>
      <c r="O11" s="37">
        <v>46053.289583333331</v>
      </c>
      <c r="P11" s="36"/>
      <c r="R11" s="2"/>
      <c r="S11" s="2"/>
    </row>
    <row r="12" spans="1:19" x14ac:dyDescent="0.35">
      <c r="A12" s="7">
        <v>9</v>
      </c>
      <c r="B12" s="37">
        <v>46053.290277777778</v>
      </c>
      <c r="C12" s="2">
        <v>83708.69</v>
      </c>
      <c r="D12" s="42">
        <v>83729.600000000006</v>
      </c>
      <c r="E12" s="42">
        <v>83708.69</v>
      </c>
      <c r="F12" s="2">
        <v>83729.59</v>
      </c>
      <c r="G12" s="1">
        <v>58</v>
      </c>
      <c r="I12" s="37">
        <v>46053.290277777778</v>
      </c>
      <c r="J12" s="36"/>
      <c r="L12" s="2"/>
      <c r="M12" s="2"/>
      <c r="O12" s="37">
        <v>46053.290277777778</v>
      </c>
      <c r="P12" s="36"/>
      <c r="R12" s="2"/>
      <c r="S12" s="2"/>
    </row>
    <row r="13" spans="1:19" x14ac:dyDescent="0.35">
      <c r="A13" s="7">
        <v>10</v>
      </c>
      <c r="B13" s="37">
        <v>46053.290972222225</v>
      </c>
      <c r="C13" s="2">
        <v>83729.600000000006</v>
      </c>
      <c r="D13" s="42">
        <v>83739.7</v>
      </c>
      <c r="E13" s="42">
        <v>83728.5</v>
      </c>
      <c r="F13" s="2">
        <v>83728.5</v>
      </c>
      <c r="G13" s="1">
        <v>84</v>
      </c>
      <c r="I13" s="37">
        <v>46053.290972222225</v>
      </c>
      <c r="J13" s="36"/>
      <c r="L13" s="2"/>
      <c r="M13" s="2"/>
      <c r="O13" s="37">
        <v>46053.290972222225</v>
      </c>
      <c r="P13" s="36"/>
      <c r="R13" s="2"/>
      <c r="S13" s="2"/>
    </row>
    <row r="14" spans="1:19" x14ac:dyDescent="0.35">
      <c r="A14" s="7">
        <v>11</v>
      </c>
      <c r="B14" s="37">
        <v>46053.291666666664</v>
      </c>
      <c r="C14" s="2">
        <v>83728.460000000006</v>
      </c>
      <c r="D14" s="42">
        <v>83741</v>
      </c>
      <c r="E14" s="42">
        <v>83727.759999999995</v>
      </c>
      <c r="F14" s="2">
        <v>83740.97</v>
      </c>
      <c r="G14" s="1">
        <v>83</v>
      </c>
      <c r="I14" s="37">
        <v>46053.291666666664</v>
      </c>
      <c r="J14" s="36"/>
      <c r="L14" s="2"/>
      <c r="M14" s="2"/>
      <c r="O14" s="37">
        <v>46053.291666666664</v>
      </c>
      <c r="P14" s="36"/>
      <c r="R14" s="2"/>
      <c r="S14" s="2"/>
    </row>
    <row r="15" spans="1:19" x14ac:dyDescent="0.35">
      <c r="A15" s="7">
        <v>12</v>
      </c>
      <c r="B15" s="37">
        <v>46053.292361111111</v>
      </c>
      <c r="C15" s="2">
        <v>83740.97</v>
      </c>
      <c r="D15" s="42">
        <v>83750.3</v>
      </c>
      <c r="E15" s="42">
        <v>83734.740000000005</v>
      </c>
      <c r="F15" s="2">
        <v>83735.199999999997</v>
      </c>
      <c r="G15" s="1">
        <v>85</v>
      </c>
      <c r="I15" s="37">
        <v>46053.292361111111</v>
      </c>
      <c r="J15" s="36"/>
      <c r="L15" s="2"/>
      <c r="M15" s="2"/>
      <c r="O15" s="37">
        <v>46053.292361111111</v>
      </c>
      <c r="P15" s="36"/>
      <c r="R15" s="2"/>
      <c r="S15" s="2"/>
    </row>
    <row r="16" spans="1:19" x14ac:dyDescent="0.35">
      <c r="A16" s="7">
        <v>13</v>
      </c>
      <c r="B16" s="37">
        <v>46053.293055555558</v>
      </c>
      <c r="C16" s="2">
        <v>83734.8</v>
      </c>
      <c r="D16" s="42">
        <v>83735.240000000005</v>
      </c>
      <c r="E16" s="42">
        <v>83701.7</v>
      </c>
      <c r="F16" s="2">
        <v>83707.850000000006</v>
      </c>
      <c r="G16" s="1">
        <v>59</v>
      </c>
      <c r="I16" s="37">
        <v>46053.293055555558</v>
      </c>
      <c r="J16" s="36"/>
      <c r="L16" s="2"/>
      <c r="M16" s="2"/>
      <c r="O16" s="37">
        <v>46053.293055555558</v>
      </c>
      <c r="P16" s="36"/>
      <c r="R16" s="2"/>
      <c r="S16" s="2"/>
    </row>
    <row r="17" spans="1:19" x14ac:dyDescent="0.35">
      <c r="A17" s="7">
        <v>14</v>
      </c>
      <c r="B17" s="37">
        <v>46053.293749999997</v>
      </c>
      <c r="C17" s="2">
        <v>83715.199999999997</v>
      </c>
      <c r="D17" s="42">
        <v>83726.83</v>
      </c>
      <c r="E17" s="42">
        <v>83699.070000000007</v>
      </c>
      <c r="F17" s="2">
        <v>83699.929999999993</v>
      </c>
      <c r="G17" s="1">
        <v>123</v>
      </c>
      <c r="I17" s="37">
        <v>46053.293749999997</v>
      </c>
      <c r="J17" s="36"/>
      <c r="L17" s="2"/>
      <c r="M17" s="2"/>
      <c r="O17" s="37">
        <v>46053.293749999997</v>
      </c>
      <c r="P17" s="36"/>
      <c r="R17" s="2"/>
      <c r="S17" s="2"/>
    </row>
    <row r="18" spans="1:19" s="4" customFormat="1" x14ac:dyDescent="0.35">
      <c r="A18" s="7">
        <v>15</v>
      </c>
      <c r="B18" s="37">
        <v>46053.294444444444</v>
      </c>
      <c r="C18" s="2">
        <v>83699.11</v>
      </c>
      <c r="D18" s="42">
        <v>83717.100000000006</v>
      </c>
      <c r="E18" s="42">
        <v>83696.52</v>
      </c>
      <c r="F18" s="2">
        <v>83716.679999999993</v>
      </c>
      <c r="G18" s="1">
        <v>110</v>
      </c>
      <c r="H18"/>
      <c r="I18" s="37">
        <v>46053.294444444444</v>
      </c>
      <c r="J18" s="36"/>
      <c r="L18" s="2"/>
      <c r="M18" s="2"/>
      <c r="N18"/>
      <c r="O18" s="37">
        <v>46053.294444444444</v>
      </c>
      <c r="P18" s="36"/>
      <c r="R18" s="2"/>
      <c r="S18" s="2"/>
    </row>
    <row r="19" spans="1:19" s="4" customFormat="1" x14ac:dyDescent="0.35">
      <c r="A19" s="7">
        <v>16</v>
      </c>
      <c r="B19" s="37">
        <v>46053.295138888891</v>
      </c>
      <c r="C19" s="2">
        <v>83718.710000000006</v>
      </c>
      <c r="D19" s="42">
        <v>83740.399999999994</v>
      </c>
      <c r="E19" s="42">
        <v>83718.710000000006</v>
      </c>
      <c r="F19" s="2">
        <v>83740.34</v>
      </c>
      <c r="G19" s="1">
        <v>74</v>
      </c>
      <c r="H19"/>
      <c r="I19" s="37">
        <v>46053.295138888891</v>
      </c>
      <c r="J19" s="36"/>
      <c r="L19" s="2"/>
      <c r="M19" s="2"/>
      <c r="N19"/>
      <c r="O19" s="37">
        <v>46053.295138888891</v>
      </c>
      <c r="P19" s="36"/>
      <c r="R19" s="2"/>
      <c r="S19" s="2"/>
    </row>
    <row r="20" spans="1:19" s="4" customFormat="1" x14ac:dyDescent="0.35">
      <c r="A20" s="7">
        <v>17</v>
      </c>
      <c r="B20" s="37">
        <v>46053.29583333333</v>
      </c>
      <c r="C20" s="2">
        <v>83740.350000000006</v>
      </c>
      <c r="D20" s="42">
        <v>83740.350000000006</v>
      </c>
      <c r="E20" s="42">
        <v>83644.58</v>
      </c>
      <c r="F20" s="2">
        <v>83646.009999999995</v>
      </c>
      <c r="G20" s="1">
        <v>121</v>
      </c>
      <c r="H20"/>
      <c r="I20" s="37">
        <v>46053.29583333333</v>
      </c>
      <c r="J20" s="36"/>
      <c r="L20" s="2"/>
      <c r="M20" s="2"/>
      <c r="N20"/>
      <c r="O20" s="37">
        <v>46053.29583333333</v>
      </c>
      <c r="P20" s="36"/>
      <c r="R20" s="2"/>
      <c r="S20" s="2"/>
    </row>
    <row r="21" spans="1:19" s="4" customFormat="1" x14ac:dyDescent="0.35">
      <c r="A21" s="7">
        <v>18</v>
      </c>
      <c r="B21" s="37">
        <v>46053.296527777777</v>
      </c>
      <c r="C21" s="2">
        <v>83644.820000000007</v>
      </c>
      <c r="D21" s="42">
        <v>83670.289999999994</v>
      </c>
      <c r="E21" s="42">
        <v>83644.820000000007</v>
      </c>
      <c r="F21" s="2">
        <v>83652.600000000006</v>
      </c>
      <c r="G21" s="1">
        <v>115</v>
      </c>
      <c r="H21"/>
      <c r="I21" s="37">
        <v>46053.296527777777</v>
      </c>
      <c r="J21" s="36"/>
      <c r="L21" s="2"/>
      <c r="M21" s="2"/>
      <c r="N21"/>
      <c r="O21" s="37">
        <v>46053.296527777777</v>
      </c>
      <c r="P21" s="36"/>
      <c r="R21" s="2"/>
      <c r="S21" s="2"/>
    </row>
    <row r="22" spans="1:19" s="4" customFormat="1" x14ac:dyDescent="0.35">
      <c r="A22" s="7">
        <v>19</v>
      </c>
      <c r="B22" s="37">
        <v>46053.297222222223</v>
      </c>
      <c r="C22" s="2">
        <v>83652.600000000006</v>
      </c>
      <c r="D22" s="42">
        <v>83674.16</v>
      </c>
      <c r="E22" s="42">
        <v>83652.600000000006</v>
      </c>
      <c r="F22" s="2">
        <v>83655.320000000007</v>
      </c>
      <c r="G22" s="1">
        <v>107</v>
      </c>
      <c r="H22"/>
      <c r="I22" s="37">
        <v>46053.297222222223</v>
      </c>
      <c r="J22" s="36"/>
      <c r="L22" s="2"/>
      <c r="M22" s="2"/>
      <c r="N22"/>
      <c r="O22" s="37">
        <v>46053.297222222223</v>
      </c>
      <c r="P22" s="36"/>
      <c r="R22" s="2"/>
      <c r="S22" s="2"/>
    </row>
    <row r="23" spans="1:19" s="4" customFormat="1" x14ac:dyDescent="0.35">
      <c r="A23" s="7">
        <v>20</v>
      </c>
      <c r="B23" s="37">
        <v>46053.29791666667</v>
      </c>
      <c r="C23" s="2">
        <v>83655.320000000007</v>
      </c>
      <c r="D23" s="42">
        <v>83655.399999999994</v>
      </c>
      <c r="E23" s="42">
        <v>83640.710000000006</v>
      </c>
      <c r="F23" s="2">
        <v>83655.399999999994</v>
      </c>
      <c r="G23" s="1">
        <v>94</v>
      </c>
      <c r="H23"/>
      <c r="I23" s="37">
        <v>46053.29791666667</v>
      </c>
      <c r="J23" s="36"/>
      <c r="L23" s="2"/>
      <c r="M23" s="2"/>
      <c r="N23"/>
      <c r="O23" s="37">
        <v>46053.29791666667</v>
      </c>
      <c r="P23" s="36"/>
      <c r="R23" s="2"/>
      <c r="S23" s="2"/>
    </row>
    <row r="24" spans="1:19" s="4" customFormat="1" x14ac:dyDescent="0.35">
      <c r="A24" s="7">
        <v>21</v>
      </c>
      <c r="B24" s="37">
        <v>46053.298611111109</v>
      </c>
      <c r="C24" s="2">
        <v>83655.399999999994</v>
      </c>
      <c r="D24" s="42">
        <v>83685.399999999994</v>
      </c>
      <c r="E24" s="42">
        <v>83655.399999999994</v>
      </c>
      <c r="F24" s="2">
        <v>83685.009999999995</v>
      </c>
      <c r="G24" s="1">
        <v>101</v>
      </c>
      <c r="H24"/>
      <c r="I24" s="37">
        <v>46053.298611111109</v>
      </c>
      <c r="J24" s="36"/>
      <c r="L24" s="2"/>
      <c r="M24" s="2"/>
      <c r="N24"/>
      <c r="O24" s="37">
        <v>46053.298611111109</v>
      </c>
      <c r="P24" s="36"/>
      <c r="R24" s="2"/>
      <c r="S24" s="2"/>
    </row>
    <row r="25" spans="1:19" s="4" customFormat="1" x14ac:dyDescent="0.35">
      <c r="A25" s="7">
        <v>22</v>
      </c>
      <c r="B25" s="37">
        <v>46053.299305555556</v>
      </c>
      <c r="C25" s="2">
        <v>83685.009999999995</v>
      </c>
      <c r="D25" s="42">
        <v>83696.02</v>
      </c>
      <c r="E25" s="42">
        <v>83683.81</v>
      </c>
      <c r="F25" s="2">
        <v>83685.3</v>
      </c>
      <c r="G25" s="1">
        <v>86</v>
      </c>
      <c r="H25"/>
      <c r="I25" s="37">
        <v>46053.299305555556</v>
      </c>
      <c r="J25" s="36"/>
      <c r="L25" s="2"/>
      <c r="M25" s="2"/>
      <c r="N25"/>
      <c r="O25" s="37">
        <v>46053.299305555556</v>
      </c>
      <c r="P25" s="36"/>
      <c r="R25" s="2"/>
      <c r="S25" s="2"/>
    </row>
    <row r="26" spans="1:19" s="4" customFormat="1" x14ac:dyDescent="0.35">
      <c r="A26" s="7">
        <v>23</v>
      </c>
      <c r="B26" s="37">
        <v>46053.3</v>
      </c>
      <c r="C26" s="2">
        <v>83685.3</v>
      </c>
      <c r="D26" s="42">
        <v>83685.3</v>
      </c>
      <c r="E26" s="42">
        <v>83685.2</v>
      </c>
      <c r="F26" s="2">
        <v>83685.210000000006</v>
      </c>
      <c r="G26" s="1">
        <v>15</v>
      </c>
      <c r="H26"/>
      <c r="I26" s="37">
        <v>46053.3</v>
      </c>
      <c r="J26" s="36"/>
      <c r="L26" s="2"/>
      <c r="M26" s="2"/>
      <c r="N26"/>
      <c r="O26" s="37">
        <v>46053.3</v>
      </c>
      <c r="P26" s="36"/>
      <c r="R26" s="2"/>
      <c r="S26" s="2"/>
    </row>
    <row r="27" spans="1:19" s="4" customFormat="1" x14ac:dyDescent="0.35">
      <c r="A27" s="7">
        <v>24</v>
      </c>
      <c r="B27" s="37">
        <v>46053.300694444442</v>
      </c>
      <c r="C27" s="2">
        <v>83685.210000000006</v>
      </c>
      <c r="D27" s="42">
        <v>83712.800000000003</v>
      </c>
      <c r="E27" s="42">
        <v>83685.210000000006</v>
      </c>
      <c r="F27" s="2">
        <v>83712.78</v>
      </c>
      <c r="G27" s="1">
        <v>87</v>
      </c>
      <c r="H27"/>
      <c r="I27" s="37">
        <v>46053.300694444442</v>
      </c>
      <c r="J27" s="36"/>
      <c r="L27" s="2"/>
      <c r="M27" s="2"/>
      <c r="N27"/>
      <c r="O27" s="37">
        <v>46053.300694444442</v>
      </c>
      <c r="P27" s="36"/>
      <c r="R27" s="2"/>
      <c r="S27" s="2"/>
    </row>
    <row r="28" spans="1:19" s="4" customFormat="1" x14ac:dyDescent="0.35">
      <c r="A28" s="7">
        <v>25</v>
      </c>
      <c r="B28" s="37">
        <v>46053.301388888889</v>
      </c>
      <c r="C28" s="2">
        <v>83712.789999999994</v>
      </c>
      <c r="D28" s="42">
        <v>83712.789999999994</v>
      </c>
      <c r="E28" s="42">
        <v>83699.259999999995</v>
      </c>
      <c r="F28" s="2">
        <v>83702.600000000006</v>
      </c>
      <c r="G28" s="1">
        <v>76</v>
      </c>
      <c r="H28"/>
      <c r="I28" s="37">
        <v>46053.301388888889</v>
      </c>
      <c r="J28" s="36"/>
      <c r="L28" s="2"/>
      <c r="M28" s="2"/>
      <c r="N28"/>
      <c r="O28" s="37">
        <v>46053.301388888889</v>
      </c>
      <c r="P28" s="36"/>
      <c r="R28" s="2"/>
      <c r="S28" s="2"/>
    </row>
    <row r="29" spans="1:19" s="4" customFormat="1" x14ac:dyDescent="0.35">
      <c r="A29" s="7">
        <v>26</v>
      </c>
      <c r="B29" s="37">
        <v>46053.302083333336</v>
      </c>
      <c r="C29" s="2">
        <v>83697.820000000007</v>
      </c>
      <c r="D29" s="42">
        <v>83697.850000000006</v>
      </c>
      <c r="E29" s="42">
        <v>83683.81</v>
      </c>
      <c r="F29" s="2">
        <v>83683.94</v>
      </c>
      <c r="G29" s="1">
        <v>71</v>
      </c>
      <c r="H29"/>
      <c r="I29" s="37">
        <v>46053.302083333336</v>
      </c>
      <c r="J29" s="36"/>
      <c r="L29" s="2"/>
      <c r="M29" s="2"/>
      <c r="N29"/>
      <c r="O29" s="37">
        <v>46053.302083333336</v>
      </c>
      <c r="P29" s="36"/>
      <c r="R29" s="2"/>
      <c r="S29" s="2"/>
    </row>
    <row r="30" spans="1:19" s="4" customFormat="1" x14ac:dyDescent="0.35">
      <c r="A30" s="7">
        <v>27</v>
      </c>
      <c r="B30" s="37">
        <v>46053.302777777775</v>
      </c>
      <c r="C30" s="2">
        <v>83683.960000000006</v>
      </c>
      <c r="D30" s="42">
        <v>83683.960000000006</v>
      </c>
      <c r="E30" s="42">
        <v>83669.25</v>
      </c>
      <c r="F30" s="2">
        <v>83669.33</v>
      </c>
      <c r="G30" s="1">
        <v>58</v>
      </c>
      <c r="H30"/>
      <c r="I30" s="37">
        <v>46053.302777777775</v>
      </c>
      <c r="J30" s="36"/>
      <c r="L30" s="2"/>
      <c r="M30" s="2"/>
      <c r="N30"/>
      <c r="O30" s="37">
        <v>46053.302777777775</v>
      </c>
      <c r="P30" s="36"/>
      <c r="R30" s="2"/>
      <c r="S30" s="2"/>
    </row>
    <row r="31" spans="1:19" s="4" customFormat="1" x14ac:dyDescent="0.35">
      <c r="A31" s="7">
        <v>28</v>
      </c>
      <c r="B31" s="37">
        <v>46053.303472222222</v>
      </c>
      <c r="C31" s="2">
        <v>83669.320000000007</v>
      </c>
      <c r="D31" s="42">
        <v>83670.41</v>
      </c>
      <c r="E31" s="42">
        <v>83663.8</v>
      </c>
      <c r="F31" s="2">
        <v>83663.820000000007</v>
      </c>
      <c r="G31" s="1">
        <v>28</v>
      </c>
      <c r="H31"/>
      <c r="I31" s="37">
        <v>46053.303472222222</v>
      </c>
      <c r="J31" s="36"/>
      <c r="L31" s="2"/>
      <c r="M31" s="2"/>
      <c r="N31"/>
      <c r="O31" s="37">
        <v>46053.303472222222</v>
      </c>
      <c r="P31" s="36"/>
      <c r="R31" s="2"/>
      <c r="S31" s="2"/>
    </row>
    <row r="32" spans="1:19" s="4" customFormat="1" x14ac:dyDescent="0.35">
      <c r="A32" s="7">
        <v>29</v>
      </c>
      <c r="B32" s="37">
        <v>46053.304166666669</v>
      </c>
      <c r="C32" s="2">
        <v>83663.81</v>
      </c>
      <c r="D32" s="42">
        <v>83668.100000000006</v>
      </c>
      <c r="E32" s="42">
        <v>83651.05</v>
      </c>
      <c r="F32" s="2">
        <v>83652.41</v>
      </c>
      <c r="G32" s="1">
        <v>34</v>
      </c>
      <c r="H32"/>
      <c r="I32" s="37">
        <v>46053.304166666669</v>
      </c>
      <c r="J32" s="36"/>
      <c r="L32" s="2"/>
      <c r="M32" s="2"/>
      <c r="N32"/>
      <c r="O32" s="37">
        <v>46053.304166666669</v>
      </c>
      <c r="P32" s="36"/>
      <c r="R32" s="2"/>
      <c r="S32" s="2"/>
    </row>
    <row r="33" spans="1:19" s="4" customFormat="1" x14ac:dyDescent="0.35">
      <c r="A33" s="7">
        <v>30</v>
      </c>
      <c r="B33" s="37">
        <v>46053.304861111108</v>
      </c>
      <c r="C33" s="2">
        <v>83652.399999999994</v>
      </c>
      <c r="D33" s="42">
        <v>83652.41</v>
      </c>
      <c r="E33" s="42">
        <v>83627.12</v>
      </c>
      <c r="F33" s="2">
        <v>83627.81</v>
      </c>
      <c r="G33" s="1">
        <v>42</v>
      </c>
      <c r="H33"/>
      <c r="I33" s="37">
        <v>46053.304861111108</v>
      </c>
      <c r="J33" s="36"/>
      <c r="L33" s="2"/>
      <c r="M33" s="2"/>
      <c r="N33"/>
      <c r="O33" s="37">
        <v>46053.304861111108</v>
      </c>
      <c r="P33" s="36"/>
      <c r="R33" s="2"/>
      <c r="S33" s="2"/>
    </row>
    <row r="34" spans="1:19" x14ac:dyDescent="0.35">
      <c r="A34" s="7">
        <v>31</v>
      </c>
      <c r="B34" s="37">
        <v>46053.305555555555</v>
      </c>
      <c r="C34" s="2">
        <v>83640.5</v>
      </c>
      <c r="D34" s="42">
        <v>83664.850000000006</v>
      </c>
      <c r="E34" s="42">
        <v>83639.31</v>
      </c>
      <c r="F34" s="2">
        <v>83647.91</v>
      </c>
      <c r="G34" s="1">
        <v>75</v>
      </c>
      <c r="I34" s="37">
        <v>46053.305555555555</v>
      </c>
      <c r="J34" s="36"/>
      <c r="L34" s="2"/>
      <c r="M34" s="2"/>
      <c r="O34" s="37">
        <v>46053.305555555555</v>
      </c>
      <c r="P34" s="36"/>
      <c r="R34" s="2"/>
      <c r="S34" s="2"/>
    </row>
    <row r="35" spans="1:19" x14ac:dyDescent="0.35">
      <c r="A35" s="7">
        <v>32</v>
      </c>
      <c r="B35" s="37">
        <v>46053.306250000001</v>
      </c>
      <c r="C35" s="2">
        <v>83647.91</v>
      </c>
      <c r="D35" s="42">
        <v>83668.2</v>
      </c>
      <c r="E35" s="42">
        <v>83647.91</v>
      </c>
      <c r="F35" s="2">
        <v>83648.149999999994</v>
      </c>
      <c r="G35" s="1">
        <v>81</v>
      </c>
      <c r="I35" s="37">
        <v>46053.306250000001</v>
      </c>
      <c r="J35" s="36"/>
      <c r="L35" s="2"/>
      <c r="M35" s="2"/>
      <c r="O35" s="37">
        <v>46053.306250000001</v>
      </c>
      <c r="P35" s="36"/>
      <c r="R35" s="2"/>
      <c r="S35" s="2"/>
    </row>
    <row r="36" spans="1:19" x14ac:dyDescent="0.35">
      <c r="A36" s="7">
        <v>33</v>
      </c>
      <c r="B36" s="37">
        <v>46053.306944444441</v>
      </c>
      <c r="C36" s="2">
        <v>83648.19</v>
      </c>
      <c r="D36" s="42">
        <v>83668.960000000006</v>
      </c>
      <c r="E36" s="42">
        <v>83648.11</v>
      </c>
      <c r="F36" s="2">
        <v>83668.960000000006</v>
      </c>
      <c r="G36" s="1">
        <v>65</v>
      </c>
      <c r="I36" s="37">
        <v>46053.306944444441</v>
      </c>
      <c r="J36" s="36"/>
      <c r="L36" s="2"/>
      <c r="M36" s="2"/>
      <c r="O36" s="37">
        <v>46053.306944444441</v>
      </c>
      <c r="P36" s="36"/>
      <c r="R36" s="2"/>
      <c r="S36" s="2"/>
    </row>
    <row r="37" spans="1:19" x14ac:dyDescent="0.35">
      <c r="A37" s="7">
        <v>34</v>
      </c>
      <c r="B37" s="37">
        <v>46053.307638888888</v>
      </c>
      <c r="C37" s="2">
        <v>83668.960000000006</v>
      </c>
      <c r="D37" s="42">
        <v>83690.45</v>
      </c>
      <c r="E37" s="42">
        <v>83668.960000000006</v>
      </c>
      <c r="F37" s="2">
        <v>83685.100000000006</v>
      </c>
      <c r="G37" s="1">
        <v>59</v>
      </c>
      <c r="I37" s="37">
        <v>46053.307638888888</v>
      </c>
      <c r="J37" s="36"/>
      <c r="L37" s="2"/>
      <c r="M37" s="2"/>
      <c r="O37" s="37">
        <v>46053.307638888888</v>
      </c>
      <c r="P37" s="36"/>
      <c r="R37" s="2"/>
      <c r="S37" s="2"/>
    </row>
    <row r="38" spans="1:19" x14ac:dyDescent="0.35">
      <c r="A38" s="7">
        <v>35</v>
      </c>
      <c r="B38" s="37">
        <v>46053.308333333334</v>
      </c>
      <c r="C38" s="2">
        <v>83685.100000000006</v>
      </c>
      <c r="D38" s="42">
        <v>83700.350000000006</v>
      </c>
      <c r="E38" s="42">
        <v>83673.42</v>
      </c>
      <c r="F38" s="2">
        <v>83700.350000000006</v>
      </c>
      <c r="G38" s="1">
        <v>61</v>
      </c>
      <c r="I38" s="37">
        <v>46053.308333333334</v>
      </c>
      <c r="J38" s="36"/>
      <c r="L38" s="2"/>
      <c r="M38" s="2"/>
      <c r="O38" s="37">
        <v>46053.308333333334</v>
      </c>
      <c r="P38" s="36"/>
      <c r="R38" s="2"/>
      <c r="S38" s="2"/>
    </row>
    <row r="39" spans="1:19" x14ac:dyDescent="0.35">
      <c r="A39" s="7">
        <v>36</v>
      </c>
      <c r="B39" s="37">
        <v>46053.309027777781</v>
      </c>
      <c r="C39" s="2">
        <v>83700.350000000006</v>
      </c>
      <c r="D39" s="42">
        <v>83718.33</v>
      </c>
      <c r="E39" s="42">
        <v>83690.67</v>
      </c>
      <c r="F39" s="2">
        <v>83708.61</v>
      </c>
      <c r="G39" s="1">
        <v>55</v>
      </c>
      <c r="I39" s="37">
        <v>46053.309027777781</v>
      </c>
      <c r="J39" s="36"/>
      <c r="L39" s="2"/>
      <c r="M39" s="2"/>
      <c r="O39" s="37">
        <v>46053.309027777781</v>
      </c>
      <c r="P39" s="36"/>
      <c r="R39" s="2"/>
      <c r="S39" s="2"/>
    </row>
    <row r="40" spans="1:19" x14ac:dyDescent="0.35">
      <c r="A40" s="7">
        <v>37</v>
      </c>
      <c r="B40" s="37">
        <v>46053.30972222222</v>
      </c>
      <c r="C40" s="2">
        <v>83708.600000000006</v>
      </c>
      <c r="D40" s="42">
        <v>83724.3</v>
      </c>
      <c r="E40" s="42">
        <v>83697.119999999995</v>
      </c>
      <c r="F40" s="2">
        <v>83724.2</v>
      </c>
      <c r="G40" s="1">
        <v>59</v>
      </c>
      <c r="I40" s="37">
        <v>46053.30972222222</v>
      </c>
      <c r="J40" s="36"/>
      <c r="L40" s="2"/>
      <c r="M40" s="2"/>
      <c r="O40" s="37">
        <v>46053.30972222222</v>
      </c>
      <c r="P40" s="36"/>
      <c r="R40" s="2"/>
      <c r="S40" s="2"/>
    </row>
    <row r="41" spans="1:19" x14ac:dyDescent="0.35">
      <c r="A41" s="7">
        <v>38</v>
      </c>
      <c r="B41" s="37">
        <v>46053.310416666667</v>
      </c>
      <c r="C41" s="2">
        <v>83730.3</v>
      </c>
      <c r="D41" s="42">
        <v>83730.3</v>
      </c>
      <c r="E41" s="42">
        <v>83693.84</v>
      </c>
      <c r="F41" s="2">
        <v>83693.84</v>
      </c>
      <c r="G41" s="1">
        <v>62</v>
      </c>
      <c r="I41" s="37">
        <v>46053.310416666667</v>
      </c>
      <c r="J41" s="36"/>
      <c r="L41" s="2"/>
      <c r="M41" s="2"/>
      <c r="O41" s="37">
        <v>46053.310416666667</v>
      </c>
      <c r="P41" s="36"/>
      <c r="R41" s="2"/>
      <c r="S41" s="2"/>
    </row>
    <row r="42" spans="1:19" x14ac:dyDescent="0.35">
      <c r="A42" s="7">
        <v>39</v>
      </c>
      <c r="B42" s="37">
        <v>46053.311111111114</v>
      </c>
      <c r="C42" s="2">
        <v>83690.61</v>
      </c>
      <c r="D42" s="42">
        <v>83692.66</v>
      </c>
      <c r="E42" s="42">
        <v>83663.44</v>
      </c>
      <c r="F42" s="2">
        <v>83663.61</v>
      </c>
      <c r="G42" s="1">
        <v>55</v>
      </c>
      <c r="I42" s="37">
        <v>46053.311111111114</v>
      </c>
      <c r="J42" s="36"/>
      <c r="L42" s="2"/>
      <c r="M42" s="2"/>
      <c r="O42" s="37">
        <v>46053.311111111114</v>
      </c>
      <c r="P42" s="36"/>
      <c r="R42" s="2"/>
      <c r="S42" s="2"/>
    </row>
    <row r="43" spans="1:19" x14ac:dyDescent="0.35">
      <c r="A43" s="7">
        <v>40</v>
      </c>
      <c r="B43" s="37">
        <v>46053.311805555553</v>
      </c>
      <c r="C43" s="2">
        <v>83663.61</v>
      </c>
      <c r="D43" s="42">
        <v>83663.61</v>
      </c>
      <c r="E43" s="42">
        <v>83650.5</v>
      </c>
      <c r="F43" s="2">
        <v>83651.92</v>
      </c>
      <c r="G43" s="1">
        <v>31</v>
      </c>
      <c r="I43" s="37">
        <v>46053.311805555553</v>
      </c>
      <c r="J43" s="36"/>
      <c r="L43" s="2"/>
      <c r="M43" s="2"/>
      <c r="O43" s="37">
        <v>46053.311805555553</v>
      </c>
      <c r="P43" s="36"/>
      <c r="R43" s="2"/>
      <c r="S43" s="2"/>
    </row>
    <row r="44" spans="1:19" x14ac:dyDescent="0.35">
      <c r="A44" s="7">
        <v>41</v>
      </c>
      <c r="B44" s="37">
        <v>46053.3125</v>
      </c>
      <c r="C44" s="2">
        <v>83651.899999999994</v>
      </c>
      <c r="D44" s="42">
        <v>83672.210000000006</v>
      </c>
      <c r="E44" s="42">
        <v>83540.11</v>
      </c>
      <c r="F44" s="2">
        <v>83540.11</v>
      </c>
      <c r="G44" s="1">
        <v>78</v>
      </c>
      <c r="I44" s="37">
        <v>46053.3125</v>
      </c>
      <c r="J44" s="36"/>
      <c r="L44" s="2"/>
      <c r="M44" s="2"/>
      <c r="O44" s="37">
        <v>46053.3125</v>
      </c>
      <c r="P44" s="36"/>
      <c r="R44" s="2"/>
      <c r="S44" s="2"/>
    </row>
    <row r="45" spans="1:19" x14ac:dyDescent="0.35">
      <c r="A45" s="7">
        <v>42</v>
      </c>
      <c r="B45" s="37">
        <v>46053.313194444447</v>
      </c>
      <c r="C45" s="2">
        <v>83532.17</v>
      </c>
      <c r="D45" s="42">
        <v>83578.210000000006</v>
      </c>
      <c r="E45" s="42">
        <v>83507.19</v>
      </c>
      <c r="F45" s="2">
        <v>83559.009999999995</v>
      </c>
      <c r="G45" s="1">
        <v>149</v>
      </c>
      <c r="I45" s="37">
        <v>46053.313194444447</v>
      </c>
      <c r="J45" s="36"/>
      <c r="L45" s="2"/>
      <c r="M45" s="2"/>
      <c r="O45" s="37">
        <v>46053.313194444447</v>
      </c>
      <c r="P45" s="36"/>
      <c r="R45" s="2"/>
      <c r="S45" s="2"/>
    </row>
    <row r="46" spans="1:19" x14ac:dyDescent="0.35">
      <c r="A46" s="7">
        <v>43</v>
      </c>
      <c r="B46" s="37">
        <v>46053.313888888886</v>
      </c>
      <c r="C46" s="2">
        <v>83571.710000000006</v>
      </c>
      <c r="D46" s="42">
        <v>83579.039999999994</v>
      </c>
      <c r="E46" s="42">
        <v>83510.009999999995</v>
      </c>
      <c r="F46" s="2">
        <v>83522.509999999995</v>
      </c>
      <c r="G46" s="1">
        <v>128</v>
      </c>
      <c r="I46" s="37">
        <v>46053.313888888886</v>
      </c>
      <c r="J46" s="36"/>
      <c r="L46" s="2"/>
      <c r="M46" s="2"/>
      <c r="O46" s="37">
        <v>46053.313888888886</v>
      </c>
      <c r="P46" s="36"/>
      <c r="R46" s="2"/>
      <c r="S46" s="2"/>
    </row>
    <row r="47" spans="1:19" x14ac:dyDescent="0.35">
      <c r="A47" s="7">
        <v>44</v>
      </c>
      <c r="B47" s="37">
        <v>46053.314583333333</v>
      </c>
      <c r="C47" s="2">
        <v>83522.509999999995</v>
      </c>
      <c r="D47" s="42">
        <v>83531.7</v>
      </c>
      <c r="E47" s="42">
        <v>83438.720000000001</v>
      </c>
      <c r="F47" s="2">
        <v>83531.7</v>
      </c>
      <c r="G47" s="1">
        <v>190</v>
      </c>
      <c r="I47" s="37">
        <v>46053.314583333333</v>
      </c>
      <c r="J47" s="36"/>
      <c r="L47" s="2"/>
      <c r="M47" s="2"/>
      <c r="O47" s="37">
        <v>46053.314583333333</v>
      </c>
      <c r="P47" s="36"/>
      <c r="R47" s="2"/>
      <c r="S47" s="2"/>
    </row>
    <row r="48" spans="1:19" x14ac:dyDescent="0.35">
      <c r="A48" s="7">
        <v>45</v>
      </c>
      <c r="B48" s="37">
        <v>46053.31527777778</v>
      </c>
      <c r="C48" s="2">
        <v>83538.210000000006</v>
      </c>
      <c r="D48" s="42">
        <v>83558.600000000006</v>
      </c>
      <c r="E48" s="42">
        <v>83486.37</v>
      </c>
      <c r="F48" s="2">
        <v>83491.509999999995</v>
      </c>
      <c r="G48" s="1">
        <v>153</v>
      </c>
      <c r="I48" s="37">
        <v>46053.31527777778</v>
      </c>
      <c r="J48" s="36"/>
      <c r="L48" s="2"/>
      <c r="M48" s="2"/>
      <c r="O48" s="37">
        <v>46053.31527777778</v>
      </c>
      <c r="P48" s="36"/>
      <c r="R48" s="2"/>
      <c r="S48" s="2"/>
    </row>
    <row r="49" spans="1:19" x14ac:dyDescent="0.35">
      <c r="A49" s="7">
        <v>46</v>
      </c>
      <c r="B49" s="37">
        <v>46053.315972222219</v>
      </c>
      <c r="C49" s="2">
        <v>83491.509999999995</v>
      </c>
      <c r="D49" s="42">
        <v>83525.22</v>
      </c>
      <c r="E49" s="42">
        <v>83491.509999999995</v>
      </c>
      <c r="F49" s="2">
        <v>83504.210000000006</v>
      </c>
      <c r="G49" s="1">
        <v>155</v>
      </c>
      <c r="I49" s="37">
        <v>46053.315972222219</v>
      </c>
      <c r="J49" s="36"/>
      <c r="L49" s="2"/>
      <c r="M49" s="2"/>
      <c r="O49" s="37">
        <v>46053.315972222219</v>
      </c>
      <c r="P49" s="36"/>
      <c r="R49" s="2"/>
      <c r="S49" s="2"/>
    </row>
    <row r="50" spans="1:19" x14ac:dyDescent="0.35">
      <c r="A50" s="7">
        <v>47</v>
      </c>
      <c r="B50" s="37">
        <v>46053.316666666666</v>
      </c>
      <c r="C50" s="2">
        <v>83504.2</v>
      </c>
      <c r="D50" s="42">
        <v>83504.2</v>
      </c>
      <c r="E50" s="42">
        <v>83494.539999999994</v>
      </c>
      <c r="F50" s="2">
        <v>83499.600000000006</v>
      </c>
      <c r="G50" s="1">
        <v>89</v>
      </c>
      <c r="I50" s="37">
        <v>46053.316666666666</v>
      </c>
      <c r="J50" s="36"/>
      <c r="L50" s="2"/>
      <c r="M50" s="2"/>
      <c r="O50" s="37">
        <v>46053.316666666666</v>
      </c>
      <c r="P50" s="36"/>
      <c r="R50" s="2"/>
      <c r="S50" s="2"/>
    </row>
    <row r="51" spans="1:19" x14ac:dyDescent="0.35">
      <c r="A51" s="7">
        <v>48</v>
      </c>
      <c r="B51" s="37">
        <v>46053.317361111112</v>
      </c>
      <c r="C51" s="2">
        <v>83499.600000000006</v>
      </c>
      <c r="D51" s="42">
        <v>83502.600000000006</v>
      </c>
      <c r="E51" s="42">
        <v>83446.81</v>
      </c>
      <c r="F51" s="2">
        <v>83446.81</v>
      </c>
      <c r="G51" s="1">
        <v>158</v>
      </c>
      <c r="I51" s="37">
        <v>46053.317361111112</v>
      </c>
      <c r="J51" s="36"/>
      <c r="L51" s="2"/>
      <c r="M51" s="2"/>
      <c r="O51" s="37">
        <v>46053.317361111112</v>
      </c>
      <c r="P51" s="36"/>
      <c r="R51" s="2"/>
      <c r="S51" s="2"/>
    </row>
    <row r="52" spans="1:19" x14ac:dyDescent="0.35">
      <c r="A52" s="7">
        <v>49</v>
      </c>
      <c r="B52" s="37">
        <v>46053.318055555559</v>
      </c>
      <c r="C52" s="2">
        <v>83446.77</v>
      </c>
      <c r="D52" s="42">
        <v>83450.5</v>
      </c>
      <c r="E52" s="42">
        <v>83409.87</v>
      </c>
      <c r="F52" s="2">
        <v>83417.320000000007</v>
      </c>
      <c r="G52" s="1">
        <v>174</v>
      </c>
      <c r="I52" s="37">
        <v>46053.318055555559</v>
      </c>
      <c r="J52" s="36"/>
      <c r="L52" s="2"/>
      <c r="M52" s="2"/>
      <c r="O52" s="37">
        <v>46053.318055555559</v>
      </c>
      <c r="P52" s="36"/>
      <c r="R52" s="2"/>
      <c r="S52" s="2"/>
    </row>
    <row r="53" spans="1:19" x14ac:dyDescent="0.35">
      <c r="A53" s="7">
        <v>50</v>
      </c>
      <c r="B53" s="37">
        <v>46053.318749999999</v>
      </c>
      <c r="C53" s="2">
        <v>83417.34</v>
      </c>
      <c r="D53" s="42">
        <v>83432.7</v>
      </c>
      <c r="E53" s="42">
        <v>83369.350000000006</v>
      </c>
      <c r="F53" s="2">
        <v>83416.039999999994</v>
      </c>
      <c r="G53" s="1">
        <v>211</v>
      </c>
      <c r="I53" s="37">
        <v>46053.318749999999</v>
      </c>
      <c r="J53" s="36"/>
      <c r="L53" s="2"/>
      <c r="M53" s="2"/>
      <c r="O53" s="37">
        <v>46053.318749999999</v>
      </c>
      <c r="P53" s="36"/>
      <c r="R53" s="2"/>
      <c r="S53" s="2"/>
    </row>
    <row r="54" spans="1:19" x14ac:dyDescent="0.35">
      <c r="A54" s="7">
        <v>51</v>
      </c>
      <c r="B54" s="37">
        <v>46053.319444444445</v>
      </c>
      <c r="C54" s="2">
        <v>83415.97</v>
      </c>
      <c r="D54" s="42">
        <v>83423.850000000006</v>
      </c>
      <c r="E54" s="42">
        <v>83365.5</v>
      </c>
      <c r="F54" s="2">
        <v>83373.399999999994</v>
      </c>
      <c r="G54" s="1">
        <v>127</v>
      </c>
      <c r="I54" s="37">
        <v>46053.319444444445</v>
      </c>
      <c r="J54" s="36"/>
      <c r="L54" s="2"/>
      <c r="M54" s="2"/>
      <c r="O54" s="37">
        <v>46053.319444444445</v>
      </c>
      <c r="P54" s="36"/>
      <c r="R54" s="2"/>
      <c r="S54" s="2"/>
    </row>
    <row r="55" spans="1:19" x14ac:dyDescent="0.35">
      <c r="A55" s="7">
        <v>52</v>
      </c>
      <c r="B55" s="37">
        <v>46053.320138888892</v>
      </c>
      <c r="C55" s="2">
        <v>83373.399999999994</v>
      </c>
      <c r="D55" s="42">
        <v>83385.34</v>
      </c>
      <c r="E55" s="42">
        <v>83357.94</v>
      </c>
      <c r="F55" s="2">
        <v>83358.490000000005</v>
      </c>
      <c r="G55" s="1">
        <v>127</v>
      </c>
      <c r="I55" s="37">
        <v>46053.320138888892</v>
      </c>
      <c r="J55" s="36"/>
      <c r="L55" s="2"/>
      <c r="M55" s="2"/>
      <c r="O55" s="37">
        <v>46053.320138888892</v>
      </c>
      <c r="P55" s="36"/>
      <c r="R55" s="2"/>
      <c r="S55" s="2"/>
    </row>
    <row r="56" spans="1:19" x14ac:dyDescent="0.35">
      <c r="A56" s="7">
        <v>53</v>
      </c>
      <c r="B56" s="37">
        <v>46053.320833333331</v>
      </c>
      <c r="C56" s="2">
        <v>83358.47</v>
      </c>
      <c r="D56" s="42">
        <v>83423.850000000006</v>
      </c>
      <c r="E56" s="42">
        <v>83358.399999999994</v>
      </c>
      <c r="F56" s="2">
        <v>83413.98</v>
      </c>
      <c r="G56" s="1">
        <v>135</v>
      </c>
      <c r="I56" s="37">
        <v>46053.320833333331</v>
      </c>
      <c r="J56" s="36"/>
      <c r="L56" s="2"/>
      <c r="M56" s="2"/>
      <c r="O56" s="37">
        <v>46053.320833333331</v>
      </c>
      <c r="P56" s="36"/>
      <c r="R56" s="2"/>
      <c r="S56" s="2"/>
    </row>
    <row r="57" spans="1:19" x14ac:dyDescent="0.35">
      <c r="A57" s="7">
        <v>54</v>
      </c>
      <c r="B57" s="37">
        <v>46053.321527777778</v>
      </c>
      <c r="C57" s="2">
        <v>83413.91</v>
      </c>
      <c r="D57" s="42">
        <v>83440.350000000006</v>
      </c>
      <c r="E57" s="42">
        <v>83412.31</v>
      </c>
      <c r="F57" s="2">
        <v>83416.44</v>
      </c>
      <c r="G57" s="1">
        <v>138</v>
      </c>
      <c r="I57" s="37">
        <v>46053.321527777778</v>
      </c>
      <c r="J57" s="36"/>
      <c r="L57" s="2"/>
      <c r="M57" s="2"/>
      <c r="O57" s="37">
        <v>46053.321527777778</v>
      </c>
      <c r="P57" s="36"/>
      <c r="R57" s="2"/>
      <c r="S57" s="2"/>
    </row>
    <row r="58" spans="1:19" x14ac:dyDescent="0.35">
      <c r="A58" s="7">
        <v>55</v>
      </c>
      <c r="B58" s="37">
        <v>46053.322222222225</v>
      </c>
      <c r="C58" s="2">
        <v>83416.429999999993</v>
      </c>
      <c r="D58" s="42">
        <v>83475.399999999994</v>
      </c>
      <c r="E58" s="42">
        <v>83416.42</v>
      </c>
      <c r="F58" s="2">
        <v>83432.91</v>
      </c>
      <c r="G58" s="1">
        <v>91</v>
      </c>
      <c r="I58" s="37">
        <v>46053.322222222225</v>
      </c>
      <c r="J58" s="36"/>
      <c r="L58" s="2"/>
      <c r="M58" s="2"/>
      <c r="O58" s="37">
        <v>46053.322222222225</v>
      </c>
      <c r="P58" s="36"/>
      <c r="R58" s="2"/>
      <c r="S58" s="2"/>
    </row>
    <row r="59" spans="1:19" x14ac:dyDescent="0.35">
      <c r="A59" s="7">
        <v>56</v>
      </c>
      <c r="B59" s="37">
        <v>46053.322916666664</v>
      </c>
      <c r="C59" s="2">
        <v>83432.91</v>
      </c>
      <c r="D59" s="42">
        <v>83490.399999999994</v>
      </c>
      <c r="E59" s="42">
        <v>83432.91</v>
      </c>
      <c r="F59" s="2">
        <v>83480</v>
      </c>
      <c r="G59" s="1">
        <v>107</v>
      </c>
      <c r="I59" s="37">
        <v>46053.322916666664</v>
      </c>
      <c r="J59" s="36"/>
      <c r="L59" s="2"/>
      <c r="M59" s="2"/>
      <c r="O59" s="37">
        <v>46053.322916666664</v>
      </c>
      <c r="P59" s="36"/>
      <c r="R59" s="2"/>
      <c r="S59" s="2"/>
    </row>
    <row r="60" spans="1:19" x14ac:dyDescent="0.35">
      <c r="A60" s="7">
        <v>57</v>
      </c>
      <c r="B60" s="37">
        <v>46053.323611111111</v>
      </c>
      <c r="C60" s="2">
        <v>83480.009999999995</v>
      </c>
      <c r="D60" s="42">
        <v>83490.399999999994</v>
      </c>
      <c r="E60" s="42">
        <v>83434.66</v>
      </c>
      <c r="F60" s="2">
        <v>83451.240000000005</v>
      </c>
      <c r="G60" s="1">
        <v>149</v>
      </c>
      <c r="I60" s="37">
        <v>46053.323611111111</v>
      </c>
      <c r="J60" s="36"/>
      <c r="L60" s="2"/>
      <c r="M60" s="2"/>
      <c r="O60" s="37">
        <v>46053.323611111111</v>
      </c>
      <c r="P60" s="36"/>
      <c r="R60" s="2"/>
      <c r="S60" s="2"/>
    </row>
    <row r="61" spans="1:19" x14ac:dyDescent="0.35">
      <c r="A61" s="7">
        <v>58</v>
      </c>
      <c r="B61" s="37">
        <v>46053.324305555558</v>
      </c>
      <c r="C61" s="2">
        <v>83456.5</v>
      </c>
      <c r="D61" s="42">
        <v>83521.66</v>
      </c>
      <c r="E61" s="42">
        <v>83456.5</v>
      </c>
      <c r="F61" s="2">
        <v>83506.350000000006</v>
      </c>
      <c r="G61" s="1">
        <v>117</v>
      </c>
      <c r="I61" s="37">
        <v>46053.324305555558</v>
      </c>
      <c r="J61" s="36"/>
      <c r="L61" s="2"/>
      <c r="M61" s="2"/>
      <c r="O61" s="37">
        <v>46053.324305555558</v>
      </c>
      <c r="P61" s="36"/>
      <c r="R61" s="2"/>
      <c r="S61" s="2"/>
    </row>
    <row r="62" spans="1:19" x14ac:dyDescent="0.35">
      <c r="A62" s="7">
        <v>59</v>
      </c>
      <c r="B62" s="37">
        <v>46053.324999999997</v>
      </c>
      <c r="C62" s="2">
        <v>83506.350000000006</v>
      </c>
      <c r="D62" s="42">
        <v>83523.12</v>
      </c>
      <c r="E62" s="42">
        <v>83499.899999999994</v>
      </c>
      <c r="F62" s="2">
        <v>83514.59</v>
      </c>
      <c r="G62" s="1">
        <v>97</v>
      </c>
      <c r="I62" s="37">
        <v>46053.324999999997</v>
      </c>
      <c r="J62" s="36"/>
      <c r="L62" s="2"/>
      <c r="M62" s="2"/>
      <c r="O62" s="37">
        <v>46053.324999999997</v>
      </c>
      <c r="P62" s="36"/>
      <c r="R62" s="2"/>
      <c r="S62" s="2"/>
    </row>
    <row r="63" spans="1:19" x14ac:dyDescent="0.35">
      <c r="A63" s="7">
        <v>60</v>
      </c>
      <c r="B63" s="37">
        <v>46053.325694444444</v>
      </c>
      <c r="C63" s="2">
        <v>83514.59</v>
      </c>
      <c r="D63" s="42">
        <v>83520.75</v>
      </c>
      <c r="E63" s="42">
        <v>83469.960000000006</v>
      </c>
      <c r="F63" s="2">
        <v>83478.34</v>
      </c>
      <c r="G63" s="1">
        <v>141</v>
      </c>
      <c r="I63" s="37">
        <v>46053.325694444444</v>
      </c>
      <c r="J63" s="36"/>
      <c r="L63" s="2"/>
      <c r="M63" s="2"/>
      <c r="O63" s="37">
        <v>46053.325694444444</v>
      </c>
      <c r="P63" s="36"/>
      <c r="R63" s="2"/>
      <c r="S63" s="2"/>
    </row>
    <row r="64" spans="1:19" x14ac:dyDescent="0.35">
      <c r="A64" s="7">
        <v>61</v>
      </c>
      <c r="B64" s="37">
        <v>46053.326388888891</v>
      </c>
      <c r="C64" s="2">
        <v>83478.34</v>
      </c>
      <c r="D64" s="42">
        <v>83515.55</v>
      </c>
      <c r="E64" s="42">
        <v>83468.81</v>
      </c>
      <c r="F64" s="2">
        <v>83469.7</v>
      </c>
      <c r="G64" s="1">
        <v>123</v>
      </c>
      <c r="I64" s="37">
        <v>46053.326388888891</v>
      </c>
      <c r="J64" s="36"/>
      <c r="L64" s="2"/>
      <c r="M64" s="2"/>
      <c r="O64" s="37">
        <v>46053.326388888891</v>
      </c>
      <c r="P64" s="36"/>
      <c r="R64" s="2"/>
      <c r="S64" s="2"/>
    </row>
    <row r="65" spans="1:19" x14ac:dyDescent="0.35">
      <c r="A65" s="7">
        <v>62</v>
      </c>
      <c r="B65" s="37">
        <v>46053.32708333333</v>
      </c>
      <c r="C65" s="2">
        <v>83469.440000000002</v>
      </c>
      <c r="D65" s="42">
        <v>83494.5</v>
      </c>
      <c r="E65" s="42">
        <v>83469.440000000002</v>
      </c>
      <c r="F65" s="2">
        <v>83494.13</v>
      </c>
      <c r="G65" s="1">
        <v>71</v>
      </c>
      <c r="I65" s="37">
        <v>46053.32708333333</v>
      </c>
      <c r="J65" s="36"/>
      <c r="L65" s="2"/>
      <c r="M65" s="2"/>
      <c r="O65" s="37">
        <v>46053.32708333333</v>
      </c>
      <c r="P65" s="36"/>
      <c r="R65" s="2"/>
      <c r="S65" s="2"/>
    </row>
    <row r="66" spans="1:19" s="4" customFormat="1" x14ac:dyDescent="0.35">
      <c r="A66" s="7">
        <v>63</v>
      </c>
      <c r="B66" s="37">
        <v>46053.327777777777</v>
      </c>
      <c r="C66" s="2">
        <v>83494.13</v>
      </c>
      <c r="D66" s="42">
        <v>83523.69</v>
      </c>
      <c r="E66" s="42">
        <v>83494.13</v>
      </c>
      <c r="F66" s="2">
        <v>83503.34</v>
      </c>
      <c r="G66" s="1">
        <v>119</v>
      </c>
      <c r="H66"/>
      <c r="I66" s="37">
        <v>46053.327777777777</v>
      </c>
      <c r="J66" s="36"/>
      <c r="L66" s="2"/>
      <c r="M66" s="2"/>
      <c r="N66"/>
      <c r="O66" s="37">
        <v>46053.327777777777</v>
      </c>
      <c r="P66" s="36"/>
      <c r="R66" s="2"/>
      <c r="S66" s="2"/>
    </row>
    <row r="67" spans="1:19" s="4" customFormat="1" x14ac:dyDescent="0.35">
      <c r="A67" s="7">
        <v>64</v>
      </c>
      <c r="B67" s="37">
        <v>46053.328472222223</v>
      </c>
      <c r="C67" s="2">
        <v>83503.33</v>
      </c>
      <c r="D67" s="42">
        <v>83510.399999999994</v>
      </c>
      <c r="E67" s="42">
        <v>83494.5</v>
      </c>
      <c r="F67" s="2">
        <v>83501.429999999993</v>
      </c>
      <c r="G67" s="1">
        <v>65</v>
      </c>
      <c r="H67"/>
      <c r="I67" s="37">
        <v>46053.328472222223</v>
      </c>
      <c r="J67" s="36"/>
      <c r="L67" s="2"/>
      <c r="M67" s="2"/>
      <c r="N67"/>
      <c r="O67" s="37">
        <v>46053.328472222223</v>
      </c>
      <c r="P67" s="36"/>
      <c r="R67" s="2"/>
      <c r="S67" s="2"/>
    </row>
    <row r="68" spans="1:19" s="4" customFormat="1" x14ac:dyDescent="0.35">
      <c r="A68" s="7">
        <v>65</v>
      </c>
      <c r="B68" s="37">
        <v>46053.32916666667</v>
      </c>
      <c r="C68" s="2">
        <v>83501.440000000002</v>
      </c>
      <c r="D68" s="42">
        <v>83501.440000000002</v>
      </c>
      <c r="E68" s="42">
        <v>83495.929999999993</v>
      </c>
      <c r="F68" s="2">
        <v>83500.100000000006</v>
      </c>
      <c r="G68" s="1">
        <v>107</v>
      </c>
      <c r="H68"/>
      <c r="I68" s="37">
        <v>46053.32916666667</v>
      </c>
      <c r="J68" s="36"/>
      <c r="L68" s="2"/>
      <c r="M68" s="2"/>
      <c r="N68"/>
      <c r="O68" s="37">
        <v>46053.32916666667</v>
      </c>
      <c r="P68" s="36"/>
      <c r="R68" s="2"/>
      <c r="S68" s="2"/>
    </row>
    <row r="69" spans="1:19" s="4" customFormat="1" x14ac:dyDescent="0.35">
      <c r="A69" s="7">
        <v>66</v>
      </c>
      <c r="B69" s="37">
        <v>46053.329861111109</v>
      </c>
      <c r="C69" s="2">
        <v>83500.100000000006</v>
      </c>
      <c r="D69" s="42">
        <v>83515</v>
      </c>
      <c r="E69" s="42">
        <v>83500.100000000006</v>
      </c>
      <c r="F69" s="2">
        <v>83515</v>
      </c>
      <c r="G69" s="1">
        <v>35</v>
      </c>
      <c r="H69"/>
      <c r="I69" s="37">
        <v>46053.329861111109</v>
      </c>
      <c r="J69" s="36"/>
      <c r="L69" s="2"/>
      <c r="M69" s="2"/>
      <c r="N69"/>
      <c r="O69" s="37">
        <v>46053.329861111109</v>
      </c>
      <c r="P69" s="36"/>
      <c r="R69" s="2"/>
      <c r="S69" s="2"/>
    </row>
    <row r="70" spans="1:19" s="4" customFormat="1" x14ac:dyDescent="0.35">
      <c r="A70" s="7">
        <v>67</v>
      </c>
      <c r="B70" s="37">
        <v>46053.330555555556</v>
      </c>
      <c r="C70" s="2">
        <v>83515</v>
      </c>
      <c r="D70" s="42">
        <v>83515</v>
      </c>
      <c r="E70" s="42">
        <v>83483.899999999994</v>
      </c>
      <c r="F70" s="2">
        <v>83483.899999999994</v>
      </c>
      <c r="G70" s="1">
        <v>96</v>
      </c>
      <c r="H70"/>
      <c r="I70" s="37">
        <v>46053.330555555556</v>
      </c>
      <c r="J70" s="36"/>
      <c r="L70" s="2"/>
      <c r="M70" s="2"/>
      <c r="N70"/>
      <c r="O70" s="37">
        <v>46053.330555555556</v>
      </c>
      <c r="P70" s="36"/>
      <c r="R70" s="2"/>
      <c r="S70" s="2"/>
    </row>
    <row r="71" spans="1:19" s="4" customFormat="1" x14ac:dyDescent="0.35">
      <c r="A71" s="7">
        <v>68</v>
      </c>
      <c r="B71" s="37">
        <v>46053.331250000003</v>
      </c>
      <c r="C71" s="2">
        <v>83484.240000000005</v>
      </c>
      <c r="D71" s="42">
        <v>83510.8</v>
      </c>
      <c r="E71" s="42">
        <v>83467.990000000005</v>
      </c>
      <c r="F71" s="2">
        <v>83510.8</v>
      </c>
      <c r="G71" s="1">
        <v>137</v>
      </c>
      <c r="H71"/>
      <c r="I71" s="37">
        <v>46053.331250000003</v>
      </c>
      <c r="J71" s="36"/>
      <c r="L71" s="2"/>
      <c r="M71" s="2"/>
      <c r="N71"/>
      <c r="O71" s="37">
        <v>46053.331250000003</v>
      </c>
      <c r="P71" s="36"/>
      <c r="R71" s="2"/>
      <c r="S71" s="2"/>
    </row>
    <row r="72" spans="1:19" s="4" customFormat="1" x14ac:dyDescent="0.35">
      <c r="A72" s="7">
        <v>69</v>
      </c>
      <c r="B72" s="37">
        <v>46053.331944444442</v>
      </c>
      <c r="C72" s="2">
        <v>83510.8</v>
      </c>
      <c r="D72" s="42">
        <v>83514.84</v>
      </c>
      <c r="E72" s="42">
        <v>83500.789999999994</v>
      </c>
      <c r="F72" s="2">
        <v>83506.539999999994</v>
      </c>
      <c r="G72" s="1">
        <v>116</v>
      </c>
      <c r="H72"/>
      <c r="I72" s="37">
        <v>46053.331944444442</v>
      </c>
      <c r="J72" s="36"/>
      <c r="L72" s="2"/>
      <c r="M72" s="2"/>
      <c r="N72"/>
      <c r="O72" s="37">
        <v>46053.331944444442</v>
      </c>
      <c r="P72" s="36"/>
      <c r="R72" s="2"/>
      <c r="S72" s="2"/>
    </row>
    <row r="73" spans="1:19" s="4" customFormat="1" x14ac:dyDescent="0.35">
      <c r="A73" s="7">
        <v>70</v>
      </c>
      <c r="B73" s="37">
        <v>46053.332638888889</v>
      </c>
      <c r="C73" s="2">
        <v>83506.52</v>
      </c>
      <c r="D73" s="42">
        <v>83506.8</v>
      </c>
      <c r="E73" s="42">
        <v>83490.44</v>
      </c>
      <c r="F73" s="2">
        <v>83503.94</v>
      </c>
      <c r="G73" s="1">
        <v>77</v>
      </c>
      <c r="H73"/>
      <c r="I73" s="37">
        <v>46053.332638888889</v>
      </c>
      <c r="J73" s="36"/>
      <c r="L73" s="2"/>
      <c r="M73" s="2"/>
      <c r="N73"/>
      <c r="O73" s="37">
        <v>46053.332638888889</v>
      </c>
      <c r="P73" s="36"/>
      <c r="R73" s="2"/>
      <c r="S73" s="2"/>
    </row>
    <row r="74" spans="1:19" s="4" customFormat="1" x14ac:dyDescent="0.35">
      <c r="A74" s="7">
        <v>71</v>
      </c>
      <c r="B74" s="37">
        <v>46053.333333333336</v>
      </c>
      <c r="C74" s="2">
        <v>83504.100000000006</v>
      </c>
      <c r="D74" s="42">
        <v>83515</v>
      </c>
      <c r="E74" s="42">
        <v>83502.070000000007</v>
      </c>
      <c r="F74" s="2">
        <v>83514.320000000007</v>
      </c>
      <c r="G74" s="1">
        <v>94</v>
      </c>
      <c r="H74"/>
      <c r="I74" s="37">
        <v>46053.333333333336</v>
      </c>
      <c r="J74" s="36"/>
      <c r="L74" s="2"/>
      <c r="M74" s="2"/>
      <c r="N74"/>
      <c r="O74" s="37">
        <v>46053.333333333336</v>
      </c>
      <c r="P74" s="36"/>
      <c r="R74" s="2"/>
      <c r="S74" s="2"/>
    </row>
    <row r="75" spans="1:19" s="4" customFormat="1" x14ac:dyDescent="0.35">
      <c r="A75" s="7">
        <v>72</v>
      </c>
      <c r="B75" s="37">
        <v>46053.334027777775</v>
      </c>
      <c r="C75" s="2">
        <v>83514.320000000007</v>
      </c>
      <c r="D75" s="42">
        <v>83550.399999999994</v>
      </c>
      <c r="E75" s="42">
        <v>83514.320000000007</v>
      </c>
      <c r="F75" s="2">
        <v>83550.399999999994</v>
      </c>
      <c r="G75" s="1">
        <v>85</v>
      </c>
      <c r="H75"/>
      <c r="I75" s="37">
        <v>46053.334027777775</v>
      </c>
      <c r="J75" s="36"/>
      <c r="L75" s="2"/>
      <c r="M75" s="2"/>
      <c r="N75"/>
      <c r="O75" s="37">
        <v>46053.334027777775</v>
      </c>
      <c r="P75" s="36"/>
      <c r="R75" s="2"/>
      <c r="S75" s="2"/>
    </row>
    <row r="76" spans="1:19" s="4" customFormat="1" x14ac:dyDescent="0.35">
      <c r="A76" s="7">
        <v>73</v>
      </c>
      <c r="B76" s="37">
        <v>46053.334722222222</v>
      </c>
      <c r="C76" s="2">
        <v>83555.8</v>
      </c>
      <c r="D76" s="42">
        <v>83588.350000000006</v>
      </c>
      <c r="E76" s="42">
        <v>83522.600000000006</v>
      </c>
      <c r="F76" s="2">
        <v>83533.42</v>
      </c>
      <c r="G76" s="1">
        <v>125</v>
      </c>
      <c r="H76"/>
      <c r="I76" s="37">
        <v>46053.334722222222</v>
      </c>
      <c r="J76" s="36"/>
      <c r="L76" s="2"/>
      <c r="M76" s="2"/>
      <c r="N76"/>
      <c r="O76" s="37">
        <v>46053.334722222222</v>
      </c>
      <c r="P76" s="36"/>
      <c r="R76" s="2"/>
      <c r="S76" s="2"/>
    </row>
    <row r="77" spans="1:19" s="4" customFormat="1" x14ac:dyDescent="0.35">
      <c r="A77" s="7">
        <v>74</v>
      </c>
      <c r="B77" s="37">
        <v>46053.335416666669</v>
      </c>
      <c r="C77" s="2">
        <v>83533.42</v>
      </c>
      <c r="D77" s="42">
        <v>83533.429999999993</v>
      </c>
      <c r="E77" s="42">
        <v>83512.509999999995</v>
      </c>
      <c r="F77" s="2">
        <v>83512.509999999995</v>
      </c>
      <c r="G77" s="1">
        <v>59</v>
      </c>
      <c r="H77"/>
      <c r="I77" s="37">
        <v>46053.335416666669</v>
      </c>
      <c r="J77" s="36"/>
      <c r="L77" s="2"/>
      <c r="M77" s="2"/>
      <c r="N77"/>
      <c r="O77" s="37">
        <v>46053.335416666669</v>
      </c>
      <c r="P77" s="36"/>
      <c r="R77" s="2"/>
      <c r="S77" s="2"/>
    </row>
    <row r="78" spans="1:19" s="4" customFormat="1" x14ac:dyDescent="0.35">
      <c r="A78" s="7">
        <v>75</v>
      </c>
      <c r="B78" s="37">
        <v>46053.336111111108</v>
      </c>
      <c r="C78" s="2">
        <v>83511.83</v>
      </c>
      <c r="D78" s="42">
        <v>83511.850000000006</v>
      </c>
      <c r="E78" s="42">
        <v>83452.38</v>
      </c>
      <c r="F78" s="2">
        <v>83453.31</v>
      </c>
      <c r="G78" s="1">
        <v>115</v>
      </c>
      <c r="H78"/>
      <c r="I78" s="37">
        <v>46053.336111111108</v>
      </c>
      <c r="J78" s="36"/>
      <c r="L78" s="2"/>
      <c r="M78" s="2"/>
      <c r="N78"/>
      <c r="O78" s="37">
        <v>46053.336111111108</v>
      </c>
      <c r="P78" s="36"/>
      <c r="R78" s="2"/>
      <c r="S78" s="2"/>
    </row>
    <row r="79" spans="1:19" s="4" customFormat="1" x14ac:dyDescent="0.35">
      <c r="A79" s="7">
        <v>76</v>
      </c>
      <c r="B79" s="37">
        <v>46053.336805555555</v>
      </c>
      <c r="C79" s="2">
        <v>83453.3</v>
      </c>
      <c r="D79" s="42">
        <v>83490.399999999994</v>
      </c>
      <c r="E79" s="42">
        <v>83453.3</v>
      </c>
      <c r="F79" s="2">
        <v>83486.559999999998</v>
      </c>
      <c r="G79" s="1">
        <v>130</v>
      </c>
      <c r="H79"/>
      <c r="I79" s="37">
        <v>46053.336805555555</v>
      </c>
      <c r="J79" s="36"/>
      <c r="L79" s="2"/>
      <c r="M79" s="2"/>
      <c r="N79"/>
      <c r="O79" s="37">
        <v>46053.336805555555</v>
      </c>
      <c r="P79" s="36"/>
      <c r="R79" s="2"/>
      <c r="S79" s="2"/>
    </row>
    <row r="80" spans="1:19" s="4" customFormat="1" x14ac:dyDescent="0.35">
      <c r="A80" s="7">
        <v>77</v>
      </c>
      <c r="B80" s="37">
        <v>46053.337500000001</v>
      </c>
      <c r="C80" s="2">
        <v>83486.559999999998</v>
      </c>
      <c r="D80" s="42">
        <v>83522.8</v>
      </c>
      <c r="E80" s="42">
        <v>83486.559999999998</v>
      </c>
      <c r="F80" s="2">
        <v>83515.100000000006</v>
      </c>
      <c r="G80" s="1">
        <v>115</v>
      </c>
      <c r="H80"/>
      <c r="I80" s="37">
        <v>46053.337500000001</v>
      </c>
      <c r="J80" s="36"/>
      <c r="L80" s="2"/>
      <c r="M80" s="2"/>
      <c r="N80"/>
      <c r="O80" s="37">
        <v>46053.337500000001</v>
      </c>
      <c r="P80" s="36"/>
      <c r="R80" s="2"/>
      <c r="S80" s="2"/>
    </row>
    <row r="81" spans="1:19" s="4" customFormat="1" x14ac:dyDescent="0.35">
      <c r="A81" s="7">
        <v>78</v>
      </c>
      <c r="B81" s="37">
        <v>46053.338194444441</v>
      </c>
      <c r="C81" s="2">
        <v>83515.100000000006</v>
      </c>
      <c r="D81" s="42">
        <v>83515.100000000006</v>
      </c>
      <c r="E81" s="42">
        <v>83443.399999999994</v>
      </c>
      <c r="F81" s="2">
        <v>83443.399999999994</v>
      </c>
      <c r="G81" s="1">
        <v>138</v>
      </c>
      <c r="H81"/>
      <c r="I81" s="37">
        <v>46053.338194444441</v>
      </c>
      <c r="J81" s="36"/>
      <c r="L81" s="2"/>
      <c r="M81" s="2"/>
      <c r="N81"/>
      <c r="O81" s="37">
        <v>46053.338194444441</v>
      </c>
      <c r="P81" s="36"/>
      <c r="R81" s="2"/>
      <c r="S81" s="2"/>
    </row>
    <row r="82" spans="1:19" s="4" customFormat="1" x14ac:dyDescent="0.35">
      <c r="A82" s="7">
        <v>79</v>
      </c>
      <c r="B82" s="37">
        <v>46053.338888888888</v>
      </c>
      <c r="C82" s="2">
        <v>83443.53</v>
      </c>
      <c r="D82" s="42">
        <v>83454.100000000006</v>
      </c>
      <c r="E82" s="42">
        <v>83425.58</v>
      </c>
      <c r="F82" s="2">
        <v>83426.070000000007</v>
      </c>
      <c r="G82" s="1">
        <v>112</v>
      </c>
      <c r="H82"/>
      <c r="I82" s="37">
        <v>46053.338888888888</v>
      </c>
      <c r="J82" s="36"/>
      <c r="L82" s="2"/>
      <c r="M82" s="2"/>
      <c r="N82"/>
      <c r="O82" s="37">
        <v>46053.338888888888</v>
      </c>
      <c r="P82" s="36"/>
      <c r="R82" s="2"/>
      <c r="S82" s="2"/>
    </row>
    <row r="83" spans="1:19" s="4" customFormat="1" x14ac:dyDescent="0.35">
      <c r="A83" s="7">
        <v>80</v>
      </c>
      <c r="B83" s="37">
        <v>46053.339583333334</v>
      </c>
      <c r="C83" s="2">
        <v>83426.039999999994</v>
      </c>
      <c r="D83" s="42">
        <v>83440.399999999994</v>
      </c>
      <c r="E83" s="42">
        <v>83417.240000000005</v>
      </c>
      <c r="F83" s="2">
        <v>83423.509999999995</v>
      </c>
      <c r="G83" s="1">
        <v>118</v>
      </c>
      <c r="H83"/>
      <c r="I83" s="37">
        <v>46053.339583333334</v>
      </c>
      <c r="J83" s="36"/>
      <c r="L83" s="2"/>
      <c r="M83" s="2"/>
      <c r="N83"/>
      <c r="O83" s="37">
        <v>46053.339583333334</v>
      </c>
      <c r="P83" s="36"/>
      <c r="R83" s="2"/>
      <c r="S83" s="2"/>
    </row>
    <row r="84" spans="1:19" s="4" customFormat="1" x14ac:dyDescent="0.35">
      <c r="A84" s="7">
        <v>81</v>
      </c>
      <c r="B84" s="37">
        <v>46053.340277777781</v>
      </c>
      <c r="C84" s="2">
        <v>83423.53</v>
      </c>
      <c r="D84" s="42">
        <v>83423.53</v>
      </c>
      <c r="E84" s="42">
        <v>83367.850000000006</v>
      </c>
      <c r="F84" s="2">
        <v>83394.63</v>
      </c>
      <c r="G84" s="1">
        <v>187</v>
      </c>
      <c r="H84"/>
      <c r="I84" s="37">
        <v>46053.340277777781</v>
      </c>
      <c r="J84" s="36"/>
      <c r="L84" s="2"/>
      <c r="M84" s="2"/>
      <c r="N84"/>
      <c r="O84" s="37">
        <v>46053.340277777781</v>
      </c>
      <c r="P84" s="36"/>
      <c r="R84" s="2"/>
      <c r="S84" s="2"/>
    </row>
    <row r="85" spans="1:19" s="4" customFormat="1" x14ac:dyDescent="0.35">
      <c r="A85" s="7">
        <v>82</v>
      </c>
      <c r="B85" s="37">
        <v>46053.34097222222</v>
      </c>
      <c r="C85" s="2">
        <v>83394.720000000001</v>
      </c>
      <c r="D85" s="42">
        <v>83394.720000000001</v>
      </c>
      <c r="E85" s="42">
        <v>83249.3</v>
      </c>
      <c r="F85" s="2">
        <v>83292.600000000006</v>
      </c>
      <c r="G85" s="1">
        <v>174</v>
      </c>
      <c r="H85"/>
      <c r="I85" s="37">
        <v>46053.34097222222</v>
      </c>
      <c r="J85" s="36"/>
      <c r="L85" s="2"/>
      <c r="M85" s="2"/>
      <c r="N85"/>
      <c r="O85" s="37">
        <v>46053.34097222222</v>
      </c>
      <c r="P85" s="36"/>
      <c r="R85" s="2"/>
      <c r="S85" s="2"/>
    </row>
    <row r="86" spans="1:19" s="4" customFormat="1" x14ac:dyDescent="0.35">
      <c r="A86" s="7">
        <v>83</v>
      </c>
      <c r="B86" s="37">
        <v>46053.341666666667</v>
      </c>
      <c r="C86" s="2">
        <v>83292.600000000006</v>
      </c>
      <c r="D86" s="42">
        <v>83350.39</v>
      </c>
      <c r="E86" s="42">
        <v>83124.100000000006</v>
      </c>
      <c r="F86" s="2">
        <v>83157.600000000006</v>
      </c>
      <c r="G86" s="1">
        <v>225</v>
      </c>
      <c r="H86"/>
      <c r="I86" s="37">
        <v>46053.341666666667</v>
      </c>
      <c r="J86" s="36"/>
      <c r="L86" s="2"/>
      <c r="M86" s="2"/>
      <c r="N86"/>
      <c r="O86" s="37">
        <v>46053.341666666667</v>
      </c>
      <c r="P86" s="36"/>
      <c r="R86" s="2"/>
      <c r="S86" s="2"/>
    </row>
    <row r="87" spans="1:19" s="4" customFormat="1" x14ac:dyDescent="0.35">
      <c r="A87" s="7">
        <v>84</v>
      </c>
      <c r="B87" s="37">
        <v>46053.342361111114</v>
      </c>
      <c r="C87" s="2">
        <v>83161.100000000006</v>
      </c>
      <c r="D87" s="42">
        <v>83275.009999999995</v>
      </c>
      <c r="E87" s="42">
        <v>83149.350000000006</v>
      </c>
      <c r="F87" s="2">
        <v>83150.559999999998</v>
      </c>
      <c r="G87" s="1">
        <v>269</v>
      </c>
      <c r="H87"/>
      <c r="I87" s="37">
        <v>46053.342361111114</v>
      </c>
      <c r="J87" s="36"/>
      <c r="L87" s="2"/>
      <c r="M87" s="2"/>
      <c r="N87"/>
      <c r="O87" s="37">
        <v>46053.342361111114</v>
      </c>
      <c r="P87" s="36"/>
      <c r="R87" s="2"/>
      <c r="S87" s="2"/>
    </row>
    <row r="88" spans="1:19" s="4" customFormat="1" x14ac:dyDescent="0.35">
      <c r="A88" s="7">
        <v>85</v>
      </c>
      <c r="B88" s="37">
        <v>46053.343055555553</v>
      </c>
      <c r="C88" s="2">
        <v>83150.61</v>
      </c>
      <c r="D88" s="42">
        <v>83303.8</v>
      </c>
      <c r="E88" s="42">
        <v>83150.61</v>
      </c>
      <c r="F88" s="2">
        <v>83303.8</v>
      </c>
      <c r="G88" s="1">
        <v>210</v>
      </c>
      <c r="H88"/>
      <c r="I88" s="37">
        <v>46053.343055555553</v>
      </c>
      <c r="J88" s="36"/>
      <c r="L88" s="2"/>
      <c r="M88" s="2"/>
      <c r="N88"/>
      <c r="O88" s="37">
        <v>46053.343055555553</v>
      </c>
      <c r="P88" s="36"/>
      <c r="R88" s="2"/>
      <c r="S88" s="2"/>
    </row>
    <row r="89" spans="1:19" s="4" customFormat="1" x14ac:dyDescent="0.35">
      <c r="A89" s="7">
        <v>86</v>
      </c>
      <c r="B89" s="37">
        <v>46053.34375</v>
      </c>
      <c r="C89" s="2">
        <v>83303.8</v>
      </c>
      <c r="D89" s="42">
        <v>83310.3</v>
      </c>
      <c r="E89" s="42">
        <v>83130.929999999993</v>
      </c>
      <c r="F89" s="2">
        <v>83165.039999999994</v>
      </c>
      <c r="G89" s="1">
        <v>212</v>
      </c>
      <c r="H89"/>
      <c r="I89" s="37">
        <v>46053.34375</v>
      </c>
      <c r="J89" s="36"/>
      <c r="L89" s="2"/>
      <c r="M89" s="2"/>
      <c r="N89"/>
      <c r="O89" s="37">
        <v>46053.34375</v>
      </c>
      <c r="P89" s="36"/>
      <c r="R89" s="2"/>
      <c r="S89" s="2"/>
    </row>
    <row r="90" spans="1:19" s="4" customFormat="1" x14ac:dyDescent="0.35">
      <c r="A90" s="7">
        <v>87</v>
      </c>
      <c r="B90" s="37">
        <v>46053.344444444447</v>
      </c>
      <c r="C90" s="2">
        <v>83165.08</v>
      </c>
      <c r="D90" s="42">
        <v>83209.84</v>
      </c>
      <c r="E90" s="42">
        <v>83124.600000000006</v>
      </c>
      <c r="F90" s="2">
        <v>83130.25</v>
      </c>
      <c r="G90" s="1">
        <v>206</v>
      </c>
      <c r="H90"/>
      <c r="I90" s="37">
        <v>46053.344444444447</v>
      </c>
      <c r="J90" s="36"/>
      <c r="L90" s="2"/>
      <c r="M90" s="2"/>
      <c r="N90"/>
      <c r="O90" s="37">
        <v>46053.344444444447</v>
      </c>
      <c r="P90" s="36"/>
      <c r="R90" s="2"/>
      <c r="S90" s="2"/>
    </row>
    <row r="91" spans="1:19" s="4" customFormat="1" x14ac:dyDescent="0.35">
      <c r="A91" s="7">
        <v>88</v>
      </c>
      <c r="B91" s="37">
        <v>46053.345138888886</v>
      </c>
      <c r="C91" s="2">
        <v>83130.399999999994</v>
      </c>
      <c r="D91" s="42">
        <v>83147.53</v>
      </c>
      <c r="E91" s="42">
        <v>83008.12</v>
      </c>
      <c r="F91" s="2">
        <v>83133.63</v>
      </c>
      <c r="G91" s="1">
        <v>253</v>
      </c>
      <c r="H91"/>
      <c r="I91" s="37">
        <v>46053.345138888886</v>
      </c>
      <c r="J91" s="36"/>
      <c r="L91" s="2"/>
      <c r="M91" s="2"/>
      <c r="N91"/>
      <c r="O91" s="37">
        <v>46053.345138888886</v>
      </c>
      <c r="P91" s="36"/>
      <c r="R91" s="2"/>
      <c r="S91" s="2"/>
    </row>
    <row r="92" spans="1:19" s="4" customFormat="1" x14ac:dyDescent="0.35">
      <c r="A92" s="7">
        <v>89</v>
      </c>
      <c r="B92" s="37">
        <v>46053.345833333333</v>
      </c>
      <c r="C92" s="2">
        <v>83128.320000000007</v>
      </c>
      <c r="D92" s="42">
        <v>83207.72</v>
      </c>
      <c r="E92" s="42">
        <v>83128.320000000007</v>
      </c>
      <c r="F92" s="2">
        <v>83182.81</v>
      </c>
      <c r="G92" s="1">
        <v>227</v>
      </c>
      <c r="H92"/>
      <c r="I92" s="37">
        <v>46053.345833333333</v>
      </c>
      <c r="J92" s="36"/>
      <c r="L92" s="2"/>
      <c r="M92" s="2"/>
      <c r="N92"/>
      <c r="O92" s="37">
        <v>46053.345833333333</v>
      </c>
      <c r="P92" s="36"/>
      <c r="R92" s="2"/>
      <c r="S92" s="2"/>
    </row>
    <row r="93" spans="1:19" s="4" customFormat="1" x14ac:dyDescent="0.35">
      <c r="A93" s="7">
        <v>90</v>
      </c>
      <c r="B93" s="37">
        <v>46053.34652777778</v>
      </c>
      <c r="C93" s="2">
        <v>83182.899999999994</v>
      </c>
      <c r="D93" s="42">
        <v>83228.66</v>
      </c>
      <c r="E93" s="42">
        <v>83182.899999999994</v>
      </c>
      <c r="F93" s="2">
        <v>83205.77</v>
      </c>
      <c r="G93" s="1">
        <v>205</v>
      </c>
      <c r="H93"/>
      <c r="I93" s="37">
        <v>46053.34652777778</v>
      </c>
      <c r="J93" s="36"/>
      <c r="L93" s="2"/>
      <c r="M93" s="2"/>
      <c r="N93"/>
      <c r="O93" s="37">
        <v>46053.34652777778</v>
      </c>
      <c r="P93" s="36"/>
      <c r="R93" s="2"/>
      <c r="S93" s="2"/>
    </row>
    <row r="94" spans="1:19" s="4" customFormat="1" x14ac:dyDescent="0.35">
      <c r="A94" s="7">
        <v>91</v>
      </c>
      <c r="B94" s="37">
        <v>46053.347222222219</v>
      </c>
      <c r="C94" s="2">
        <v>83206.16</v>
      </c>
      <c r="D94" s="42">
        <v>83229.33</v>
      </c>
      <c r="E94" s="42">
        <v>83190.63</v>
      </c>
      <c r="F94" s="2">
        <v>83209.100000000006</v>
      </c>
      <c r="G94" s="1">
        <v>170</v>
      </c>
      <c r="H94"/>
      <c r="I94" s="37">
        <v>46053.347222222219</v>
      </c>
      <c r="J94" s="36"/>
      <c r="L94" s="2"/>
      <c r="M94" s="2"/>
      <c r="N94"/>
      <c r="O94" s="37">
        <v>46053.347222222219</v>
      </c>
      <c r="P94" s="36"/>
      <c r="R94" s="2"/>
      <c r="S94" s="2"/>
    </row>
    <row r="95" spans="1:19" s="4" customFormat="1" x14ac:dyDescent="0.35">
      <c r="A95" s="7">
        <v>92</v>
      </c>
      <c r="B95" s="37">
        <v>46053.347916666666</v>
      </c>
      <c r="C95" s="2">
        <v>83209.09</v>
      </c>
      <c r="D95" s="42">
        <v>83247.839999999997</v>
      </c>
      <c r="E95" s="42">
        <v>83209.09</v>
      </c>
      <c r="F95" s="2">
        <v>83228.36</v>
      </c>
      <c r="G95" s="1">
        <v>177</v>
      </c>
      <c r="H95"/>
      <c r="I95" s="37">
        <v>46053.347916666666</v>
      </c>
      <c r="J95" s="36"/>
      <c r="L95" s="2"/>
      <c r="M95" s="2"/>
      <c r="N95"/>
      <c r="O95" s="37">
        <v>46053.347916666666</v>
      </c>
      <c r="P95" s="36"/>
      <c r="R95" s="2"/>
      <c r="S95" s="2"/>
    </row>
    <row r="96" spans="1:19" s="4" customFormat="1" x14ac:dyDescent="0.35">
      <c r="A96" s="7">
        <v>93</v>
      </c>
      <c r="B96" s="37">
        <v>46053.348611111112</v>
      </c>
      <c r="C96" s="2">
        <v>83228.350000000006</v>
      </c>
      <c r="D96" s="42">
        <v>83230.009999999995</v>
      </c>
      <c r="E96" s="42">
        <v>83167.39</v>
      </c>
      <c r="F96" s="2">
        <v>83184.240000000005</v>
      </c>
      <c r="G96" s="1">
        <v>140</v>
      </c>
      <c r="H96"/>
      <c r="I96" s="37">
        <v>46053.348611111112</v>
      </c>
      <c r="J96" s="36"/>
      <c r="L96" s="2"/>
      <c r="M96" s="2"/>
      <c r="N96"/>
      <c r="O96" s="37">
        <v>46053.348611111112</v>
      </c>
      <c r="P96" s="36"/>
      <c r="R96" s="2"/>
      <c r="S96" s="2"/>
    </row>
    <row r="97" spans="1:19" s="4" customFormat="1" x14ac:dyDescent="0.35">
      <c r="A97" s="7">
        <v>94</v>
      </c>
      <c r="B97" s="37">
        <v>46053.349305555559</v>
      </c>
      <c r="C97" s="2">
        <v>83181.98</v>
      </c>
      <c r="D97" s="42">
        <v>83181.98</v>
      </c>
      <c r="E97" s="42">
        <v>83159.23</v>
      </c>
      <c r="F97" s="2">
        <v>83180.36</v>
      </c>
      <c r="G97" s="1">
        <v>144</v>
      </c>
      <c r="H97"/>
      <c r="I97" s="37">
        <v>46053.349305555559</v>
      </c>
      <c r="J97" s="36"/>
      <c r="L97" s="2"/>
      <c r="M97" s="2"/>
      <c r="N97"/>
      <c r="O97" s="37">
        <v>46053.349305555559</v>
      </c>
      <c r="P97" s="36"/>
      <c r="R97" s="2"/>
      <c r="S97" s="2"/>
    </row>
    <row r="98" spans="1:19" s="4" customFormat="1" x14ac:dyDescent="0.35">
      <c r="A98" s="7">
        <v>95</v>
      </c>
      <c r="B98" s="37">
        <v>46053.35</v>
      </c>
      <c r="C98" s="2">
        <v>83182.740000000005</v>
      </c>
      <c r="D98" s="42">
        <v>83186.539999999994</v>
      </c>
      <c r="E98" s="42">
        <v>83149.31</v>
      </c>
      <c r="F98" s="2">
        <v>83167.520000000004</v>
      </c>
      <c r="G98" s="1">
        <v>127</v>
      </c>
      <c r="H98"/>
      <c r="I98" s="37">
        <v>46053.35</v>
      </c>
      <c r="J98" s="36"/>
      <c r="L98" s="2"/>
      <c r="M98" s="2"/>
      <c r="N98"/>
      <c r="O98" s="37">
        <v>46053.35</v>
      </c>
      <c r="P98" s="36"/>
      <c r="R98" s="2"/>
      <c r="S98" s="2"/>
    </row>
    <row r="99" spans="1:19" s="4" customFormat="1" x14ac:dyDescent="0.35">
      <c r="A99" s="7">
        <v>96</v>
      </c>
      <c r="B99" s="37">
        <v>46053.350694444445</v>
      </c>
      <c r="C99" s="2">
        <v>83167.53</v>
      </c>
      <c r="D99" s="42">
        <v>83190.44</v>
      </c>
      <c r="E99" s="42">
        <v>83141.84</v>
      </c>
      <c r="F99" s="2">
        <v>83143.42</v>
      </c>
      <c r="G99" s="1">
        <v>120</v>
      </c>
      <c r="H99"/>
      <c r="I99" s="37">
        <v>46053.350694444445</v>
      </c>
      <c r="J99" s="36"/>
      <c r="L99" s="2"/>
      <c r="M99" s="2"/>
      <c r="N99"/>
      <c r="O99" s="37">
        <v>46053.350694444445</v>
      </c>
      <c r="P99" s="36"/>
      <c r="R99" s="2"/>
      <c r="S99" s="2"/>
    </row>
    <row r="100" spans="1:19" s="4" customFormat="1" x14ac:dyDescent="0.35">
      <c r="A100" s="7">
        <v>97</v>
      </c>
      <c r="B100" s="37">
        <v>46053.351388888892</v>
      </c>
      <c r="C100" s="2">
        <v>83143.3</v>
      </c>
      <c r="D100" s="42">
        <v>83163.69</v>
      </c>
      <c r="E100" s="42">
        <v>83098.429999999993</v>
      </c>
      <c r="F100" s="2">
        <v>83124.639999999999</v>
      </c>
      <c r="G100" s="1">
        <v>142</v>
      </c>
      <c r="H100"/>
      <c r="I100" s="37">
        <v>46053.351388888892</v>
      </c>
      <c r="J100" s="36"/>
      <c r="L100" s="2"/>
      <c r="M100" s="2"/>
      <c r="N100"/>
      <c r="O100" s="37">
        <v>46053.351388888892</v>
      </c>
      <c r="P100" s="36"/>
      <c r="R100" s="2"/>
      <c r="S100" s="2"/>
    </row>
    <row r="101" spans="1:19" s="4" customFormat="1" x14ac:dyDescent="0.35">
      <c r="A101" s="7">
        <v>98</v>
      </c>
      <c r="B101" s="37">
        <v>46053.352083333331</v>
      </c>
      <c r="C101" s="2">
        <v>83124.649999999994</v>
      </c>
      <c r="D101" s="42">
        <v>83125.81</v>
      </c>
      <c r="E101" s="42">
        <v>83069.63</v>
      </c>
      <c r="F101" s="2">
        <v>83069.63</v>
      </c>
      <c r="G101" s="1">
        <v>159</v>
      </c>
      <c r="H101"/>
      <c r="I101" s="37">
        <v>46053.352083333331</v>
      </c>
      <c r="J101" s="36"/>
      <c r="L101" s="2"/>
      <c r="M101" s="2"/>
      <c r="N101"/>
      <c r="O101" s="37">
        <v>46053.352083333331</v>
      </c>
      <c r="P101" s="36"/>
      <c r="R101" s="2"/>
      <c r="S101" s="2"/>
    </row>
    <row r="102" spans="1:19" s="4" customFormat="1" x14ac:dyDescent="0.35">
      <c r="A102" s="7">
        <v>99</v>
      </c>
      <c r="B102" s="37">
        <v>46053.352777777778</v>
      </c>
      <c r="C102" s="2">
        <v>83070.05</v>
      </c>
      <c r="D102" s="42">
        <v>83070.05</v>
      </c>
      <c r="E102" s="42">
        <v>82995.710000000006</v>
      </c>
      <c r="F102" s="2">
        <v>83024.210000000006</v>
      </c>
      <c r="G102" s="1">
        <v>190</v>
      </c>
      <c r="H102"/>
      <c r="I102" s="37">
        <v>46053.352777777778</v>
      </c>
      <c r="J102" s="36"/>
      <c r="L102" s="2"/>
      <c r="M102" s="2"/>
      <c r="N102"/>
      <c r="O102" s="37">
        <v>46053.352777777778</v>
      </c>
      <c r="P102" s="36"/>
      <c r="R102" s="2"/>
      <c r="S102" s="2"/>
    </row>
    <row r="103" spans="1:19" s="4" customFormat="1" x14ac:dyDescent="0.35">
      <c r="A103" s="7">
        <v>100</v>
      </c>
      <c r="B103" s="37">
        <v>46053.353472222225</v>
      </c>
      <c r="C103" s="2">
        <v>83024.2</v>
      </c>
      <c r="D103" s="42">
        <v>83074.31</v>
      </c>
      <c r="E103" s="42">
        <v>83024.2</v>
      </c>
      <c r="F103" s="2">
        <v>83048.39</v>
      </c>
      <c r="G103" s="1">
        <v>174</v>
      </c>
      <c r="H103"/>
      <c r="I103" s="37">
        <v>46053.353472222225</v>
      </c>
      <c r="J103" s="36"/>
      <c r="L103" s="2"/>
      <c r="M103" s="2"/>
      <c r="N103"/>
      <c r="O103" s="37">
        <v>46053.353472222225</v>
      </c>
      <c r="P103" s="36"/>
      <c r="R103" s="2"/>
      <c r="S103" s="2"/>
    </row>
    <row r="104" spans="1:19" s="4" customFormat="1" x14ac:dyDescent="0.35">
      <c r="A104" s="7">
        <v>101</v>
      </c>
      <c r="B104" s="37">
        <v>46053.354166666664</v>
      </c>
      <c r="C104" s="2">
        <v>83048.399999999994</v>
      </c>
      <c r="D104" s="42">
        <v>83058.22</v>
      </c>
      <c r="E104" s="42">
        <v>83012.91</v>
      </c>
      <c r="F104" s="2">
        <v>83012.91</v>
      </c>
      <c r="G104" s="1">
        <v>125</v>
      </c>
      <c r="H104"/>
      <c r="I104" s="37">
        <v>46053.354166666664</v>
      </c>
      <c r="J104" s="36"/>
      <c r="L104" s="2"/>
      <c r="M104" s="2"/>
      <c r="N104"/>
      <c r="O104" s="37">
        <v>46053.354166666664</v>
      </c>
      <c r="P104" s="36"/>
      <c r="R104" s="2"/>
      <c r="S104" s="2"/>
    </row>
    <row r="105" spans="1:19" s="4" customFormat="1" x14ac:dyDescent="0.35">
      <c r="A105" s="7">
        <v>102</v>
      </c>
      <c r="B105" s="37">
        <v>46053.354861111111</v>
      </c>
      <c r="C105" s="2">
        <v>83013.25</v>
      </c>
      <c r="D105" s="42">
        <v>83022.84</v>
      </c>
      <c r="E105" s="42">
        <v>82952.37</v>
      </c>
      <c r="F105" s="2">
        <v>82954.38</v>
      </c>
      <c r="G105" s="1">
        <v>172</v>
      </c>
      <c r="H105"/>
      <c r="I105" s="37">
        <v>46053.354861111111</v>
      </c>
      <c r="J105" s="36"/>
      <c r="L105" s="2"/>
      <c r="M105" s="2"/>
      <c r="N105"/>
      <c r="O105" s="37">
        <v>46053.354861111111</v>
      </c>
      <c r="P105" s="36"/>
      <c r="R105" s="2"/>
      <c r="S105" s="2"/>
    </row>
    <row r="106" spans="1:19" s="4" customFormat="1" x14ac:dyDescent="0.35">
      <c r="A106" s="7">
        <v>103</v>
      </c>
      <c r="B106" s="37">
        <v>46053.355555555558</v>
      </c>
      <c r="C106" s="2">
        <v>82954.539999999994</v>
      </c>
      <c r="D106" s="42">
        <v>83012.710000000006</v>
      </c>
      <c r="E106" s="42">
        <v>82941.7</v>
      </c>
      <c r="F106" s="2">
        <v>82975.28</v>
      </c>
      <c r="G106" s="1">
        <v>225</v>
      </c>
      <c r="H106"/>
      <c r="I106" s="37">
        <v>46053.355555555558</v>
      </c>
      <c r="J106" s="36"/>
      <c r="L106" s="2"/>
      <c r="M106" s="2"/>
      <c r="N106"/>
      <c r="O106" s="37">
        <v>46053.355555555558</v>
      </c>
      <c r="P106" s="36"/>
      <c r="R106" s="2"/>
      <c r="S106" s="2"/>
    </row>
    <row r="107" spans="1:19" s="4" customFormat="1" x14ac:dyDescent="0.35">
      <c r="A107" s="7">
        <v>104</v>
      </c>
      <c r="B107" s="37">
        <v>46053.356249999997</v>
      </c>
      <c r="C107" s="2">
        <v>82975.28</v>
      </c>
      <c r="D107" s="42">
        <v>82975.28</v>
      </c>
      <c r="E107" s="42">
        <v>82879.61</v>
      </c>
      <c r="F107" s="2">
        <v>82911.03</v>
      </c>
      <c r="G107" s="1">
        <v>230</v>
      </c>
      <c r="H107"/>
      <c r="I107" s="37">
        <v>46053.356249999997</v>
      </c>
      <c r="J107" s="36"/>
      <c r="L107" s="2"/>
      <c r="M107" s="2"/>
      <c r="N107"/>
      <c r="O107" s="37">
        <v>46053.356249999997</v>
      </c>
      <c r="P107" s="36"/>
      <c r="R107" s="2"/>
      <c r="S107" s="2"/>
    </row>
    <row r="108" spans="1:19" s="4" customFormat="1" x14ac:dyDescent="0.35">
      <c r="A108" s="7">
        <v>105</v>
      </c>
      <c r="B108" s="37">
        <v>46053.356944444444</v>
      </c>
      <c r="C108" s="2">
        <v>82910.990000000005</v>
      </c>
      <c r="D108" s="42">
        <v>82929.53</v>
      </c>
      <c r="E108" s="42">
        <v>82838.820000000007</v>
      </c>
      <c r="F108" s="2">
        <v>82919.62</v>
      </c>
      <c r="G108" s="1">
        <v>232</v>
      </c>
      <c r="H108"/>
      <c r="I108" s="37">
        <v>46053.356944444444</v>
      </c>
      <c r="J108" s="36"/>
      <c r="L108" s="2"/>
      <c r="M108" s="2"/>
      <c r="N108"/>
      <c r="O108" s="37">
        <v>46053.356944444444</v>
      </c>
      <c r="P108" s="36"/>
      <c r="R108" s="2"/>
      <c r="S108" s="2"/>
    </row>
    <row r="109" spans="1:19" s="4" customFormat="1" x14ac:dyDescent="0.35">
      <c r="A109" s="7">
        <v>106</v>
      </c>
      <c r="B109" s="37">
        <v>46053.357638888891</v>
      </c>
      <c r="C109" s="2">
        <v>82917.240000000005</v>
      </c>
      <c r="D109" s="42">
        <v>82917.240000000005</v>
      </c>
      <c r="E109" s="42">
        <v>82799.509999999995</v>
      </c>
      <c r="F109" s="2">
        <v>82816.86</v>
      </c>
      <c r="G109" s="1">
        <v>253</v>
      </c>
      <c r="H109"/>
      <c r="I109" s="37">
        <v>46053.357638888891</v>
      </c>
      <c r="J109" s="36"/>
      <c r="L109" s="2"/>
      <c r="M109" s="2"/>
      <c r="N109"/>
      <c r="O109" s="37">
        <v>46053.357638888891</v>
      </c>
      <c r="P109" s="36"/>
      <c r="R109" s="2"/>
      <c r="S109" s="2"/>
    </row>
    <row r="110" spans="1:19" s="4" customFormat="1" x14ac:dyDescent="0.35">
      <c r="A110" s="7">
        <v>107</v>
      </c>
      <c r="B110" s="37">
        <v>46053.35833333333</v>
      </c>
      <c r="C110" s="2">
        <v>82816.61</v>
      </c>
      <c r="D110" s="42">
        <v>82821.990000000005</v>
      </c>
      <c r="E110" s="42">
        <v>82748.5</v>
      </c>
      <c r="F110" s="2">
        <v>82776.91</v>
      </c>
      <c r="G110" s="1">
        <v>231</v>
      </c>
      <c r="H110"/>
      <c r="I110" s="37">
        <v>46053.35833333333</v>
      </c>
      <c r="J110" s="36"/>
      <c r="L110" s="2"/>
      <c r="M110" s="2"/>
      <c r="N110"/>
      <c r="O110" s="37">
        <v>46053.35833333333</v>
      </c>
      <c r="P110" s="36"/>
      <c r="R110" s="2"/>
      <c r="S110" s="2"/>
    </row>
    <row r="111" spans="1:19" s="4" customFormat="1" x14ac:dyDescent="0.35">
      <c r="A111" s="7">
        <v>108</v>
      </c>
      <c r="B111" s="37">
        <v>46053.359027777777</v>
      </c>
      <c r="C111" s="2">
        <v>82776.92</v>
      </c>
      <c r="D111" s="42">
        <v>82965.460000000006</v>
      </c>
      <c r="E111" s="42">
        <v>82688.59</v>
      </c>
      <c r="F111" s="2">
        <v>82929.53</v>
      </c>
      <c r="G111" s="1">
        <v>277</v>
      </c>
      <c r="H111"/>
      <c r="I111" s="37">
        <v>46053.359027777777</v>
      </c>
      <c r="J111" s="36"/>
      <c r="L111" s="2"/>
      <c r="M111" s="2"/>
      <c r="N111"/>
      <c r="O111" s="37">
        <v>46053.359027777777</v>
      </c>
      <c r="P111" s="36"/>
      <c r="R111" s="2"/>
      <c r="S111" s="2"/>
    </row>
    <row r="112" spans="1:19" s="4" customFormat="1" x14ac:dyDescent="0.35">
      <c r="A112" s="7">
        <v>109</v>
      </c>
      <c r="B112" s="37">
        <v>46053.359722222223</v>
      </c>
      <c r="C112" s="2">
        <v>82939.600000000006</v>
      </c>
      <c r="D112" s="42">
        <v>82990.5</v>
      </c>
      <c r="E112" s="42">
        <v>82931.42</v>
      </c>
      <c r="F112" s="2">
        <v>82967.81</v>
      </c>
      <c r="G112" s="1">
        <v>251</v>
      </c>
      <c r="H112"/>
      <c r="I112" s="37">
        <v>46053.359722222223</v>
      </c>
      <c r="J112" s="36"/>
      <c r="L112" s="2"/>
      <c r="M112" s="2"/>
      <c r="N112"/>
      <c r="O112" s="37">
        <v>46053.359722222223</v>
      </c>
      <c r="P112" s="36"/>
      <c r="R112" s="2"/>
      <c r="S112" s="2"/>
    </row>
    <row r="113" spans="1:19" s="4" customFormat="1" x14ac:dyDescent="0.35">
      <c r="A113" s="7">
        <v>110</v>
      </c>
      <c r="B113" s="37">
        <v>46053.36041666667</v>
      </c>
      <c r="C113" s="2">
        <v>82966.990000000005</v>
      </c>
      <c r="D113" s="42">
        <v>82966.990000000005</v>
      </c>
      <c r="E113" s="42">
        <v>82868.5</v>
      </c>
      <c r="F113" s="2">
        <v>82868.5</v>
      </c>
      <c r="G113" s="1">
        <v>242</v>
      </c>
      <c r="H113"/>
      <c r="I113" s="37">
        <v>46053.36041666667</v>
      </c>
      <c r="J113" s="36"/>
      <c r="L113" s="2"/>
      <c r="M113" s="2"/>
      <c r="N113"/>
      <c r="O113" s="37">
        <v>46053.36041666667</v>
      </c>
      <c r="P113" s="36"/>
      <c r="R113" s="2"/>
      <c r="S113" s="2"/>
    </row>
    <row r="114" spans="1:19" s="4" customFormat="1" x14ac:dyDescent="0.35">
      <c r="A114" s="7">
        <v>111</v>
      </c>
      <c r="B114" s="37">
        <v>46053.361111111109</v>
      </c>
      <c r="C114" s="2">
        <v>82858.55</v>
      </c>
      <c r="D114" s="42">
        <v>82890.31</v>
      </c>
      <c r="E114" s="42">
        <v>82648.100000000006</v>
      </c>
      <c r="F114" s="2">
        <v>82667.570000000007</v>
      </c>
      <c r="G114" s="1">
        <v>275</v>
      </c>
      <c r="H114"/>
      <c r="I114" s="37">
        <v>46053.361111111109</v>
      </c>
      <c r="J114" s="36"/>
      <c r="L114" s="2"/>
      <c r="M114" s="2"/>
      <c r="N114"/>
      <c r="O114" s="37">
        <v>46053.361111111109</v>
      </c>
      <c r="P114" s="36"/>
      <c r="R114" s="2"/>
      <c r="S114" s="2"/>
    </row>
    <row r="115" spans="1:19" s="4" customFormat="1" x14ac:dyDescent="0.35">
      <c r="A115" s="7">
        <v>112</v>
      </c>
      <c r="B115" s="37">
        <v>46053.361805555556</v>
      </c>
      <c r="C115" s="2">
        <v>82657.350000000006</v>
      </c>
      <c r="D115" s="42">
        <v>82815.210000000006</v>
      </c>
      <c r="E115" s="42">
        <v>82636.2</v>
      </c>
      <c r="F115" s="2">
        <v>82744.91</v>
      </c>
      <c r="G115" s="1">
        <v>273</v>
      </c>
      <c r="H115"/>
      <c r="I115" s="37">
        <v>46053.361805555556</v>
      </c>
      <c r="J115" s="36"/>
      <c r="L115" s="2"/>
      <c r="M115" s="2"/>
      <c r="N115"/>
      <c r="O115" s="37">
        <v>46053.361805555556</v>
      </c>
      <c r="P115" s="36"/>
      <c r="R115" s="2"/>
      <c r="S115" s="2"/>
    </row>
    <row r="116" spans="1:19" s="4" customFormat="1" x14ac:dyDescent="0.35">
      <c r="A116" s="7">
        <v>113</v>
      </c>
      <c r="B116" s="37">
        <v>46053.362500000003</v>
      </c>
      <c r="C116" s="2">
        <v>82745.45</v>
      </c>
      <c r="D116" s="42">
        <v>82771.3</v>
      </c>
      <c r="E116" s="42">
        <v>82640.53</v>
      </c>
      <c r="F116" s="2">
        <v>82644.39</v>
      </c>
      <c r="G116" s="1">
        <v>285</v>
      </c>
      <c r="H116"/>
      <c r="I116" s="37">
        <v>46053.362500000003</v>
      </c>
      <c r="J116" s="36"/>
      <c r="L116" s="2"/>
      <c r="M116" s="2"/>
      <c r="N116"/>
      <c r="O116" s="37">
        <v>46053.362500000003</v>
      </c>
      <c r="P116" s="36"/>
      <c r="R116" s="2"/>
      <c r="S116" s="2"/>
    </row>
    <row r="117" spans="1:19" s="4" customFormat="1" x14ac:dyDescent="0.35">
      <c r="A117" s="7">
        <v>114</v>
      </c>
      <c r="B117" s="37">
        <v>46053.363194444442</v>
      </c>
      <c r="C117" s="2">
        <v>82624.899999999994</v>
      </c>
      <c r="D117" s="42">
        <v>82687.62</v>
      </c>
      <c r="E117" s="42">
        <v>82522.850000000006</v>
      </c>
      <c r="F117" s="2">
        <v>82682.039999999994</v>
      </c>
      <c r="G117" s="1">
        <v>296</v>
      </c>
      <c r="H117"/>
      <c r="I117" s="37">
        <v>46053.363194444442</v>
      </c>
      <c r="J117" s="36"/>
      <c r="L117" s="2"/>
      <c r="M117" s="2"/>
      <c r="N117"/>
      <c r="O117" s="37">
        <v>46053.363194444442</v>
      </c>
      <c r="P117" s="36"/>
      <c r="R117" s="2"/>
      <c r="S117" s="2"/>
    </row>
    <row r="118" spans="1:19" s="4" customFormat="1" x14ac:dyDescent="0.35">
      <c r="A118" s="7">
        <v>115</v>
      </c>
      <c r="B118" s="37">
        <v>46053.363888888889</v>
      </c>
      <c r="C118" s="2">
        <v>82679.38</v>
      </c>
      <c r="D118" s="42">
        <v>82749.72</v>
      </c>
      <c r="E118" s="42">
        <v>82656.66</v>
      </c>
      <c r="F118" s="2">
        <v>82744.399999999994</v>
      </c>
      <c r="G118" s="1">
        <v>279</v>
      </c>
      <c r="H118"/>
      <c r="I118" s="37">
        <v>46053.363888888889</v>
      </c>
      <c r="J118" s="36"/>
      <c r="L118" s="2"/>
      <c r="M118" s="2"/>
      <c r="N118"/>
      <c r="O118" s="37">
        <v>46053.363888888889</v>
      </c>
      <c r="P118" s="36"/>
      <c r="R118" s="2"/>
      <c r="S118" s="2"/>
    </row>
    <row r="119" spans="1:19" s="4" customFormat="1" x14ac:dyDescent="0.35">
      <c r="A119" s="7">
        <v>116</v>
      </c>
      <c r="B119" s="37">
        <v>46053.364583333336</v>
      </c>
      <c r="C119" s="2">
        <v>82744.75</v>
      </c>
      <c r="D119" s="42">
        <v>82806.61</v>
      </c>
      <c r="E119" s="42">
        <v>82661.149999999994</v>
      </c>
      <c r="F119" s="2">
        <v>82747.23</v>
      </c>
      <c r="G119" s="1">
        <v>257</v>
      </c>
      <c r="H119"/>
      <c r="I119" s="37">
        <v>46053.364583333336</v>
      </c>
      <c r="J119" s="36"/>
      <c r="L119" s="2"/>
      <c r="M119" s="2"/>
      <c r="N119"/>
      <c r="O119" s="37">
        <v>46053.364583333336</v>
      </c>
      <c r="P119" s="36"/>
      <c r="R119" s="2"/>
      <c r="S119" s="2"/>
    </row>
    <row r="120" spans="1:19" s="4" customFormat="1" x14ac:dyDescent="0.35">
      <c r="A120" s="7">
        <v>117</v>
      </c>
      <c r="B120" s="37">
        <v>46053.365277777775</v>
      </c>
      <c r="C120" s="2">
        <v>82747.34</v>
      </c>
      <c r="D120" s="42">
        <v>82827.12</v>
      </c>
      <c r="E120" s="42">
        <v>82747.149999999994</v>
      </c>
      <c r="F120" s="2">
        <v>82790.460000000006</v>
      </c>
      <c r="G120" s="1">
        <v>252</v>
      </c>
      <c r="H120"/>
      <c r="I120" s="37">
        <v>46053.365277777775</v>
      </c>
      <c r="J120" s="36"/>
      <c r="L120" s="2"/>
      <c r="M120" s="2"/>
      <c r="N120"/>
      <c r="O120" s="37">
        <v>46053.365277777775</v>
      </c>
      <c r="P120" s="36"/>
      <c r="R120" s="2"/>
      <c r="S120" s="2"/>
    </row>
    <row r="121" spans="1:19" s="4" customFormat="1" x14ac:dyDescent="0.35">
      <c r="A121" s="7">
        <v>118</v>
      </c>
      <c r="B121" s="37">
        <v>46053.365972222222</v>
      </c>
      <c r="C121" s="2">
        <v>82790.5</v>
      </c>
      <c r="D121" s="42">
        <v>82816.899999999994</v>
      </c>
      <c r="E121" s="42">
        <v>82656.67</v>
      </c>
      <c r="F121" s="2">
        <v>82720.929999999993</v>
      </c>
      <c r="G121" s="1">
        <v>246</v>
      </c>
      <c r="H121"/>
      <c r="I121" s="37">
        <v>46053.365972222222</v>
      </c>
      <c r="J121" s="36"/>
      <c r="L121" s="2"/>
      <c r="M121" s="2"/>
      <c r="N121"/>
      <c r="O121" s="37">
        <v>46053.365972222222</v>
      </c>
      <c r="P121" s="36"/>
      <c r="R121" s="2"/>
      <c r="S121" s="2"/>
    </row>
    <row r="122" spans="1:19" s="4" customFormat="1" x14ac:dyDescent="0.35">
      <c r="A122" s="7">
        <v>119</v>
      </c>
      <c r="B122" s="37">
        <v>46053.366666666669</v>
      </c>
      <c r="C122" s="2">
        <v>82721.240000000005</v>
      </c>
      <c r="D122" s="42">
        <v>82766.75</v>
      </c>
      <c r="E122" s="42">
        <v>82699.03</v>
      </c>
      <c r="F122" s="2">
        <v>82760.240000000005</v>
      </c>
      <c r="G122" s="1">
        <v>207</v>
      </c>
      <c r="H122"/>
      <c r="I122" s="37">
        <v>46053.366666666669</v>
      </c>
      <c r="J122" s="36"/>
      <c r="L122" s="2"/>
      <c r="M122" s="2"/>
      <c r="N122"/>
      <c r="O122" s="37">
        <v>46053.366666666669</v>
      </c>
      <c r="P122" s="36"/>
      <c r="R122" s="2"/>
      <c r="S122" s="2"/>
    </row>
    <row r="123" spans="1:19" s="4" customFormat="1" x14ac:dyDescent="0.35">
      <c r="A123" s="7">
        <v>120</v>
      </c>
      <c r="B123" s="37">
        <v>46053.367361111108</v>
      </c>
      <c r="C123" s="2">
        <v>82760.240000000005</v>
      </c>
      <c r="D123" s="42">
        <v>82838.210000000006</v>
      </c>
      <c r="E123" s="42">
        <v>82745.63</v>
      </c>
      <c r="F123" s="2">
        <v>82790.17</v>
      </c>
      <c r="G123" s="1">
        <v>228</v>
      </c>
      <c r="H123"/>
      <c r="I123" s="37">
        <v>46053.367361111108</v>
      </c>
      <c r="J123" s="36"/>
      <c r="L123" s="2"/>
      <c r="M123" s="2"/>
      <c r="N123"/>
      <c r="O123" s="37">
        <v>46053.367361111108</v>
      </c>
      <c r="P123" s="36"/>
      <c r="R123" s="2"/>
      <c r="S123" s="2"/>
    </row>
    <row r="124" spans="1:19" s="4" customFormat="1" x14ac:dyDescent="0.35">
      <c r="A124" s="7">
        <v>121</v>
      </c>
      <c r="B124" s="37">
        <v>46053.368055555555</v>
      </c>
      <c r="C124" s="2">
        <v>82782.66</v>
      </c>
      <c r="D124" s="42">
        <v>82830.350000000006</v>
      </c>
      <c r="E124" s="42">
        <v>82775.460000000006</v>
      </c>
      <c r="F124" s="2">
        <v>82812.53</v>
      </c>
      <c r="G124" s="1">
        <v>178</v>
      </c>
      <c r="H124"/>
      <c r="I124" s="37">
        <v>46053.368055555555</v>
      </c>
      <c r="J124" s="36"/>
      <c r="L124" s="2"/>
      <c r="M124" s="2"/>
      <c r="N124"/>
      <c r="O124" s="37">
        <v>46053.368055555555</v>
      </c>
      <c r="P124" s="36"/>
      <c r="R124" s="2"/>
      <c r="S124" s="2"/>
    </row>
    <row r="125" spans="1:19" s="4" customFormat="1" x14ac:dyDescent="0.35">
      <c r="A125" s="7">
        <v>122</v>
      </c>
      <c r="B125" s="37">
        <v>46053.368750000001</v>
      </c>
      <c r="C125" s="2">
        <v>82812.509999999995</v>
      </c>
      <c r="D125" s="42">
        <v>82948.570000000007</v>
      </c>
      <c r="E125" s="42">
        <v>82812.509999999995</v>
      </c>
      <c r="F125" s="2">
        <v>82923.14</v>
      </c>
      <c r="G125" s="1">
        <v>260</v>
      </c>
      <c r="H125"/>
      <c r="I125" s="37">
        <v>46053.368750000001</v>
      </c>
      <c r="J125" s="36"/>
      <c r="L125" s="2"/>
      <c r="M125" s="2"/>
      <c r="N125"/>
      <c r="O125" s="37">
        <v>46053.368750000001</v>
      </c>
      <c r="P125" s="36"/>
      <c r="R125" s="2"/>
      <c r="S125" s="2"/>
    </row>
    <row r="126" spans="1:19" s="4" customFormat="1" x14ac:dyDescent="0.35">
      <c r="A126" s="7">
        <v>123</v>
      </c>
      <c r="B126" s="37">
        <v>46053.369444444441</v>
      </c>
      <c r="C126" s="2">
        <v>82936.740000000005</v>
      </c>
      <c r="D126" s="42">
        <v>82938.399999999994</v>
      </c>
      <c r="E126" s="42">
        <v>82891.19</v>
      </c>
      <c r="F126" s="2">
        <v>82921.63</v>
      </c>
      <c r="G126" s="1">
        <v>237</v>
      </c>
      <c r="H126"/>
      <c r="I126" s="37">
        <v>46053.369444444441</v>
      </c>
      <c r="J126" s="36"/>
      <c r="L126" s="2"/>
      <c r="M126" s="2"/>
      <c r="N126"/>
      <c r="O126" s="37">
        <v>46053.369444444441</v>
      </c>
      <c r="P126" s="36"/>
      <c r="R126" s="2"/>
      <c r="S126" s="2"/>
    </row>
    <row r="127" spans="1:19" s="4" customFormat="1" x14ac:dyDescent="0.35">
      <c r="A127" s="7">
        <v>124</v>
      </c>
      <c r="B127" s="37">
        <v>46053.370138888888</v>
      </c>
      <c r="C127" s="2">
        <v>82922.789999999994</v>
      </c>
      <c r="D127" s="42">
        <v>83016.09</v>
      </c>
      <c r="E127" s="42">
        <v>82921.52</v>
      </c>
      <c r="F127" s="2">
        <v>83005.64</v>
      </c>
      <c r="G127" s="1">
        <v>254</v>
      </c>
      <c r="H127"/>
      <c r="I127" s="37">
        <v>46053.370138888888</v>
      </c>
      <c r="J127" s="36"/>
      <c r="L127" s="2"/>
      <c r="M127" s="2"/>
      <c r="N127"/>
      <c r="O127" s="37">
        <v>46053.370138888888</v>
      </c>
      <c r="P127" s="36"/>
      <c r="R127" s="2"/>
      <c r="S127" s="2"/>
    </row>
    <row r="128" spans="1:19" s="4" customFormat="1" x14ac:dyDescent="0.35">
      <c r="A128" s="7">
        <v>125</v>
      </c>
      <c r="B128" s="37">
        <v>46053.370833333334</v>
      </c>
      <c r="C128" s="2">
        <v>83005.710000000006</v>
      </c>
      <c r="D128" s="42">
        <v>83067.179999999993</v>
      </c>
      <c r="E128" s="42">
        <v>82965.91</v>
      </c>
      <c r="F128" s="2">
        <v>82989.87</v>
      </c>
      <c r="G128" s="1">
        <v>220</v>
      </c>
      <c r="H128"/>
      <c r="I128" s="37">
        <v>46053.370833333334</v>
      </c>
      <c r="J128" s="36"/>
      <c r="L128" s="2"/>
      <c r="M128" s="2"/>
      <c r="N128"/>
      <c r="O128" s="37">
        <v>46053.370833333334</v>
      </c>
      <c r="P128" s="36"/>
      <c r="R128" s="2"/>
      <c r="S128" s="2"/>
    </row>
    <row r="129" spans="1:19" s="4" customFormat="1" x14ac:dyDescent="0.35">
      <c r="A129" s="7">
        <v>126</v>
      </c>
      <c r="B129" s="37">
        <v>46053.371527777781</v>
      </c>
      <c r="C129" s="2">
        <v>82991.13</v>
      </c>
      <c r="D129" s="42">
        <v>83072.429999999993</v>
      </c>
      <c r="E129" s="42">
        <v>82991.13</v>
      </c>
      <c r="F129" s="2">
        <v>83050.320000000007</v>
      </c>
      <c r="G129" s="1">
        <v>241</v>
      </c>
      <c r="H129"/>
      <c r="I129" s="37">
        <v>46053.371527777781</v>
      </c>
      <c r="J129" s="36"/>
      <c r="L129" s="2"/>
      <c r="M129" s="2"/>
      <c r="N129"/>
      <c r="O129" s="37">
        <v>46053.371527777781</v>
      </c>
      <c r="P129" s="36"/>
      <c r="R129" s="2"/>
      <c r="S129" s="2"/>
    </row>
    <row r="130" spans="1:19" s="4" customFormat="1" x14ac:dyDescent="0.35">
      <c r="A130" s="7">
        <v>127</v>
      </c>
      <c r="B130" s="37">
        <v>46053.37222222222</v>
      </c>
      <c r="C130" s="2">
        <v>83077.3</v>
      </c>
      <c r="D130" s="42">
        <v>83124.34</v>
      </c>
      <c r="E130" s="42">
        <v>83058.350000000006</v>
      </c>
      <c r="F130" s="2">
        <v>83124.34</v>
      </c>
      <c r="G130" s="1">
        <v>241</v>
      </c>
      <c r="H130"/>
      <c r="I130" s="37">
        <v>46053.37222222222</v>
      </c>
      <c r="J130" s="36"/>
      <c r="L130" s="2"/>
      <c r="M130" s="2"/>
      <c r="N130"/>
      <c r="O130" s="37">
        <v>46053.37222222222</v>
      </c>
      <c r="P130" s="36"/>
      <c r="R130" s="2"/>
      <c r="S130" s="2"/>
    </row>
    <row r="131" spans="1:19" s="4" customFormat="1" x14ac:dyDescent="0.35">
      <c r="A131" s="7">
        <v>128</v>
      </c>
      <c r="B131" s="37">
        <v>46053.372916666667</v>
      </c>
      <c r="C131" s="2">
        <v>83124.34</v>
      </c>
      <c r="D131" s="42">
        <v>83172.570000000007</v>
      </c>
      <c r="E131" s="42">
        <v>83094.22</v>
      </c>
      <c r="F131" s="2">
        <v>83126.720000000001</v>
      </c>
      <c r="G131" s="1">
        <v>214</v>
      </c>
      <c r="H131"/>
      <c r="I131" s="37">
        <v>46053.372916666667</v>
      </c>
      <c r="J131" s="36"/>
      <c r="L131" s="2"/>
      <c r="M131" s="2"/>
      <c r="N131"/>
      <c r="O131" s="37">
        <v>46053.372916666667</v>
      </c>
      <c r="P131" s="36"/>
      <c r="R131" s="2"/>
      <c r="S131" s="2"/>
    </row>
    <row r="132" spans="1:19" s="4" customFormat="1" x14ac:dyDescent="0.35">
      <c r="A132" s="7">
        <v>129</v>
      </c>
      <c r="B132" s="37">
        <v>46053.373611111114</v>
      </c>
      <c r="C132" s="2">
        <v>83121.7</v>
      </c>
      <c r="D132" s="42">
        <v>83140.320000000007</v>
      </c>
      <c r="E132" s="42">
        <v>83047.039999999994</v>
      </c>
      <c r="F132" s="2">
        <v>83047.039999999994</v>
      </c>
      <c r="G132" s="1">
        <v>195</v>
      </c>
      <c r="H132"/>
      <c r="I132" s="37">
        <v>46053.373611111114</v>
      </c>
      <c r="J132" s="36"/>
      <c r="L132" s="2"/>
      <c r="M132" s="2"/>
      <c r="N132"/>
      <c r="O132" s="37">
        <v>46053.373611111114</v>
      </c>
      <c r="P132" s="36"/>
      <c r="R132" s="2"/>
      <c r="S132" s="2"/>
    </row>
    <row r="133" spans="1:19" s="4" customFormat="1" x14ac:dyDescent="0.35">
      <c r="A133" s="7">
        <v>130</v>
      </c>
      <c r="B133" s="37">
        <v>46053.374305555553</v>
      </c>
      <c r="C133" s="2">
        <v>83052.800000000003</v>
      </c>
      <c r="D133" s="42">
        <v>83089.33</v>
      </c>
      <c r="E133" s="42">
        <v>83017.63</v>
      </c>
      <c r="F133" s="2">
        <v>83018.66</v>
      </c>
      <c r="G133" s="1">
        <v>230</v>
      </c>
      <c r="H133"/>
      <c r="I133" s="37">
        <v>46053.374305555553</v>
      </c>
      <c r="J133" s="36"/>
      <c r="L133" s="2"/>
      <c r="M133" s="2"/>
      <c r="N133"/>
      <c r="O133" s="37">
        <v>46053.374305555553</v>
      </c>
      <c r="P133" s="36"/>
      <c r="R133" s="2"/>
      <c r="S133" s="2"/>
    </row>
    <row r="134" spans="1:19" s="4" customFormat="1" x14ac:dyDescent="0.35">
      <c r="A134" s="7">
        <v>131</v>
      </c>
      <c r="B134" s="37">
        <v>46053.375</v>
      </c>
      <c r="C134" s="2">
        <v>83024.100000000006</v>
      </c>
      <c r="D134" s="42">
        <v>83096.929999999993</v>
      </c>
      <c r="E134" s="42">
        <v>83024.100000000006</v>
      </c>
      <c r="F134" s="2">
        <v>83093.56</v>
      </c>
      <c r="G134" s="1">
        <v>185</v>
      </c>
      <c r="H134"/>
      <c r="I134" s="37">
        <v>46053.375</v>
      </c>
      <c r="J134" s="36"/>
      <c r="L134" s="2"/>
      <c r="M134" s="2"/>
      <c r="N134"/>
      <c r="O134" s="37">
        <v>46053.375</v>
      </c>
      <c r="P134" s="36"/>
      <c r="R134" s="2"/>
      <c r="S134" s="2"/>
    </row>
    <row r="135" spans="1:19" s="4" customFormat="1" x14ac:dyDescent="0.35">
      <c r="A135" s="7">
        <v>132</v>
      </c>
      <c r="B135" s="37">
        <v>46053.375694444447</v>
      </c>
      <c r="C135" s="2">
        <v>83096.350000000006</v>
      </c>
      <c r="D135" s="42">
        <v>83096.350000000006</v>
      </c>
      <c r="E135" s="42">
        <v>83029.2</v>
      </c>
      <c r="F135" s="2">
        <v>83056.899999999994</v>
      </c>
      <c r="G135" s="1">
        <v>157</v>
      </c>
      <c r="H135"/>
      <c r="I135" s="37">
        <v>46053.375694444447</v>
      </c>
      <c r="J135" s="36"/>
      <c r="L135" s="2"/>
      <c r="M135" s="2"/>
      <c r="N135"/>
      <c r="O135" s="37">
        <v>46053.375694444447</v>
      </c>
      <c r="P135" s="36"/>
      <c r="R135" s="2"/>
      <c r="S135" s="2"/>
    </row>
    <row r="136" spans="1:19" s="4" customFormat="1" x14ac:dyDescent="0.35">
      <c r="A136" s="7">
        <v>133</v>
      </c>
      <c r="B136" s="37">
        <v>46053.376388888886</v>
      </c>
      <c r="C136" s="2">
        <v>83056.91</v>
      </c>
      <c r="D136" s="42">
        <v>83110.350000000006</v>
      </c>
      <c r="E136" s="42">
        <v>83056.02</v>
      </c>
      <c r="F136" s="2">
        <v>83110.350000000006</v>
      </c>
      <c r="G136" s="1">
        <v>165</v>
      </c>
      <c r="H136"/>
      <c r="I136" s="37">
        <v>46053.376388888886</v>
      </c>
      <c r="J136" s="36"/>
      <c r="L136" s="2"/>
      <c r="M136" s="2"/>
      <c r="N136"/>
      <c r="O136" s="37">
        <v>46053.376388888886</v>
      </c>
      <c r="P136" s="36"/>
      <c r="R136" s="2"/>
      <c r="S136" s="2"/>
    </row>
    <row r="137" spans="1:19" s="4" customFormat="1" x14ac:dyDescent="0.35">
      <c r="A137" s="7">
        <v>134</v>
      </c>
      <c r="B137" s="37">
        <v>46053.377083333333</v>
      </c>
      <c r="C137" s="2">
        <v>83110.350000000006</v>
      </c>
      <c r="D137" s="42">
        <v>83190.399999999994</v>
      </c>
      <c r="E137" s="42">
        <v>83110.350000000006</v>
      </c>
      <c r="F137" s="2">
        <v>83161.06</v>
      </c>
      <c r="G137" s="1">
        <v>240</v>
      </c>
      <c r="H137"/>
      <c r="I137" s="37">
        <v>46053.377083333333</v>
      </c>
      <c r="J137" s="36"/>
      <c r="L137" s="2"/>
      <c r="M137" s="2"/>
      <c r="N137"/>
      <c r="O137" s="37">
        <v>46053.377083333333</v>
      </c>
      <c r="P137" s="36"/>
      <c r="R137" s="2"/>
      <c r="S137" s="2"/>
    </row>
    <row r="138" spans="1:19" s="4" customFormat="1" x14ac:dyDescent="0.35">
      <c r="A138" s="7">
        <v>135</v>
      </c>
      <c r="B138" s="37">
        <v>46053.37777777778</v>
      </c>
      <c r="C138" s="2">
        <v>83161.05</v>
      </c>
      <c r="D138" s="42">
        <v>83241.179999999993</v>
      </c>
      <c r="E138" s="42">
        <v>83129.08</v>
      </c>
      <c r="F138" s="2">
        <v>83129.08</v>
      </c>
      <c r="G138" s="1">
        <v>176</v>
      </c>
      <c r="H138"/>
      <c r="I138" s="37">
        <v>46053.37777777778</v>
      </c>
      <c r="J138" s="36"/>
      <c r="L138" s="2"/>
      <c r="M138" s="2"/>
      <c r="N138"/>
      <c r="O138" s="37">
        <v>46053.37777777778</v>
      </c>
      <c r="P138" s="36"/>
      <c r="R138" s="2"/>
      <c r="S138" s="2"/>
    </row>
    <row r="139" spans="1:19" s="4" customFormat="1" x14ac:dyDescent="0.35">
      <c r="A139" s="7">
        <v>136</v>
      </c>
      <c r="B139" s="37">
        <v>46053.378472222219</v>
      </c>
      <c r="C139" s="2">
        <v>83124.600000000006</v>
      </c>
      <c r="D139" s="42">
        <v>83235.399999999994</v>
      </c>
      <c r="E139" s="42">
        <v>83120.88</v>
      </c>
      <c r="F139" s="2">
        <v>83206.5</v>
      </c>
      <c r="G139" s="1">
        <v>214</v>
      </c>
      <c r="H139"/>
      <c r="I139" s="37">
        <v>46053.378472222219</v>
      </c>
      <c r="J139" s="36"/>
      <c r="L139" s="2"/>
      <c r="M139" s="2"/>
      <c r="N139"/>
      <c r="O139" s="37">
        <v>46053.378472222219</v>
      </c>
      <c r="P139" s="36"/>
      <c r="R139" s="2"/>
      <c r="S139" s="2"/>
    </row>
    <row r="140" spans="1:19" s="4" customFormat="1" x14ac:dyDescent="0.35">
      <c r="A140" s="7">
        <v>137</v>
      </c>
      <c r="B140" s="37">
        <v>46053.379166666666</v>
      </c>
      <c r="C140" s="2">
        <v>83206.5</v>
      </c>
      <c r="D140" s="42">
        <v>83217.84</v>
      </c>
      <c r="E140" s="42">
        <v>83031.13</v>
      </c>
      <c r="F140" s="2">
        <v>83031.13</v>
      </c>
      <c r="G140" s="1">
        <v>241</v>
      </c>
      <c r="H140"/>
      <c r="I140" s="37">
        <v>46053.379166666666</v>
      </c>
      <c r="J140" s="36"/>
      <c r="L140" s="2"/>
      <c r="M140" s="2"/>
      <c r="N140"/>
      <c r="O140" s="37">
        <v>46053.379166666666</v>
      </c>
      <c r="P140" s="36"/>
      <c r="R140" s="2"/>
      <c r="S140" s="2"/>
    </row>
    <row r="141" spans="1:19" s="4" customFormat="1" x14ac:dyDescent="0.35">
      <c r="A141" s="7">
        <v>138</v>
      </c>
      <c r="B141" s="37">
        <v>46053.379861111112</v>
      </c>
      <c r="C141" s="2">
        <v>83047.490000000005</v>
      </c>
      <c r="D141" s="42">
        <v>83095.33</v>
      </c>
      <c r="E141" s="42">
        <v>83026.28</v>
      </c>
      <c r="F141" s="2">
        <v>83080.86</v>
      </c>
      <c r="G141" s="1">
        <v>204</v>
      </c>
      <c r="H141"/>
      <c r="I141" s="37">
        <v>46053.379861111112</v>
      </c>
      <c r="J141" s="36"/>
      <c r="L141" s="2"/>
      <c r="M141" s="2"/>
      <c r="N141"/>
      <c r="O141" s="37">
        <v>46053.379861111112</v>
      </c>
      <c r="P141" s="36"/>
      <c r="R141" s="2"/>
      <c r="S141" s="2"/>
    </row>
    <row r="142" spans="1:19" s="4" customFormat="1" x14ac:dyDescent="0.35">
      <c r="A142" s="7">
        <v>139</v>
      </c>
      <c r="B142" s="37">
        <v>46053.380555555559</v>
      </c>
      <c r="C142" s="2">
        <v>83082.039999999994</v>
      </c>
      <c r="D142" s="42">
        <v>83135.350000000006</v>
      </c>
      <c r="E142" s="42">
        <v>83070.75</v>
      </c>
      <c r="F142" s="2">
        <v>83107.92</v>
      </c>
      <c r="G142" s="1">
        <v>197</v>
      </c>
      <c r="H142"/>
      <c r="I142" s="37">
        <v>46053.380555555559</v>
      </c>
      <c r="J142" s="36"/>
      <c r="L142" s="2"/>
      <c r="M142" s="2"/>
      <c r="N142"/>
      <c r="O142" s="37">
        <v>46053.380555555559</v>
      </c>
      <c r="P142" s="36"/>
      <c r="R142" s="2"/>
      <c r="S142" s="2"/>
    </row>
    <row r="143" spans="1:19" s="4" customFormat="1" x14ac:dyDescent="0.35">
      <c r="A143" s="7">
        <v>140</v>
      </c>
      <c r="B143" s="37">
        <v>46053.381249999999</v>
      </c>
      <c r="C143" s="2">
        <v>83107.86</v>
      </c>
      <c r="D143" s="42">
        <v>83140.34</v>
      </c>
      <c r="E143" s="42">
        <v>83079.77</v>
      </c>
      <c r="F143" s="2">
        <v>83098.34</v>
      </c>
      <c r="G143" s="1">
        <v>189</v>
      </c>
      <c r="H143"/>
      <c r="I143" s="37">
        <v>46053.381249999999</v>
      </c>
      <c r="J143" s="36"/>
      <c r="L143" s="2"/>
      <c r="M143" s="2"/>
      <c r="N143"/>
      <c r="O143" s="37">
        <v>46053.381249999999</v>
      </c>
      <c r="P143" s="36"/>
      <c r="R143" s="2"/>
      <c r="S143" s="2"/>
    </row>
    <row r="144" spans="1:19" s="4" customFormat="1" x14ac:dyDescent="0.35">
      <c r="A144" s="7">
        <v>141</v>
      </c>
      <c r="B144" s="37">
        <v>46053.381944444445</v>
      </c>
      <c r="C144" s="2">
        <v>83098.399999999994</v>
      </c>
      <c r="D144" s="42">
        <v>83159.55</v>
      </c>
      <c r="E144" s="42">
        <v>83098.399999999994</v>
      </c>
      <c r="F144" s="2">
        <v>83149.42</v>
      </c>
      <c r="G144" s="1">
        <v>166</v>
      </c>
      <c r="H144"/>
      <c r="I144" s="37">
        <v>46053.381944444445</v>
      </c>
      <c r="J144" s="36"/>
      <c r="L144" s="2"/>
      <c r="M144" s="2"/>
      <c r="N144"/>
      <c r="O144" s="37">
        <v>46053.381944444445</v>
      </c>
      <c r="P144" s="36"/>
      <c r="R144" s="2"/>
      <c r="S144" s="2"/>
    </row>
    <row r="145" spans="1:19" s="4" customFormat="1" x14ac:dyDescent="0.35">
      <c r="A145" s="7">
        <v>142</v>
      </c>
      <c r="B145" s="37">
        <v>46053.382638888892</v>
      </c>
      <c r="C145" s="2">
        <v>83149.42</v>
      </c>
      <c r="D145" s="42">
        <v>83182.649999999994</v>
      </c>
      <c r="E145" s="42">
        <v>83110.73</v>
      </c>
      <c r="F145" s="2">
        <v>83117.850000000006</v>
      </c>
      <c r="G145" s="1">
        <v>149</v>
      </c>
      <c r="H145"/>
      <c r="I145" s="37">
        <v>46053.382638888892</v>
      </c>
      <c r="J145" s="36"/>
      <c r="L145" s="2"/>
      <c r="M145" s="2"/>
      <c r="N145"/>
      <c r="O145" s="37">
        <v>46053.382638888892</v>
      </c>
      <c r="P145" s="36"/>
      <c r="R145" s="2"/>
      <c r="S145" s="2"/>
    </row>
    <row r="146" spans="1:19" s="4" customFormat="1" x14ac:dyDescent="0.35">
      <c r="A146" s="7">
        <v>143</v>
      </c>
      <c r="B146" s="37">
        <v>46053.383333333331</v>
      </c>
      <c r="C146" s="2">
        <v>83117.850000000006</v>
      </c>
      <c r="D146" s="42">
        <v>83142.62</v>
      </c>
      <c r="E146" s="42">
        <v>83117.820000000007</v>
      </c>
      <c r="F146" s="2">
        <v>83138.13</v>
      </c>
      <c r="G146" s="1">
        <v>168</v>
      </c>
      <c r="H146"/>
      <c r="I146" s="37">
        <v>46053.383333333331</v>
      </c>
      <c r="J146" s="36"/>
      <c r="L146" s="2"/>
      <c r="M146" s="2"/>
      <c r="N146"/>
      <c r="O146" s="37">
        <v>46053.383333333331</v>
      </c>
      <c r="P146" s="36"/>
      <c r="R146" s="2"/>
      <c r="S146" s="2"/>
    </row>
    <row r="147" spans="1:19" s="4" customFormat="1" x14ac:dyDescent="0.35">
      <c r="A147" s="7">
        <v>144</v>
      </c>
      <c r="B147" s="37">
        <v>46053.384027777778</v>
      </c>
      <c r="C147" s="2">
        <v>83137.990000000005</v>
      </c>
      <c r="D147" s="42">
        <v>83154.289999999994</v>
      </c>
      <c r="E147" s="42">
        <v>83134.679999999993</v>
      </c>
      <c r="F147" s="2">
        <v>83149.63</v>
      </c>
      <c r="G147" s="1">
        <v>157</v>
      </c>
      <c r="H147"/>
      <c r="I147" s="37">
        <v>46053.384027777778</v>
      </c>
      <c r="J147" s="36"/>
      <c r="L147" s="2"/>
      <c r="M147" s="2"/>
      <c r="N147"/>
      <c r="O147" s="37">
        <v>46053.384027777778</v>
      </c>
      <c r="P147" s="36"/>
      <c r="R147" s="2"/>
      <c r="S147" s="2"/>
    </row>
    <row r="148" spans="1:19" s="4" customFormat="1" x14ac:dyDescent="0.35">
      <c r="A148" s="7">
        <v>145</v>
      </c>
      <c r="B148" s="37">
        <v>46053.384722222225</v>
      </c>
      <c r="C148" s="2">
        <v>83149.070000000007</v>
      </c>
      <c r="D148" s="42">
        <v>83152.850000000006</v>
      </c>
      <c r="E148" s="42">
        <v>83090.42</v>
      </c>
      <c r="F148" s="2">
        <v>83093.16</v>
      </c>
      <c r="G148" s="1">
        <v>182</v>
      </c>
      <c r="H148"/>
      <c r="I148" s="37">
        <v>46053.384722222225</v>
      </c>
      <c r="J148" s="36"/>
      <c r="L148" s="2"/>
      <c r="M148" s="2"/>
      <c r="N148"/>
      <c r="O148" s="37">
        <v>46053.384722222225</v>
      </c>
      <c r="P148" s="36"/>
      <c r="R148" s="2"/>
      <c r="S148" s="2"/>
    </row>
    <row r="149" spans="1:19" s="4" customFormat="1" x14ac:dyDescent="0.35">
      <c r="A149" s="7">
        <v>146</v>
      </c>
      <c r="B149" s="37">
        <v>46053.385416666664</v>
      </c>
      <c r="C149" s="2">
        <v>83093.2</v>
      </c>
      <c r="D149" s="42">
        <v>83120.3</v>
      </c>
      <c r="E149" s="42">
        <v>83064.539999999994</v>
      </c>
      <c r="F149" s="2">
        <v>83096.539999999994</v>
      </c>
      <c r="G149" s="1">
        <v>203</v>
      </c>
      <c r="H149"/>
      <c r="I149" s="37">
        <v>46053.385416666664</v>
      </c>
      <c r="J149" s="36"/>
      <c r="L149" s="2"/>
      <c r="M149" s="2"/>
      <c r="N149"/>
      <c r="O149" s="37">
        <v>46053.385416666664</v>
      </c>
      <c r="P149" s="36"/>
      <c r="R149" s="2"/>
      <c r="S149" s="2"/>
    </row>
    <row r="150" spans="1:19" s="4" customFormat="1" x14ac:dyDescent="0.35">
      <c r="A150" s="7">
        <v>147</v>
      </c>
      <c r="B150" s="37">
        <v>46053.386111111111</v>
      </c>
      <c r="C150" s="2">
        <v>83096.509999999995</v>
      </c>
      <c r="D150" s="42">
        <v>83115.199999999997</v>
      </c>
      <c r="E150" s="42">
        <v>83028.47</v>
      </c>
      <c r="F150" s="2">
        <v>83087.899999999994</v>
      </c>
      <c r="G150" s="1">
        <v>184</v>
      </c>
      <c r="H150"/>
      <c r="I150" s="37">
        <v>46053.386111111111</v>
      </c>
      <c r="J150" s="36"/>
      <c r="L150" s="2"/>
      <c r="M150" s="2"/>
      <c r="N150"/>
      <c r="O150" s="37">
        <v>46053.386111111111</v>
      </c>
      <c r="P150" s="36"/>
      <c r="R150" s="2"/>
      <c r="S150" s="2"/>
    </row>
    <row r="151" spans="1:19" s="4" customFormat="1" x14ac:dyDescent="0.35">
      <c r="A151" s="7">
        <v>148</v>
      </c>
      <c r="B151" s="37">
        <v>46053.386805555558</v>
      </c>
      <c r="C151" s="2">
        <v>83087.899999999994</v>
      </c>
      <c r="D151" s="42">
        <v>83139.63</v>
      </c>
      <c r="E151" s="42">
        <v>83087.839999999997</v>
      </c>
      <c r="F151" s="2">
        <v>83124.91</v>
      </c>
      <c r="G151" s="1">
        <v>136</v>
      </c>
      <c r="H151"/>
      <c r="I151" s="37">
        <v>46053.386805555558</v>
      </c>
      <c r="J151" s="36"/>
      <c r="L151" s="2"/>
      <c r="M151" s="2"/>
      <c r="N151"/>
      <c r="O151" s="37">
        <v>46053.386805555558</v>
      </c>
      <c r="P151" s="36"/>
      <c r="R151" s="2"/>
      <c r="S151" s="2"/>
    </row>
    <row r="152" spans="1:19" s="4" customFormat="1" x14ac:dyDescent="0.35">
      <c r="A152" s="7">
        <v>149</v>
      </c>
      <c r="B152" s="37">
        <v>46053.387499999997</v>
      </c>
      <c r="C152" s="2">
        <v>83124.91</v>
      </c>
      <c r="D152" s="42">
        <v>83135.8</v>
      </c>
      <c r="E152" s="42">
        <v>83106.36</v>
      </c>
      <c r="F152" s="2">
        <v>83112.31</v>
      </c>
      <c r="G152" s="1">
        <v>150</v>
      </c>
      <c r="H152"/>
      <c r="I152" s="37">
        <v>46053.387499999997</v>
      </c>
      <c r="J152" s="36"/>
      <c r="L152" s="2"/>
      <c r="M152" s="2"/>
      <c r="N152"/>
      <c r="O152" s="37">
        <v>46053.387499999997</v>
      </c>
      <c r="P152" s="36"/>
      <c r="R152" s="2"/>
      <c r="S152" s="2"/>
    </row>
    <row r="153" spans="1:19" s="4" customFormat="1" x14ac:dyDescent="0.35">
      <c r="A153" s="7">
        <v>150</v>
      </c>
      <c r="B153" s="37">
        <v>46053.388194444444</v>
      </c>
      <c r="C153" s="2">
        <v>83112.27</v>
      </c>
      <c r="D153" s="42">
        <v>83114.91</v>
      </c>
      <c r="E153" s="42">
        <v>83033.81</v>
      </c>
      <c r="F153" s="2">
        <v>83033.81</v>
      </c>
      <c r="G153" s="1">
        <v>189</v>
      </c>
      <c r="H153"/>
      <c r="I153" s="37">
        <v>46053.388194444444</v>
      </c>
      <c r="J153" s="36"/>
      <c r="L153" s="2"/>
      <c r="M153" s="2"/>
      <c r="N153"/>
      <c r="O153" s="37">
        <v>46053.388194444444</v>
      </c>
      <c r="P153" s="36"/>
      <c r="R153" s="2"/>
      <c r="S153" s="2"/>
    </row>
    <row r="154" spans="1:19" s="4" customFormat="1" x14ac:dyDescent="0.35">
      <c r="A154" s="7">
        <v>151</v>
      </c>
      <c r="B154" s="37">
        <v>46053.388888888891</v>
      </c>
      <c r="C154" s="2">
        <v>83033.81</v>
      </c>
      <c r="D154" s="42">
        <v>83076.97</v>
      </c>
      <c r="E154" s="42">
        <v>83020.36</v>
      </c>
      <c r="F154" s="2">
        <v>83020.36</v>
      </c>
      <c r="G154" s="1">
        <v>162</v>
      </c>
      <c r="H154"/>
      <c r="I154" s="37">
        <v>46053.388888888891</v>
      </c>
      <c r="J154" s="36"/>
      <c r="L154" s="2"/>
      <c r="M154" s="2"/>
      <c r="N154"/>
      <c r="O154" s="37">
        <v>46053.388888888891</v>
      </c>
      <c r="P154" s="36"/>
      <c r="R154" s="2"/>
      <c r="S154" s="2"/>
    </row>
    <row r="155" spans="1:19" s="4" customFormat="1" x14ac:dyDescent="0.35">
      <c r="A155" s="7">
        <v>152</v>
      </c>
      <c r="B155" s="37">
        <v>46053.38958333333</v>
      </c>
      <c r="C155" s="2">
        <v>83020.87</v>
      </c>
      <c r="D155" s="42">
        <v>83021.22</v>
      </c>
      <c r="E155" s="42">
        <v>82965.39</v>
      </c>
      <c r="F155" s="2">
        <v>82999.600000000006</v>
      </c>
      <c r="G155" s="1">
        <v>224</v>
      </c>
      <c r="H155"/>
      <c r="I155" s="37">
        <v>46053.38958333333</v>
      </c>
      <c r="J155" s="36"/>
      <c r="L155" s="2"/>
      <c r="M155" s="2"/>
      <c r="N155"/>
      <c r="O155" s="37">
        <v>46053.38958333333</v>
      </c>
      <c r="P155" s="36"/>
      <c r="R155" s="2"/>
      <c r="S155" s="2"/>
    </row>
    <row r="156" spans="1:19" s="4" customFormat="1" x14ac:dyDescent="0.35">
      <c r="A156" s="7">
        <v>153</v>
      </c>
      <c r="B156" s="37">
        <v>46053.390277777777</v>
      </c>
      <c r="C156" s="2">
        <v>82999.490000000005</v>
      </c>
      <c r="D156" s="42">
        <v>82999.490000000005</v>
      </c>
      <c r="E156" s="42">
        <v>82944.28</v>
      </c>
      <c r="F156" s="2">
        <v>82963.63</v>
      </c>
      <c r="G156" s="1">
        <v>186</v>
      </c>
      <c r="H156"/>
      <c r="I156" s="37">
        <v>46053.390277777777</v>
      </c>
      <c r="J156" s="36"/>
      <c r="L156" s="2"/>
      <c r="M156" s="2"/>
      <c r="N156"/>
      <c r="O156" s="37">
        <v>46053.390277777777</v>
      </c>
      <c r="P156" s="36"/>
      <c r="R156" s="2"/>
      <c r="S156" s="2"/>
    </row>
    <row r="157" spans="1:19" s="4" customFormat="1" x14ac:dyDescent="0.35">
      <c r="A157" s="7">
        <v>154</v>
      </c>
      <c r="B157" s="37">
        <v>46053.390972222223</v>
      </c>
      <c r="C157" s="2">
        <v>82963.649999999994</v>
      </c>
      <c r="D157" s="42">
        <v>82975.350000000006</v>
      </c>
      <c r="E157" s="42">
        <v>82905.81</v>
      </c>
      <c r="F157" s="2">
        <v>82928.03</v>
      </c>
      <c r="G157" s="1">
        <v>162</v>
      </c>
      <c r="H157"/>
      <c r="I157" s="37">
        <v>46053.390972222223</v>
      </c>
      <c r="J157" s="36"/>
      <c r="L157" s="2"/>
      <c r="M157" s="2"/>
      <c r="N157"/>
      <c r="O157" s="37">
        <v>46053.390972222223</v>
      </c>
      <c r="P157" s="36"/>
      <c r="R157" s="2"/>
      <c r="S157" s="2"/>
    </row>
    <row r="158" spans="1:19" s="4" customFormat="1" x14ac:dyDescent="0.35">
      <c r="A158" s="7">
        <v>155</v>
      </c>
      <c r="B158" s="37">
        <v>46053.39166666667</v>
      </c>
      <c r="C158" s="2">
        <v>82928.02</v>
      </c>
      <c r="D158" s="42">
        <v>82929.81</v>
      </c>
      <c r="E158" s="42">
        <v>82855.070000000007</v>
      </c>
      <c r="F158" s="2">
        <v>82859.570000000007</v>
      </c>
      <c r="G158" s="1">
        <v>195</v>
      </c>
      <c r="H158"/>
      <c r="I158" s="37">
        <v>46053.39166666667</v>
      </c>
      <c r="J158" s="36"/>
      <c r="L158" s="2"/>
      <c r="M158" s="2"/>
      <c r="N158"/>
      <c r="O158" s="37">
        <v>46053.39166666667</v>
      </c>
      <c r="P158" s="36"/>
      <c r="R158" s="2"/>
      <c r="S158" s="2"/>
    </row>
    <row r="159" spans="1:19" s="4" customFormat="1" x14ac:dyDescent="0.35">
      <c r="A159" s="7">
        <v>156</v>
      </c>
      <c r="B159" s="37">
        <v>46053.392361111109</v>
      </c>
      <c r="C159" s="2">
        <v>82859.56</v>
      </c>
      <c r="D159" s="42">
        <v>82886.759999999995</v>
      </c>
      <c r="E159" s="42">
        <v>82855.67</v>
      </c>
      <c r="F159" s="2">
        <v>82886.679999999993</v>
      </c>
      <c r="G159" s="1">
        <v>191</v>
      </c>
      <c r="H159"/>
      <c r="I159" s="37">
        <v>46053.392361111109</v>
      </c>
      <c r="J159" s="36"/>
      <c r="L159" s="2"/>
      <c r="M159" s="2"/>
      <c r="N159"/>
      <c r="O159" s="37">
        <v>46053.392361111109</v>
      </c>
      <c r="P159" s="36"/>
      <c r="R159" s="2"/>
      <c r="S159" s="2"/>
    </row>
    <row r="160" spans="1:19" s="4" customFormat="1" x14ac:dyDescent="0.35">
      <c r="A160" s="7">
        <v>157</v>
      </c>
      <c r="B160" s="37">
        <v>46053.393055555556</v>
      </c>
      <c r="C160" s="2">
        <v>82885.84</v>
      </c>
      <c r="D160" s="42">
        <v>82887</v>
      </c>
      <c r="E160" s="42">
        <v>82839.009999999995</v>
      </c>
      <c r="F160" s="2">
        <v>82886.83</v>
      </c>
      <c r="G160" s="1">
        <v>180</v>
      </c>
      <c r="H160"/>
      <c r="I160" s="37">
        <v>46053.393055555556</v>
      </c>
      <c r="J160" s="36"/>
      <c r="L160" s="2"/>
      <c r="M160" s="2"/>
      <c r="N160"/>
      <c r="O160" s="37">
        <v>46053.393055555556</v>
      </c>
      <c r="P160" s="36"/>
      <c r="R160" s="2"/>
      <c r="S160" s="2"/>
    </row>
    <row r="161" spans="1:19" s="4" customFormat="1" x14ac:dyDescent="0.35">
      <c r="A161" s="7">
        <v>158</v>
      </c>
      <c r="B161" s="37">
        <v>46053.393750000003</v>
      </c>
      <c r="C161" s="2">
        <v>82886.83</v>
      </c>
      <c r="D161" s="42">
        <v>82909.509999999995</v>
      </c>
      <c r="E161" s="42">
        <v>82886.83</v>
      </c>
      <c r="F161" s="2">
        <v>82904.03</v>
      </c>
      <c r="G161" s="1">
        <v>153</v>
      </c>
      <c r="H161"/>
      <c r="I161" s="37">
        <v>46053.393750000003</v>
      </c>
      <c r="J161" s="36"/>
      <c r="L161" s="2"/>
      <c r="M161" s="2"/>
      <c r="N161"/>
      <c r="O161" s="37">
        <v>46053.393750000003</v>
      </c>
      <c r="P161" s="36"/>
      <c r="R161" s="2"/>
      <c r="S161" s="2"/>
    </row>
    <row r="162" spans="1:19" s="4" customFormat="1" x14ac:dyDescent="0.35">
      <c r="A162" s="7">
        <v>159</v>
      </c>
      <c r="B162" s="37">
        <v>46053.394444444442</v>
      </c>
      <c r="C162" s="2">
        <v>82903.98</v>
      </c>
      <c r="D162" s="42">
        <v>82929.84</v>
      </c>
      <c r="E162" s="42">
        <v>82903.98</v>
      </c>
      <c r="F162" s="2">
        <v>82922.5</v>
      </c>
      <c r="G162" s="1">
        <v>143</v>
      </c>
      <c r="H162"/>
      <c r="I162" s="37">
        <v>46053.394444444442</v>
      </c>
      <c r="J162" s="36"/>
      <c r="L162" s="2"/>
      <c r="M162" s="2"/>
      <c r="N162"/>
      <c r="O162" s="37">
        <v>46053.394444444442</v>
      </c>
      <c r="P162" s="36"/>
      <c r="R162" s="2"/>
      <c r="S162" s="2"/>
    </row>
    <row r="163" spans="1:19" s="4" customFormat="1" x14ac:dyDescent="0.35">
      <c r="A163" s="7">
        <v>160</v>
      </c>
      <c r="B163" s="37">
        <v>46053.395138888889</v>
      </c>
      <c r="C163" s="2">
        <v>82923.7</v>
      </c>
      <c r="D163" s="42">
        <v>82998.42</v>
      </c>
      <c r="E163" s="42">
        <v>82923.7</v>
      </c>
      <c r="F163" s="2">
        <v>82987.710000000006</v>
      </c>
      <c r="G163" s="1">
        <v>179</v>
      </c>
      <c r="H163"/>
      <c r="I163" s="37">
        <v>46053.395138888889</v>
      </c>
      <c r="J163" s="36"/>
      <c r="L163" s="2"/>
      <c r="M163" s="2"/>
      <c r="N163"/>
      <c r="O163" s="37">
        <v>46053.395138888889</v>
      </c>
      <c r="P163" s="36"/>
      <c r="R163" s="2"/>
      <c r="S163" s="2"/>
    </row>
    <row r="164" spans="1:19" s="4" customFormat="1" x14ac:dyDescent="0.35">
      <c r="A164" s="7">
        <v>161</v>
      </c>
      <c r="B164" s="37">
        <v>46053.395833333336</v>
      </c>
      <c r="C164" s="2">
        <v>82978.929999999993</v>
      </c>
      <c r="D164" s="42">
        <v>83034.66</v>
      </c>
      <c r="E164" s="42">
        <v>82978.929999999993</v>
      </c>
      <c r="F164" s="2">
        <v>83025.8</v>
      </c>
      <c r="G164" s="1">
        <v>204</v>
      </c>
      <c r="H164"/>
      <c r="I164" s="37">
        <v>46053.395833333336</v>
      </c>
      <c r="J164" s="36"/>
      <c r="L164" s="2"/>
      <c r="M164" s="2"/>
      <c r="N164"/>
      <c r="O164" s="37">
        <v>46053.395833333336</v>
      </c>
      <c r="P164" s="36"/>
      <c r="R164" s="2"/>
      <c r="S164" s="2"/>
    </row>
    <row r="165" spans="1:19" s="4" customFormat="1" x14ac:dyDescent="0.35">
      <c r="A165" s="7">
        <v>162</v>
      </c>
      <c r="B165" s="37">
        <v>46053.396527777775</v>
      </c>
      <c r="C165" s="2">
        <v>83025.73</v>
      </c>
      <c r="D165" s="42">
        <v>83144.5</v>
      </c>
      <c r="E165" s="42">
        <v>83025.73</v>
      </c>
      <c r="F165" s="2">
        <v>83098.84</v>
      </c>
      <c r="G165" s="1">
        <v>224</v>
      </c>
      <c r="H165"/>
      <c r="I165" s="37">
        <v>46053.396527777775</v>
      </c>
      <c r="J165" s="36"/>
      <c r="L165" s="2"/>
      <c r="M165" s="2"/>
      <c r="N165"/>
      <c r="O165" s="37">
        <v>46053.396527777775</v>
      </c>
      <c r="P165" s="36"/>
      <c r="R165" s="2"/>
      <c r="S165" s="2"/>
    </row>
    <row r="166" spans="1:19" s="4" customFormat="1" x14ac:dyDescent="0.35">
      <c r="A166" s="7">
        <v>163</v>
      </c>
      <c r="B166" s="37">
        <v>46053.397222222222</v>
      </c>
      <c r="C166" s="2">
        <v>83097.38</v>
      </c>
      <c r="D166" s="42">
        <v>83166.33</v>
      </c>
      <c r="E166" s="42">
        <v>83097.36</v>
      </c>
      <c r="F166" s="2">
        <v>83164.36</v>
      </c>
      <c r="G166" s="1">
        <v>187</v>
      </c>
      <c r="H166"/>
      <c r="I166" s="37">
        <v>46053.397222222222</v>
      </c>
      <c r="J166" s="36"/>
      <c r="L166" s="2"/>
      <c r="M166" s="2"/>
      <c r="N166"/>
      <c r="O166" s="37">
        <v>46053.397222222222</v>
      </c>
      <c r="P166" s="36"/>
      <c r="R166" s="2"/>
      <c r="S166" s="2"/>
    </row>
    <row r="167" spans="1:19" s="4" customFormat="1" x14ac:dyDescent="0.35">
      <c r="A167" s="7">
        <v>164</v>
      </c>
      <c r="B167" s="37">
        <v>46053.397916666669</v>
      </c>
      <c r="C167" s="2">
        <v>83164.41</v>
      </c>
      <c r="D167" s="42">
        <v>83177.03</v>
      </c>
      <c r="E167" s="42">
        <v>83133.2</v>
      </c>
      <c r="F167" s="2">
        <v>83164.59</v>
      </c>
      <c r="G167" s="1">
        <v>200</v>
      </c>
      <c r="H167"/>
      <c r="I167" s="37">
        <v>46053.397916666669</v>
      </c>
      <c r="J167" s="36"/>
      <c r="L167" s="2"/>
      <c r="M167" s="2"/>
      <c r="N167"/>
      <c r="O167" s="37">
        <v>46053.397916666669</v>
      </c>
      <c r="P167" s="36"/>
      <c r="R167" s="2"/>
      <c r="S167" s="2"/>
    </row>
    <row r="168" spans="1:19" s="4" customFormat="1" x14ac:dyDescent="0.35">
      <c r="A168" s="7">
        <v>165</v>
      </c>
      <c r="B168" s="37">
        <v>46053.398611111108</v>
      </c>
      <c r="C168" s="2">
        <v>83167.210000000006</v>
      </c>
      <c r="D168" s="42">
        <v>83250.73</v>
      </c>
      <c r="E168" s="42">
        <v>83167.210000000006</v>
      </c>
      <c r="F168" s="2">
        <v>83191.05</v>
      </c>
      <c r="G168" s="1">
        <v>256</v>
      </c>
      <c r="H168"/>
      <c r="I168" s="37">
        <v>46053.398611111108</v>
      </c>
      <c r="J168" s="36"/>
      <c r="L168" s="2"/>
      <c r="M168" s="2"/>
      <c r="N168"/>
      <c r="O168" s="37">
        <v>46053.398611111108</v>
      </c>
      <c r="P168" s="36"/>
      <c r="R168" s="2"/>
      <c r="S168" s="2"/>
    </row>
    <row r="169" spans="1:19" s="4" customFormat="1" x14ac:dyDescent="0.35">
      <c r="A169" s="7">
        <v>166</v>
      </c>
      <c r="B169" s="37">
        <v>46053.399305555555</v>
      </c>
      <c r="C169" s="2">
        <v>83194.64</v>
      </c>
      <c r="D169" s="42">
        <v>83250.37</v>
      </c>
      <c r="E169" s="42">
        <v>83181.41</v>
      </c>
      <c r="F169" s="2">
        <v>83250.37</v>
      </c>
      <c r="G169" s="1">
        <v>232</v>
      </c>
      <c r="H169"/>
      <c r="I169" s="37">
        <v>46053.399305555555</v>
      </c>
      <c r="J169" s="36"/>
      <c r="L169" s="2"/>
      <c r="M169" s="2"/>
      <c r="N169"/>
      <c r="O169" s="37">
        <v>46053.399305555555</v>
      </c>
      <c r="P169" s="36"/>
      <c r="R169" s="2"/>
      <c r="S169" s="2"/>
    </row>
    <row r="170" spans="1:19" s="4" customFormat="1" x14ac:dyDescent="0.35">
      <c r="A170" s="7">
        <v>167</v>
      </c>
      <c r="B170" s="37">
        <v>46053.4</v>
      </c>
      <c r="C170" s="2">
        <v>83250.36</v>
      </c>
      <c r="D170" s="42">
        <v>83250.36</v>
      </c>
      <c r="E170" s="42">
        <v>83189.53</v>
      </c>
      <c r="F170" s="2">
        <v>83201.119999999995</v>
      </c>
      <c r="G170" s="1">
        <v>203</v>
      </c>
      <c r="H170"/>
      <c r="I170" s="37">
        <v>46053.4</v>
      </c>
      <c r="J170" s="36"/>
      <c r="L170" s="2"/>
      <c r="M170" s="2"/>
      <c r="N170"/>
      <c r="O170" s="37">
        <v>46053.4</v>
      </c>
      <c r="P170" s="36"/>
      <c r="R170" s="2"/>
      <c r="S170" s="2"/>
    </row>
    <row r="171" spans="1:19" s="4" customFormat="1" x14ac:dyDescent="0.35">
      <c r="A171" s="7">
        <v>168</v>
      </c>
      <c r="B171" s="37">
        <v>46053.400694444441</v>
      </c>
      <c r="C171" s="2">
        <v>83201.119999999995</v>
      </c>
      <c r="D171" s="42">
        <v>83201.119999999995</v>
      </c>
      <c r="E171" s="42">
        <v>83121.41</v>
      </c>
      <c r="F171" s="2">
        <v>83140.5</v>
      </c>
      <c r="G171" s="1">
        <v>183</v>
      </c>
      <c r="H171"/>
      <c r="I171" s="37">
        <v>46053.400694444441</v>
      </c>
      <c r="J171" s="36"/>
      <c r="L171" s="2"/>
      <c r="M171" s="2"/>
      <c r="N171"/>
      <c r="O171" s="37">
        <v>46053.400694444441</v>
      </c>
      <c r="P171" s="36"/>
      <c r="R171" s="2"/>
      <c r="S171" s="2"/>
    </row>
    <row r="172" spans="1:19" s="4" customFormat="1" x14ac:dyDescent="0.35">
      <c r="A172" s="7">
        <v>169</v>
      </c>
      <c r="B172" s="37">
        <v>46053.401388888888</v>
      </c>
      <c r="C172" s="2">
        <v>83140.5</v>
      </c>
      <c r="D172" s="42">
        <v>83188.81</v>
      </c>
      <c r="E172" s="42">
        <v>83128.47</v>
      </c>
      <c r="F172" s="2">
        <v>83142.05</v>
      </c>
      <c r="G172" s="1">
        <v>191</v>
      </c>
      <c r="H172"/>
      <c r="I172" s="37">
        <v>46053.401388888888</v>
      </c>
      <c r="J172" s="36"/>
      <c r="L172" s="2"/>
      <c r="M172" s="2"/>
      <c r="N172"/>
      <c r="O172" s="37">
        <v>46053.401388888888</v>
      </c>
      <c r="P172" s="36"/>
      <c r="R172" s="2"/>
      <c r="S172" s="2"/>
    </row>
    <row r="173" spans="1:19" s="4" customFormat="1" x14ac:dyDescent="0.35">
      <c r="A173" s="7">
        <v>170</v>
      </c>
      <c r="B173" s="37">
        <v>46053.402083333334</v>
      </c>
      <c r="C173" s="2">
        <v>83142.05</v>
      </c>
      <c r="D173" s="42">
        <v>83189.490000000005</v>
      </c>
      <c r="E173" s="42">
        <v>83142.05</v>
      </c>
      <c r="F173" s="2">
        <v>83156.37</v>
      </c>
      <c r="G173" s="1">
        <v>196</v>
      </c>
      <c r="H173"/>
      <c r="I173" s="37">
        <v>46053.402083333334</v>
      </c>
      <c r="J173" s="36"/>
      <c r="L173" s="2"/>
      <c r="M173" s="2"/>
      <c r="N173"/>
      <c r="O173" s="37">
        <v>46053.402083333334</v>
      </c>
      <c r="P173" s="36"/>
      <c r="R173" s="2"/>
      <c r="S173" s="2"/>
    </row>
    <row r="174" spans="1:19" s="4" customFormat="1" x14ac:dyDescent="0.35">
      <c r="A174" s="7">
        <v>171</v>
      </c>
      <c r="B174" s="37">
        <v>46053.402777777781</v>
      </c>
      <c r="C174" s="2">
        <v>83156.41</v>
      </c>
      <c r="D174" s="42">
        <v>83190.399999999994</v>
      </c>
      <c r="E174" s="42">
        <v>83156.41</v>
      </c>
      <c r="F174" s="2">
        <v>83189.210000000006</v>
      </c>
      <c r="G174" s="1">
        <v>146</v>
      </c>
      <c r="H174"/>
      <c r="I174" s="37">
        <v>46053.402777777781</v>
      </c>
      <c r="J174" s="36"/>
      <c r="L174" s="2"/>
      <c r="M174" s="2"/>
      <c r="N174"/>
      <c r="O174" s="37">
        <v>46053.402777777781</v>
      </c>
      <c r="P174" s="36"/>
      <c r="R174" s="2"/>
      <c r="S174" s="2"/>
    </row>
    <row r="175" spans="1:19" s="4" customFormat="1" x14ac:dyDescent="0.35">
      <c r="A175" s="7">
        <v>172</v>
      </c>
      <c r="B175" s="37">
        <v>46053.40347222222</v>
      </c>
      <c r="C175" s="2">
        <v>83189.23</v>
      </c>
      <c r="D175" s="42">
        <v>83193.7</v>
      </c>
      <c r="E175" s="42">
        <v>83182.429999999993</v>
      </c>
      <c r="F175" s="2">
        <v>83193.7</v>
      </c>
      <c r="G175" s="1">
        <v>119</v>
      </c>
      <c r="H175"/>
      <c r="I175" s="37">
        <v>46053.40347222222</v>
      </c>
      <c r="J175" s="36"/>
      <c r="L175" s="2"/>
      <c r="M175" s="2"/>
      <c r="N175"/>
      <c r="O175" s="37">
        <v>46053.40347222222</v>
      </c>
      <c r="P175" s="36"/>
      <c r="R175" s="2"/>
      <c r="S175" s="2"/>
    </row>
    <row r="176" spans="1:19" s="4" customFormat="1" x14ac:dyDescent="0.35">
      <c r="A176" s="7">
        <v>173</v>
      </c>
      <c r="B176" s="37">
        <v>46053.404166666667</v>
      </c>
      <c r="C176" s="2">
        <v>83193.7</v>
      </c>
      <c r="D176" s="42">
        <v>83209.100000000006</v>
      </c>
      <c r="E176" s="42">
        <v>83170.509999999995</v>
      </c>
      <c r="F176" s="2">
        <v>83198.55</v>
      </c>
      <c r="G176" s="1">
        <v>146</v>
      </c>
      <c r="H176"/>
      <c r="I176" s="37">
        <v>46053.404166666667</v>
      </c>
      <c r="J176" s="36"/>
      <c r="L176" s="2"/>
      <c r="M176" s="2"/>
      <c r="N176"/>
      <c r="O176" s="37">
        <v>46053.404166666667</v>
      </c>
      <c r="P176" s="36"/>
      <c r="R176" s="2"/>
      <c r="S176" s="2"/>
    </row>
    <row r="177" spans="1:19" s="4" customFormat="1" x14ac:dyDescent="0.35">
      <c r="A177" s="7">
        <v>174</v>
      </c>
      <c r="B177" s="37">
        <v>46053.404861111114</v>
      </c>
      <c r="C177" s="2">
        <v>83198.240000000005</v>
      </c>
      <c r="D177" s="42">
        <v>83223.61</v>
      </c>
      <c r="E177" s="42">
        <v>83178.23</v>
      </c>
      <c r="F177" s="2">
        <v>83178.929999999993</v>
      </c>
      <c r="G177" s="1">
        <v>142</v>
      </c>
      <c r="H177"/>
      <c r="I177" s="37">
        <v>46053.404861111114</v>
      </c>
      <c r="J177" s="36"/>
      <c r="L177" s="2"/>
      <c r="M177" s="2"/>
      <c r="N177"/>
      <c r="O177" s="37">
        <v>46053.404861111114</v>
      </c>
      <c r="P177" s="36"/>
      <c r="R177" s="2"/>
      <c r="S177" s="2"/>
    </row>
    <row r="178" spans="1:19" s="4" customFormat="1" x14ac:dyDescent="0.35">
      <c r="A178" s="7">
        <v>175</v>
      </c>
      <c r="B178" s="37">
        <v>46053.405555555553</v>
      </c>
      <c r="C178" s="2">
        <v>83178.429999999993</v>
      </c>
      <c r="D178" s="42">
        <v>83185.899999999994</v>
      </c>
      <c r="E178" s="42">
        <v>83155.3</v>
      </c>
      <c r="F178" s="2">
        <v>83165.289999999994</v>
      </c>
      <c r="G178" s="1">
        <v>159</v>
      </c>
      <c r="H178"/>
      <c r="I178" s="37">
        <v>46053.405555555553</v>
      </c>
      <c r="J178" s="36"/>
      <c r="L178" s="2"/>
      <c r="M178" s="2"/>
      <c r="N178"/>
      <c r="O178" s="37">
        <v>46053.405555555553</v>
      </c>
      <c r="P178" s="36"/>
      <c r="R178" s="2"/>
      <c r="S178" s="2"/>
    </row>
    <row r="179" spans="1:19" s="4" customFormat="1" x14ac:dyDescent="0.35">
      <c r="A179" s="7">
        <v>176</v>
      </c>
      <c r="B179" s="37">
        <v>46053.40625</v>
      </c>
      <c r="C179" s="2">
        <v>83173.7</v>
      </c>
      <c r="D179" s="42">
        <v>83185.279999999999</v>
      </c>
      <c r="E179" s="42">
        <v>83131.92</v>
      </c>
      <c r="F179" s="2">
        <v>83142.990000000005</v>
      </c>
      <c r="G179" s="1">
        <v>154</v>
      </c>
      <c r="H179"/>
      <c r="I179" s="37">
        <v>46053.40625</v>
      </c>
      <c r="J179" s="36"/>
      <c r="L179" s="2"/>
      <c r="M179" s="2"/>
      <c r="N179"/>
      <c r="O179" s="37">
        <v>46053.40625</v>
      </c>
      <c r="P179" s="36"/>
      <c r="R179" s="2"/>
      <c r="S179" s="2"/>
    </row>
    <row r="180" spans="1:19" s="4" customFormat="1" x14ac:dyDescent="0.35">
      <c r="A180" s="7">
        <v>177</v>
      </c>
      <c r="B180" s="37">
        <v>46053.406944444447</v>
      </c>
      <c r="C180" s="2">
        <v>83142.990000000005</v>
      </c>
      <c r="D180" s="42">
        <v>83170.149999999994</v>
      </c>
      <c r="E180" s="42">
        <v>83142.990000000005</v>
      </c>
      <c r="F180" s="2">
        <v>83159.8</v>
      </c>
      <c r="G180" s="1">
        <v>109</v>
      </c>
      <c r="H180"/>
      <c r="I180" s="37">
        <v>46053.406944444447</v>
      </c>
      <c r="J180" s="36"/>
      <c r="L180" s="2"/>
      <c r="M180" s="2"/>
      <c r="N180"/>
      <c r="O180" s="37">
        <v>46053.406944444447</v>
      </c>
      <c r="P180" s="36"/>
      <c r="R180" s="2"/>
      <c r="S180" s="2"/>
    </row>
    <row r="181" spans="1:19" s="4" customFormat="1" x14ac:dyDescent="0.35">
      <c r="A181" s="7">
        <v>178</v>
      </c>
      <c r="B181" s="37">
        <v>46053.407638888886</v>
      </c>
      <c r="C181" s="2">
        <v>83159.789999999994</v>
      </c>
      <c r="D181" s="42">
        <v>83159.8</v>
      </c>
      <c r="E181" s="42">
        <v>83082.19</v>
      </c>
      <c r="F181" s="2">
        <v>83099.31</v>
      </c>
      <c r="G181" s="1">
        <v>130</v>
      </c>
      <c r="H181"/>
      <c r="I181" s="37">
        <v>46053.407638888886</v>
      </c>
      <c r="J181" s="36"/>
      <c r="L181" s="2"/>
      <c r="M181" s="2"/>
      <c r="N181"/>
      <c r="O181" s="37">
        <v>46053.407638888886</v>
      </c>
      <c r="P181" s="36"/>
      <c r="R181" s="2"/>
      <c r="S181" s="2"/>
    </row>
    <row r="182" spans="1:19" s="4" customFormat="1" x14ac:dyDescent="0.35">
      <c r="A182" s="7">
        <v>179</v>
      </c>
      <c r="B182" s="37">
        <v>46053.408333333333</v>
      </c>
      <c r="C182" s="2">
        <v>83099.34</v>
      </c>
      <c r="D182" s="42">
        <v>83119.990000000005</v>
      </c>
      <c r="E182" s="42">
        <v>83079.570000000007</v>
      </c>
      <c r="F182" s="2">
        <v>83088.600000000006</v>
      </c>
      <c r="G182" s="1">
        <v>158</v>
      </c>
      <c r="H182"/>
      <c r="I182" s="37">
        <v>46053.408333333333</v>
      </c>
      <c r="J182" s="36"/>
      <c r="L182" s="2"/>
      <c r="M182" s="2"/>
      <c r="N182"/>
      <c r="O182" s="37">
        <v>46053.408333333333</v>
      </c>
      <c r="P182" s="36"/>
      <c r="R182" s="2"/>
      <c r="S182" s="2"/>
    </row>
    <row r="183" spans="1:19" s="4" customFormat="1" x14ac:dyDescent="0.35">
      <c r="A183" s="7">
        <v>180</v>
      </c>
      <c r="B183" s="37">
        <v>46053.40902777778</v>
      </c>
      <c r="C183" s="2">
        <v>83088.5</v>
      </c>
      <c r="D183" s="42">
        <v>83088.5</v>
      </c>
      <c r="E183" s="42">
        <v>83056.710000000006</v>
      </c>
      <c r="F183" s="2">
        <v>83070.81</v>
      </c>
      <c r="G183" s="1">
        <v>138</v>
      </c>
      <c r="H183"/>
      <c r="I183" s="37">
        <v>46053.40902777778</v>
      </c>
      <c r="J183" s="36"/>
      <c r="L183" s="2"/>
      <c r="M183" s="2"/>
      <c r="N183"/>
      <c r="O183" s="37">
        <v>46053.40902777778</v>
      </c>
      <c r="P183" s="36"/>
      <c r="R183" s="2"/>
      <c r="S183" s="2"/>
    </row>
    <row r="184" spans="1:19" s="4" customFormat="1" x14ac:dyDescent="0.35">
      <c r="A184" s="7">
        <v>181</v>
      </c>
      <c r="B184" s="37">
        <v>46053.409722222219</v>
      </c>
      <c r="C184" s="2">
        <v>83070.81</v>
      </c>
      <c r="D184" s="42">
        <v>83170.73</v>
      </c>
      <c r="E184" s="42">
        <v>83069.13</v>
      </c>
      <c r="F184" s="2">
        <v>83109.25</v>
      </c>
      <c r="G184" s="1">
        <v>199</v>
      </c>
      <c r="H184"/>
      <c r="I184" s="37">
        <v>46053.409722222219</v>
      </c>
      <c r="J184" s="36"/>
      <c r="L184" s="2"/>
      <c r="M184" s="2"/>
      <c r="N184"/>
      <c r="O184" s="37">
        <v>46053.409722222219</v>
      </c>
      <c r="P184" s="36"/>
      <c r="R184" s="2"/>
      <c r="S184" s="2"/>
    </row>
    <row r="185" spans="1:19" s="4" customFormat="1" x14ac:dyDescent="0.35">
      <c r="A185" s="7">
        <v>182</v>
      </c>
      <c r="B185" s="37">
        <v>46053.410416666666</v>
      </c>
      <c r="C185" s="2">
        <v>83092.5</v>
      </c>
      <c r="D185" s="42">
        <v>83097.399999999994</v>
      </c>
      <c r="E185" s="42">
        <v>83069.05</v>
      </c>
      <c r="F185" s="2">
        <v>83079.62</v>
      </c>
      <c r="G185" s="1">
        <v>193</v>
      </c>
      <c r="H185"/>
      <c r="I185" s="37">
        <v>46053.410416666666</v>
      </c>
      <c r="J185" s="36"/>
      <c r="L185" s="2"/>
      <c r="M185" s="2"/>
      <c r="N185"/>
      <c r="O185" s="37">
        <v>46053.410416666666</v>
      </c>
      <c r="P185" s="36"/>
      <c r="R185" s="2"/>
      <c r="S185" s="2"/>
    </row>
    <row r="186" spans="1:19" s="4" customFormat="1" x14ac:dyDescent="0.35">
      <c r="A186" s="7">
        <v>183</v>
      </c>
      <c r="B186" s="37">
        <v>46053.411111111112</v>
      </c>
      <c r="C186" s="2">
        <v>83079.62</v>
      </c>
      <c r="D186" s="42">
        <v>83079.62</v>
      </c>
      <c r="E186" s="42">
        <v>83045.17</v>
      </c>
      <c r="F186" s="2">
        <v>83067.240000000005</v>
      </c>
      <c r="G186" s="1">
        <v>153</v>
      </c>
      <c r="H186"/>
      <c r="I186" s="37">
        <v>46053.411111111112</v>
      </c>
      <c r="J186" s="36"/>
      <c r="L186" s="2"/>
      <c r="M186" s="2"/>
      <c r="N186"/>
      <c r="O186" s="37">
        <v>46053.411111111112</v>
      </c>
      <c r="P186" s="36"/>
      <c r="R186" s="2"/>
      <c r="S186" s="2"/>
    </row>
    <row r="187" spans="1:19" s="4" customFormat="1" x14ac:dyDescent="0.35">
      <c r="A187" s="7">
        <v>184</v>
      </c>
      <c r="B187" s="37">
        <v>46053.411805555559</v>
      </c>
      <c r="C187" s="2">
        <v>83066.67</v>
      </c>
      <c r="D187" s="42">
        <v>83101.5</v>
      </c>
      <c r="E187" s="42">
        <v>83059.25</v>
      </c>
      <c r="F187" s="2">
        <v>83060.56</v>
      </c>
      <c r="G187" s="1">
        <v>130</v>
      </c>
      <c r="H187"/>
      <c r="I187" s="37">
        <v>46053.411805555559</v>
      </c>
      <c r="J187" s="36"/>
      <c r="L187" s="2"/>
      <c r="M187" s="2"/>
      <c r="N187"/>
      <c r="O187" s="37">
        <v>46053.411805555559</v>
      </c>
      <c r="P187" s="36"/>
      <c r="R187" s="2"/>
      <c r="S187" s="2"/>
    </row>
    <row r="188" spans="1:19" s="4" customFormat="1" x14ac:dyDescent="0.35">
      <c r="A188" s="7">
        <v>185</v>
      </c>
      <c r="B188" s="37">
        <v>46053.412499999999</v>
      </c>
      <c r="C188" s="2">
        <v>83060.56</v>
      </c>
      <c r="D188" s="42">
        <v>83102.899999999994</v>
      </c>
      <c r="E188" s="42">
        <v>83040.81</v>
      </c>
      <c r="F188" s="2">
        <v>83102.720000000001</v>
      </c>
      <c r="G188" s="1">
        <v>120</v>
      </c>
      <c r="H188"/>
      <c r="I188" s="37">
        <v>46053.412499999999</v>
      </c>
      <c r="J188" s="36"/>
      <c r="L188" s="2"/>
      <c r="M188" s="2"/>
      <c r="N188"/>
      <c r="O188" s="37">
        <v>46053.412499999999</v>
      </c>
      <c r="P188" s="36"/>
      <c r="R188" s="2"/>
      <c r="S188" s="2"/>
    </row>
    <row r="189" spans="1:19" s="4" customFormat="1" x14ac:dyDescent="0.35">
      <c r="A189" s="7">
        <v>186</v>
      </c>
      <c r="B189" s="37">
        <v>46053.413194444445</v>
      </c>
      <c r="C189" s="2">
        <v>83102.720000000001</v>
      </c>
      <c r="D189" s="42">
        <v>83131.5</v>
      </c>
      <c r="E189" s="42">
        <v>83102.720000000001</v>
      </c>
      <c r="F189" s="2">
        <v>83131.5</v>
      </c>
      <c r="G189" s="1">
        <v>147</v>
      </c>
      <c r="H189"/>
      <c r="I189" s="37">
        <v>46053.413194444445</v>
      </c>
      <c r="J189" s="36"/>
      <c r="L189" s="2"/>
      <c r="M189" s="2"/>
      <c r="N189"/>
      <c r="O189" s="37">
        <v>46053.413194444445</v>
      </c>
      <c r="P189" s="36"/>
      <c r="R189" s="2"/>
      <c r="S189" s="2"/>
    </row>
    <row r="190" spans="1:19" s="4" customFormat="1" x14ac:dyDescent="0.35">
      <c r="A190" s="7">
        <v>187</v>
      </c>
      <c r="B190" s="37">
        <v>46053.413888888892</v>
      </c>
      <c r="C190" s="2">
        <v>83135.399999999994</v>
      </c>
      <c r="D190" s="42">
        <v>83140.259999999995</v>
      </c>
      <c r="E190" s="42">
        <v>83120.5</v>
      </c>
      <c r="F190" s="2">
        <v>83120.73</v>
      </c>
      <c r="G190" s="1">
        <v>62</v>
      </c>
      <c r="H190"/>
      <c r="I190" s="37">
        <v>46053.413888888892</v>
      </c>
      <c r="J190" s="36"/>
      <c r="L190" s="2"/>
      <c r="M190" s="2"/>
      <c r="N190"/>
      <c r="O190" s="37">
        <v>46053.413888888892</v>
      </c>
      <c r="P190" s="36"/>
      <c r="R190" s="2"/>
      <c r="S190" s="2"/>
    </row>
    <row r="191" spans="1:19" s="4" customFormat="1" x14ac:dyDescent="0.35">
      <c r="A191" s="7">
        <v>188</v>
      </c>
      <c r="B191" s="37">
        <v>46053.414583333331</v>
      </c>
      <c r="C191" s="2">
        <v>83121.02</v>
      </c>
      <c r="D191" s="42">
        <v>83133.95</v>
      </c>
      <c r="E191" s="42">
        <v>83107.91</v>
      </c>
      <c r="F191" s="2">
        <v>83123.289999999994</v>
      </c>
      <c r="G191" s="1">
        <v>137</v>
      </c>
      <c r="H191"/>
      <c r="I191" s="37">
        <v>46053.414583333331</v>
      </c>
      <c r="J191" s="36"/>
      <c r="L191" s="2"/>
      <c r="M191" s="2"/>
      <c r="N191"/>
      <c r="O191" s="37">
        <v>46053.414583333331</v>
      </c>
      <c r="P191" s="36"/>
      <c r="R191" s="2"/>
      <c r="S191" s="2"/>
    </row>
    <row r="192" spans="1:19" s="4" customFormat="1" x14ac:dyDescent="0.35">
      <c r="A192" s="7">
        <v>189</v>
      </c>
      <c r="B192" s="37">
        <v>46053.415277777778</v>
      </c>
      <c r="C192" s="2">
        <v>83115.98</v>
      </c>
      <c r="D192" s="42">
        <v>83125.009999999995</v>
      </c>
      <c r="E192" s="42">
        <v>83074.87</v>
      </c>
      <c r="F192" s="2">
        <v>83074.98</v>
      </c>
      <c r="G192" s="1">
        <v>154</v>
      </c>
      <c r="H192"/>
      <c r="I192" s="37">
        <v>46053.415277777778</v>
      </c>
      <c r="J192" s="36"/>
      <c r="L192" s="2"/>
      <c r="M192" s="2"/>
      <c r="N192"/>
      <c r="O192" s="37">
        <v>46053.415277777778</v>
      </c>
      <c r="P192" s="36"/>
      <c r="R192" s="2"/>
      <c r="S192" s="2"/>
    </row>
    <row r="193" spans="1:19" s="4" customFormat="1" x14ac:dyDescent="0.35">
      <c r="A193" s="7">
        <v>190</v>
      </c>
      <c r="B193" s="37">
        <v>46053.415972222225</v>
      </c>
      <c r="C193" s="2">
        <v>83074.91</v>
      </c>
      <c r="D193" s="42">
        <v>83076.89</v>
      </c>
      <c r="E193" s="42">
        <v>83040.320000000007</v>
      </c>
      <c r="F193" s="2">
        <v>83065.710000000006</v>
      </c>
      <c r="G193" s="1">
        <v>115</v>
      </c>
      <c r="H193"/>
      <c r="I193" s="37">
        <v>46053.415972222225</v>
      </c>
      <c r="J193" s="36"/>
      <c r="L193" s="2"/>
      <c r="M193" s="2"/>
      <c r="N193"/>
      <c r="O193" s="37">
        <v>46053.415972222225</v>
      </c>
      <c r="P193" s="36"/>
      <c r="R193" s="2"/>
      <c r="S193" s="2"/>
    </row>
    <row r="194" spans="1:19" s="4" customFormat="1" x14ac:dyDescent="0.35">
      <c r="A194" s="7">
        <v>191</v>
      </c>
      <c r="B194" s="37">
        <v>46053.416666666664</v>
      </c>
      <c r="C194" s="2">
        <v>83065.710000000006</v>
      </c>
      <c r="D194" s="42">
        <v>83095.73</v>
      </c>
      <c r="E194" s="42">
        <v>83050.63</v>
      </c>
      <c r="F194" s="2">
        <v>83095.63</v>
      </c>
      <c r="G194" s="1">
        <v>145</v>
      </c>
      <c r="H194"/>
      <c r="I194" s="37">
        <v>46053.416666666664</v>
      </c>
      <c r="J194" s="36"/>
      <c r="L194" s="2"/>
      <c r="M194" s="2"/>
      <c r="N194"/>
      <c r="O194" s="37">
        <v>46053.416666666664</v>
      </c>
      <c r="P194" s="36"/>
      <c r="R194" s="2"/>
      <c r="S194" s="2"/>
    </row>
    <row r="195" spans="1:19" s="4" customFormat="1" x14ac:dyDescent="0.35">
      <c r="A195" s="7">
        <v>192</v>
      </c>
      <c r="B195" s="37">
        <v>46053.417361111111</v>
      </c>
      <c r="C195" s="2">
        <v>83095.62</v>
      </c>
      <c r="D195" s="42">
        <v>83122.350000000006</v>
      </c>
      <c r="E195" s="42">
        <v>83079.179999999993</v>
      </c>
      <c r="F195" s="2">
        <v>83079.97</v>
      </c>
      <c r="G195" s="1">
        <v>141</v>
      </c>
      <c r="H195"/>
      <c r="I195" s="37">
        <v>46053.417361111111</v>
      </c>
      <c r="J195" s="36"/>
      <c r="L195" s="2"/>
      <c r="M195" s="2"/>
      <c r="N195"/>
      <c r="O195" s="37">
        <v>46053.417361111111</v>
      </c>
      <c r="P195" s="36"/>
      <c r="R195" s="2"/>
      <c r="S195" s="2"/>
    </row>
    <row r="196" spans="1:19" s="4" customFormat="1" x14ac:dyDescent="0.35">
      <c r="A196" s="7">
        <v>193</v>
      </c>
      <c r="B196" s="37">
        <v>46053.418055555558</v>
      </c>
      <c r="C196" s="2">
        <v>83079.81</v>
      </c>
      <c r="D196" s="42">
        <v>83093.52</v>
      </c>
      <c r="E196" s="42">
        <v>83067.149999999994</v>
      </c>
      <c r="F196" s="2">
        <v>83079.94</v>
      </c>
      <c r="G196" s="1">
        <v>171</v>
      </c>
      <c r="H196"/>
      <c r="I196" s="37">
        <v>46053.418055555558</v>
      </c>
      <c r="J196" s="36"/>
      <c r="L196" s="2"/>
      <c r="M196" s="2"/>
      <c r="N196"/>
      <c r="O196" s="37">
        <v>46053.418055555558</v>
      </c>
      <c r="P196" s="36"/>
      <c r="R196" s="2"/>
      <c r="S196" s="2"/>
    </row>
    <row r="197" spans="1:19" s="4" customFormat="1" x14ac:dyDescent="0.35">
      <c r="A197" s="7">
        <v>194</v>
      </c>
      <c r="B197" s="37">
        <v>46053.418749999997</v>
      </c>
      <c r="C197" s="2">
        <v>83079.95</v>
      </c>
      <c r="D197" s="42">
        <v>83089.36</v>
      </c>
      <c r="E197" s="42">
        <v>83050.42</v>
      </c>
      <c r="F197" s="2">
        <v>83059.759999999995</v>
      </c>
      <c r="G197" s="1">
        <v>159</v>
      </c>
      <c r="H197"/>
      <c r="I197" s="37">
        <v>46053.418749999997</v>
      </c>
      <c r="J197" s="36"/>
      <c r="L197" s="2"/>
      <c r="M197" s="2"/>
      <c r="N197"/>
      <c r="O197" s="37">
        <v>46053.418749999997</v>
      </c>
      <c r="P197" s="36"/>
      <c r="R197" s="2"/>
      <c r="S197" s="2"/>
    </row>
    <row r="198" spans="1:19" s="4" customFormat="1" x14ac:dyDescent="0.35">
      <c r="A198" s="7">
        <v>195</v>
      </c>
      <c r="B198" s="37">
        <v>46053.419444444444</v>
      </c>
      <c r="C198" s="2">
        <v>83058.509999999995</v>
      </c>
      <c r="D198" s="42">
        <v>83058.75</v>
      </c>
      <c r="E198" s="42">
        <v>82998.31</v>
      </c>
      <c r="F198" s="2">
        <v>83036.75</v>
      </c>
      <c r="G198" s="1">
        <v>168</v>
      </c>
      <c r="H198"/>
      <c r="I198" s="37">
        <v>46053.419444444444</v>
      </c>
      <c r="J198" s="36"/>
      <c r="L198" s="2"/>
      <c r="M198" s="2"/>
      <c r="N198"/>
      <c r="O198" s="37">
        <v>46053.419444444444</v>
      </c>
      <c r="P198" s="36"/>
      <c r="R198" s="2"/>
      <c r="S198" s="2"/>
    </row>
    <row r="199" spans="1:19" s="4" customFormat="1" x14ac:dyDescent="0.35">
      <c r="A199" s="7">
        <v>196</v>
      </c>
      <c r="B199" s="37">
        <v>46053.420138888891</v>
      </c>
      <c r="C199" s="2">
        <v>83036.75</v>
      </c>
      <c r="D199" s="42">
        <v>83071.399999999994</v>
      </c>
      <c r="E199" s="42">
        <v>83036.75</v>
      </c>
      <c r="F199" s="2">
        <v>83049.740000000005</v>
      </c>
      <c r="G199" s="1">
        <v>175</v>
      </c>
      <c r="H199"/>
      <c r="I199" s="37">
        <v>46053.420138888891</v>
      </c>
      <c r="J199" s="36"/>
      <c r="L199" s="2"/>
      <c r="M199" s="2"/>
      <c r="N199"/>
      <c r="O199" s="37">
        <v>46053.420138888891</v>
      </c>
      <c r="P199" s="36"/>
      <c r="R199" s="2"/>
      <c r="S199" s="2"/>
    </row>
    <row r="200" spans="1:19" s="4" customFormat="1" x14ac:dyDescent="0.35">
      <c r="A200" s="7">
        <v>197</v>
      </c>
      <c r="B200" s="37">
        <v>46053.42083333333</v>
      </c>
      <c r="C200" s="2">
        <v>83049.740000000005</v>
      </c>
      <c r="D200" s="42">
        <v>83063.520000000004</v>
      </c>
      <c r="E200" s="42">
        <v>83033.45</v>
      </c>
      <c r="F200" s="2">
        <v>83059.92</v>
      </c>
      <c r="G200" s="1">
        <v>141</v>
      </c>
      <c r="H200"/>
      <c r="I200" s="37">
        <v>46053.42083333333</v>
      </c>
      <c r="J200" s="36"/>
      <c r="L200" s="2"/>
      <c r="M200" s="2"/>
      <c r="N200"/>
      <c r="O200" s="37">
        <v>46053.42083333333</v>
      </c>
      <c r="P200" s="36"/>
      <c r="R200" s="2"/>
      <c r="S200" s="2"/>
    </row>
    <row r="201" spans="1:19" s="4" customFormat="1" x14ac:dyDescent="0.35">
      <c r="A201" s="7">
        <v>198</v>
      </c>
      <c r="B201" s="37">
        <v>46053.421527777777</v>
      </c>
      <c r="C201" s="2">
        <v>83053.440000000002</v>
      </c>
      <c r="D201" s="42">
        <v>83055.34</v>
      </c>
      <c r="E201" s="42">
        <v>82998.320000000007</v>
      </c>
      <c r="F201" s="2">
        <v>82998.320000000007</v>
      </c>
      <c r="G201" s="1">
        <v>144</v>
      </c>
      <c r="H201"/>
      <c r="I201" s="37">
        <v>46053.421527777777</v>
      </c>
      <c r="J201" s="36"/>
      <c r="L201" s="2"/>
      <c r="M201" s="2"/>
      <c r="N201"/>
      <c r="O201" s="37">
        <v>46053.421527777777</v>
      </c>
      <c r="P201" s="36"/>
      <c r="R201" s="2"/>
      <c r="S201" s="2"/>
    </row>
    <row r="202" spans="1:19" s="4" customFormat="1" x14ac:dyDescent="0.35">
      <c r="A202" s="7">
        <v>199</v>
      </c>
      <c r="B202" s="37">
        <v>46053.422222222223</v>
      </c>
      <c r="C202" s="2">
        <v>82997.87</v>
      </c>
      <c r="D202" s="42">
        <v>82998.070000000007</v>
      </c>
      <c r="E202" s="42">
        <v>82931.3</v>
      </c>
      <c r="F202" s="2">
        <v>82942.009999999995</v>
      </c>
      <c r="G202" s="1">
        <v>177</v>
      </c>
      <c r="H202"/>
      <c r="I202" s="37">
        <v>46053.422222222223</v>
      </c>
      <c r="J202" s="36"/>
      <c r="L202" s="2"/>
      <c r="M202" s="2"/>
      <c r="N202"/>
      <c r="O202" s="37">
        <v>46053.422222222223</v>
      </c>
      <c r="P202" s="36"/>
      <c r="R202" s="2"/>
      <c r="S202" s="2"/>
    </row>
    <row r="203" spans="1:19" s="4" customFormat="1" x14ac:dyDescent="0.35">
      <c r="A203" s="7">
        <v>200</v>
      </c>
      <c r="B203" s="37">
        <v>46053.42291666667</v>
      </c>
      <c r="C203" s="2">
        <v>82942.55</v>
      </c>
      <c r="D203" s="42">
        <v>82950.210000000006</v>
      </c>
      <c r="E203" s="42">
        <v>82914.53</v>
      </c>
      <c r="F203" s="2">
        <v>82942.2</v>
      </c>
      <c r="G203" s="1">
        <v>154</v>
      </c>
      <c r="H203"/>
      <c r="I203" s="37">
        <v>46053.42291666667</v>
      </c>
      <c r="J203" s="36"/>
      <c r="L203" s="2"/>
      <c r="M203" s="2"/>
      <c r="N203"/>
      <c r="O203" s="37">
        <v>46053.42291666667</v>
      </c>
      <c r="P203" s="36"/>
      <c r="R203" s="2"/>
      <c r="S203" s="2"/>
    </row>
    <row r="204" spans="1:19" s="4" customFormat="1" x14ac:dyDescent="0.35">
      <c r="A204" s="7">
        <v>201</v>
      </c>
      <c r="B204" s="37">
        <v>46053.423611111109</v>
      </c>
      <c r="C204" s="2">
        <v>82942.25</v>
      </c>
      <c r="D204" s="42">
        <v>82981.960000000006</v>
      </c>
      <c r="E204" s="42">
        <v>82941.279999999999</v>
      </c>
      <c r="F204" s="2">
        <v>82974.929999999993</v>
      </c>
      <c r="G204" s="1">
        <v>187</v>
      </c>
      <c r="H204"/>
      <c r="I204" s="37">
        <v>46053.423611111109</v>
      </c>
      <c r="J204" s="36"/>
      <c r="L204" s="2"/>
      <c r="M204" s="2"/>
      <c r="N204"/>
      <c r="O204" s="37">
        <v>46053.423611111109</v>
      </c>
      <c r="P204" s="36"/>
      <c r="R204" s="2"/>
      <c r="S204" s="2"/>
    </row>
    <row r="205" spans="1:19" s="4" customFormat="1" x14ac:dyDescent="0.35">
      <c r="A205" s="7">
        <v>202</v>
      </c>
      <c r="B205" s="37">
        <v>46053.424305555556</v>
      </c>
      <c r="C205" s="2">
        <v>82974.92</v>
      </c>
      <c r="D205" s="42">
        <v>83014.5</v>
      </c>
      <c r="E205" s="42">
        <v>82972.7</v>
      </c>
      <c r="F205" s="2">
        <v>83014.41</v>
      </c>
      <c r="G205" s="1">
        <v>114</v>
      </c>
      <c r="H205"/>
      <c r="I205" s="37">
        <v>46053.424305555556</v>
      </c>
      <c r="J205" s="36"/>
      <c r="L205" s="2"/>
      <c r="M205" s="2"/>
      <c r="N205"/>
      <c r="O205" s="37">
        <v>46053.424305555556</v>
      </c>
      <c r="P205" s="36"/>
      <c r="R205" s="2"/>
      <c r="S205" s="2"/>
    </row>
    <row r="206" spans="1:19" s="4" customFormat="1" x14ac:dyDescent="0.35">
      <c r="A206" s="7">
        <v>203</v>
      </c>
      <c r="B206" s="37">
        <v>46053.425000000003</v>
      </c>
      <c r="C206" s="2">
        <v>83014.41</v>
      </c>
      <c r="D206" s="42">
        <v>83014.41</v>
      </c>
      <c r="E206" s="42">
        <v>82953.69</v>
      </c>
      <c r="F206" s="2">
        <v>82981.990000000005</v>
      </c>
      <c r="G206" s="1">
        <v>150</v>
      </c>
      <c r="H206"/>
      <c r="I206" s="37">
        <v>46053.425000000003</v>
      </c>
      <c r="J206" s="36"/>
      <c r="L206" s="2"/>
      <c r="M206" s="2"/>
      <c r="N206"/>
      <c r="O206" s="37">
        <v>46053.425000000003</v>
      </c>
      <c r="P206" s="36"/>
      <c r="R206" s="2"/>
      <c r="S206" s="2"/>
    </row>
    <row r="207" spans="1:19" s="4" customFormat="1" x14ac:dyDescent="0.35">
      <c r="A207" s="7">
        <v>204</v>
      </c>
      <c r="B207" s="37">
        <v>46053.425694444442</v>
      </c>
      <c r="C207" s="2">
        <v>82982.820000000007</v>
      </c>
      <c r="D207" s="42">
        <v>82992.22</v>
      </c>
      <c r="E207" s="42">
        <v>82957.66</v>
      </c>
      <c r="F207" s="2">
        <v>82957.67</v>
      </c>
      <c r="G207" s="1">
        <v>45</v>
      </c>
      <c r="H207"/>
      <c r="I207" s="37">
        <v>46053.425694444442</v>
      </c>
      <c r="J207" s="36"/>
      <c r="L207" s="2"/>
      <c r="M207" s="2"/>
      <c r="N207"/>
      <c r="O207" s="37">
        <v>46053.425694444442</v>
      </c>
      <c r="P207" s="36"/>
      <c r="R207" s="2"/>
      <c r="S207" s="2"/>
    </row>
    <row r="208" spans="1:19" s="4" customFormat="1" x14ac:dyDescent="0.35">
      <c r="A208" s="7">
        <v>205</v>
      </c>
      <c r="B208" s="37">
        <v>46053.426388888889</v>
      </c>
      <c r="C208" s="2">
        <v>82957.66</v>
      </c>
      <c r="D208" s="42">
        <v>82967.100000000006</v>
      </c>
      <c r="E208" s="42">
        <v>82950.490000000005</v>
      </c>
      <c r="F208" s="2">
        <v>82950.490000000005</v>
      </c>
      <c r="G208" s="1">
        <v>110</v>
      </c>
      <c r="H208"/>
      <c r="I208" s="37">
        <v>46053.426388888889</v>
      </c>
      <c r="J208" s="36"/>
      <c r="L208" s="2"/>
      <c r="M208" s="2"/>
      <c r="N208"/>
      <c r="O208" s="37">
        <v>46053.426388888889</v>
      </c>
      <c r="P208" s="36"/>
      <c r="R208" s="2"/>
      <c r="S208" s="2"/>
    </row>
    <row r="209" spans="1:19" s="4" customFormat="1" x14ac:dyDescent="0.35">
      <c r="A209" s="7">
        <v>206</v>
      </c>
      <c r="B209" s="37">
        <v>46053.427083333336</v>
      </c>
      <c r="C209" s="2">
        <v>82950.490000000005</v>
      </c>
      <c r="D209" s="42">
        <v>82971.94</v>
      </c>
      <c r="E209" s="42">
        <v>82950.27</v>
      </c>
      <c r="F209" s="2">
        <v>82971.75</v>
      </c>
      <c r="G209" s="1">
        <v>148</v>
      </c>
      <c r="H209"/>
      <c r="I209" s="37">
        <v>46053.427083333336</v>
      </c>
      <c r="J209" s="36"/>
      <c r="L209" s="2"/>
      <c r="M209" s="2"/>
      <c r="N209"/>
      <c r="O209" s="37">
        <v>46053.427083333336</v>
      </c>
      <c r="P209" s="36"/>
      <c r="R209" s="2"/>
      <c r="S209" s="2"/>
    </row>
    <row r="210" spans="1:19" s="4" customFormat="1" x14ac:dyDescent="0.35">
      <c r="A210" s="7">
        <v>207</v>
      </c>
      <c r="B210" s="37">
        <v>46053.427777777775</v>
      </c>
      <c r="C210" s="2">
        <v>82971.62</v>
      </c>
      <c r="D210" s="42">
        <v>82971.62</v>
      </c>
      <c r="E210" s="42">
        <v>82950.039999999994</v>
      </c>
      <c r="F210" s="2">
        <v>82950.37</v>
      </c>
      <c r="G210" s="1">
        <v>124</v>
      </c>
      <c r="H210"/>
      <c r="I210" s="37">
        <v>46053.427777777775</v>
      </c>
      <c r="J210" s="36"/>
      <c r="L210" s="2"/>
      <c r="M210" s="2"/>
      <c r="N210"/>
      <c r="O210" s="37">
        <v>46053.427777777775</v>
      </c>
      <c r="P210" s="36"/>
      <c r="R210" s="2"/>
      <c r="S210" s="2"/>
    </row>
    <row r="211" spans="1:19" s="4" customFormat="1" x14ac:dyDescent="0.35">
      <c r="A211" s="7">
        <v>208</v>
      </c>
      <c r="B211" s="37">
        <v>46053.428472222222</v>
      </c>
      <c r="C211" s="2">
        <v>82950.37</v>
      </c>
      <c r="D211" s="42">
        <v>82959.399999999994</v>
      </c>
      <c r="E211" s="42">
        <v>82890.09</v>
      </c>
      <c r="F211" s="2">
        <v>82959.399999999994</v>
      </c>
      <c r="G211" s="1">
        <v>145</v>
      </c>
      <c r="H211"/>
      <c r="I211" s="37">
        <v>46053.428472222222</v>
      </c>
      <c r="J211" s="36"/>
      <c r="L211" s="2"/>
      <c r="M211" s="2"/>
      <c r="N211"/>
      <c r="O211" s="37">
        <v>46053.428472222222</v>
      </c>
      <c r="P211" s="36"/>
      <c r="R211" s="2"/>
      <c r="S211" s="2"/>
    </row>
    <row r="212" spans="1:19" s="4" customFormat="1" x14ac:dyDescent="0.35">
      <c r="A212" s="7">
        <v>209</v>
      </c>
      <c r="B212" s="37">
        <v>46053.429166666669</v>
      </c>
      <c r="C212" s="2">
        <v>82959.399999999994</v>
      </c>
      <c r="D212" s="42">
        <v>82975.600000000006</v>
      </c>
      <c r="E212" s="42">
        <v>82870.5</v>
      </c>
      <c r="F212" s="2">
        <v>82881.64</v>
      </c>
      <c r="G212" s="1">
        <v>197</v>
      </c>
      <c r="H212"/>
      <c r="I212" s="37">
        <v>46053.429166666669</v>
      </c>
      <c r="J212" s="36"/>
      <c r="L212" s="2"/>
      <c r="M212" s="2"/>
      <c r="N212"/>
      <c r="O212" s="37">
        <v>46053.429166666669</v>
      </c>
      <c r="P212" s="36"/>
      <c r="R212" s="2"/>
      <c r="S212" s="2"/>
    </row>
    <row r="213" spans="1:19" s="4" customFormat="1" x14ac:dyDescent="0.35">
      <c r="A213" s="7">
        <v>210</v>
      </c>
      <c r="B213" s="37">
        <v>46053.429861111108</v>
      </c>
      <c r="C213" s="2">
        <v>82877.16</v>
      </c>
      <c r="D213" s="42">
        <v>82939.14</v>
      </c>
      <c r="E213" s="42">
        <v>82870.02</v>
      </c>
      <c r="F213" s="2">
        <v>82899.899999999994</v>
      </c>
      <c r="G213" s="1">
        <v>172</v>
      </c>
      <c r="H213"/>
      <c r="I213" s="37">
        <v>46053.429861111108</v>
      </c>
      <c r="J213" s="36"/>
      <c r="L213" s="2"/>
      <c r="M213" s="2"/>
      <c r="N213"/>
      <c r="O213" s="37">
        <v>46053.429861111108</v>
      </c>
      <c r="P213" s="36"/>
      <c r="R213" s="2"/>
      <c r="S213" s="2"/>
    </row>
    <row r="214" spans="1:19" s="4" customFormat="1" x14ac:dyDescent="0.35">
      <c r="A214" s="7">
        <v>211</v>
      </c>
      <c r="B214" s="37">
        <v>46053.430555555555</v>
      </c>
      <c r="C214" s="2">
        <v>82908.759999999995</v>
      </c>
      <c r="D214" s="42">
        <v>82956</v>
      </c>
      <c r="E214" s="42">
        <v>82908.75</v>
      </c>
      <c r="F214" s="2">
        <v>82940.97</v>
      </c>
      <c r="G214" s="1">
        <v>184</v>
      </c>
      <c r="H214"/>
      <c r="I214" s="37">
        <v>46053.430555555555</v>
      </c>
      <c r="J214" s="36"/>
      <c r="L214" s="2"/>
      <c r="M214" s="2"/>
      <c r="N214"/>
      <c r="O214" s="37">
        <v>46053.430555555555</v>
      </c>
      <c r="P214" s="36"/>
      <c r="R214" s="2"/>
      <c r="S214" s="2"/>
    </row>
    <row r="215" spans="1:19" s="4" customFormat="1" x14ac:dyDescent="0.35">
      <c r="A215" s="7">
        <v>212</v>
      </c>
      <c r="B215" s="37">
        <v>46053.431250000001</v>
      </c>
      <c r="C215" s="2">
        <v>82940.990000000005</v>
      </c>
      <c r="D215" s="42">
        <v>82988.3</v>
      </c>
      <c r="E215" s="42">
        <v>82940.990000000005</v>
      </c>
      <c r="F215" s="2">
        <v>82978.36</v>
      </c>
      <c r="G215" s="1">
        <v>132</v>
      </c>
      <c r="H215"/>
      <c r="I215" s="37">
        <v>46053.431250000001</v>
      </c>
      <c r="J215" s="36"/>
      <c r="L215" s="2"/>
      <c r="M215" s="2"/>
      <c r="N215"/>
      <c r="O215" s="37">
        <v>46053.431250000001</v>
      </c>
      <c r="P215" s="36"/>
      <c r="R215" s="2"/>
      <c r="S215" s="2"/>
    </row>
    <row r="216" spans="1:19" s="4" customFormat="1" x14ac:dyDescent="0.35">
      <c r="A216" s="7">
        <v>213</v>
      </c>
      <c r="B216" s="37">
        <v>46053.431944444441</v>
      </c>
      <c r="C216" s="2">
        <v>82976.41</v>
      </c>
      <c r="D216" s="42">
        <v>82976.41</v>
      </c>
      <c r="E216" s="42">
        <v>82961.179999999993</v>
      </c>
      <c r="F216" s="2">
        <v>82961.740000000005</v>
      </c>
      <c r="G216" s="1">
        <v>103</v>
      </c>
      <c r="H216"/>
      <c r="I216" s="37">
        <v>46053.431944444441</v>
      </c>
      <c r="J216" s="36"/>
      <c r="L216" s="2"/>
      <c r="M216" s="2"/>
      <c r="N216"/>
      <c r="O216" s="37">
        <v>46053.431944444441</v>
      </c>
      <c r="P216" s="36"/>
      <c r="R216" s="2"/>
      <c r="S216" s="2"/>
    </row>
    <row r="217" spans="1:19" s="4" customFormat="1" x14ac:dyDescent="0.35">
      <c r="A217" s="7">
        <v>214</v>
      </c>
      <c r="B217" s="37">
        <v>46053.432638888888</v>
      </c>
      <c r="C217" s="2">
        <v>82966</v>
      </c>
      <c r="D217" s="42">
        <v>83035.33</v>
      </c>
      <c r="E217" s="42">
        <v>82966</v>
      </c>
      <c r="F217" s="2">
        <v>82982.38</v>
      </c>
      <c r="G217" s="1">
        <v>191</v>
      </c>
      <c r="H217"/>
      <c r="I217" s="37">
        <v>46053.432638888888</v>
      </c>
      <c r="J217" s="36"/>
      <c r="L217" s="2"/>
      <c r="M217" s="2"/>
      <c r="N217"/>
      <c r="O217" s="37">
        <v>46053.432638888888</v>
      </c>
      <c r="P217" s="36"/>
      <c r="R217" s="2"/>
      <c r="S217" s="2"/>
    </row>
    <row r="218" spans="1:19" s="4" customFormat="1" x14ac:dyDescent="0.35">
      <c r="A218" s="7">
        <v>215</v>
      </c>
      <c r="B218" s="37">
        <v>46053.433333333334</v>
      </c>
      <c r="C218" s="2">
        <v>82982.509999999995</v>
      </c>
      <c r="D218" s="42">
        <v>82982.61</v>
      </c>
      <c r="E218" s="42">
        <v>82940.66</v>
      </c>
      <c r="F218" s="2">
        <v>82941.05</v>
      </c>
      <c r="G218" s="1">
        <v>121</v>
      </c>
      <c r="H218"/>
      <c r="I218" s="37">
        <v>46053.433333333334</v>
      </c>
      <c r="J218" s="36"/>
      <c r="L218" s="2"/>
      <c r="M218" s="2"/>
      <c r="N218"/>
      <c r="O218" s="37">
        <v>46053.433333333334</v>
      </c>
      <c r="P218" s="36"/>
      <c r="R218" s="2"/>
      <c r="S218" s="2"/>
    </row>
    <row r="219" spans="1:19" s="4" customFormat="1" x14ac:dyDescent="0.35">
      <c r="A219" s="7">
        <v>216</v>
      </c>
      <c r="B219" s="37">
        <v>46053.434027777781</v>
      </c>
      <c r="C219" s="2">
        <v>82941.05</v>
      </c>
      <c r="D219" s="42">
        <v>83027.94</v>
      </c>
      <c r="E219" s="42">
        <v>82941.02</v>
      </c>
      <c r="F219" s="2">
        <v>83027.94</v>
      </c>
      <c r="G219" s="1">
        <v>131</v>
      </c>
      <c r="H219"/>
      <c r="I219" s="37">
        <v>46053.434027777781</v>
      </c>
      <c r="J219" s="36"/>
      <c r="L219" s="2"/>
      <c r="M219" s="2"/>
      <c r="N219"/>
      <c r="O219" s="37">
        <v>46053.434027777781</v>
      </c>
      <c r="P219" s="36"/>
      <c r="R219" s="2"/>
      <c r="S219" s="2"/>
    </row>
    <row r="220" spans="1:19" s="4" customFormat="1" x14ac:dyDescent="0.35">
      <c r="A220" s="7">
        <v>217</v>
      </c>
      <c r="B220" s="37">
        <v>46053.43472222222</v>
      </c>
      <c r="C220" s="2">
        <v>83027.94</v>
      </c>
      <c r="D220" s="42">
        <v>83029.399999999994</v>
      </c>
      <c r="E220" s="42">
        <v>83000.84</v>
      </c>
      <c r="F220" s="2">
        <v>83002.179999999993</v>
      </c>
      <c r="G220" s="1">
        <v>173</v>
      </c>
      <c r="H220"/>
      <c r="I220" s="37">
        <v>46053.43472222222</v>
      </c>
      <c r="J220" s="36"/>
      <c r="L220" s="2"/>
      <c r="M220" s="2"/>
      <c r="N220"/>
      <c r="O220" s="37">
        <v>46053.43472222222</v>
      </c>
      <c r="P220" s="36"/>
      <c r="R220" s="2"/>
      <c r="S220" s="2"/>
    </row>
    <row r="221" spans="1:19" s="4" customFormat="1" x14ac:dyDescent="0.35">
      <c r="A221" s="7">
        <v>218</v>
      </c>
      <c r="B221" s="37">
        <v>46053.435416666667</v>
      </c>
      <c r="C221" s="2">
        <v>82997.48</v>
      </c>
      <c r="D221" s="42">
        <v>83022.240000000005</v>
      </c>
      <c r="E221" s="42">
        <v>82994.509999999995</v>
      </c>
      <c r="F221" s="2">
        <v>83005.38</v>
      </c>
      <c r="G221" s="1">
        <v>134</v>
      </c>
      <c r="H221"/>
      <c r="I221" s="37">
        <v>46053.435416666667</v>
      </c>
      <c r="J221" s="36"/>
      <c r="L221" s="2"/>
      <c r="M221" s="2"/>
      <c r="N221"/>
      <c r="O221" s="37">
        <v>46053.435416666667</v>
      </c>
      <c r="P221" s="36"/>
      <c r="R221" s="2"/>
      <c r="S221" s="2"/>
    </row>
    <row r="222" spans="1:19" s="4" customFormat="1" x14ac:dyDescent="0.35">
      <c r="A222" s="7">
        <v>219</v>
      </c>
      <c r="B222" s="37">
        <v>46053.436111111114</v>
      </c>
      <c r="C222" s="2">
        <v>83005.429999999993</v>
      </c>
      <c r="D222" s="42">
        <v>83016.98</v>
      </c>
      <c r="E222" s="42">
        <v>83005.429999999993</v>
      </c>
      <c r="F222" s="2">
        <v>83007.77</v>
      </c>
      <c r="G222" s="1">
        <v>89</v>
      </c>
      <c r="H222"/>
      <c r="I222" s="37">
        <v>46053.436111111114</v>
      </c>
      <c r="J222" s="36"/>
      <c r="L222" s="2"/>
      <c r="M222" s="2"/>
      <c r="N222"/>
      <c r="O222" s="37">
        <v>46053.436111111114</v>
      </c>
      <c r="P222" s="36"/>
      <c r="R222" s="2"/>
      <c r="S222" s="2"/>
    </row>
    <row r="223" spans="1:19" s="4" customFormat="1" x14ac:dyDescent="0.35">
      <c r="A223" s="7">
        <v>220</v>
      </c>
      <c r="B223" s="37">
        <v>46053.436805555553</v>
      </c>
      <c r="C223" s="2">
        <v>83007.759999999995</v>
      </c>
      <c r="D223" s="42">
        <v>83023.600000000006</v>
      </c>
      <c r="E223" s="42">
        <v>83003.77</v>
      </c>
      <c r="F223" s="2">
        <v>83009.83</v>
      </c>
      <c r="G223" s="1">
        <v>103</v>
      </c>
      <c r="H223"/>
      <c r="I223" s="37">
        <v>46053.436805555553</v>
      </c>
      <c r="J223" s="36"/>
      <c r="L223" s="2"/>
      <c r="M223" s="2"/>
      <c r="N223"/>
      <c r="O223" s="37">
        <v>46053.436805555553</v>
      </c>
      <c r="P223" s="36"/>
      <c r="R223" s="2"/>
      <c r="S223" s="2"/>
    </row>
    <row r="224" spans="1:19" s="4" customFormat="1" x14ac:dyDescent="0.35">
      <c r="A224" s="7">
        <v>221</v>
      </c>
      <c r="B224" s="37">
        <v>46053.4375</v>
      </c>
      <c r="C224" s="2">
        <v>83009.83</v>
      </c>
      <c r="D224" s="42">
        <v>83056.850000000006</v>
      </c>
      <c r="E224" s="42">
        <v>82989.47</v>
      </c>
      <c r="F224" s="2">
        <v>83034.63</v>
      </c>
      <c r="G224" s="1">
        <v>173</v>
      </c>
      <c r="H224"/>
      <c r="I224" s="37">
        <v>46053.4375</v>
      </c>
      <c r="J224" s="36"/>
      <c r="L224" s="2"/>
      <c r="M224" s="2"/>
      <c r="N224"/>
      <c r="O224" s="37">
        <v>46053.4375</v>
      </c>
      <c r="P224" s="36"/>
      <c r="R224" s="2"/>
      <c r="S224" s="2"/>
    </row>
    <row r="225" spans="1:19" s="4" customFormat="1" x14ac:dyDescent="0.35">
      <c r="A225" s="7">
        <v>222</v>
      </c>
      <c r="B225" s="37">
        <v>46053.438194444447</v>
      </c>
      <c r="C225" s="2">
        <v>83034.62</v>
      </c>
      <c r="D225" s="42">
        <v>83102.17</v>
      </c>
      <c r="E225" s="42">
        <v>83023.990000000005</v>
      </c>
      <c r="F225" s="2">
        <v>83102.17</v>
      </c>
      <c r="G225" s="1">
        <v>134</v>
      </c>
      <c r="H225"/>
      <c r="I225" s="37">
        <v>46053.438194444447</v>
      </c>
      <c r="J225" s="36"/>
      <c r="L225" s="2"/>
      <c r="M225" s="2"/>
      <c r="N225"/>
      <c r="O225" s="37">
        <v>46053.438194444447</v>
      </c>
      <c r="P225" s="36"/>
      <c r="R225" s="2"/>
      <c r="S225" s="2"/>
    </row>
    <row r="226" spans="1:19" s="4" customFormat="1" x14ac:dyDescent="0.35">
      <c r="A226" s="7">
        <v>223</v>
      </c>
      <c r="B226" s="37">
        <v>46053.438888888886</v>
      </c>
      <c r="C226" s="2">
        <v>83105.03</v>
      </c>
      <c r="D226" s="42">
        <v>83150.399999999994</v>
      </c>
      <c r="E226" s="42">
        <v>83101.710000000006</v>
      </c>
      <c r="F226" s="2">
        <v>83149.320000000007</v>
      </c>
      <c r="G226" s="1">
        <v>146</v>
      </c>
      <c r="H226"/>
      <c r="I226" s="37">
        <v>46053.438888888886</v>
      </c>
      <c r="J226" s="36"/>
      <c r="L226" s="2"/>
      <c r="M226" s="2"/>
      <c r="N226"/>
      <c r="O226" s="37">
        <v>46053.438888888886</v>
      </c>
      <c r="P226" s="36"/>
      <c r="R226" s="2"/>
      <c r="S226" s="2"/>
    </row>
    <row r="227" spans="1:19" s="4" customFormat="1" x14ac:dyDescent="0.35">
      <c r="A227" s="7">
        <v>224</v>
      </c>
      <c r="B227" s="37">
        <v>46053.439583333333</v>
      </c>
      <c r="C227" s="2">
        <v>83143.48</v>
      </c>
      <c r="D227" s="42">
        <v>83144.62</v>
      </c>
      <c r="E227" s="42">
        <v>83114.039999999994</v>
      </c>
      <c r="F227" s="2">
        <v>83114.039999999994</v>
      </c>
      <c r="G227" s="1">
        <v>137</v>
      </c>
      <c r="H227"/>
      <c r="I227" s="37">
        <v>46053.439583333333</v>
      </c>
      <c r="J227" s="36"/>
      <c r="L227" s="2"/>
      <c r="M227" s="2"/>
      <c r="N227"/>
      <c r="O227" s="37">
        <v>46053.439583333333</v>
      </c>
      <c r="P227" s="36"/>
      <c r="R227" s="2"/>
      <c r="S227" s="2"/>
    </row>
    <row r="228" spans="1:19" s="4" customFormat="1" x14ac:dyDescent="0.35">
      <c r="A228" s="7">
        <v>225</v>
      </c>
      <c r="B228" s="37">
        <v>46053.44027777778</v>
      </c>
      <c r="C228" s="2">
        <v>83111.710000000006</v>
      </c>
      <c r="D228" s="42">
        <v>83111.710000000006</v>
      </c>
      <c r="E228" s="42">
        <v>83055.48</v>
      </c>
      <c r="F228" s="2">
        <v>83055.48</v>
      </c>
      <c r="G228" s="1">
        <v>133</v>
      </c>
      <c r="H228"/>
      <c r="I228" s="37">
        <v>46053.44027777778</v>
      </c>
      <c r="J228" s="36"/>
      <c r="L228" s="2"/>
      <c r="M228" s="2"/>
      <c r="N228"/>
      <c r="O228" s="37">
        <v>46053.44027777778</v>
      </c>
      <c r="P228" s="36"/>
      <c r="R228" s="2"/>
      <c r="S228" s="2"/>
    </row>
    <row r="229" spans="1:19" s="4" customFormat="1" x14ac:dyDescent="0.35">
      <c r="A229" s="7">
        <v>226</v>
      </c>
      <c r="B229" s="37">
        <v>46053.440972222219</v>
      </c>
      <c r="C229" s="2">
        <v>83053.210000000006</v>
      </c>
      <c r="D229" s="42">
        <v>83076.2</v>
      </c>
      <c r="E229" s="42">
        <v>83018.41</v>
      </c>
      <c r="F229" s="2">
        <v>83020.070000000007</v>
      </c>
      <c r="G229" s="1">
        <v>116</v>
      </c>
      <c r="H229"/>
      <c r="I229" s="37">
        <v>46053.440972222219</v>
      </c>
      <c r="J229" s="36"/>
      <c r="L229" s="2"/>
      <c r="M229" s="2"/>
      <c r="N229"/>
      <c r="O229" s="37">
        <v>46053.440972222219</v>
      </c>
      <c r="P229" s="36"/>
      <c r="R229" s="2"/>
      <c r="S229" s="2"/>
    </row>
    <row r="230" spans="1:19" s="4" customFormat="1" x14ac:dyDescent="0.35">
      <c r="A230" s="7">
        <v>227</v>
      </c>
      <c r="B230" s="37">
        <v>46053.441666666666</v>
      </c>
      <c r="C230" s="2">
        <v>83020.100000000006</v>
      </c>
      <c r="D230" s="42">
        <v>83074.100000000006</v>
      </c>
      <c r="E230" s="42">
        <v>83012.91</v>
      </c>
      <c r="F230" s="2">
        <v>83074.03</v>
      </c>
      <c r="G230" s="1">
        <v>104</v>
      </c>
      <c r="H230"/>
      <c r="I230" s="37">
        <v>46053.441666666666</v>
      </c>
      <c r="J230" s="36"/>
      <c r="L230" s="2"/>
      <c r="M230" s="2"/>
      <c r="N230"/>
      <c r="O230" s="37">
        <v>46053.441666666666</v>
      </c>
      <c r="P230" s="36"/>
      <c r="R230" s="2"/>
      <c r="S230" s="2"/>
    </row>
    <row r="231" spans="1:19" s="4" customFormat="1" x14ac:dyDescent="0.35">
      <c r="A231" s="7">
        <v>228</v>
      </c>
      <c r="B231" s="37">
        <v>46053.442361111112</v>
      </c>
      <c r="C231" s="2">
        <v>83074.02</v>
      </c>
      <c r="D231" s="42">
        <v>83081.539999999994</v>
      </c>
      <c r="E231" s="42">
        <v>83046.8</v>
      </c>
      <c r="F231" s="2">
        <v>83080.75</v>
      </c>
      <c r="G231" s="1">
        <v>175</v>
      </c>
      <c r="H231"/>
      <c r="I231" s="37">
        <v>46053.442361111112</v>
      </c>
      <c r="J231" s="36"/>
      <c r="L231" s="2"/>
      <c r="M231" s="2"/>
      <c r="N231"/>
      <c r="O231" s="37">
        <v>46053.442361111112</v>
      </c>
      <c r="P231" s="36"/>
      <c r="R231" s="2"/>
      <c r="S231" s="2"/>
    </row>
    <row r="232" spans="1:19" s="4" customFormat="1" x14ac:dyDescent="0.35">
      <c r="A232" s="7">
        <v>229</v>
      </c>
      <c r="B232" s="37">
        <v>46053.443055555559</v>
      </c>
      <c r="C232" s="2">
        <v>83080.88</v>
      </c>
      <c r="D232" s="42">
        <v>83081.17</v>
      </c>
      <c r="E232" s="42">
        <v>83026.100000000006</v>
      </c>
      <c r="F232" s="2">
        <v>83027.520000000004</v>
      </c>
      <c r="G232" s="1">
        <v>162</v>
      </c>
      <c r="H232"/>
      <c r="I232" s="37">
        <v>46053.443055555559</v>
      </c>
      <c r="J232" s="36"/>
      <c r="L232" s="2"/>
      <c r="M232" s="2"/>
      <c r="N232"/>
      <c r="O232" s="37">
        <v>46053.443055555559</v>
      </c>
      <c r="P232" s="36"/>
      <c r="R232" s="2"/>
      <c r="S232" s="2"/>
    </row>
    <row r="233" spans="1:19" s="4" customFormat="1" x14ac:dyDescent="0.35">
      <c r="A233" s="7">
        <v>230</v>
      </c>
      <c r="B233" s="37">
        <v>46053.443749999999</v>
      </c>
      <c r="C233" s="2">
        <v>83027.53</v>
      </c>
      <c r="D233" s="42">
        <v>83066.14</v>
      </c>
      <c r="E233" s="42">
        <v>83027.53</v>
      </c>
      <c r="F233" s="2">
        <v>83056.27</v>
      </c>
      <c r="G233" s="1">
        <v>116</v>
      </c>
      <c r="H233"/>
      <c r="I233" s="37">
        <v>46053.443749999999</v>
      </c>
      <c r="J233" s="36"/>
      <c r="L233" s="2"/>
      <c r="M233" s="2"/>
      <c r="N233"/>
      <c r="O233" s="37">
        <v>46053.443749999999</v>
      </c>
      <c r="P233" s="36"/>
      <c r="R233" s="2"/>
      <c r="S233" s="2"/>
    </row>
    <row r="234" spans="1:19" s="4" customFormat="1" x14ac:dyDescent="0.35">
      <c r="A234" s="7">
        <v>231</v>
      </c>
      <c r="B234" s="37">
        <v>46053.444444444445</v>
      </c>
      <c r="C234" s="2">
        <v>83055.960000000006</v>
      </c>
      <c r="D234" s="42">
        <v>83070.27</v>
      </c>
      <c r="E234" s="42">
        <v>83049.539999999994</v>
      </c>
      <c r="F234" s="2">
        <v>83051.05</v>
      </c>
      <c r="G234" s="1">
        <v>125</v>
      </c>
      <c r="H234"/>
      <c r="I234" s="37">
        <v>46053.444444444445</v>
      </c>
      <c r="J234" s="36"/>
      <c r="L234" s="2"/>
      <c r="M234" s="2"/>
      <c r="N234"/>
      <c r="O234" s="37">
        <v>46053.444444444445</v>
      </c>
      <c r="P234" s="36"/>
      <c r="R234" s="2"/>
      <c r="S234" s="2"/>
    </row>
    <row r="235" spans="1:19" s="4" customFormat="1" x14ac:dyDescent="0.35">
      <c r="A235" s="7">
        <v>232</v>
      </c>
      <c r="B235" s="37">
        <v>46053.445138888892</v>
      </c>
      <c r="C235" s="2">
        <v>83050.600000000006</v>
      </c>
      <c r="D235" s="42">
        <v>83090.399999999994</v>
      </c>
      <c r="E235" s="42">
        <v>83050.600000000006</v>
      </c>
      <c r="F235" s="2">
        <v>83090.399999999994</v>
      </c>
      <c r="G235" s="1">
        <v>114</v>
      </c>
      <c r="H235"/>
      <c r="I235" s="37">
        <v>46053.445138888892</v>
      </c>
      <c r="J235" s="36"/>
      <c r="L235" s="2"/>
      <c r="M235" s="2"/>
      <c r="N235"/>
      <c r="O235" s="37">
        <v>46053.445138888892</v>
      </c>
      <c r="P235" s="36"/>
      <c r="R235" s="2"/>
      <c r="S235" s="2"/>
    </row>
    <row r="236" spans="1:19" s="4" customFormat="1" x14ac:dyDescent="0.35">
      <c r="A236" s="7">
        <v>233</v>
      </c>
      <c r="B236" s="37">
        <v>46053.445833333331</v>
      </c>
      <c r="C236" s="2">
        <v>83090.399999999994</v>
      </c>
      <c r="D236" s="42">
        <v>83125.34</v>
      </c>
      <c r="E236" s="42">
        <v>83090.399999999994</v>
      </c>
      <c r="F236" s="2">
        <v>83099.34</v>
      </c>
      <c r="G236" s="1">
        <v>140</v>
      </c>
      <c r="H236"/>
      <c r="I236" s="37">
        <v>46053.445833333331</v>
      </c>
      <c r="J236" s="36"/>
      <c r="L236" s="2"/>
      <c r="M236" s="2"/>
      <c r="N236"/>
      <c r="O236" s="37">
        <v>46053.445833333331</v>
      </c>
      <c r="P236" s="36"/>
      <c r="R236" s="2"/>
      <c r="S236" s="2"/>
    </row>
    <row r="237" spans="1:19" s="4" customFormat="1" x14ac:dyDescent="0.35">
      <c r="A237" s="7">
        <v>234</v>
      </c>
      <c r="B237" s="37">
        <v>46053.446527777778</v>
      </c>
      <c r="C237" s="2">
        <v>83099.34</v>
      </c>
      <c r="D237" s="42">
        <v>83115.399999999994</v>
      </c>
      <c r="E237" s="42">
        <v>83084.429999999993</v>
      </c>
      <c r="F237" s="2">
        <v>83115.12</v>
      </c>
      <c r="G237" s="1">
        <v>142</v>
      </c>
      <c r="H237"/>
      <c r="I237" s="37">
        <v>46053.446527777778</v>
      </c>
      <c r="J237" s="36"/>
      <c r="L237" s="2"/>
      <c r="M237" s="2"/>
      <c r="N237"/>
      <c r="O237" s="37">
        <v>46053.446527777778</v>
      </c>
      <c r="P237" s="36"/>
      <c r="R237" s="2"/>
      <c r="S237" s="2"/>
    </row>
    <row r="238" spans="1:19" s="4" customFormat="1" x14ac:dyDescent="0.35">
      <c r="A238" s="7">
        <v>235</v>
      </c>
      <c r="B238" s="37">
        <v>46053.447222222225</v>
      </c>
      <c r="C238" s="2">
        <v>83115.12</v>
      </c>
      <c r="D238" s="42">
        <v>83128.3</v>
      </c>
      <c r="E238" s="42">
        <v>83115.03</v>
      </c>
      <c r="F238" s="2">
        <v>83128.25</v>
      </c>
      <c r="G238" s="1">
        <v>92</v>
      </c>
      <c r="H238"/>
      <c r="I238" s="37">
        <v>46053.447222222225</v>
      </c>
      <c r="J238" s="36"/>
      <c r="L238" s="2"/>
      <c r="M238" s="2"/>
      <c r="N238"/>
      <c r="O238" s="37">
        <v>46053.447222222225</v>
      </c>
      <c r="P238" s="36"/>
      <c r="R238" s="2"/>
      <c r="S238" s="2"/>
    </row>
    <row r="239" spans="1:19" s="4" customFormat="1" x14ac:dyDescent="0.35">
      <c r="A239" s="7">
        <v>236</v>
      </c>
      <c r="B239" s="37">
        <v>46053.447916666664</v>
      </c>
      <c r="C239" s="2">
        <v>83128.23</v>
      </c>
      <c r="D239" s="42">
        <v>83128.23</v>
      </c>
      <c r="E239" s="42">
        <v>83090.5</v>
      </c>
      <c r="F239" s="2">
        <v>83090.5</v>
      </c>
      <c r="G239" s="1">
        <v>128</v>
      </c>
      <c r="H239"/>
      <c r="I239" s="37">
        <v>46053.447916666664</v>
      </c>
      <c r="J239" s="36"/>
      <c r="L239" s="2"/>
      <c r="M239" s="2"/>
      <c r="N239"/>
      <c r="O239" s="37">
        <v>46053.447916666664</v>
      </c>
      <c r="P239" s="36"/>
      <c r="R239" s="2"/>
      <c r="S239" s="2"/>
    </row>
    <row r="240" spans="1:19" s="4" customFormat="1" x14ac:dyDescent="0.35">
      <c r="A240" s="7">
        <v>237</v>
      </c>
      <c r="B240" s="37">
        <v>46053.448611111111</v>
      </c>
      <c r="C240" s="2">
        <v>83083.429999999993</v>
      </c>
      <c r="D240" s="42">
        <v>83090.399999999994</v>
      </c>
      <c r="E240" s="42">
        <v>83077.67</v>
      </c>
      <c r="F240" s="2">
        <v>83090.399999999994</v>
      </c>
      <c r="G240" s="1">
        <v>89</v>
      </c>
      <c r="H240"/>
      <c r="I240" s="37">
        <v>46053.448611111111</v>
      </c>
      <c r="J240" s="36"/>
      <c r="L240" s="2"/>
      <c r="M240" s="2"/>
      <c r="N240"/>
      <c r="O240" s="37">
        <v>46053.448611111111</v>
      </c>
      <c r="P240" s="36"/>
      <c r="R240" s="2"/>
      <c r="S240" s="2"/>
    </row>
    <row r="241" spans="1:19" s="4" customFormat="1" x14ac:dyDescent="0.35">
      <c r="A241" s="7">
        <v>238</v>
      </c>
      <c r="B241" s="37">
        <v>46053.449305555558</v>
      </c>
      <c r="C241" s="2">
        <v>83090.399999999994</v>
      </c>
      <c r="D241" s="42">
        <v>83115.75</v>
      </c>
      <c r="E241" s="42">
        <v>83078.679999999993</v>
      </c>
      <c r="F241" s="2">
        <v>83079.38</v>
      </c>
      <c r="G241" s="1">
        <v>149</v>
      </c>
      <c r="H241"/>
      <c r="I241" s="37">
        <v>46053.449305555558</v>
      </c>
      <c r="J241" s="36"/>
      <c r="L241" s="2"/>
      <c r="M241" s="2"/>
      <c r="N241"/>
      <c r="O241" s="37">
        <v>46053.449305555558</v>
      </c>
      <c r="P241" s="36"/>
      <c r="R241" s="2"/>
      <c r="S241" s="2"/>
    </row>
    <row r="242" spans="1:19" s="4" customFormat="1" x14ac:dyDescent="0.35">
      <c r="A242" s="7">
        <v>239</v>
      </c>
      <c r="B242" s="37">
        <v>46053.45</v>
      </c>
      <c r="C242" s="2">
        <v>83079.45</v>
      </c>
      <c r="D242" s="42">
        <v>83079.73</v>
      </c>
      <c r="E242" s="42">
        <v>83048.679999999993</v>
      </c>
      <c r="F242" s="2">
        <v>83057.440000000002</v>
      </c>
      <c r="G242" s="1">
        <v>160</v>
      </c>
      <c r="H242"/>
      <c r="I242" s="37">
        <v>46053.45</v>
      </c>
      <c r="J242" s="36"/>
      <c r="L242" s="2"/>
      <c r="M242" s="2"/>
      <c r="N242"/>
      <c r="O242" s="37">
        <v>46053.45</v>
      </c>
      <c r="P242" s="36"/>
      <c r="R242" s="2"/>
      <c r="S242" s="2"/>
    </row>
    <row r="243" spans="1:19" s="4" customFormat="1" x14ac:dyDescent="0.35">
      <c r="A243" s="7">
        <v>240</v>
      </c>
      <c r="B243" s="37">
        <v>46053.450694444444</v>
      </c>
      <c r="C243" s="2">
        <v>83057.39</v>
      </c>
      <c r="D243" s="42">
        <v>83079.48</v>
      </c>
      <c r="E243" s="42">
        <v>83057.39</v>
      </c>
      <c r="F243" s="2">
        <v>83069.509999999995</v>
      </c>
      <c r="G243" s="1">
        <v>108</v>
      </c>
      <c r="H243"/>
      <c r="I243" s="37">
        <v>46053.450694444444</v>
      </c>
      <c r="J243" s="36"/>
      <c r="L243" s="2"/>
      <c r="M243" s="2"/>
      <c r="N243"/>
      <c r="O243" s="37">
        <v>46053.450694444444</v>
      </c>
      <c r="P243" s="36"/>
      <c r="R243" s="2"/>
      <c r="S243" s="2"/>
    </row>
    <row r="244" spans="1:19" s="4" customFormat="1" x14ac:dyDescent="0.35">
      <c r="A244" s="7">
        <v>241</v>
      </c>
      <c r="B244" s="37">
        <v>46053.451388888891</v>
      </c>
      <c r="C244" s="2">
        <v>83069.53</v>
      </c>
      <c r="D244" s="42">
        <v>83093.72</v>
      </c>
      <c r="E244" s="42">
        <v>83061.350000000006</v>
      </c>
      <c r="F244" s="2">
        <v>83093.72</v>
      </c>
      <c r="G244" s="1">
        <v>104</v>
      </c>
      <c r="H244"/>
      <c r="I244" s="37">
        <v>46053.451388888891</v>
      </c>
      <c r="J244" s="36"/>
      <c r="L244" s="2"/>
      <c r="M244" s="2"/>
      <c r="N244"/>
      <c r="O244" s="37">
        <v>46053.451388888891</v>
      </c>
      <c r="P244" s="36"/>
      <c r="R244" s="2"/>
      <c r="S244" s="2"/>
    </row>
    <row r="245" spans="1:19" s="4" customFormat="1" x14ac:dyDescent="0.35">
      <c r="A245" s="7">
        <v>242</v>
      </c>
      <c r="B245" s="37">
        <v>46053.45208333333</v>
      </c>
      <c r="C245" s="2">
        <v>83093.759999999995</v>
      </c>
      <c r="D245" s="42">
        <v>83093.759999999995</v>
      </c>
      <c r="E245" s="42">
        <v>83009.899999999994</v>
      </c>
      <c r="F245" s="2">
        <v>83016.28</v>
      </c>
      <c r="G245" s="1">
        <v>126</v>
      </c>
      <c r="H245"/>
      <c r="I245" s="37">
        <v>46053.45208333333</v>
      </c>
      <c r="J245" s="36"/>
      <c r="L245" s="2"/>
      <c r="M245" s="2"/>
      <c r="N245"/>
      <c r="O245" s="37">
        <v>46053.45208333333</v>
      </c>
      <c r="P245" s="36"/>
      <c r="R245" s="2"/>
      <c r="S245" s="2"/>
    </row>
    <row r="246" spans="1:19" s="4" customFormat="1" x14ac:dyDescent="0.35">
      <c r="A246" s="7">
        <v>243</v>
      </c>
      <c r="B246" s="37">
        <v>46053.452777777777</v>
      </c>
      <c r="C246" s="2">
        <v>83016.149999999994</v>
      </c>
      <c r="D246" s="42">
        <v>83059.199999999997</v>
      </c>
      <c r="E246" s="42">
        <v>83016.149999999994</v>
      </c>
      <c r="F246" s="2">
        <v>83059.039999999994</v>
      </c>
      <c r="G246" s="1">
        <v>85</v>
      </c>
      <c r="H246"/>
      <c r="I246" s="37">
        <v>46053.452777777777</v>
      </c>
      <c r="J246" s="36"/>
      <c r="L246" s="2"/>
      <c r="M246" s="2"/>
      <c r="N246"/>
      <c r="O246" s="37">
        <v>46053.452777777777</v>
      </c>
      <c r="P246" s="36"/>
      <c r="R246" s="2"/>
      <c r="S246" s="2"/>
    </row>
    <row r="247" spans="1:19" s="4" customFormat="1" x14ac:dyDescent="0.35">
      <c r="A247" s="7">
        <v>244</v>
      </c>
      <c r="B247" s="37">
        <v>46053.453472222223</v>
      </c>
      <c r="C247" s="2">
        <v>83059.05</v>
      </c>
      <c r="D247" s="42">
        <v>83074.47</v>
      </c>
      <c r="E247" s="42">
        <v>83051.33</v>
      </c>
      <c r="F247" s="2">
        <v>83074.41</v>
      </c>
      <c r="G247" s="1">
        <v>138</v>
      </c>
      <c r="H247"/>
      <c r="I247" s="37">
        <v>46053.453472222223</v>
      </c>
      <c r="J247" s="36"/>
      <c r="L247" s="2"/>
      <c r="M247" s="2"/>
      <c r="N247"/>
      <c r="O247" s="37">
        <v>46053.453472222223</v>
      </c>
      <c r="P247" s="36"/>
      <c r="R247" s="2"/>
      <c r="S247" s="2"/>
    </row>
    <row r="248" spans="1:19" s="4" customFormat="1" x14ac:dyDescent="0.35">
      <c r="A248" s="7">
        <v>245</v>
      </c>
      <c r="B248" s="37">
        <v>46053.45416666667</v>
      </c>
      <c r="C248" s="2">
        <v>83074.47</v>
      </c>
      <c r="D248" s="42">
        <v>83121.5</v>
      </c>
      <c r="E248" s="42">
        <v>83073.98</v>
      </c>
      <c r="F248" s="2">
        <v>83121.47</v>
      </c>
      <c r="G248" s="1">
        <v>123</v>
      </c>
      <c r="H248"/>
      <c r="I248" s="37">
        <v>46053.45416666667</v>
      </c>
      <c r="J248" s="36"/>
      <c r="L248" s="2"/>
      <c r="M248" s="2"/>
      <c r="N248"/>
      <c r="O248" s="37">
        <v>46053.45416666667</v>
      </c>
      <c r="P248" s="36"/>
      <c r="R248" s="2"/>
      <c r="S248" s="2"/>
    </row>
    <row r="249" spans="1:19" s="4" customFormat="1" x14ac:dyDescent="0.35">
      <c r="A249" s="7">
        <v>246</v>
      </c>
      <c r="B249" s="37">
        <v>46053.454861111109</v>
      </c>
      <c r="C249" s="2">
        <v>83121.460000000006</v>
      </c>
      <c r="D249" s="42">
        <v>83143.75</v>
      </c>
      <c r="E249" s="42">
        <v>83121.460000000006</v>
      </c>
      <c r="F249" s="2">
        <v>83134.73</v>
      </c>
      <c r="G249" s="1">
        <v>126</v>
      </c>
      <c r="H249"/>
      <c r="I249" s="37">
        <v>46053.454861111109</v>
      </c>
      <c r="J249" s="36"/>
      <c r="L249" s="2"/>
      <c r="M249" s="2"/>
      <c r="N249"/>
      <c r="O249" s="37">
        <v>46053.454861111109</v>
      </c>
      <c r="P249" s="36"/>
      <c r="R249" s="2"/>
      <c r="S249" s="2"/>
    </row>
    <row r="250" spans="1:19" s="4" customFormat="1" x14ac:dyDescent="0.35">
      <c r="A250" s="7">
        <v>247</v>
      </c>
      <c r="B250" s="37">
        <v>46053.455555555556</v>
      </c>
      <c r="C250" s="2">
        <v>83134.740000000005</v>
      </c>
      <c r="D250" s="42">
        <v>83140.95</v>
      </c>
      <c r="E250" s="42">
        <v>83097.679999999993</v>
      </c>
      <c r="F250" s="2">
        <v>83109.919999999998</v>
      </c>
      <c r="G250" s="1">
        <v>116</v>
      </c>
      <c r="H250"/>
      <c r="I250" s="37">
        <v>46053.455555555556</v>
      </c>
      <c r="J250" s="36"/>
      <c r="L250" s="2"/>
      <c r="M250" s="2"/>
      <c r="N250"/>
      <c r="O250" s="37">
        <v>46053.455555555556</v>
      </c>
      <c r="P250" s="36"/>
      <c r="R250" s="2"/>
      <c r="S250" s="2"/>
    </row>
    <row r="251" spans="1:19" s="4" customFormat="1" x14ac:dyDescent="0.35">
      <c r="A251" s="7">
        <v>248</v>
      </c>
      <c r="B251" s="37">
        <v>46053.456250000003</v>
      </c>
      <c r="C251" s="2">
        <v>83109.929999999993</v>
      </c>
      <c r="D251" s="42">
        <v>83125.100000000006</v>
      </c>
      <c r="E251" s="42">
        <v>83109.919999999998</v>
      </c>
      <c r="F251" s="2">
        <v>83123.210000000006</v>
      </c>
      <c r="G251" s="1">
        <v>81</v>
      </c>
      <c r="H251"/>
      <c r="I251" s="37">
        <v>46053.456250000003</v>
      </c>
      <c r="J251" s="36"/>
      <c r="L251" s="2"/>
      <c r="M251" s="2"/>
      <c r="N251"/>
      <c r="O251" s="37">
        <v>46053.456250000003</v>
      </c>
      <c r="P251" s="36"/>
      <c r="R251" s="2"/>
      <c r="S251" s="2"/>
    </row>
    <row r="252" spans="1:19" s="4" customFormat="1" x14ac:dyDescent="0.35">
      <c r="A252" s="7">
        <v>249</v>
      </c>
      <c r="B252" s="37">
        <v>46053.456944444442</v>
      </c>
      <c r="C252" s="2">
        <v>83123.199999999997</v>
      </c>
      <c r="D252" s="42">
        <v>83123.199999999997</v>
      </c>
      <c r="E252" s="42">
        <v>83081.960000000006</v>
      </c>
      <c r="F252" s="2">
        <v>83083.509999999995</v>
      </c>
      <c r="G252" s="1">
        <v>127</v>
      </c>
      <c r="H252"/>
      <c r="I252" s="37">
        <v>46053.456944444442</v>
      </c>
      <c r="J252" s="36"/>
      <c r="L252" s="2"/>
      <c r="M252" s="2"/>
      <c r="N252"/>
      <c r="O252" s="37">
        <v>46053.456944444442</v>
      </c>
      <c r="P252" s="36"/>
      <c r="R252" s="2"/>
      <c r="S252" s="2"/>
    </row>
    <row r="253" spans="1:19" s="4" customFormat="1" x14ac:dyDescent="0.35">
      <c r="A253" s="7">
        <v>250</v>
      </c>
      <c r="B253" s="37">
        <v>46053.457638888889</v>
      </c>
      <c r="C253" s="2">
        <v>83083.509999999995</v>
      </c>
      <c r="D253" s="42">
        <v>83111.38</v>
      </c>
      <c r="E253" s="42">
        <v>83067.3</v>
      </c>
      <c r="F253" s="2">
        <v>83110.84</v>
      </c>
      <c r="G253" s="1">
        <v>143</v>
      </c>
      <c r="H253"/>
      <c r="I253" s="37">
        <v>46053.457638888889</v>
      </c>
      <c r="J253" s="36"/>
      <c r="L253" s="2"/>
      <c r="M253" s="2"/>
      <c r="N253"/>
      <c r="O253" s="37">
        <v>46053.457638888889</v>
      </c>
      <c r="P253" s="36"/>
      <c r="R253" s="2"/>
      <c r="S253" s="2"/>
    </row>
    <row r="254" spans="1:19" s="4" customFormat="1" x14ac:dyDescent="0.35">
      <c r="A254" s="7">
        <v>251</v>
      </c>
      <c r="B254" s="37">
        <v>46053.458333333336</v>
      </c>
      <c r="C254" s="2">
        <v>83110.84</v>
      </c>
      <c r="D254" s="42">
        <v>83111.240000000005</v>
      </c>
      <c r="E254" s="42">
        <v>83025.37</v>
      </c>
      <c r="F254" s="2">
        <v>83037.94</v>
      </c>
      <c r="G254" s="1">
        <v>175</v>
      </c>
      <c r="H254"/>
      <c r="I254" s="37">
        <v>46053.458333333336</v>
      </c>
      <c r="J254" s="36"/>
      <c r="L254" s="2"/>
      <c r="M254" s="2"/>
      <c r="N254"/>
      <c r="O254" s="37">
        <v>46053.458333333336</v>
      </c>
      <c r="P254" s="36"/>
      <c r="R254" s="2"/>
      <c r="S254" s="2"/>
    </row>
    <row r="255" spans="1:19" s="4" customFormat="1" x14ac:dyDescent="0.35">
      <c r="A255" s="7">
        <v>252</v>
      </c>
      <c r="B255" s="37">
        <v>46053.459027777775</v>
      </c>
      <c r="C255" s="2">
        <v>83037.09</v>
      </c>
      <c r="D255" s="42">
        <v>83070.31</v>
      </c>
      <c r="E255" s="42">
        <v>83034.58</v>
      </c>
      <c r="F255" s="2">
        <v>83053.81</v>
      </c>
      <c r="G255" s="1">
        <v>111</v>
      </c>
      <c r="H255"/>
      <c r="I255" s="37">
        <v>46053.459027777775</v>
      </c>
      <c r="J255" s="36"/>
      <c r="L255" s="2"/>
      <c r="M255" s="2"/>
      <c r="N255"/>
      <c r="O255" s="37">
        <v>46053.459027777775</v>
      </c>
      <c r="P255" s="36"/>
      <c r="R255" s="2"/>
      <c r="S255" s="2"/>
    </row>
    <row r="256" spans="1:19" s="4" customFormat="1" x14ac:dyDescent="0.35">
      <c r="A256" s="7">
        <v>253</v>
      </c>
      <c r="B256" s="37">
        <v>46053.459722222222</v>
      </c>
      <c r="C256" s="2">
        <v>83063.5</v>
      </c>
      <c r="D256" s="42">
        <v>83066.25</v>
      </c>
      <c r="E256" s="42">
        <v>82990.509999999995</v>
      </c>
      <c r="F256" s="2">
        <v>83004.23</v>
      </c>
      <c r="G256" s="1">
        <v>166</v>
      </c>
      <c r="H256"/>
      <c r="I256" s="37">
        <v>46053.459722222222</v>
      </c>
      <c r="J256" s="36"/>
      <c r="L256" s="2"/>
      <c r="M256" s="2"/>
      <c r="N256"/>
      <c r="O256" s="37">
        <v>46053.459722222222</v>
      </c>
      <c r="P256" s="36"/>
      <c r="R256" s="2"/>
      <c r="S256" s="2"/>
    </row>
    <row r="257" spans="1:19" s="4" customFormat="1" x14ac:dyDescent="0.35">
      <c r="A257" s="7">
        <v>254</v>
      </c>
      <c r="B257" s="37">
        <v>46053.460416666669</v>
      </c>
      <c r="C257" s="2">
        <v>83004.23</v>
      </c>
      <c r="D257" s="42">
        <v>83028.600000000006</v>
      </c>
      <c r="E257" s="42">
        <v>82997.8</v>
      </c>
      <c r="F257" s="2">
        <v>83017.86</v>
      </c>
      <c r="G257" s="1">
        <v>168</v>
      </c>
      <c r="H257"/>
      <c r="I257" s="37">
        <v>46053.460416666669</v>
      </c>
      <c r="J257" s="36"/>
      <c r="L257" s="2"/>
      <c r="M257" s="2"/>
      <c r="N257"/>
      <c r="O257" s="37">
        <v>46053.460416666669</v>
      </c>
      <c r="P257" s="36"/>
      <c r="R257" s="2"/>
      <c r="S257" s="2"/>
    </row>
    <row r="258" spans="1:19" x14ac:dyDescent="0.35">
      <c r="A258" s="7">
        <v>255</v>
      </c>
      <c r="B258" s="37">
        <v>46053.461111111108</v>
      </c>
      <c r="C258" s="2">
        <v>83017.86</v>
      </c>
      <c r="D258" s="42">
        <v>83027.600000000006</v>
      </c>
      <c r="E258" s="42">
        <v>82995.710000000006</v>
      </c>
      <c r="F258" s="2">
        <v>82997.02</v>
      </c>
      <c r="G258" s="1">
        <v>137</v>
      </c>
      <c r="I258" s="37">
        <v>46053.461111111108</v>
      </c>
      <c r="J258" s="36"/>
      <c r="L258" s="2"/>
      <c r="M258" s="2"/>
      <c r="O258" s="37">
        <v>46053.461111111108</v>
      </c>
      <c r="P258" s="36"/>
      <c r="R258" s="2"/>
      <c r="S258" s="2"/>
    </row>
    <row r="259" spans="1:19" x14ac:dyDescent="0.35">
      <c r="A259" s="7">
        <v>256</v>
      </c>
      <c r="B259" s="37">
        <v>46053.461805555555</v>
      </c>
      <c r="C259" s="2">
        <v>82997.009999999995</v>
      </c>
      <c r="D259" s="42">
        <v>83015.199999999997</v>
      </c>
      <c r="E259" s="42">
        <v>82971.22</v>
      </c>
      <c r="F259" s="2">
        <v>82990.61</v>
      </c>
      <c r="G259" s="1">
        <v>164</v>
      </c>
      <c r="I259" s="37">
        <v>46053.461805555555</v>
      </c>
      <c r="J259" s="36"/>
      <c r="L259" s="2"/>
      <c r="M259" s="2"/>
      <c r="O259" s="37">
        <v>46053.461805555555</v>
      </c>
      <c r="P259" s="36"/>
      <c r="R259" s="2"/>
      <c r="S259" s="2"/>
    </row>
    <row r="260" spans="1:19" x14ac:dyDescent="0.35">
      <c r="A260" s="7">
        <v>257</v>
      </c>
      <c r="B260" s="37">
        <v>46053.462500000001</v>
      </c>
      <c r="C260" s="2">
        <v>82990.61</v>
      </c>
      <c r="D260" s="42">
        <v>83025.600000000006</v>
      </c>
      <c r="E260" s="42">
        <v>82982.960000000006</v>
      </c>
      <c r="F260" s="2">
        <v>83025.53</v>
      </c>
      <c r="G260" s="1">
        <v>130</v>
      </c>
      <c r="I260" s="37">
        <v>46053.462500000001</v>
      </c>
      <c r="J260" s="36"/>
      <c r="L260" s="2"/>
      <c r="M260" s="2"/>
      <c r="O260" s="37">
        <v>46053.462500000001</v>
      </c>
      <c r="P260" s="36"/>
      <c r="R260" s="2"/>
      <c r="S260" s="2"/>
    </row>
    <row r="261" spans="1:19" x14ac:dyDescent="0.35">
      <c r="A261" s="7">
        <v>258</v>
      </c>
      <c r="B261" s="37">
        <v>46053.463194444441</v>
      </c>
      <c r="C261" s="2">
        <v>83016.66</v>
      </c>
      <c r="D261" s="42">
        <v>83024.899999999994</v>
      </c>
      <c r="E261" s="42">
        <v>83011.320000000007</v>
      </c>
      <c r="F261" s="2">
        <v>83019.03</v>
      </c>
      <c r="G261" s="1">
        <v>134</v>
      </c>
      <c r="I261" s="37">
        <v>46053.463194444441</v>
      </c>
      <c r="J261" s="36"/>
      <c r="L261" s="2"/>
      <c r="M261" s="2"/>
      <c r="O261" s="37">
        <v>46053.463194444441</v>
      </c>
      <c r="P261" s="36"/>
      <c r="R261" s="2"/>
      <c r="S261" s="2"/>
    </row>
    <row r="262" spans="1:19" x14ac:dyDescent="0.35">
      <c r="A262" s="7">
        <v>259</v>
      </c>
      <c r="B262" s="37">
        <v>46053.463888888888</v>
      </c>
      <c r="C262" s="2">
        <v>83013.09</v>
      </c>
      <c r="D262" s="42">
        <v>83022.34</v>
      </c>
      <c r="E262" s="42">
        <v>82988.259999999995</v>
      </c>
      <c r="F262" s="2">
        <v>83005.94</v>
      </c>
      <c r="G262" s="1">
        <v>169</v>
      </c>
      <c r="I262" s="37">
        <v>46053.463888888888</v>
      </c>
      <c r="J262" s="36"/>
      <c r="L262" s="2"/>
      <c r="M262" s="2"/>
      <c r="O262" s="37">
        <v>46053.463888888888</v>
      </c>
      <c r="P262" s="36"/>
      <c r="R262" s="2"/>
      <c r="S262" s="2"/>
    </row>
    <row r="263" spans="1:19" x14ac:dyDescent="0.35">
      <c r="A263" s="7">
        <v>260</v>
      </c>
      <c r="B263" s="37">
        <v>46053.464583333334</v>
      </c>
      <c r="C263" s="2">
        <v>83006.19</v>
      </c>
      <c r="D263" s="42">
        <v>83036.960000000006</v>
      </c>
      <c r="E263" s="42">
        <v>82989.509999999995</v>
      </c>
      <c r="F263" s="2">
        <v>83033.73</v>
      </c>
      <c r="G263" s="1">
        <v>182</v>
      </c>
      <c r="I263" s="37">
        <v>46053.464583333334</v>
      </c>
      <c r="J263" s="36"/>
      <c r="L263" s="2"/>
      <c r="M263" s="2"/>
      <c r="O263" s="37">
        <v>46053.464583333334</v>
      </c>
      <c r="P263" s="36"/>
      <c r="R263" s="2"/>
      <c r="S263" s="2"/>
    </row>
    <row r="264" spans="1:19" x14ac:dyDescent="0.35">
      <c r="A264" s="7">
        <v>261</v>
      </c>
      <c r="B264" s="37">
        <v>46053.465277777781</v>
      </c>
      <c r="C264" s="2">
        <v>83033.22</v>
      </c>
      <c r="D264" s="42">
        <v>83033.23</v>
      </c>
      <c r="E264" s="42">
        <v>82972.22</v>
      </c>
      <c r="F264" s="2">
        <v>82995.41</v>
      </c>
      <c r="G264" s="1">
        <v>200</v>
      </c>
      <c r="I264" s="37">
        <v>46053.465277777781</v>
      </c>
      <c r="J264" s="36"/>
      <c r="L264" s="2"/>
      <c r="M264" s="2"/>
      <c r="O264" s="37">
        <v>46053.465277777781</v>
      </c>
      <c r="P264" s="36"/>
      <c r="R264" s="2"/>
      <c r="S264" s="2"/>
    </row>
    <row r="265" spans="1:19" x14ac:dyDescent="0.35">
      <c r="A265" s="7">
        <v>262</v>
      </c>
      <c r="B265" s="37">
        <v>46053.46597222222</v>
      </c>
      <c r="C265" s="2">
        <v>82995.41</v>
      </c>
      <c r="D265" s="42">
        <v>83005.600000000006</v>
      </c>
      <c r="E265" s="42">
        <v>82975.100000000006</v>
      </c>
      <c r="F265" s="2">
        <v>83005.600000000006</v>
      </c>
      <c r="G265" s="1">
        <v>123</v>
      </c>
      <c r="I265" s="37">
        <v>46053.46597222222</v>
      </c>
      <c r="J265" s="36"/>
      <c r="L265" s="2"/>
      <c r="M265" s="2"/>
      <c r="O265" s="37">
        <v>46053.46597222222</v>
      </c>
      <c r="P265" s="36"/>
      <c r="R265" s="2"/>
      <c r="S265" s="2"/>
    </row>
    <row r="266" spans="1:19" x14ac:dyDescent="0.35">
      <c r="A266" s="7">
        <v>263</v>
      </c>
      <c r="B266" s="37">
        <v>46053.466666666667</v>
      </c>
      <c r="C266" s="2">
        <v>83005.600000000006</v>
      </c>
      <c r="D266" s="42">
        <v>83023.45</v>
      </c>
      <c r="E266" s="42">
        <v>82988.2</v>
      </c>
      <c r="F266" s="2">
        <v>82988.2</v>
      </c>
      <c r="G266" s="1">
        <v>133</v>
      </c>
      <c r="I266" s="37">
        <v>46053.466666666667</v>
      </c>
      <c r="J266" s="36"/>
      <c r="L266" s="2"/>
      <c r="M266" s="2"/>
      <c r="O266" s="37">
        <v>46053.466666666667</v>
      </c>
      <c r="P266" s="36"/>
      <c r="R266" s="2"/>
      <c r="S266" s="2"/>
    </row>
    <row r="267" spans="1:19" x14ac:dyDescent="0.35">
      <c r="A267" s="7">
        <v>264</v>
      </c>
      <c r="B267" s="37">
        <v>46053.467361111114</v>
      </c>
      <c r="C267" s="2">
        <v>82989.14</v>
      </c>
      <c r="D267" s="42">
        <v>82989.649999999994</v>
      </c>
      <c r="E267" s="42">
        <v>82955.61</v>
      </c>
      <c r="F267" s="2">
        <v>82956.479999999996</v>
      </c>
      <c r="G267" s="1">
        <v>107</v>
      </c>
      <c r="I267" s="37">
        <v>46053.467361111114</v>
      </c>
      <c r="J267" s="36"/>
      <c r="L267" s="2"/>
      <c r="M267" s="2"/>
      <c r="O267" s="37">
        <v>46053.467361111114</v>
      </c>
      <c r="P267" s="36"/>
      <c r="R267" s="2"/>
      <c r="S267" s="2"/>
    </row>
    <row r="268" spans="1:19" x14ac:dyDescent="0.35">
      <c r="A268" s="7">
        <v>265</v>
      </c>
      <c r="B268" s="37">
        <v>46053.468055555553</v>
      </c>
      <c r="C268" s="2">
        <v>82956.490000000005</v>
      </c>
      <c r="D268" s="42">
        <v>82969.820000000007</v>
      </c>
      <c r="E268" s="42">
        <v>82933.17</v>
      </c>
      <c r="F268" s="2">
        <v>82963.199999999997</v>
      </c>
      <c r="G268" s="1">
        <v>148</v>
      </c>
      <c r="I268" s="37">
        <v>46053.468055555553</v>
      </c>
      <c r="J268" s="36"/>
      <c r="L268" s="2"/>
      <c r="M268" s="2"/>
      <c r="O268" s="37">
        <v>46053.468055555553</v>
      </c>
      <c r="P268" s="36"/>
      <c r="R268" s="2"/>
      <c r="S268" s="2"/>
    </row>
    <row r="269" spans="1:19" x14ac:dyDescent="0.35">
      <c r="A269" s="7">
        <v>266</v>
      </c>
      <c r="B269" s="37">
        <v>46053.46875</v>
      </c>
      <c r="C269" s="2">
        <v>82963.210000000006</v>
      </c>
      <c r="D269" s="42">
        <v>82990.23</v>
      </c>
      <c r="E269" s="42">
        <v>82955.73</v>
      </c>
      <c r="F269" s="2">
        <v>82986.03</v>
      </c>
      <c r="G269" s="1">
        <v>126</v>
      </c>
      <c r="I269" s="37">
        <v>46053.46875</v>
      </c>
      <c r="J269" s="36"/>
      <c r="L269" s="2"/>
      <c r="M269" s="2"/>
      <c r="O269" s="37">
        <v>46053.46875</v>
      </c>
      <c r="P269" s="36"/>
      <c r="R269" s="2"/>
      <c r="S269" s="2"/>
    </row>
    <row r="270" spans="1:19" x14ac:dyDescent="0.35">
      <c r="A270" s="7">
        <v>267</v>
      </c>
      <c r="B270" s="37">
        <v>46053.469444444447</v>
      </c>
      <c r="C270" s="2">
        <v>82986.03</v>
      </c>
      <c r="D270" s="42">
        <v>83035.240000000005</v>
      </c>
      <c r="E270" s="42">
        <v>82986.03</v>
      </c>
      <c r="F270" s="2">
        <v>83000.100000000006</v>
      </c>
      <c r="G270" s="1">
        <v>120</v>
      </c>
      <c r="I270" s="37">
        <v>46053.469444444447</v>
      </c>
      <c r="J270" s="36"/>
      <c r="L270" s="2"/>
      <c r="M270" s="2"/>
      <c r="O270" s="37">
        <v>46053.469444444447</v>
      </c>
      <c r="P270" s="36"/>
      <c r="R270" s="2"/>
      <c r="S270" s="2"/>
    </row>
    <row r="271" spans="1:19" x14ac:dyDescent="0.35">
      <c r="A271" s="7">
        <v>268</v>
      </c>
      <c r="B271" s="37">
        <v>46053.470138888886</v>
      </c>
      <c r="C271" s="2">
        <v>83000.100000000006</v>
      </c>
      <c r="D271" s="42">
        <v>83000.210000000006</v>
      </c>
      <c r="E271" s="42">
        <v>82949.11</v>
      </c>
      <c r="F271" s="2">
        <v>82949.37</v>
      </c>
      <c r="G271" s="1">
        <v>111</v>
      </c>
      <c r="I271" s="37">
        <v>46053.470138888886</v>
      </c>
      <c r="J271" s="36"/>
      <c r="L271" s="2"/>
      <c r="M271" s="2"/>
      <c r="O271" s="37">
        <v>46053.470138888886</v>
      </c>
      <c r="P271" s="36"/>
      <c r="R271" s="2"/>
      <c r="S271" s="2"/>
    </row>
    <row r="272" spans="1:19" x14ac:dyDescent="0.35">
      <c r="A272" s="7">
        <v>269</v>
      </c>
      <c r="B272" s="37">
        <v>46053.470833333333</v>
      </c>
      <c r="C272" s="2">
        <v>82949.42</v>
      </c>
      <c r="D272" s="42">
        <v>82985.759999999995</v>
      </c>
      <c r="E272" s="42">
        <v>82949.42</v>
      </c>
      <c r="F272" s="2">
        <v>82970.460000000006</v>
      </c>
      <c r="G272" s="1">
        <v>126</v>
      </c>
      <c r="I272" s="37">
        <v>46053.470833333333</v>
      </c>
      <c r="J272" s="36"/>
      <c r="L272" s="2"/>
      <c r="M272" s="2"/>
      <c r="O272" s="37">
        <v>46053.470833333333</v>
      </c>
      <c r="P272" s="36"/>
      <c r="R272" s="2"/>
      <c r="S272" s="2"/>
    </row>
    <row r="273" spans="1:19" x14ac:dyDescent="0.35">
      <c r="A273" s="7">
        <v>270</v>
      </c>
      <c r="B273" s="37">
        <v>46053.47152777778</v>
      </c>
      <c r="C273" s="2">
        <v>82970.649999999994</v>
      </c>
      <c r="D273" s="42">
        <v>83020.95</v>
      </c>
      <c r="E273" s="42">
        <v>82964.66</v>
      </c>
      <c r="F273" s="2">
        <v>83004.61</v>
      </c>
      <c r="G273" s="1">
        <v>135</v>
      </c>
      <c r="I273" s="37">
        <v>46053.47152777778</v>
      </c>
      <c r="J273" s="36"/>
      <c r="L273" s="2"/>
      <c r="M273" s="2"/>
      <c r="O273" s="37">
        <v>46053.47152777778</v>
      </c>
      <c r="P273" s="36"/>
      <c r="R273" s="2"/>
      <c r="S273" s="2"/>
    </row>
    <row r="274" spans="1:19" x14ac:dyDescent="0.35">
      <c r="A274" s="7">
        <v>271</v>
      </c>
      <c r="B274" s="37">
        <v>46053.472222222219</v>
      </c>
      <c r="C274" s="2">
        <v>82996.83</v>
      </c>
      <c r="D274" s="42">
        <v>83027.399999999994</v>
      </c>
      <c r="E274" s="42">
        <v>82982.02</v>
      </c>
      <c r="F274" s="2">
        <v>82997.22</v>
      </c>
      <c r="G274" s="1">
        <v>142</v>
      </c>
      <c r="I274" s="37">
        <v>46053.472222222219</v>
      </c>
      <c r="J274" s="36"/>
      <c r="L274" s="2"/>
      <c r="M274" s="2"/>
      <c r="O274" s="37">
        <v>46053.472222222219</v>
      </c>
      <c r="P274" s="36"/>
      <c r="R274" s="2"/>
      <c r="S274" s="2"/>
    </row>
    <row r="275" spans="1:19" x14ac:dyDescent="0.35">
      <c r="A275" s="7">
        <v>272</v>
      </c>
      <c r="B275" s="37">
        <v>46053.472916666666</v>
      </c>
      <c r="C275" s="2">
        <v>82997.240000000005</v>
      </c>
      <c r="D275" s="42">
        <v>83007.149999999994</v>
      </c>
      <c r="E275" s="42">
        <v>82968.44</v>
      </c>
      <c r="F275" s="2">
        <v>82988.72</v>
      </c>
      <c r="G275" s="1">
        <v>99</v>
      </c>
      <c r="I275" s="37">
        <v>46053.472916666666</v>
      </c>
      <c r="J275" s="36"/>
      <c r="L275" s="2"/>
      <c r="M275" s="2"/>
      <c r="O275" s="37">
        <v>46053.472916666666</v>
      </c>
      <c r="P275" s="36"/>
      <c r="R275" s="2"/>
      <c r="S275" s="2"/>
    </row>
    <row r="276" spans="1:19" x14ac:dyDescent="0.35">
      <c r="A276" s="7">
        <v>273</v>
      </c>
      <c r="B276" s="37">
        <v>46053.473611111112</v>
      </c>
      <c r="C276" s="2">
        <v>82988.72</v>
      </c>
      <c r="D276" s="42">
        <v>82994.7</v>
      </c>
      <c r="E276" s="42">
        <v>82983.48</v>
      </c>
      <c r="F276" s="2">
        <v>82993.62</v>
      </c>
      <c r="G276" s="1">
        <v>116</v>
      </c>
      <c r="I276" s="37">
        <v>46053.473611111112</v>
      </c>
      <c r="J276" s="36"/>
      <c r="L276" s="2"/>
      <c r="M276" s="2"/>
      <c r="O276" s="37">
        <v>46053.473611111112</v>
      </c>
      <c r="P276" s="36"/>
      <c r="R276" s="2"/>
      <c r="S276" s="2"/>
    </row>
    <row r="277" spans="1:19" x14ac:dyDescent="0.35">
      <c r="A277" s="7">
        <v>274</v>
      </c>
      <c r="B277" s="37">
        <v>46053.474305555559</v>
      </c>
      <c r="C277" s="2">
        <v>82993.61</v>
      </c>
      <c r="D277" s="42">
        <v>83011.240000000005</v>
      </c>
      <c r="E277" s="42">
        <v>82993.61</v>
      </c>
      <c r="F277" s="2">
        <v>83006.240000000005</v>
      </c>
      <c r="G277" s="1">
        <v>156</v>
      </c>
      <c r="I277" s="37">
        <v>46053.474305555559</v>
      </c>
      <c r="J277" s="36"/>
      <c r="L277" s="2"/>
      <c r="M277" s="2"/>
      <c r="O277" s="37">
        <v>46053.474305555559</v>
      </c>
      <c r="P277" s="36"/>
      <c r="R277" s="2"/>
      <c r="S277" s="2"/>
    </row>
    <row r="278" spans="1:19" x14ac:dyDescent="0.35">
      <c r="A278" s="7">
        <v>275</v>
      </c>
      <c r="B278" s="37">
        <v>46053.474999999999</v>
      </c>
      <c r="C278" s="2">
        <v>83010</v>
      </c>
      <c r="D278" s="42">
        <v>83017.2</v>
      </c>
      <c r="E278" s="42">
        <v>83000.41</v>
      </c>
      <c r="F278" s="2">
        <v>83017.039999999994</v>
      </c>
      <c r="G278" s="1">
        <v>112</v>
      </c>
      <c r="I278" s="37">
        <v>46053.474999999999</v>
      </c>
      <c r="J278" s="36"/>
      <c r="L278" s="2"/>
      <c r="M278" s="2"/>
      <c r="O278" s="37">
        <v>46053.474999999999</v>
      </c>
      <c r="P278" s="36"/>
      <c r="R278" s="2"/>
      <c r="S278" s="2"/>
    </row>
    <row r="279" spans="1:19" x14ac:dyDescent="0.35">
      <c r="A279" s="7">
        <v>276</v>
      </c>
      <c r="B279" s="37">
        <v>46053.475694444445</v>
      </c>
      <c r="C279" s="2">
        <v>83017.039999999994</v>
      </c>
      <c r="D279" s="42">
        <v>83017.100000000006</v>
      </c>
      <c r="E279" s="42">
        <v>82983.34</v>
      </c>
      <c r="F279" s="2">
        <v>83008.41</v>
      </c>
      <c r="G279" s="1">
        <v>115</v>
      </c>
      <c r="I279" s="37">
        <v>46053.475694444445</v>
      </c>
      <c r="J279" s="36"/>
      <c r="L279" s="2"/>
      <c r="M279" s="2"/>
      <c r="O279" s="37">
        <v>46053.475694444445</v>
      </c>
      <c r="P279" s="36"/>
      <c r="R279" s="2"/>
      <c r="S279" s="2"/>
    </row>
    <row r="280" spans="1:19" x14ac:dyDescent="0.35">
      <c r="A280" s="7">
        <v>277</v>
      </c>
      <c r="B280" s="37">
        <v>46053.476388888892</v>
      </c>
      <c r="C280" s="2">
        <v>83008.39</v>
      </c>
      <c r="D280" s="42">
        <v>83040.039999999994</v>
      </c>
      <c r="E280" s="42">
        <v>83008.39</v>
      </c>
      <c r="F280" s="2">
        <v>83020.92</v>
      </c>
      <c r="G280" s="1">
        <v>99</v>
      </c>
      <c r="I280" s="37">
        <v>46053.476388888892</v>
      </c>
      <c r="J280" s="36"/>
      <c r="L280" s="2"/>
      <c r="M280" s="2"/>
      <c r="O280" s="37">
        <v>46053.476388888892</v>
      </c>
      <c r="P280" s="36"/>
      <c r="R280" s="2"/>
      <c r="S280" s="2"/>
    </row>
    <row r="281" spans="1:19" x14ac:dyDescent="0.35">
      <c r="A281" s="7">
        <v>278</v>
      </c>
      <c r="B281" s="37">
        <v>46053.477083333331</v>
      </c>
      <c r="C281" s="2">
        <v>83020.84</v>
      </c>
      <c r="D281" s="42">
        <v>83021.460000000006</v>
      </c>
      <c r="E281" s="42">
        <v>82990.63</v>
      </c>
      <c r="F281" s="2">
        <v>83011.039999999994</v>
      </c>
      <c r="G281" s="1">
        <v>128</v>
      </c>
      <c r="I281" s="37">
        <v>46053.477083333331</v>
      </c>
      <c r="J281" s="36"/>
      <c r="L281" s="2"/>
      <c r="M281" s="2"/>
      <c r="O281" s="37">
        <v>46053.477083333331</v>
      </c>
      <c r="P281" s="36"/>
      <c r="R281" s="2"/>
      <c r="S281" s="2"/>
    </row>
    <row r="282" spans="1:19" x14ac:dyDescent="0.35">
      <c r="A282" s="7">
        <v>279</v>
      </c>
      <c r="B282" s="37">
        <v>46053.477777777778</v>
      </c>
      <c r="C282" s="2">
        <v>83011.09</v>
      </c>
      <c r="D282" s="42">
        <v>83011.09</v>
      </c>
      <c r="E282" s="42">
        <v>82956.850000000006</v>
      </c>
      <c r="F282" s="2">
        <v>82957.440000000002</v>
      </c>
      <c r="G282" s="1">
        <v>137</v>
      </c>
      <c r="I282" s="37">
        <v>46053.477777777778</v>
      </c>
      <c r="J282" s="36"/>
      <c r="L282" s="2"/>
      <c r="M282" s="2"/>
      <c r="O282" s="37">
        <v>46053.477777777778</v>
      </c>
      <c r="P282" s="36"/>
      <c r="R282" s="2"/>
      <c r="S282" s="2"/>
    </row>
    <row r="283" spans="1:19" x14ac:dyDescent="0.35">
      <c r="A283" s="7">
        <v>280</v>
      </c>
      <c r="B283" s="37">
        <v>46053.478472222225</v>
      </c>
      <c r="C283" s="2">
        <v>82957.429999999993</v>
      </c>
      <c r="D283" s="42">
        <v>82975.45</v>
      </c>
      <c r="E283" s="42">
        <v>82942.63</v>
      </c>
      <c r="F283" s="2">
        <v>82954.740000000005</v>
      </c>
      <c r="G283" s="1">
        <v>142</v>
      </c>
      <c r="I283" s="37">
        <v>46053.478472222225</v>
      </c>
      <c r="J283" s="36"/>
      <c r="L283" s="2"/>
      <c r="M283" s="2"/>
      <c r="O283" s="37">
        <v>46053.478472222225</v>
      </c>
      <c r="P283" s="36"/>
      <c r="R283" s="2"/>
      <c r="S283" s="2"/>
    </row>
    <row r="284" spans="1:19" x14ac:dyDescent="0.35">
      <c r="A284" s="7">
        <v>281</v>
      </c>
      <c r="B284" s="37">
        <v>46053.479166666664</v>
      </c>
      <c r="C284" s="2">
        <v>82954.740000000005</v>
      </c>
      <c r="D284" s="42">
        <v>82975.600000000006</v>
      </c>
      <c r="E284" s="42">
        <v>82954.710000000006</v>
      </c>
      <c r="F284" s="2">
        <v>82975.600000000006</v>
      </c>
      <c r="G284" s="1">
        <v>82</v>
      </c>
      <c r="I284" s="37">
        <v>46053.479166666664</v>
      </c>
      <c r="J284" s="36"/>
      <c r="L284" s="2"/>
      <c r="M284" s="2"/>
      <c r="O284" s="37">
        <v>46053.479166666664</v>
      </c>
      <c r="P284" s="36"/>
      <c r="R284" s="2"/>
      <c r="S284" s="2"/>
    </row>
    <row r="285" spans="1:19" x14ac:dyDescent="0.35">
      <c r="A285" s="7">
        <v>282</v>
      </c>
      <c r="B285" s="37">
        <v>46053.479861111111</v>
      </c>
      <c r="C285" s="2">
        <v>82975.8</v>
      </c>
      <c r="D285" s="42">
        <v>83010.399999999994</v>
      </c>
      <c r="E285" s="42">
        <v>82975.710000000006</v>
      </c>
      <c r="F285" s="2">
        <v>83010.399999999994</v>
      </c>
      <c r="G285" s="1">
        <v>140</v>
      </c>
      <c r="I285" s="37">
        <v>46053.479861111111</v>
      </c>
      <c r="J285" s="36"/>
      <c r="L285" s="2"/>
      <c r="M285" s="2"/>
      <c r="O285" s="37">
        <v>46053.479861111111</v>
      </c>
      <c r="P285" s="36"/>
      <c r="R285" s="2"/>
      <c r="S285" s="2"/>
    </row>
    <row r="286" spans="1:19" x14ac:dyDescent="0.35">
      <c r="A286" s="7">
        <v>283</v>
      </c>
      <c r="B286" s="37">
        <v>46053.480555555558</v>
      </c>
      <c r="C286" s="2">
        <v>83010.399999999994</v>
      </c>
      <c r="D286" s="42">
        <v>83022.25</v>
      </c>
      <c r="E286" s="42">
        <v>82967.259999999995</v>
      </c>
      <c r="F286" s="2">
        <v>82986.84</v>
      </c>
      <c r="G286" s="1">
        <v>159</v>
      </c>
      <c r="I286" s="37">
        <v>46053.480555555558</v>
      </c>
      <c r="J286" s="36"/>
      <c r="L286" s="2"/>
      <c r="M286" s="2"/>
      <c r="O286" s="37">
        <v>46053.480555555558</v>
      </c>
      <c r="P286" s="36"/>
      <c r="R286" s="2"/>
      <c r="S286" s="2"/>
    </row>
    <row r="287" spans="1:19" x14ac:dyDescent="0.35">
      <c r="A287" s="7">
        <v>284</v>
      </c>
      <c r="B287" s="37">
        <v>46053.481249999997</v>
      </c>
      <c r="C287" s="2">
        <v>82986.83</v>
      </c>
      <c r="D287" s="42">
        <v>82996.850000000006</v>
      </c>
      <c r="E287" s="42">
        <v>82986.83</v>
      </c>
      <c r="F287" s="2">
        <v>82990.69</v>
      </c>
      <c r="G287" s="1">
        <v>60</v>
      </c>
      <c r="I287" s="37">
        <v>46053.481249999997</v>
      </c>
      <c r="J287" s="36"/>
      <c r="L287" s="2"/>
      <c r="M287" s="2"/>
      <c r="O287" s="37">
        <v>46053.481249999997</v>
      </c>
      <c r="P287" s="36"/>
      <c r="R287" s="2"/>
      <c r="S287" s="2"/>
    </row>
    <row r="288" spans="1:19" x14ac:dyDescent="0.35">
      <c r="A288" s="7">
        <v>285</v>
      </c>
      <c r="B288" s="37">
        <v>46053.481944444444</v>
      </c>
      <c r="C288" s="2">
        <v>82986.91</v>
      </c>
      <c r="D288" s="42">
        <v>82989.84</v>
      </c>
      <c r="E288" s="42">
        <v>82970.5</v>
      </c>
      <c r="F288" s="2">
        <v>82988.52</v>
      </c>
      <c r="G288" s="1">
        <v>131</v>
      </c>
      <c r="I288" s="37">
        <v>46053.481944444444</v>
      </c>
      <c r="J288" s="36"/>
      <c r="L288" s="2"/>
      <c r="M288" s="2"/>
      <c r="O288" s="37">
        <v>46053.481944444444</v>
      </c>
      <c r="P288" s="36"/>
      <c r="R288" s="2"/>
      <c r="S288" s="2"/>
    </row>
    <row r="289" spans="1:19" x14ac:dyDescent="0.35">
      <c r="A289" s="7">
        <v>286</v>
      </c>
      <c r="B289" s="37">
        <v>46053.482638888891</v>
      </c>
      <c r="C289" s="2">
        <v>82987.8</v>
      </c>
      <c r="D289" s="42">
        <v>83001.399999999994</v>
      </c>
      <c r="E289" s="42">
        <v>82987.62</v>
      </c>
      <c r="F289" s="2">
        <v>83001.31</v>
      </c>
      <c r="G289" s="1">
        <v>100</v>
      </c>
      <c r="I289" s="37">
        <v>46053.482638888891</v>
      </c>
      <c r="J289" s="36"/>
      <c r="L289" s="2"/>
      <c r="M289" s="2"/>
      <c r="O289" s="37">
        <v>46053.482638888891</v>
      </c>
      <c r="P289" s="36"/>
      <c r="R289" s="2"/>
      <c r="S289" s="2"/>
    </row>
    <row r="290" spans="1:19" x14ac:dyDescent="0.35">
      <c r="A290" s="7">
        <v>287</v>
      </c>
      <c r="B290" s="37">
        <v>46053.48333333333</v>
      </c>
      <c r="C290" s="2">
        <v>83001.31</v>
      </c>
      <c r="D290" s="42">
        <v>83001.399999999994</v>
      </c>
      <c r="E290" s="42">
        <v>82983.58</v>
      </c>
      <c r="F290" s="2">
        <v>82991.570000000007</v>
      </c>
      <c r="G290" s="1">
        <v>151</v>
      </c>
      <c r="I290" s="37">
        <v>46053.48333333333</v>
      </c>
      <c r="J290" s="36"/>
      <c r="L290" s="2"/>
      <c r="M290" s="2"/>
      <c r="O290" s="37">
        <v>46053.48333333333</v>
      </c>
      <c r="P290" s="36"/>
      <c r="R290" s="2"/>
      <c r="S290" s="2"/>
    </row>
    <row r="291" spans="1:19" x14ac:dyDescent="0.35">
      <c r="A291" s="7">
        <v>288</v>
      </c>
      <c r="B291" s="37">
        <v>46053.484027777777</v>
      </c>
      <c r="C291" s="2">
        <v>82991.55</v>
      </c>
      <c r="D291" s="42">
        <v>82991.55</v>
      </c>
      <c r="E291" s="42">
        <v>82972.75</v>
      </c>
      <c r="F291" s="2">
        <v>82977.52</v>
      </c>
      <c r="G291" s="1">
        <v>109</v>
      </c>
      <c r="I291" s="37">
        <v>46053.484027777777</v>
      </c>
      <c r="J291" s="36"/>
      <c r="L291" s="2"/>
      <c r="M291" s="2"/>
      <c r="O291" s="37">
        <v>46053.484027777777</v>
      </c>
      <c r="P291" s="36"/>
      <c r="R291" s="2"/>
      <c r="S291" s="2"/>
    </row>
    <row r="292" spans="1:19" x14ac:dyDescent="0.35">
      <c r="A292" s="7">
        <v>289</v>
      </c>
      <c r="B292" s="37">
        <v>46053.484722222223</v>
      </c>
      <c r="C292" s="2">
        <v>82977.509999999995</v>
      </c>
      <c r="D292" s="42">
        <v>83022.2</v>
      </c>
      <c r="E292" s="42">
        <v>82976.539999999994</v>
      </c>
      <c r="F292" s="2">
        <v>82990.350000000006</v>
      </c>
      <c r="G292" s="1">
        <v>143</v>
      </c>
      <c r="I292" s="37">
        <v>46053.484722222223</v>
      </c>
      <c r="J292" s="36"/>
      <c r="L292" s="2"/>
      <c r="M292" s="2"/>
      <c r="O292" s="37">
        <v>46053.484722222223</v>
      </c>
      <c r="P292" s="36"/>
      <c r="R292" s="2"/>
      <c r="S292" s="2"/>
    </row>
    <row r="293" spans="1:19" x14ac:dyDescent="0.35">
      <c r="A293" s="7">
        <v>290</v>
      </c>
      <c r="B293" s="37">
        <v>46053.48541666667</v>
      </c>
      <c r="C293" s="2">
        <v>82990.350000000006</v>
      </c>
      <c r="D293" s="42">
        <v>82998.89</v>
      </c>
      <c r="E293" s="42">
        <v>82970.5</v>
      </c>
      <c r="F293" s="2">
        <v>82973.73</v>
      </c>
      <c r="G293" s="1">
        <v>138</v>
      </c>
      <c r="I293" s="37">
        <v>46053.48541666667</v>
      </c>
      <c r="J293" s="36"/>
      <c r="L293" s="2"/>
      <c r="M293" s="2"/>
      <c r="O293" s="37">
        <v>46053.48541666667</v>
      </c>
      <c r="P293" s="36"/>
      <c r="R293" s="2"/>
      <c r="S293" s="2"/>
    </row>
    <row r="294" spans="1:19" x14ac:dyDescent="0.35">
      <c r="A294" s="7">
        <v>291</v>
      </c>
      <c r="B294" s="37">
        <v>46053.486111111109</v>
      </c>
      <c r="C294" s="2">
        <v>82973.679999999993</v>
      </c>
      <c r="D294" s="42">
        <v>82989.84</v>
      </c>
      <c r="E294" s="42">
        <v>82970.5</v>
      </c>
      <c r="F294" s="2">
        <v>82970.5</v>
      </c>
      <c r="G294" s="1">
        <v>93</v>
      </c>
      <c r="I294" s="37">
        <v>46053.486111111109</v>
      </c>
      <c r="J294" s="36"/>
      <c r="L294" s="2"/>
      <c r="M294" s="2"/>
      <c r="O294" s="37">
        <v>46053.486111111109</v>
      </c>
      <c r="P294" s="36"/>
      <c r="R294" s="2"/>
      <c r="S294" s="2"/>
    </row>
    <row r="295" spans="1:19" x14ac:dyDescent="0.35">
      <c r="A295" s="7">
        <v>292</v>
      </c>
      <c r="B295" s="37">
        <v>46053.486805555556</v>
      </c>
      <c r="C295" s="2">
        <v>82970.490000000005</v>
      </c>
      <c r="D295" s="42">
        <v>82985.600000000006</v>
      </c>
      <c r="E295" s="42">
        <v>82947.600000000006</v>
      </c>
      <c r="F295" s="2">
        <v>82973.59</v>
      </c>
      <c r="G295" s="1">
        <v>170</v>
      </c>
      <c r="I295" s="37">
        <v>46053.486805555556</v>
      </c>
      <c r="J295" s="36"/>
      <c r="L295" s="2"/>
      <c r="M295" s="2"/>
      <c r="O295" s="37">
        <v>46053.486805555556</v>
      </c>
      <c r="P295" s="36"/>
      <c r="R295" s="2"/>
      <c r="S295" s="2"/>
    </row>
    <row r="296" spans="1:19" x14ac:dyDescent="0.35">
      <c r="A296" s="7">
        <v>293</v>
      </c>
      <c r="B296" s="37">
        <v>46053.487500000003</v>
      </c>
      <c r="C296" s="2">
        <v>82973.149999999994</v>
      </c>
      <c r="D296" s="42">
        <v>82998.720000000001</v>
      </c>
      <c r="E296" s="42">
        <v>82972.58</v>
      </c>
      <c r="F296" s="2">
        <v>82979.31</v>
      </c>
      <c r="G296" s="1">
        <v>162</v>
      </c>
      <c r="I296" s="37">
        <v>46053.487500000003</v>
      </c>
      <c r="J296" s="36"/>
      <c r="L296" s="2"/>
      <c r="M296" s="2"/>
      <c r="O296" s="37">
        <v>46053.487500000003</v>
      </c>
      <c r="P296" s="36"/>
      <c r="R296" s="2"/>
      <c r="S296" s="2"/>
    </row>
    <row r="297" spans="1:19" x14ac:dyDescent="0.35">
      <c r="A297" s="7">
        <v>294</v>
      </c>
      <c r="B297" s="37">
        <v>46053.488194444442</v>
      </c>
      <c r="C297" s="2">
        <v>82979.3</v>
      </c>
      <c r="D297" s="42">
        <v>82979.3</v>
      </c>
      <c r="E297" s="42">
        <v>82959.17</v>
      </c>
      <c r="F297" s="2">
        <v>82970.61</v>
      </c>
      <c r="G297" s="1">
        <v>85</v>
      </c>
      <c r="I297" s="37">
        <v>46053.488194444442</v>
      </c>
      <c r="J297" s="36"/>
      <c r="L297" s="2"/>
      <c r="M297" s="2"/>
      <c r="O297" s="37">
        <v>46053.488194444442</v>
      </c>
      <c r="P297" s="36"/>
      <c r="R297" s="2"/>
      <c r="S297" s="2"/>
    </row>
    <row r="298" spans="1:19" x14ac:dyDescent="0.35">
      <c r="A298" s="7">
        <v>295</v>
      </c>
      <c r="B298" s="37">
        <v>46053.488888888889</v>
      </c>
      <c r="C298" s="2">
        <v>82970.61</v>
      </c>
      <c r="D298" s="42">
        <v>82970.820000000007</v>
      </c>
      <c r="E298" s="42">
        <v>82918.09</v>
      </c>
      <c r="F298" s="2">
        <v>82933.259999999995</v>
      </c>
      <c r="G298" s="1">
        <v>144</v>
      </c>
      <c r="I298" s="37">
        <v>46053.488888888889</v>
      </c>
      <c r="J298" s="36"/>
      <c r="L298" s="2"/>
      <c r="M298" s="2"/>
      <c r="O298" s="37">
        <v>46053.488888888889</v>
      </c>
      <c r="P298" s="36"/>
      <c r="R298" s="2"/>
      <c r="S298" s="2"/>
    </row>
    <row r="299" spans="1:19" x14ac:dyDescent="0.35">
      <c r="A299" s="7">
        <v>296</v>
      </c>
      <c r="B299" s="37">
        <v>46053.489583333336</v>
      </c>
      <c r="C299" s="2">
        <v>82933.3</v>
      </c>
      <c r="D299" s="42">
        <v>82961.03</v>
      </c>
      <c r="E299" s="42">
        <v>82933.3</v>
      </c>
      <c r="F299" s="2">
        <v>82947.25</v>
      </c>
      <c r="G299" s="1">
        <v>118</v>
      </c>
      <c r="I299" s="37">
        <v>46053.489583333336</v>
      </c>
      <c r="J299" s="36"/>
      <c r="L299" s="2"/>
      <c r="M299" s="2"/>
      <c r="O299" s="37">
        <v>46053.489583333336</v>
      </c>
      <c r="P299" s="36"/>
      <c r="R299" s="2"/>
      <c r="S299" s="2"/>
    </row>
    <row r="300" spans="1:19" x14ac:dyDescent="0.35">
      <c r="A300" s="7">
        <v>297</v>
      </c>
      <c r="B300" s="37">
        <v>46053.490277777775</v>
      </c>
      <c r="C300" s="2">
        <v>82947.210000000006</v>
      </c>
      <c r="D300" s="42">
        <v>82954.100000000006</v>
      </c>
      <c r="E300" s="42">
        <v>82911.179999999993</v>
      </c>
      <c r="F300" s="2">
        <v>82915.17</v>
      </c>
      <c r="G300" s="1">
        <v>130</v>
      </c>
      <c r="I300" s="37">
        <v>46053.490277777775</v>
      </c>
      <c r="J300" s="36"/>
      <c r="L300" s="2"/>
      <c r="M300" s="2"/>
      <c r="O300" s="37">
        <v>46053.490277777775</v>
      </c>
      <c r="P300" s="36"/>
      <c r="R300" s="2"/>
      <c r="S300" s="2"/>
    </row>
    <row r="301" spans="1:19" x14ac:dyDescent="0.35">
      <c r="A301" s="7">
        <v>298</v>
      </c>
      <c r="B301" s="37">
        <v>46053.490972222222</v>
      </c>
      <c r="C301" s="2">
        <v>82915.19</v>
      </c>
      <c r="D301" s="42">
        <v>82945.899999999994</v>
      </c>
      <c r="E301" s="42">
        <v>82915.19</v>
      </c>
      <c r="F301" s="2">
        <v>82936.11</v>
      </c>
      <c r="G301" s="1">
        <v>83</v>
      </c>
      <c r="I301" s="37">
        <v>46053.490972222222</v>
      </c>
      <c r="J301" s="36"/>
      <c r="L301" s="2"/>
      <c r="M301" s="2"/>
      <c r="O301" s="37">
        <v>46053.490972222222</v>
      </c>
      <c r="P301" s="36"/>
      <c r="R301" s="2"/>
      <c r="S301" s="2"/>
    </row>
    <row r="302" spans="1:19" x14ac:dyDescent="0.35">
      <c r="A302" s="7">
        <v>299</v>
      </c>
      <c r="B302" s="37">
        <v>46053.491666666669</v>
      </c>
      <c r="C302" s="2">
        <v>82936.210000000006</v>
      </c>
      <c r="D302" s="42">
        <v>82962.899999999994</v>
      </c>
      <c r="E302" s="42">
        <v>82922.97</v>
      </c>
      <c r="F302" s="2">
        <v>82922.97</v>
      </c>
      <c r="G302" s="1">
        <v>115</v>
      </c>
      <c r="I302" s="37">
        <v>46053.491666666669</v>
      </c>
      <c r="J302" s="36"/>
      <c r="L302" s="2"/>
      <c r="M302" s="2"/>
      <c r="O302" s="37">
        <v>46053.491666666669</v>
      </c>
      <c r="P302" s="36"/>
      <c r="R302" s="2"/>
      <c r="S302" s="2"/>
    </row>
    <row r="303" spans="1:19" x14ac:dyDescent="0.35">
      <c r="A303" s="7">
        <v>300</v>
      </c>
      <c r="B303" s="37">
        <v>46053.492361111108</v>
      </c>
      <c r="C303" s="2">
        <v>82922.97</v>
      </c>
      <c r="D303" s="42">
        <v>82963.5</v>
      </c>
      <c r="E303" s="42">
        <v>82922.97</v>
      </c>
      <c r="F303" s="2">
        <v>82957.63</v>
      </c>
      <c r="G303" s="1">
        <v>109</v>
      </c>
      <c r="I303" s="37">
        <v>46053.492361111108</v>
      </c>
      <c r="J303" s="36"/>
      <c r="L303" s="2"/>
      <c r="M303" s="2"/>
      <c r="O303" s="37">
        <v>46053.492361111108</v>
      </c>
      <c r="P303" s="36"/>
      <c r="R303" s="2"/>
      <c r="S303" s="2"/>
    </row>
    <row r="304" spans="1:19" x14ac:dyDescent="0.35">
      <c r="A304" s="7">
        <v>301</v>
      </c>
      <c r="B304" s="37">
        <v>46053.493055555555</v>
      </c>
      <c r="C304" s="2">
        <v>82957.63</v>
      </c>
      <c r="D304" s="42">
        <v>82972.160000000003</v>
      </c>
      <c r="E304" s="42">
        <v>82947.210000000006</v>
      </c>
      <c r="F304" s="2">
        <v>82972.12</v>
      </c>
      <c r="G304" s="1">
        <v>135</v>
      </c>
      <c r="I304" s="37">
        <v>46053.493055555555</v>
      </c>
      <c r="J304" s="36"/>
      <c r="L304" s="2"/>
      <c r="M304" s="2"/>
      <c r="O304" s="37">
        <v>46053.493055555555</v>
      </c>
      <c r="P304" s="36"/>
      <c r="R304" s="2"/>
      <c r="S304" s="2"/>
    </row>
    <row r="305" spans="1:19" x14ac:dyDescent="0.35">
      <c r="A305" s="7">
        <v>302</v>
      </c>
      <c r="B305" s="37">
        <v>46053.493750000001</v>
      </c>
      <c r="C305" s="2">
        <v>82972.12</v>
      </c>
      <c r="D305" s="42">
        <v>82973.72</v>
      </c>
      <c r="E305" s="42">
        <v>82889.95</v>
      </c>
      <c r="F305" s="2">
        <v>82909.06</v>
      </c>
      <c r="G305" s="1">
        <v>140</v>
      </c>
      <c r="I305" s="37">
        <v>46053.493750000001</v>
      </c>
      <c r="J305" s="36"/>
      <c r="L305" s="2"/>
      <c r="M305" s="2"/>
      <c r="O305" s="37">
        <v>46053.493750000001</v>
      </c>
      <c r="P305" s="36"/>
      <c r="R305" s="2"/>
      <c r="S305" s="2"/>
    </row>
    <row r="306" spans="1:19" x14ac:dyDescent="0.35">
      <c r="A306" s="7">
        <v>303</v>
      </c>
      <c r="B306" s="37">
        <v>46053.494444444441</v>
      </c>
      <c r="C306" s="2">
        <v>82908.61</v>
      </c>
      <c r="D306" s="42">
        <v>82909.3</v>
      </c>
      <c r="E306" s="42">
        <v>82803.88</v>
      </c>
      <c r="F306" s="2">
        <v>82835.53</v>
      </c>
      <c r="G306" s="1">
        <v>186</v>
      </c>
      <c r="I306" s="37">
        <v>46053.494444444441</v>
      </c>
      <c r="J306" s="36"/>
      <c r="L306" s="2"/>
      <c r="M306" s="2"/>
      <c r="O306" s="37">
        <v>46053.494444444441</v>
      </c>
      <c r="P306" s="36"/>
      <c r="R306" s="2"/>
      <c r="S306" s="2"/>
    </row>
    <row r="307" spans="1:19" x14ac:dyDescent="0.35">
      <c r="A307" s="7">
        <v>304</v>
      </c>
      <c r="B307" s="37">
        <v>46053.495138888888</v>
      </c>
      <c r="C307" s="2">
        <v>82835.55</v>
      </c>
      <c r="D307" s="42">
        <v>82899.3</v>
      </c>
      <c r="E307" s="42">
        <v>82835.039999999994</v>
      </c>
      <c r="F307" s="2">
        <v>82886.39</v>
      </c>
      <c r="G307" s="1">
        <v>158</v>
      </c>
      <c r="I307" s="37">
        <v>46053.495138888888</v>
      </c>
      <c r="J307" s="36"/>
      <c r="L307" s="2"/>
      <c r="M307" s="2"/>
      <c r="O307" s="37">
        <v>46053.495138888888</v>
      </c>
      <c r="P307" s="36"/>
      <c r="R307" s="2"/>
      <c r="S307" s="2"/>
    </row>
    <row r="308" spans="1:19" x14ac:dyDescent="0.35">
      <c r="A308" s="7">
        <v>305</v>
      </c>
      <c r="B308" s="37">
        <v>46053.495833333334</v>
      </c>
      <c r="C308" s="2">
        <v>82886.399999999994</v>
      </c>
      <c r="D308" s="42">
        <v>82946.100000000006</v>
      </c>
      <c r="E308" s="42">
        <v>82886.399999999994</v>
      </c>
      <c r="F308" s="2">
        <v>82920.53</v>
      </c>
      <c r="G308" s="1">
        <v>145</v>
      </c>
      <c r="I308" s="37">
        <v>46053.495833333334</v>
      </c>
      <c r="J308" s="36"/>
      <c r="L308" s="2"/>
      <c r="M308" s="2"/>
      <c r="O308" s="37">
        <v>46053.495833333334</v>
      </c>
      <c r="P308" s="36"/>
      <c r="R308" s="2"/>
      <c r="S308" s="2"/>
    </row>
    <row r="309" spans="1:19" x14ac:dyDescent="0.35">
      <c r="A309" s="7">
        <v>306</v>
      </c>
      <c r="B309" s="37">
        <v>46053.496527777781</v>
      </c>
      <c r="C309" s="2">
        <v>82920.600000000006</v>
      </c>
      <c r="D309" s="42">
        <v>82940.399999999994</v>
      </c>
      <c r="E309" s="42">
        <v>82908.25</v>
      </c>
      <c r="F309" s="2">
        <v>82928.600000000006</v>
      </c>
      <c r="G309" s="1">
        <v>139</v>
      </c>
      <c r="I309" s="37">
        <v>46053.496527777781</v>
      </c>
      <c r="J309" s="36"/>
      <c r="L309" s="2"/>
      <c r="M309" s="2"/>
      <c r="O309" s="37">
        <v>46053.496527777781</v>
      </c>
      <c r="P309" s="36"/>
      <c r="R309" s="2"/>
      <c r="S309" s="2"/>
    </row>
    <row r="310" spans="1:19" x14ac:dyDescent="0.35">
      <c r="A310" s="7">
        <v>307</v>
      </c>
      <c r="B310" s="37">
        <v>46053.49722222222</v>
      </c>
      <c r="C310" s="2">
        <v>82939.62</v>
      </c>
      <c r="D310" s="42">
        <v>82962.11</v>
      </c>
      <c r="E310" s="42">
        <v>82939.62</v>
      </c>
      <c r="F310" s="2">
        <v>82945.55</v>
      </c>
      <c r="G310" s="1">
        <v>109</v>
      </c>
      <c r="I310" s="37">
        <v>46053.49722222222</v>
      </c>
      <c r="J310" s="36"/>
      <c r="L310" s="2"/>
      <c r="M310" s="2"/>
      <c r="O310" s="37">
        <v>46053.49722222222</v>
      </c>
      <c r="P310" s="36"/>
      <c r="R310" s="2"/>
      <c r="S310" s="2"/>
    </row>
    <row r="311" spans="1:19" x14ac:dyDescent="0.35">
      <c r="A311" s="7">
        <v>308</v>
      </c>
      <c r="B311" s="37">
        <v>46053.497916666667</v>
      </c>
      <c r="C311" s="2">
        <v>82945.56</v>
      </c>
      <c r="D311" s="42">
        <v>82975.3</v>
      </c>
      <c r="E311" s="42">
        <v>82939.520000000004</v>
      </c>
      <c r="F311" s="2">
        <v>82953.350000000006</v>
      </c>
      <c r="G311" s="1">
        <v>118</v>
      </c>
      <c r="I311" s="37">
        <v>46053.497916666667</v>
      </c>
      <c r="J311" s="36"/>
      <c r="L311" s="2"/>
      <c r="M311" s="2"/>
      <c r="O311" s="37">
        <v>46053.497916666667</v>
      </c>
      <c r="P311" s="36"/>
      <c r="R311" s="2"/>
      <c r="S311" s="2"/>
    </row>
    <row r="312" spans="1:19" x14ac:dyDescent="0.35">
      <c r="A312" s="7">
        <v>309</v>
      </c>
      <c r="B312" s="37">
        <v>46053.498611111114</v>
      </c>
      <c r="C312" s="2">
        <v>82953.36</v>
      </c>
      <c r="D312" s="42">
        <v>82953.37</v>
      </c>
      <c r="E312" s="42">
        <v>82900.759999999995</v>
      </c>
      <c r="F312" s="2">
        <v>82905.98</v>
      </c>
      <c r="G312" s="1">
        <v>138</v>
      </c>
      <c r="I312" s="37">
        <v>46053.498611111114</v>
      </c>
      <c r="J312" s="36"/>
      <c r="L312" s="2"/>
      <c r="M312" s="2"/>
      <c r="O312" s="37">
        <v>46053.498611111114</v>
      </c>
      <c r="P312" s="36"/>
      <c r="R312" s="2"/>
      <c r="S312" s="2"/>
    </row>
    <row r="313" spans="1:19" x14ac:dyDescent="0.35">
      <c r="A313" s="7">
        <v>310</v>
      </c>
      <c r="B313" s="37">
        <v>46053.499305555553</v>
      </c>
      <c r="C313" s="2">
        <v>82905.69</v>
      </c>
      <c r="D313" s="42">
        <v>82973.649999999994</v>
      </c>
      <c r="E313" s="42">
        <v>82905.69</v>
      </c>
      <c r="F313" s="2">
        <v>82973.320000000007</v>
      </c>
      <c r="G313" s="1">
        <v>136</v>
      </c>
      <c r="I313" s="37">
        <v>46053.499305555553</v>
      </c>
      <c r="J313" s="36"/>
      <c r="L313" s="2"/>
      <c r="M313" s="2"/>
      <c r="O313" s="37">
        <v>46053.499305555553</v>
      </c>
      <c r="P313" s="36"/>
      <c r="R313" s="2"/>
      <c r="S313" s="2"/>
    </row>
    <row r="314" spans="1:19" x14ac:dyDescent="0.35">
      <c r="A314" s="7">
        <v>311</v>
      </c>
      <c r="B314" s="37">
        <v>46053.5</v>
      </c>
      <c r="C314" s="2">
        <v>82965.52</v>
      </c>
      <c r="D314" s="42">
        <v>82971.539999999994</v>
      </c>
      <c r="E314" s="42">
        <v>82953.289999999994</v>
      </c>
      <c r="F314" s="2">
        <v>82970.13</v>
      </c>
      <c r="G314" s="1">
        <v>155</v>
      </c>
      <c r="I314" s="37">
        <v>46053.5</v>
      </c>
      <c r="J314" s="36"/>
      <c r="L314" s="2"/>
      <c r="M314" s="2"/>
      <c r="O314" s="37">
        <v>46053.5</v>
      </c>
      <c r="P314" s="36"/>
      <c r="R314" s="2"/>
      <c r="S314" s="2"/>
    </row>
    <row r="315" spans="1:19" x14ac:dyDescent="0.35">
      <c r="A315" s="7">
        <v>312</v>
      </c>
      <c r="B315" s="37">
        <v>46053.500694444447</v>
      </c>
      <c r="C315" s="2">
        <v>82970.210000000006</v>
      </c>
      <c r="D315" s="42">
        <v>82989.42</v>
      </c>
      <c r="E315" s="42">
        <v>82950.759999999995</v>
      </c>
      <c r="F315" s="2">
        <v>82953.600000000006</v>
      </c>
      <c r="G315" s="1">
        <v>110</v>
      </c>
      <c r="I315" s="37">
        <v>46053.500694444447</v>
      </c>
      <c r="J315" s="36"/>
      <c r="L315" s="2"/>
      <c r="M315" s="2"/>
      <c r="O315" s="37">
        <v>46053.500694444447</v>
      </c>
      <c r="P315" s="36"/>
      <c r="R315" s="2"/>
      <c r="S315" s="2"/>
    </row>
    <row r="316" spans="1:19" x14ac:dyDescent="0.35">
      <c r="A316" s="7">
        <v>313</v>
      </c>
      <c r="B316" s="37">
        <v>46053.501388888886</v>
      </c>
      <c r="C316" s="2">
        <v>82953.63</v>
      </c>
      <c r="D316" s="42">
        <v>82982.320000000007</v>
      </c>
      <c r="E316" s="42">
        <v>82940.759999999995</v>
      </c>
      <c r="F316" s="2">
        <v>82956.33</v>
      </c>
      <c r="G316" s="1">
        <v>144</v>
      </c>
      <c r="I316" s="37">
        <v>46053.501388888886</v>
      </c>
      <c r="J316" s="36"/>
      <c r="L316" s="2"/>
      <c r="M316" s="2"/>
      <c r="O316" s="37">
        <v>46053.501388888886</v>
      </c>
      <c r="P316" s="36"/>
      <c r="R316" s="2"/>
      <c r="S316" s="2"/>
    </row>
    <row r="317" spans="1:19" x14ac:dyDescent="0.35">
      <c r="A317" s="7">
        <v>314</v>
      </c>
      <c r="B317" s="37">
        <v>46053.502083333333</v>
      </c>
      <c r="C317" s="2">
        <v>82956.23</v>
      </c>
      <c r="D317" s="42">
        <v>82970.320000000007</v>
      </c>
      <c r="E317" s="42">
        <v>82948.17</v>
      </c>
      <c r="F317" s="2">
        <v>82960.55</v>
      </c>
      <c r="G317" s="1">
        <v>132</v>
      </c>
      <c r="I317" s="37">
        <v>46053.502083333333</v>
      </c>
      <c r="J317" s="36"/>
      <c r="L317" s="2"/>
      <c r="M317" s="2"/>
      <c r="O317" s="37">
        <v>46053.502083333333</v>
      </c>
      <c r="P317" s="36"/>
      <c r="R317" s="2"/>
      <c r="S317" s="2"/>
    </row>
    <row r="318" spans="1:19" x14ac:dyDescent="0.35">
      <c r="A318" s="7">
        <v>315</v>
      </c>
      <c r="B318" s="37">
        <v>46053.50277777778</v>
      </c>
      <c r="C318" s="2">
        <v>82960.56</v>
      </c>
      <c r="D318" s="42">
        <v>82966.2</v>
      </c>
      <c r="E318" s="42">
        <v>82947.97</v>
      </c>
      <c r="F318" s="2">
        <v>82956.84</v>
      </c>
      <c r="G318" s="1">
        <v>124</v>
      </c>
      <c r="I318" s="37">
        <v>46053.50277777778</v>
      </c>
      <c r="J318" s="36"/>
      <c r="L318" s="2"/>
      <c r="M318" s="2"/>
      <c r="O318" s="37">
        <v>46053.50277777778</v>
      </c>
      <c r="P318" s="36"/>
      <c r="R318" s="2"/>
      <c r="S318" s="2"/>
    </row>
    <row r="319" spans="1:19" x14ac:dyDescent="0.35">
      <c r="A319" s="7">
        <v>316</v>
      </c>
      <c r="B319" s="37">
        <v>46053.503472222219</v>
      </c>
      <c r="C319" s="2">
        <v>82956.84</v>
      </c>
      <c r="D319" s="42">
        <v>82978.47</v>
      </c>
      <c r="E319" s="42">
        <v>82945.679999999993</v>
      </c>
      <c r="F319" s="2">
        <v>82977.7</v>
      </c>
      <c r="G319" s="1">
        <v>126</v>
      </c>
      <c r="I319" s="37">
        <v>46053.503472222219</v>
      </c>
      <c r="J319" s="36"/>
      <c r="L319" s="2"/>
      <c r="M319" s="2"/>
      <c r="O319" s="37">
        <v>46053.503472222219</v>
      </c>
      <c r="P319" s="36"/>
      <c r="R319" s="2"/>
      <c r="S319" s="2"/>
    </row>
    <row r="320" spans="1:19" x14ac:dyDescent="0.35">
      <c r="A320" s="7">
        <v>317</v>
      </c>
      <c r="B320" s="37">
        <v>46053.504166666666</v>
      </c>
      <c r="C320" s="2">
        <v>82978.55</v>
      </c>
      <c r="D320" s="42">
        <v>83006.720000000001</v>
      </c>
      <c r="E320" s="42">
        <v>82978.55</v>
      </c>
      <c r="F320" s="2">
        <v>83006.720000000001</v>
      </c>
      <c r="G320" s="1">
        <v>144</v>
      </c>
      <c r="I320" s="37">
        <v>46053.504166666666</v>
      </c>
      <c r="J320" s="36"/>
      <c r="L320" s="2"/>
      <c r="M320" s="2"/>
      <c r="O320" s="37">
        <v>46053.504166666666</v>
      </c>
      <c r="P320" s="36"/>
      <c r="R320" s="2"/>
      <c r="S320" s="2"/>
    </row>
    <row r="321" spans="1:19" x14ac:dyDescent="0.35">
      <c r="A321" s="7">
        <v>318</v>
      </c>
      <c r="B321" s="37">
        <v>46053.509722222225</v>
      </c>
      <c r="C321" s="2">
        <v>82801.38</v>
      </c>
      <c r="D321" s="42">
        <v>82805.509999999995</v>
      </c>
      <c r="E321" s="42">
        <v>82797.5</v>
      </c>
      <c r="F321" s="2">
        <v>82797.53</v>
      </c>
      <c r="G321" s="1">
        <v>33</v>
      </c>
      <c r="I321" s="37">
        <v>46053.509722222225</v>
      </c>
      <c r="J321" s="36"/>
      <c r="L321" s="2"/>
      <c r="M321" s="2"/>
      <c r="O321" s="37">
        <v>46053.509722222225</v>
      </c>
      <c r="P321" s="36"/>
      <c r="R321" s="2"/>
      <c r="S321" s="2"/>
    </row>
    <row r="322" spans="1:19" x14ac:dyDescent="0.35">
      <c r="A322" s="7">
        <v>319</v>
      </c>
      <c r="B322" s="37">
        <v>46053.510416666664</v>
      </c>
      <c r="C322" s="2">
        <v>82797.62</v>
      </c>
      <c r="D322" s="42">
        <v>82825.53</v>
      </c>
      <c r="E322" s="42">
        <v>82797.53</v>
      </c>
      <c r="F322" s="2">
        <v>82811.5</v>
      </c>
      <c r="G322" s="1">
        <v>128</v>
      </c>
      <c r="I322" s="37">
        <v>46053.510416666664</v>
      </c>
      <c r="J322" s="36"/>
      <c r="L322" s="2"/>
      <c r="M322" s="2"/>
      <c r="O322" s="37">
        <v>46053.510416666664</v>
      </c>
      <c r="P322" s="36"/>
      <c r="R322" s="2"/>
      <c r="S322" s="2"/>
    </row>
    <row r="323" spans="1:19" x14ac:dyDescent="0.35">
      <c r="A323" s="7">
        <v>320</v>
      </c>
      <c r="B323" s="37">
        <v>46053.511111111111</v>
      </c>
      <c r="C323" s="2">
        <v>82815.5</v>
      </c>
      <c r="D323" s="42">
        <v>82911.77</v>
      </c>
      <c r="E323" s="42">
        <v>82815.5</v>
      </c>
      <c r="F323" s="2">
        <v>82910.86</v>
      </c>
      <c r="G323" s="1">
        <v>175</v>
      </c>
      <c r="I323" s="37">
        <v>46053.511111111111</v>
      </c>
      <c r="J323" s="36"/>
      <c r="L323" s="2"/>
      <c r="M323" s="2"/>
      <c r="O323" s="37">
        <v>46053.511111111111</v>
      </c>
      <c r="P323" s="36"/>
      <c r="R323" s="2"/>
      <c r="S323" s="2"/>
    </row>
    <row r="324" spans="1:19" x14ac:dyDescent="0.35">
      <c r="A324" s="7">
        <v>321</v>
      </c>
      <c r="B324" s="37">
        <v>46053.511805555558</v>
      </c>
      <c r="C324" s="2">
        <v>82910.850000000006</v>
      </c>
      <c r="D324" s="42">
        <v>82921.5</v>
      </c>
      <c r="E324" s="42">
        <v>82881.06</v>
      </c>
      <c r="F324" s="2">
        <v>82921.45</v>
      </c>
      <c r="G324" s="1">
        <v>193</v>
      </c>
      <c r="I324" s="37">
        <v>46053.511805555558</v>
      </c>
      <c r="J324" s="36"/>
      <c r="L324" s="2"/>
      <c r="M324" s="2"/>
      <c r="O324" s="37">
        <v>46053.511805555558</v>
      </c>
      <c r="P324" s="36"/>
      <c r="R324" s="2"/>
      <c r="S324" s="2"/>
    </row>
    <row r="325" spans="1:19" x14ac:dyDescent="0.35">
      <c r="A325" s="7">
        <v>322</v>
      </c>
      <c r="B325" s="37">
        <v>46053.512499999997</v>
      </c>
      <c r="C325" s="2">
        <v>82921.45</v>
      </c>
      <c r="D325" s="42">
        <v>82921.87</v>
      </c>
      <c r="E325" s="42">
        <v>82880.240000000005</v>
      </c>
      <c r="F325" s="2">
        <v>82910.62</v>
      </c>
      <c r="G325" s="1">
        <v>154</v>
      </c>
      <c r="I325" s="37">
        <v>46053.512499999997</v>
      </c>
      <c r="J325" s="36"/>
      <c r="L325" s="2"/>
      <c r="M325" s="2"/>
      <c r="O325" s="37">
        <v>46053.512499999997</v>
      </c>
      <c r="P325" s="36"/>
      <c r="R325" s="2"/>
      <c r="S325" s="2"/>
    </row>
    <row r="326" spans="1:19" x14ac:dyDescent="0.35">
      <c r="A326" s="7">
        <v>323</v>
      </c>
      <c r="B326" s="37">
        <v>46053.513194444444</v>
      </c>
      <c r="C326" s="2">
        <v>82910.61</v>
      </c>
      <c r="D326" s="42">
        <v>82973.259999999995</v>
      </c>
      <c r="E326" s="42">
        <v>82887.58</v>
      </c>
      <c r="F326" s="2">
        <v>82965.509999999995</v>
      </c>
      <c r="G326" s="1">
        <v>165</v>
      </c>
      <c r="I326" s="37">
        <v>46053.513194444444</v>
      </c>
      <c r="J326" s="36"/>
      <c r="L326" s="2"/>
      <c r="M326" s="2"/>
      <c r="O326" s="37">
        <v>46053.513194444444</v>
      </c>
      <c r="P326" s="36"/>
      <c r="R326" s="2"/>
      <c r="S326" s="2"/>
    </row>
    <row r="327" spans="1:19" x14ac:dyDescent="0.35">
      <c r="A327" s="7">
        <v>324</v>
      </c>
      <c r="B327" s="37">
        <v>46053.513888888891</v>
      </c>
      <c r="C327" s="2">
        <v>82965.81</v>
      </c>
      <c r="D327" s="42">
        <v>83040.399999999994</v>
      </c>
      <c r="E327" s="42">
        <v>82960.22</v>
      </c>
      <c r="F327" s="2">
        <v>82961.240000000005</v>
      </c>
      <c r="G327" s="1">
        <v>195</v>
      </c>
      <c r="I327" s="37">
        <v>46053.513888888891</v>
      </c>
      <c r="J327" s="36"/>
      <c r="L327" s="2"/>
      <c r="M327" s="2"/>
      <c r="O327" s="37">
        <v>46053.513888888891</v>
      </c>
      <c r="P327" s="36"/>
      <c r="R327" s="2"/>
      <c r="S327" s="2"/>
    </row>
    <row r="328" spans="1:19" x14ac:dyDescent="0.35">
      <c r="A328" s="7">
        <v>325</v>
      </c>
      <c r="B328" s="37">
        <v>46053.51458333333</v>
      </c>
      <c r="C328" s="2">
        <v>82961.19</v>
      </c>
      <c r="D328" s="42">
        <v>82962.2</v>
      </c>
      <c r="E328" s="42">
        <v>82906.009999999995</v>
      </c>
      <c r="F328" s="2">
        <v>82906.5</v>
      </c>
      <c r="G328" s="1">
        <v>156</v>
      </c>
      <c r="I328" s="37">
        <v>46053.51458333333</v>
      </c>
      <c r="J328" s="36"/>
      <c r="L328" s="2"/>
      <c r="M328" s="2"/>
      <c r="O328" s="37">
        <v>46053.51458333333</v>
      </c>
      <c r="P328" s="36"/>
      <c r="R328" s="2"/>
      <c r="S328" s="2"/>
    </row>
    <row r="329" spans="1:19" x14ac:dyDescent="0.35">
      <c r="A329" s="7">
        <v>326</v>
      </c>
      <c r="B329" s="37">
        <v>46053.515277777777</v>
      </c>
      <c r="C329" s="2">
        <v>82906.47</v>
      </c>
      <c r="D329" s="42">
        <v>82921.350000000006</v>
      </c>
      <c r="E329" s="42">
        <v>82887.039999999994</v>
      </c>
      <c r="F329" s="2">
        <v>82921.350000000006</v>
      </c>
      <c r="G329" s="1">
        <v>185</v>
      </c>
      <c r="I329" s="37">
        <v>46053.515277777777</v>
      </c>
      <c r="J329" s="36"/>
      <c r="L329" s="2"/>
      <c r="M329" s="2"/>
      <c r="O329" s="37">
        <v>46053.515277777777</v>
      </c>
      <c r="P329" s="36"/>
      <c r="R329" s="2"/>
      <c r="S329" s="2"/>
    </row>
    <row r="330" spans="1:19" x14ac:dyDescent="0.35">
      <c r="A330" s="7">
        <v>327</v>
      </c>
      <c r="B330" s="37">
        <v>46053.515972222223</v>
      </c>
      <c r="C330" s="2">
        <v>82936.72</v>
      </c>
      <c r="D330" s="42">
        <v>82954.81</v>
      </c>
      <c r="E330" s="42">
        <v>82928.22</v>
      </c>
      <c r="F330" s="2">
        <v>82946.45</v>
      </c>
      <c r="G330" s="1">
        <v>188</v>
      </c>
      <c r="I330" s="37">
        <v>46053.515972222223</v>
      </c>
      <c r="J330" s="36"/>
      <c r="L330" s="2"/>
      <c r="M330" s="2"/>
      <c r="O330" s="37">
        <v>46053.515972222223</v>
      </c>
      <c r="P330" s="36"/>
      <c r="R330" s="2"/>
      <c r="S330" s="2"/>
    </row>
    <row r="331" spans="1:19" x14ac:dyDescent="0.35">
      <c r="A331" s="7">
        <v>328</v>
      </c>
      <c r="B331" s="37">
        <v>46053.51666666667</v>
      </c>
      <c r="C331" s="2">
        <v>82946.42</v>
      </c>
      <c r="D331" s="42">
        <v>82990.399999999994</v>
      </c>
      <c r="E331" s="42">
        <v>82946.42</v>
      </c>
      <c r="F331" s="2">
        <v>82963</v>
      </c>
      <c r="G331" s="1">
        <v>150</v>
      </c>
      <c r="I331" s="37">
        <v>46053.51666666667</v>
      </c>
      <c r="J331" s="36"/>
      <c r="L331" s="2"/>
      <c r="M331" s="2"/>
      <c r="O331" s="37">
        <v>46053.51666666667</v>
      </c>
      <c r="P331" s="36"/>
      <c r="R331" s="2"/>
      <c r="S331" s="2"/>
    </row>
    <row r="332" spans="1:19" x14ac:dyDescent="0.35">
      <c r="A332" s="7">
        <v>329</v>
      </c>
      <c r="B332" s="37">
        <v>46053.517361111109</v>
      </c>
      <c r="C332" s="2">
        <v>82968.800000000003</v>
      </c>
      <c r="D332" s="42">
        <v>82971.48</v>
      </c>
      <c r="E332" s="42">
        <v>82946.89</v>
      </c>
      <c r="F332" s="2">
        <v>82957.2</v>
      </c>
      <c r="G332" s="1">
        <v>101</v>
      </c>
      <c r="I332" s="37">
        <v>46053.517361111109</v>
      </c>
      <c r="J332" s="36"/>
      <c r="L332" s="2"/>
      <c r="M332" s="2"/>
      <c r="O332" s="37">
        <v>46053.517361111109</v>
      </c>
      <c r="P332" s="36"/>
      <c r="R332" s="2"/>
      <c r="S332" s="2"/>
    </row>
    <row r="333" spans="1:19" x14ac:dyDescent="0.35">
      <c r="A333" s="7">
        <v>330</v>
      </c>
      <c r="B333" s="37">
        <v>46053.518055555556</v>
      </c>
      <c r="C333" s="2">
        <v>82957.2</v>
      </c>
      <c r="D333" s="42">
        <v>82977.41</v>
      </c>
      <c r="E333" s="42">
        <v>82956.83</v>
      </c>
      <c r="F333" s="2">
        <v>82957.62</v>
      </c>
      <c r="G333" s="1">
        <v>113</v>
      </c>
      <c r="I333" s="37">
        <v>46053.518055555556</v>
      </c>
      <c r="J333" s="36"/>
      <c r="L333" s="2"/>
      <c r="M333" s="2"/>
      <c r="O333" s="37">
        <v>46053.518055555556</v>
      </c>
      <c r="P333" s="36"/>
      <c r="R333" s="2"/>
      <c r="S333" s="2"/>
    </row>
    <row r="334" spans="1:19" x14ac:dyDescent="0.35">
      <c r="A334" s="7">
        <v>331</v>
      </c>
      <c r="B334" s="37">
        <v>46053.518750000003</v>
      </c>
      <c r="C334" s="2">
        <v>82957.399999999994</v>
      </c>
      <c r="D334" s="42">
        <v>82957.61</v>
      </c>
      <c r="E334" s="42">
        <v>82938.350000000006</v>
      </c>
      <c r="F334" s="2">
        <v>82951.899999999994</v>
      </c>
      <c r="G334" s="1">
        <v>103</v>
      </c>
      <c r="I334" s="37">
        <v>46053.518750000003</v>
      </c>
      <c r="J334" s="36"/>
      <c r="L334" s="2"/>
      <c r="M334" s="2"/>
      <c r="O334" s="37">
        <v>46053.518750000003</v>
      </c>
      <c r="P334" s="36"/>
      <c r="R334" s="2"/>
      <c r="S334" s="2"/>
    </row>
    <row r="335" spans="1:19" x14ac:dyDescent="0.35">
      <c r="A335" s="7">
        <v>332</v>
      </c>
      <c r="B335" s="37">
        <v>46053.519444444442</v>
      </c>
      <c r="C335" s="2">
        <v>82952.7</v>
      </c>
      <c r="D335" s="42">
        <v>82960.77</v>
      </c>
      <c r="E335" s="42">
        <v>82931.05</v>
      </c>
      <c r="F335" s="2">
        <v>82932.61</v>
      </c>
      <c r="G335" s="1">
        <v>149</v>
      </c>
      <c r="I335" s="37">
        <v>46053.519444444442</v>
      </c>
      <c r="J335" s="36"/>
      <c r="L335" s="2"/>
      <c r="M335" s="2"/>
      <c r="O335" s="37">
        <v>46053.519444444442</v>
      </c>
      <c r="P335" s="36"/>
      <c r="R335" s="2"/>
      <c r="S335" s="2"/>
    </row>
    <row r="336" spans="1:19" x14ac:dyDescent="0.35">
      <c r="A336" s="7">
        <v>333</v>
      </c>
      <c r="B336" s="37">
        <v>46053.520138888889</v>
      </c>
      <c r="C336" s="2">
        <v>82932.600000000006</v>
      </c>
      <c r="D336" s="42">
        <v>82951.649999999994</v>
      </c>
      <c r="E336" s="42">
        <v>82926.720000000001</v>
      </c>
      <c r="F336" s="2">
        <v>82947.61</v>
      </c>
      <c r="G336" s="1">
        <v>133</v>
      </c>
      <c r="I336" s="37">
        <v>46053.520138888889</v>
      </c>
      <c r="J336" s="36"/>
      <c r="L336" s="2"/>
      <c r="M336" s="2"/>
      <c r="O336" s="37">
        <v>46053.520138888889</v>
      </c>
      <c r="P336" s="36"/>
      <c r="R336" s="2"/>
      <c r="S336" s="2"/>
    </row>
    <row r="337" spans="1:19" x14ac:dyDescent="0.35">
      <c r="A337" s="7">
        <v>334</v>
      </c>
      <c r="B337" s="37">
        <v>46053.520833333336</v>
      </c>
      <c r="C337" s="2">
        <v>82947.62</v>
      </c>
      <c r="D337" s="42">
        <v>82947.62</v>
      </c>
      <c r="E337" s="42">
        <v>82917.61</v>
      </c>
      <c r="F337" s="2">
        <v>82927.429999999993</v>
      </c>
      <c r="G337" s="1">
        <v>114</v>
      </c>
      <c r="I337" s="37">
        <v>46053.520833333336</v>
      </c>
      <c r="J337" s="36"/>
      <c r="L337" s="2"/>
      <c r="M337" s="2"/>
      <c r="O337" s="37">
        <v>46053.520833333336</v>
      </c>
      <c r="P337" s="36"/>
      <c r="R337" s="2"/>
      <c r="S337" s="2"/>
    </row>
    <row r="338" spans="1:19" x14ac:dyDescent="0.35">
      <c r="A338" s="7">
        <v>335</v>
      </c>
      <c r="B338" s="37">
        <v>46053.521527777775</v>
      </c>
      <c r="C338" s="2">
        <v>82927.429999999993</v>
      </c>
      <c r="D338" s="42">
        <v>82927.429999999993</v>
      </c>
      <c r="E338" s="42">
        <v>82875.850000000006</v>
      </c>
      <c r="F338" s="2">
        <v>82877.17</v>
      </c>
      <c r="G338" s="1">
        <v>165</v>
      </c>
      <c r="I338" s="37">
        <v>46053.521527777775</v>
      </c>
      <c r="J338" s="36"/>
      <c r="L338" s="2"/>
      <c r="M338" s="2"/>
      <c r="O338" s="37">
        <v>46053.521527777775</v>
      </c>
      <c r="P338" s="36"/>
      <c r="R338" s="2"/>
      <c r="S338" s="2"/>
    </row>
    <row r="339" spans="1:19" x14ac:dyDescent="0.35">
      <c r="A339" s="7">
        <v>336</v>
      </c>
      <c r="B339" s="37">
        <v>46053.522222222222</v>
      </c>
      <c r="C339" s="2">
        <v>82875.820000000007</v>
      </c>
      <c r="D339" s="42">
        <v>82951.7</v>
      </c>
      <c r="E339" s="42">
        <v>82848.160000000003</v>
      </c>
      <c r="F339" s="2">
        <v>82919.94</v>
      </c>
      <c r="G339" s="1">
        <v>212</v>
      </c>
      <c r="I339" s="37">
        <v>46053.522222222222</v>
      </c>
      <c r="J339" s="36"/>
      <c r="L339" s="2"/>
      <c r="M339" s="2"/>
      <c r="O339" s="37">
        <v>46053.522222222222</v>
      </c>
      <c r="P339" s="36"/>
      <c r="R339" s="2"/>
      <c r="S339" s="2"/>
    </row>
    <row r="340" spans="1:19" x14ac:dyDescent="0.35">
      <c r="A340" s="7">
        <v>337</v>
      </c>
      <c r="B340" s="37">
        <v>46053.522916666669</v>
      </c>
      <c r="C340" s="2">
        <v>82919.990000000005</v>
      </c>
      <c r="D340" s="42">
        <v>82945.100000000006</v>
      </c>
      <c r="E340" s="42">
        <v>82885.91</v>
      </c>
      <c r="F340" s="2">
        <v>82888.09</v>
      </c>
      <c r="G340" s="1">
        <v>166</v>
      </c>
      <c r="I340" s="37">
        <v>46053.522916666669</v>
      </c>
      <c r="J340" s="36"/>
      <c r="L340" s="2"/>
      <c r="M340" s="2"/>
      <c r="O340" s="37">
        <v>46053.522916666669</v>
      </c>
      <c r="P340" s="36"/>
      <c r="R340" s="2"/>
      <c r="S340" s="2"/>
    </row>
    <row r="341" spans="1:19" x14ac:dyDescent="0.35">
      <c r="A341" s="7">
        <v>338</v>
      </c>
      <c r="B341" s="37">
        <v>46053.523611111108</v>
      </c>
      <c r="C341" s="2">
        <v>82888.13</v>
      </c>
      <c r="D341" s="42">
        <v>82894.429999999993</v>
      </c>
      <c r="E341" s="42">
        <v>82862.14</v>
      </c>
      <c r="F341" s="2">
        <v>82878.820000000007</v>
      </c>
      <c r="G341" s="1">
        <v>171</v>
      </c>
      <c r="I341" s="37">
        <v>46053.523611111108</v>
      </c>
      <c r="J341" s="36"/>
      <c r="L341" s="2"/>
      <c r="M341" s="2"/>
      <c r="O341" s="37">
        <v>46053.523611111108</v>
      </c>
      <c r="P341" s="36"/>
      <c r="R341" s="2"/>
      <c r="S341" s="2"/>
    </row>
    <row r="342" spans="1:19" x14ac:dyDescent="0.35">
      <c r="A342" s="7">
        <v>339</v>
      </c>
      <c r="B342" s="37">
        <v>46053.524305555555</v>
      </c>
      <c r="C342" s="2">
        <v>82880.399999999994</v>
      </c>
      <c r="D342" s="42">
        <v>82888</v>
      </c>
      <c r="E342" s="42">
        <v>82851.25</v>
      </c>
      <c r="F342" s="2">
        <v>82882.25</v>
      </c>
      <c r="G342" s="1">
        <v>169</v>
      </c>
      <c r="I342" s="37">
        <v>46053.524305555555</v>
      </c>
      <c r="J342" s="36"/>
      <c r="L342" s="2"/>
      <c r="M342" s="2"/>
      <c r="O342" s="37">
        <v>46053.524305555555</v>
      </c>
      <c r="P342" s="36"/>
      <c r="R342" s="2"/>
      <c r="S342" s="2"/>
    </row>
    <row r="343" spans="1:19" x14ac:dyDescent="0.35">
      <c r="A343" s="7">
        <v>340</v>
      </c>
      <c r="B343" s="37">
        <v>46053.525000000001</v>
      </c>
      <c r="C343" s="2">
        <v>82887.22</v>
      </c>
      <c r="D343" s="42">
        <v>82908.97</v>
      </c>
      <c r="E343" s="42">
        <v>82854</v>
      </c>
      <c r="F343" s="2">
        <v>82860.31</v>
      </c>
      <c r="G343" s="1">
        <v>138</v>
      </c>
      <c r="I343" s="37">
        <v>46053.525000000001</v>
      </c>
      <c r="J343" s="36"/>
      <c r="L343" s="2"/>
      <c r="M343" s="2"/>
      <c r="O343" s="37">
        <v>46053.525000000001</v>
      </c>
      <c r="P343" s="36"/>
      <c r="R343" s="2"/>
      <c r="S343" s="2"/>
    </row>
    <row r="344" spans="1:19" x14ac:dyDescent="0.35">
      <c r="A344" s="7">
        <v>341</v>
      </c>
      <c r="B344" s="37">
        <v>46053.525694444441</v>
      </c>
      <c r="C344" s="2">
        <v>82860.350000000006</v>
      </c>
      <c r="D344" s="42">
        <v>82861.149999999994</v>
      </c>
      <c r="E344" s="42">
        <v>82758.5</v>
      </c>
      <c r="F344" s="2">
        <v>82791.3</v>
      </c>
      <c r="G344" s="1">
        <v>204</v>
      </c>
      <c r="I344" s="37">
        <v>46053.525694444441</v>
      </c>
      <c r="J344" s="36"/>
      <c r="L344" s="2"/>
      <c r="M344" s="2"/>
      <c r="O344" s="37">
        <v>46053.525694444441</v>
      </c>
      <c r="P344" s="36"/>
      <c r="R344" s="2"/>
      <c r="S344" s="2"/>
    </row>
    <row r="345" spans="1:19" x14ac:dyDescent="0.35">
      <c r="A345" s="7">
        <v>342</v>
      </c>
      <c r="B345" s="37">
        <v>46053.526388888888</v>
      </c>
      <c r="C345" s="2">
        <v>82796.62</v>
      </c>
      <c r="D345" s="42">
        <v>82881.5</v>
      </c>
      <c r="E345" s="42">
        <v>82796.62</v>
      </c>
      <c r="F345" s="2">
        <v>82860.350000000006</v>
      </c>
      <c r="G345" s="1">
        <v>229</v>
      </c>
      <c r="I345" s="37">
        <v>46053.526388888888</v>
      </c>
      <c r="J345" s="36"/>
      <c r="L345" s="2"/>
      <c r="M345" s="2"/>
      <c r="O345" s="37">
        <v>46053.526388888888</v>
      </c>
      <c r="P345" s="36"/>
      <c r="R345" s="2"/>
      <c r="S345" s="2"/>
    </row>
    <row r="346" spans="1:19" x14ac:dyDescent="0.35">
      <c r="A346" s="7">
        <v>343</v>
      </c>
      <c r="B346" s="37">
        <v>46053.527083333334</v>
      </c>
      <c r="C346" s="2">
        <v>82861</v>
      </c>
      <c r="D346" s="42">
        <v>82881.2</v>
      </c>
      <c r="E346" s="42">
        <v>82850.78</v>
      </c>
      <c r="F346" s="2">
        <v>82856.600000000006</v>
      </c>
      <c r="G346" s="1">
        <v>182</v>
      </c>
      <c r="I346" s="37">
        <v>46053.527083333334</v>
      </c>
      <c r="J346" s="36"/>
      <c r="L346" s="2"/>
      <c r="M346" s="2"/>
      <c r="O346" s="37">
        <v>46053.527083333334</v>
      </c>
      <c r="P346" s="36"/>
      <c r="R346" s="2"/>
      <c r="S346" s="2"/>
    </row>
    <row r="347" spans="1:19" x14ac:dyDescent="0.35">
      <c r="A347" s="7">
        <v>344</v>
      </c>
      <c r="B347" s="37">
        <v>46053.527777777781</v>
      </c>
      <c r="C347" s="2">
        <v>82856.649999999994</v>
      </c>
      <c r="D347" s="42">
        <v>82906.2</v>
      </c>
      <c r="E347" s="42">
        <v>82856.649999999994</v>
      </c>
      <c r="F347" s="2">
        <v>82905.5</v>
      </c>
      <c r="G347" s="1">
        <v>206</v>
      </c>
      <c r="I347" s="37">
        <v>46053.527777777781</v>
      </c>
      <c r="J347" s="36"/>
      <c r="L347" s="2"/>
      <c r="M347" s="2"/>
      <c r="O347" s="37">
        <v>46053.527777777781</v>
      </c>
      <c r="P347" s="36"/>
      <c r="R347" s="2"/>
      <c r="S347" s="2"/>
    </row>
    <row r="348" spans="1:19" x14ac:dyDescent="0.35">
      <c r="A348" s="7">
        <v>345</v>
      </c>
      <c r="B348" s="37">
        <v>46053.52847222222</v>
      </c>
      <c r="C348" s="2">
        <v>82905.5</v>
      </c>
      <c r="D348" s="42">
        <v>82925.55</v>
      </c>
      <c r="E348" s="42">
        <v>82893.399999999994</v>
      </c>
      <c r="F348" s="2">
        <v>82925.37</v>
      </c>
      <c r="G348" s="1">
        <v>178</v>
      </c>
      <c r="I348" s="37">
        <v>46053.52847222222</v>
      </c>
      <c r="J348" s="36"/>
      <c r="L348" s="2"/>
      <c r="M348" s="2"/>
      <c r="O348" s="37">
        <v>46053.52847222222</v>
      </c>
      <c r="P348" s="36"/>
      <c r="R348" s="2"/>
      <c r="S348" s="2"/>
    </row>
    <row r="349" spans="1:19" x14ac:dyDescent="0.35">
      <c r="A349" s="7">
        <v>346</v>
      </c>
      <c r="B349" s="37">
        <v>46053.529166666667</v>
      </c>
      <c r="C349" s="2">
        <v>82924.89</v>
      </c>
      <c r="D349" s="42">
        <v>82928.75</v>
      </c>
      <c r="E349" s="42">
        <v>82887.8</v>
      </c>
      <c r="F349" s="2">
        <v>82890.210000000006</v>
      </c>
      <c r="G349" s="1">
        <v>179</v>
      </c>
      <c r="I349" s="37">
        <v>46053.529166666667</v>
      </c>
      <c r="J349" s="36"/>
      <c r="L349" s="2"/>
      <c r="M349" s="2"/>
      <c r="O349" s="37">
        <v>46053.529166666667</v>
      </c>
      <c r="P349" s="36"/>
      <c r="R349" s="2"/>
      <c r="S349" s="2"/>
    </row>
    <row r="350" spans="1:19" x14ac:dyDescent="0.35">
      <c r="A350" s="7">
        <v>347</v>
      </c>
      <c r="B350" s="37">
        <v>46053.529861111114</v>
      </c>
      <c r="C350" s="2">
        <v>82890.22</v>
      </c>
      <c r="D350" s="42">
        <v>82902.350000000006</v>
      </c>
      <c r="E350" s="42">
        <v>82879.3</v>
      </c>
      <c r="F350" s="2">
        <v>82889.3</v>
      </c>
      <c r="G350" s="1">
        <v>151</v>
      </c>
      <c r="I350" s="37">
        <v>46053.529861111114</v>
      </c>
      <c r="J350" s="36"/>
      <c r="L350" s="2"/>
      <c r="M350" s="2"/>
      <c r="O350" s="37">
        <v>46053.529861111114</v>
      </c>
      <c r="P350" s="36"/>
      <c r="R350" s="2"/>
      <c r="S350" s="2"/>
    </row>
    <row r="351" spans="1:19" x14ac:dyDescent="0.35">
      <c r="A351" s="7">
        <v>348</v>
      </c>
      <c r="B351" s="37">
        <v>46053.530555555553</v>
      </c>
      <c r="C351" s="2">
        <v>82889.3</v>
      </c>
      <c r="D351" s="42">
        <v>82889.3</v>
      </c>
      <c r="E351" s="42">
        <v>82864.44</v>
      </c>
      <c r="F351" s="2">
        <v>82876.5</v>
      </c>
      <c r="G351" s="1">
        <v>141</v>
      </c>
      <c r="I351" s="37">
        <v>46053.530555555553</v>
      </c>
      <c r="J351" s="36"/>
      <c r="L351" s="2"/>
      <c r="M351" s="2"/>
      <c r="O351" s="37">
        <v>46053.530555555553</v>
      </c>
      <c r="P351" s="36"/>
      <c r="R351" s="2"/>
      <c r="S351" s="2"/>
    </row>
    <row r="352" spans="1:19" x14ac:dyDescent="0.35">
      <c r="A352" s="7">
        <v>349</v>
      </c>
      <c r="B352" s="37">
        <v>46053.53125</v>
      </c>
      <c r="C352" s="2">
        <v>82881.3</v>
      </c>
      <c r="D352" s="42">
        <v>82909.55</v>
      </c>
      <c r="E352" s="42">
        <v>82881.3</v>
      </c>
      <c r="F352" s="2">
        <v>82895.41</v>
      </c>
      <c r="G352" s="1">
        <v>173</v>
      </c>
      <c r="I352" s="37">
        <v>46053.53125</v>
      </c>
      <c r="J352" s="36"/>
      <c r="L352" s="2"/>
      <c r="M352" s="2"/>
      <c r="O352" s="37">
        <v>46053.53125</v>
      </c>
      <c r="P352" s="36"/>
      <c r="R352" s="2"/>
      <c r="S352" s="2"/>
    </row>
    <row r="353" spans="1:19" x14ac:dyDescent="0.35">
      <c r="A353" s="7">
        <v>350</v>
      </c>
      <c r="B353" s="37">
        <v>46053.531944444447</v>
      </c>
      <c r="C353" s="2">
        <v>82895.41</v>
      </c>
      <c r="D353" s="42">
        <v>82905.460000000006</v>
      </c>
      <c r="E353" s="42">
        <v>82885.440000000002</v>
      </c>
      <c r="F353" s="2">
        <v>82892.070000000007</v>
      </c>
      <c r="G353" s="1">
        <v>76</v>
      </c>
      <c r="I353" s="37">
        <v>46053.531944444447</v>
      </c>
      <c r="J353" s="36"/>
      <c r="L353" s="2"/>
      <c r="M353" s="2"/>
      <c r="O353" s="37">
        <v>46053.531944444447</v>
      </c>
      <c r="P353" s="36"/>
      <c r="R353" s="2"/>
      <c r="S353" s="2"/>
    </row>
    <row r="354" spans="1:19" x14ac:dyDescent="0.35">
      <c r="A354" s="7">
        <v>351</v>
      </c>
      <c r="B354" s="37">
        <v>46053.532638888886</v>
      </c>
      <c r="C354" s="2">
        <v>82892.02</v>
      </c>
      <c r="D354" s="42">
        <v>82892.070000000007</v>
      </c>
      <c r="E354" s="42">
        <v>82843.55</v>
      </c>
      <c r="F354" s="2">
        <v>82854.009999999995</v>
      </c>
      <c r="G354" s="1">
        <v>120</v>
      </c>
      <c r="I354" s="37">
        <v>46053.532638888886</v>
      </c>
      <c r="J354" s="36"/>
      <c r="L354" s="2"/>
      <c r="M354" s="2"/>
      <c r="O354" s="37">
        <v>46053.532638888886</v>
      </c>
      <c r="P354" s="36"/>
      <c r="R354" s="2"/>
      <c r="S354" s="2"/>
    </row>
    <row r="355" spans="1:19" x14ac:dyDescent="0.35">
      <c r="A355" s="7">
        <v>352</v>
      </c>
      <c r="B355" s="37">
        <v>46053.533333333333</v>
      </c>
      <c r="C355" s="2">
        <v>82853.36</v>
      </c>
      <c r="D355" s="42">
        <v>82853.36</v>
      </c>
      <c r="E355" s="42">
        <v>82759.539999999994</v>
      </c>
      <c r="F355" s="2">
        <v>82759.539999999994</v>
      </c>
      <c r="G355" s="1">
        <v>163</v>
      </c>
      <c r="I355" s="37">
        <v>46053.533333333333</v>
      </c>
      <c r="J355" s="36"/>
      <c r="L355" s="2"/>
      <c r="M355" s="2"/>
      <c r="O355" s="37">
        <v>46053.533333333333</v>
      </c>
      <c r="P355" s="36"/>
      <c r="R355" s="2"/>
      <c r="S355" s="2"/>
    </row>
    <row r="356" spans="1:19" x14ac:dyDescent="0.35">
      <c r="A356" s="7">
        <v>353</v>
      </c>
      <c r="B356" s="37">
        <v>46053.53402777778</v>
      </c>
      <c r="C356" s="2">
        <v>82759.520000000004</v>
      </c>
      <c r="D356" s="42">
        <v>82775.240000000005</v>
      </c>
      <c r="E356" s="42">
        <v>82759.520000000004</v>
      </c>
      <c r="F356" s="2">
        <v>82773.75</v>
      </c>
      <c r="G356" s="1">
        <v>119</v>
      </c>
      <c r="I356" s="37">
        <v>46053.53402777778</v>
      </c>
      <c r="J356" s="36"/>
      <c r="L356" s="2"/>
      <c r="M356" s="2"/>
      <c r="O356" s="37">
        <v>46053.53402777778</v>
      </c>
      <c r="P356" s="36"/>
      <c r="R356" s="2"/>
      <c r="S356" s="2"/>
    </row>
    <row r="357" spans="1:19" x14ac:dyDescent="0.35">
      <c r="A357" s="7">
        <v>354</v>
      </c>
      <c r="B357" s="37">
        <v>46053.534722222219</v>
      </c>
      <c r="C357" s="2">
        <v>82773.75</v>
      </c>
      <c r="D357" s="42">
        <v>82773.75</v>
      </c>
      <c r="E357" s="42">
        <v>82707.3</v>
      </c>
      <c r="F357" s="2">
        <v>82719.33</v>
      </c>
      <c r="G357" s="1">
        <v>188</v>
      </c>
      <c r="I357" s="37">
        <v>46053.534722222219</v>
      </c>
      <c r="J357" s="36"/>
      <c r="L357" s="2"/>
      <c r="M357" s="2"/>
      <c r="O357" s="37">
        <v>46053.534722222219</v>
      </c>
      <c r="P357" s="36"/>
      <c r="R357" s="2"/>
      <c r="S357" s="2"/>
    </row>
    <row r="358" spans="1:19" x14ac:dyDescent="0.35">
      <c r="A358" s="7">
        <v>355</v>
      </c>
      <c r="B358" s="37">
        <v>46053.535416666666</v>
      </c>
      <c r="C358" s="2">
        <v>82719.350000000006</v>
      </c>
      <c r="D358" s="42">
        <v>82750.399999999994</v>
      </c>
      <c r="E358" s="42">
        <v>82719.179999999993</v>
      </c>
      <c r="F358" s="2">
        <v>82727.33</v>
      </c>
      <c r="G358" s="1">
        <v>196</v>
      </c>
      <c r="I358" s="37">
        <v>46053.535416666666</v>
      </c>
      <c r="J358" s="36"/>
      <c r="L358" s="2"/>
      <c r="M358" s="2"/>
      <c r="O358" s="37">
        <v>46053.535416666666</v>
      </c>
      <c r="P358" s="36"/>
      <c r="R358" s="2"/>
      <c r="S358" s="2"/>
    </row>
    <row r="359" spans="1:19" x14ac:dyDescent="0.35">
      <c r="A359" s="7">
        <v>356</v>
      </c>
      <c r="B359" s="37">
        <v>46053.536111111112</v>
      </c>
      <c r="C359" s="2">
        <v>82726.69</v>
      </c>
      <c r="D359" s="42">
        <v>82760.039999999994</v>
      </c>
      <c r="E359" s="42">
        <v>82667.45</v>
      </c>
      <c r="F359" s="2">
        <v>82693.679999999993</v>
      </c>
      <c r="G359" s="1">
        <v>186</v>
      </c>
      <c r="I359" s="37">
        <v>46053.536111111112</v>
      </c>
      <c r="J359" s="36"/>
      <c r="L359" s="2"/>
      <c r="M359" s="2"/>
      <c r="O359" s="37">
        <v>46053.536111111112</v>
      </c>
      <c r="P359" s="36"/>
      <c r="R359" s="2"/>
      <c r="S359" s="2"/>
    </row>
    <row r="360" spans="1:19" x14ac:dyDescent="0.35">
      <c r="A360" s="7">
        <v>357</v>
      </c>
      <c r="B360" s="37">
        <v>46053.536805555559</v>
      </c>
      <c r="C360" s="2">
        <v>82693.73</v>
      </c>
      <c r="D360" s="42">
        <v>82748.740000000005</v>
      </c>
      <c r="E360" s="42">
        <v>82693.67</v>
      </c>
      <c r="F360" s="2">
        <v>82747.240000000005</v>
      </c>
      <c r="G360" s="1">
        <v>157</v>
      </c>
      <c r="I360" s="37">
        <v>46053.536805555559</v>
      </c>
      <c r="J360" s="36"/>
      <c r="L360" s="2"/>
      <c r="M360" s="2"/>
      <c r="O360" s="37">
        <v>46053.536805555559</v>
      </c>
      <c r="P360" s="36"/>
      <c r="R360" s="2"/>
      <c r="S360" s="2"/>
    </row>
    <row r="361" spans="1:19" x14ac:dyDescent="0.35">
      <c r="A361" s="7">
        <v>358</v>
      </c>
      <c r="B361" s="37">
        <v>46053.537499999999</v>
      </c>
      <c r="C361" s="2">
        <v>82748.25</v>
      </c>
      <c r="D361" s="42">
        <v>82769.23</v>
      </c>
      <c r="E361" s="42">
        <v>82742.33</v>
      </c>
      <c r="F361" s="2">
        <v>82765.33</v>
      </c>
      <c r="G361" s="1">
        <v>166</v>
      </c>
      <c r="I361" s="37">
        <v>46053.537499999999</v>
      </c>
      <c r="J361" s="36"/>
      <c r="L361" s="2"/>
      <c r="M361" s="2"/>
      <c r="O361" s="37">
        <v>46053.537499999999</v>
      </c>
      <c r="P361" s="36"/>
      <c r="R361" s="2"/>
      <c r="S361" s="2"/>
    </row>
    <row r="362" spans="1:19" x14ac:dyDescent="0.35">
      <c r="A362" s="7">
        <v>359</v>
      </c>
      <c r="B362" s="37">
        <v>46053.538194444445</v>
      </c>
      <c r="C362" s="2">
        <v>82765.33</v>
      </c>
      <c r="D362" s="42">
        <v>82805.440000000002</v>
      </c>
      <c r="E362" s="42">
        <v>82745.039999999994</v>
      </c>
      <c r="F362" s="2">
        <v>82754.559999999998</v>
      </c>
      <c r="G362" s="1">
        <v>175</v>
      </c>
      <c r="I362" s="37">
        <v>46053.538194444445</v>
      </c>
      <c r="J362" s="36"/>
      <c r="L362" s="2"/>
      <c r="M362" s="2"/>
      <c r="O362" s="37">
        <v>46053.538194444445</v>
      </c>
      <c r="P362" s="36"/>
      <c r="R362" s="2"/>
      <c r="S362" s="2"/>
    </row>
    <row r="363" spans="1:19" x14ac:dyDescent="0.35">
      <c r="A363" s="7">
        <v>360</v>
      </c>
      <c r="B363" s="37">
        <v>46053.538888888892</v>
      </c>
      <c r="C363" s="2">
        <v>82754.570000000007</v>
      </c>
      <c r="D363" s="42">
        <v>82825.8</v>
      </c>
      <c r="E363" s="42">
        <v>82744.67</v>
      </c>
      <c r="F363" s="2">
        <v>82809.31</v>
      </c>
      <c r="G363" s="1">
        <v>183</v>
      </c>
      <c r="I363" s="37">
        <v>46053.538888888892</v>
      </c>
      <c r="J363" s="36"/>
      <c r="L363" s="2"/>
      <c r="M363" s="2"/>
      <c r="O363" s="37">
        <v>46053.538888888892</v>
      </c>
      <c r="P363" s="36"/>
      <c r="R363" s="2"/>
      <c r="S363" s="2"/>
    </row>
    <row r="364" spans="1:19" x14ac:dyDescent="0.35">
      <c r="A364" s="7">
        <v>361</v>
      </c>
      <c r="B364" s="37">
        <v>46053.539583333331</v>
      </c>
      <c r="C364" s="2">
        <v>82809.31</v>
      </c>
      <c r="D364" s="42">
        <v>82817.36</v>
      </c>
      <c r="E364" s="42">
        <v>82738.759999999995</v>
      </c>
      <c r="F364" s="2">
        <v>82738.759999999995</v>
      </c>
      <c r="G364" s="1">
        <v>163</v>
      </c>
      <c r="I364" s="37">
        <v>46053.539583333331</v>
      </c>
      <c r="J364" s="36"/>
      <c r="L364" s="2"/>
      <c r="M364" s="2"/>
      <c r="O364" s="37">
        <v>46053.539583333331</v>
      </c>
      <c r="P364" s="36"/>
      <c r="R364" s="2"/>
      <c r="S364" s="2"/>
    </row>
    <row r="365" spans="1:19" x14ac:dyDescent="0.35">
      <c r="A365" s="7">
        <v>362</v>
      </c>
      <c r="B365" s="37">
        <v>46053.540277777778</v>
      </c>
      <c r="C365" s="2">
        <v>82739.399999999994</v>
      </c>
      <c r="D365" s="42">
        <v>82749.539999999994</v>
      </c>
      <c r="E365" s="42">
        <v>82709.210000000006</v>
      </c>
      <c r="F365" s="2">
        <v>82728.83</v>
      </c>
      <c r="G365" s="1">
        <v>149</v>
      </c>
      <c r="I365" s="37">
        <v>46053.540277777778</v>
      </c>
      <c r="J365" s="36"/>
      <c r="L365" s="2"/>
      <c r="M365" s="2"/>
      <c r="O365" s="37">
        <v>46053.540277777778</v>
      </c>
      <c r="P365" s="36"/>
      <c r="R365" s="2"/>
      <c r="S365" s="2"/>
    </row>
    <row r="366" spans="1:19" x14ac:dyDescent="0.35">
      <c r="A366" s="7">
        <v>363</v>
      </c>
      <c r="B366" s="37">
        <v>46053.540972222225</v>
      </c>
      <c r="C366" s="2">
        <v>82729.070000000007</v>
      </c>
      <c r="D366" s="42">
        <v>82744</v>
      </c>
      <c r="E366" s="42">
        <v>82690.5</v>
      </c>
      <c r="F366" s="2">
        <v>82725.95</v>
      </c>
      <c r="G366" s="1">
        <v>160</v>
      </c>
      <c r="I366" s="37">
        <v>46053.540972222225</v>
      </c>
      <c r="J366" s="36"/>
      <c r="L366" s="2"/>
      <c r="M366" s="2"/>
      <c r="O366" s="37">
        <v>46053.540972222225</v>
      </c>
      <c r="P366" s="36"/>
      <c r="R366" s="2"/>
      <c r="S366" s="2"/>
    </row>
    <row r="367" spans="1:19" x14ac:dyDescent="0.35">
      <c r="A367" s="7">
        <v>364</v>
      </c>
      <c r="B367" s="37">
        <v>46053.541666666664</v>
      </c>
      <c r="C367" s="2">
        <v>82725.95</v>
      </c>
      <c r="D367" s="42">
        <v>82746.5</v>
      </c>
      <c r="E367" s="42">
        <v>82676.02</v>
      </c>
      <c r="F367" s="2">
        <v>82681.3</v>
      </c>
      <c r="G367" s="1">
        <v>205</v>
      </c>
      <c r="I367" s="37">
        <v>46053.541666666664</v>
      </c>
      <c r="J367" s="36"/>
      <c r="L367" s="2"/>
      <c r="M367" s="2"/>
      <c r="O367" s="37">
        <v>46053.541666666664</v>
      </c>
      <c r="P367" s="36"/>
      <c r="R367" s="2"/>
      <c r="S367" s="2"/>
    </row>
    <row r="368" spans="1:19" x14ac:dyDescent="0.35">
      <c r="A368" s="7">
        <v>365</v>
      </c>
      <c r="B368" s="37">
        <v>46053.542361111111</v>
      </c>
      <c r="C368" s="2">
        <v>82681.3</v>
      </c>
      <c r="D368" s="42">
        <v>82715.59</v>
      </c>
      <c r="E368" s="42">
        <v>82675.37</v>
      </c>
      <c r="F368" s="2">
        <v>82676.710000000006</v>
      </c>
      <c r="G368" s="1">
        <v>189</v>
      </c>
      <c r="I368" s="37">
        <v>46053.542361111111</v>
      </c>
      <c r="J368" s="36"/>
      <c r="L368" s="2"/>
      <c r="M368" s="2"/>
      <c r="O368" s="37">
        <v>46053.542361111111</v>
      </c>
      <c r="P368" s="36"/>
      <c r="R368" s="2"/>
      <c r="S368" s="2"/>
    </row>
    <row r="369" spans="1:19" x14ac:dyDescent="0.35">
      <c r="A369" s="7">
        <v>366</v>
      </c>
      <c r="B369" s="37">
        <v>46053.543055555558</v>
      </c>
      <c r="C369" s="2">
        <v>82678.5</v>
      </c>
      <c r="D369" s="42">
        <v>82821.3</v>
      </c>
      <c r="E369" s="42">
        <v>82655.53</v>
      </c>
      <c r="F369" s="2">
        <v>82791.759999999995</v>
      </c>
      <c r="G369" s="1">
        <v>197</v>
      </c>
      <c r="I369" s="37">
        <v>46053.543055555558</v>
      </c>
      <c r="J369" s="36"/>
      <c r="L369" s="2"/>
      <c r="M369" s="2"/>
      <c r="O369" s="37">
        <v>46053.543055555558</v>
      </c>
      <c r="P369" s="36"/>
      <c r="R369" s="2"/>
      <c r="S369" s="2"/>
    </row>
    <row r="370" spans="1:19" x14ac:dyDescent="0.35">
      <c r="A370" s="7">
        <v>367</v>
      </c>
      <c r="B370" s="37">
        <v>46053.543749999997</v>
      </c>
      <c r="C370" s="2">
        <v>82796.600000000006</v>
      </c>
      <c r="D370" s="42">
        <v>82804.22</v>
      </c>
      <c r="E370" s="42">
        <v>82728.31</v>
      </c>
      <c r="F370" s="2">
        <v>82755.11</v>
      </c>
      <c r="G370" s="1">
        <v>169</v>
      </c>
      <c r="I370" s="37">
        <v>46053.543749999997</v>
      </c>
      <c r="J370" s="36"/>
      <c r="L370" s="2"/>
      <c r="M370" s="2"/>
      <c r="O370" s="37">
        <v>46053.543749999997</v>
      </c>
      <c r="P370" s="36"/>
      <c r="R370" s="2"/>
      <c r="S370" s="2"/>
    </row>
    <row r="371" spans="1:19" x14ac:dyDescent="0.35">
      <c r="A371" s="7">
        <v>368</v>
      </c>
      <c r="B371" s="37">
        <v>46053.544444444444</v>
      </c>
      <c r="C371" s="2">
        <v>82755.11</v>
      </c>
      <c r="D371" s="42">
        <v>82767.399999999994</v>
      </c>
      <c r="E371" s="42">
        <v>82736.95</v>
      </c>
      <c r="F371" s="2">
        <v>82767.399999999994</v>
      </c>
      <c r="G371" s="1">
        <v>190</v>
      </c>
      <c r="I371" s="37">
        <v>46053.544444444444</v>
      </c>
      <c r="J371" s="36"/>
      <c r="L371" s="2"/>
      <c r="M371" s="2"/>
      <c r="O371" s="37">
        <v>46053.544444444444</v>
      </c>
      <c r="P371" s="36"/>
      <c r="R371" s="2"/>
      <c r="S371" s="2"/>
    </row>
    <row r="372" spans="1:19" x14ac:dyDescent="0.35">
      <c r="A372" s="7">
        <v>369</v>
      </c>
      <c r="B372" s="37">
        <v>46053.545138888891</v>
      </c>
      <c r="C372" s="2">
        <v>82767.360000000001</v>
      </c>
      <c r="D372" s="42">
        <v>82784.05</v>
      </c>
      <c r="E372" s="42">
        <v>82753.320000000007</v>
      </c>
      <c r="F372" s="2">
        <v>82759.25</v>
      </c>
      <c r="G372" s="1">
        <v>190</v>
      </c>
      <c r="I372" s="37">
        <v>46053.545138888891</v>
      </c>
      <c r="J372" s="36"/>
      <c r="L372" s="2"/>
      <c r="M372" s="2"/>
      <c r="O372" s="37">
        <v>46053.545138888891</v>
      </c>
      <c r="P372" s="36"/>
      <c r="R372" s="2"/>
      <c r="S372" s="2"/>
    </row>
    <row r="373" spans="1:19" x14ac:dyDescent="0.35">
      <c r="A373" s="7">
        <v>370</v>
      </c>
      <c r="B373" s="37">
        <v>46053.54583333333</v>
      </c>
      <c r="C373" s="2">
        <v>82757.52</v>
      </c>
      <c r="D373" s="42">
        <v>82773.350000000006</v>
      </c>
      <c r="E373" s="42">
        <v>82747.33</v>
      </c>
      <c r="F373" s="2">
        <v>82765.83</v>
      </c>
      <c r="G373" s="1">
        <v>162</v>
      </c>
      <c r="I373" s="37">
        <v>46053.54583333333</v>
      </c>
      <c r="J373" s="36"/>
      <c r="L373" s="2"/>
      <c r="M373" s="2"/>
      <c r="O373" s="37">
        <v>46053.54583333333</v>
      </c>
      <c r="P373" s="36"/>
      <c r="R373" s="2"/>
      <c r="S373" s="2"/>
    </row>
    <row r="374" spans="1:19" x14ac:dyDescent="0.35">
      <c r="A374" s="7">
        <v>371</v>
      </c>
      <c r="B374" s="37">
        <v>46053.546527777777</v>
      </c>
      <c r="C374" s="2">
        <v>82765.72</v>
      </c>
      <c r="D374" s="42">
        <v>82777.84</v>
      </c>
      <c r="E374" s="42">
        <v>82750.55</v>
      </c>
      <c r="F374" s="2">
        <v>82777.83</v>
      </c>
      <c r="G374" s="1">
        <v>134</v>
      </c>
      <c r="I374" s="37">
        <v>46053.546527777777</v>
      </c>
      <c r="J374" s="36"/>
      <c r="L374" s="2"/>
      <c r="M374" s="2"/>
      <c r="O374" s="37">
        <v>46053.546527777777</v>
      </c>
      <c r="P374" s="36"/>
      <c r="R374" s="2"/>
      <c r="S374" s="2"/>
    </row>
    <row r="375" spans="1:19" x14ac:dyDescent="0.35">
      <c r="A375" s="7">
        <v>372</v>
      </c>
      <c r="B375" s="37">
        <v>46053.547222222223</v>
      </c>
      <c r="C375" s="2">
        <v>82777.83</v>
      </c>
      <c r="D375" s="42">
        <v>82840.33</v>
      </c>
      <c r="E375" s="42">
        <v>82777.63</v>
      </c>
      <c r="F375" s="2">
        <v>82827.05</v>
      </c>
      <c r="G375" s="1">
        <v>146</v>
      </c>
      <c r="I375" s="37">
        <v>46053.547222222223</v>
      </c>
      <c r="J375" s="36"/>
      <c r="L375" s="2"/>
      <c r="M375" s="2"/>
      <c r="O375" s="37">
        <v>46053.547222222223</v>
      </c>
      <c r="P375" s="36"/>
      <c r="R375" s="2"/>
      <c r="S375" s="2"/>
    </row>
    <row r="376" spans="1:19" x14ac:dyDescent="0.35">
      <c r="A376" s="7">
        <v>373</v>
      </c>
      <c r="B376" s="37">
        <v>46053.54791666667</v>
      </c>
      <c r="C376" s="2">
        <v>82827.009999999995</v>
      </c>
      <c r="D376" s="42">
        <v>82864.100000000006</v>
      </c>
      <c r="E376" s="42">
        <v>82814.100000000006</v>
      </c>
      <c r="F376" s="2">
        <v>82854.98</v>
      </c>
      <c r="G376" s="1">
        <v>156</v>
      </c>
      <c r="I376" s="37">
        <v>46053.54791666667</v>
      </c>
      <c r="J376" s="36"/>
      <c r="L376" s="2"/>
      <c r="M376" s="2"/>
      <c r="O376" s="37">
        <v>46053.54791666667</v>
      </c>
      <c r="P376" s="36"/>
      <c r="R376" s="2"/>
      <c r="S376" s="2"/>
    </row>
    <row r="377" spans="1:19" x14ac:dyDescent="0.35">
      <c r="A377" s="7">
        <v>374</v>
      </c>
      <c r="B377" s="37">
        <v>46053.548611111109</v>
      </c>
      <c r="C377" s="2">
        <v>82855.179999999993</v>
      </c>
      <c r="D377" s="42">
        <v>82855.179999999993</v>
      </c>
      <c r="E377" s="42">
        <v>82786.55</v>
      </c>
      <c r="F377" s="2">
        <v>82797.02</v>
      </c>
      <c r="G377" s="1">
        <v>179</v>
      </c>
      <c r="I377" s="37">
        <v>46053.548611111109</v>
      </c>
      <c r="J377" s="36"/>
      <c r="L377" s="2"/>
      <c r="M377" s="2"/>
      <c r="O377" s="37">
        <v>46053.548611111109</v>
      </c>
      <c r="P377" s="36"/>
      <c r="R377" s="2"/>
      <c r="S377" s="2"/>
    </row>
    <row r="378" spans="1:19" x14ac:dyDescent="0.35">
      <c r="A378" s="7">
        <v>375</v>
      </c>
      <c r="B378" s="37">
        <v>46053.549305555556</v>
      </c>
      <c r="C378" s="2">
        <v>82797.119999999995</v>
      </c>
      <c r="D378" s="42">
        <v>82825.31</v>
      </c>
      <c r="E378" s="42">
        <v>82797.119999999995</v>
      </c>
      <c r="F378" s="2">
        <v>82816.45</v>
      </c>
      <c r="G378" s="1">
        <v>146</v>
      </c>
      <c r="I378" s="37">
        <v>46053.549305555556</v>
      </c>
      <c r="J378" s="36"/>
      <c r="L378" s="2"/>
      <c r="M378" s="2"/>
      <c r="O378" s="37">
        <v>46053.549305555556</v>
      </c>
      <c r="P378" s="36"/>
      <c r="R378" s="2"/>
      <c r="S378" s="2"/>
    </row>
    <row r="379" spans="1:19" x14ac:dyDescent="0.35">
      <c r="A379" s="7">
        <v>376</v>
      </c>
      <c r="B379" s="37">
        <v>46053.55</v>
      </c>
      <c r="C379" s="2">
        <v>82816.44</v>
      </c>
      <c r="D379" s="42">
        <v>82821.23</v>
      </c>
      <c r="E379" s="42">
        <v>82773.66</v>
      </c>
      <c r="F379" s="2">
        <v>82781.460000000006</v>
      </c>
      <c r="G379" s="1">
        <v>112</v>
      </c>
      <c r="I379" s="37">
        <v>46053.55</v>
      </c>
      <c r="J379" s="36"/>
      <c r="L379" s="2"/>
      <c r="M379" s="2"/>
      <c r="O379" s="37">
        <v>46053.55</v>
      </c>
      <c r="P379" s="36"/>
      <c r="R379" s="2"/>
      <c r="S379" s="2"/>
    </row>
    <row r="380" spans="1:19" x14ac:dyDescent="0.35">
      <c r="A380" s="7">
        <v>377</v>
      </c>
      <c r="B380" s="37">
        <v>46053.550694444442</v>
      </c>
      <c r="C380" s="2">
        <v>82781.38</v>
      </c>
      <c r="D380" s="42">
        <v>82806.77</v>
      </c>
      <c r="E380" s="42">
        <v>82745.48</v>
      </c>
      <c r="F380" s="2">
        <v>82762.95</v>
      </c>
      <c r="G380" s="1">
        <v>151</v>
      </c>
      <c r="I380" s="37">
        <v>46053.550694444442</v>
      </c>
      <c r="J380" s="36"/>
      <c r="L380" s="2"/>
      <c r="M380" s="2"/>
      <c r="O380" s="37">
        <v>46053.550694444442</v>
      </c>
      <c r="P380" s="36"/>
      <c r="R380" s="2"/>
      <c r="S380" s="2"/>
    </row>
    <row r="381" spans="1:19" x14ac:dyDescent="0.35">
      <c r="A381" s="7">
        <v>378</v>
      </c>
      <c r="B381" s="37">
        <v>46053.551388888889</v>
      </c>
      <c r="C381" s="2">
        <v>82762.94</v>
      </c>
      <c r="D381" s="42">
        <v>82816.899999999994</v>
      </c>
      <c r="E381" s="42">
        <v>82749.23</v>
      </c>
      <c r="F381" s="2">
        <v>82749.23</v>
      </c>
      <c r="G381" s="1">
        <v>156</v>
      </c>
      <c r="I381" s="37">
        <v>46053.551388888889</v>
      </c>
      <c r="J381" s="36"/>
      <c r="L381" s="2"/>
      <c r="M381" s="2"/>
      <c r="O381" s="37">
        <v>46053.551388888889</v>
      </c>
      <c r="P381" s="36"/>
      <c r="R381" s="2"/>
      <c r="S381" s="2"/>
    </row>
    <row r="382" spans="1:19" x14ac:dyDescent="0.35">
      <c r="A382" s="7">
        <v>379</v>
      </c>
      <c r="B382" s="37">
        <v>46053.552083333336</v>
      </c>
      <c r="C382" s="2">
        <v>82751.399999999994</v>
      </c>
      <c r="D382" s="42">
        <v>82792.2</v>
      </c>
      <c r="E382" s="42">
        <v>82750.02</v>
      </c>
      <c r="F382" s="2">
        <v>82788.259999999995</v>
      </c>
      <c r="G382" s="1">
        <v>181</v>
      </c>
      <c r="I382" s="37">
        <v>46053.552083333336</v>
      </c>
      <c r="J382" s="36"/>
      <c r="L382" s="2"/>
      <c r="M382" s="2"/>
      <c r="O382" s="37">
        <v>46053.552083333336</v>
      </c>
      <c r="P382" s="36"/>
      <c r="R382" s="2"/>
      <c r="S382" s="2"/>
    </row>
    <row r="383" spans="1:19" x14ac:dyDescent="0.35">
      <c r="A383" s="7">
        <v>380</v>
      </c>
      <c r="B383" s="37">
        <v>46053.552777777775</v>
      </c>
      <c r="C383" s="2">
        <v>82790.33</v>
      </c>
      <c r="D383" s="42">
        <v>82838.59</v>
      </c>
      <c r="E383" s="42">
        <v>82768.41</v>
      </c>
      <c r="F383" s="2">
        <v>82838.59</v>
      </c>
      <c r="G383" s="1">
        <v>163</v>
      </c>
      <c r="I383" s="37">
        <v>46053.552777777775</v>
      </c>
      <c r="J383" s="36"/>
      <c r="L383" s="2"/>
      <c r="M383" s="2"/>
      <c r="O383" s="37">
        <v>46053.552777777775</v>
      </c>
      <c r="P383" s="36"/>
      <c r="R383" s="2"/>
      <c r="S383" s="2"/>
    </row>
    <row r="384" spans="1:19" x14ac:dyDescent="0.35">
      <c r="A384" s="7">
        <v>381</v>
      </c>
      <c r="B384" s="37">
        <v>46053.553472222222</v>
      </c>
      <c r="C384" s="2">
        <v>82838.55</v>
      </c>
      <c r="D384" s="42">
        <v>82859.22</v>
      </c>
      <c r="E384" s="42">
        <v>82820.5</v>
      </c>
      <c r="F384" s="2">
        <v>82859.22</v>
      </c>
      <c r="G384" s="1">
        <v>141</v>
      </c>
      <c r="I384" s="37">
        <v>46053.553472222222</v>
      </c>
      <c r="J384" s="36"/>
      <c r="L384" s="2"/>
      <c r="M384" s="2"/>
      <c r="O384" s="37">
        <v>46053.553472222222</v>
      </c>
      <c r="P384" s="36"/>
      <c r="R384" s="2"/>
      <c r="S384" s="2"/>
    </row>
    <row r="385" spans="1:19" x14ac:dyDescent="0.35">
      <c r="A385" s="7">
        <v>382</v>
      </c>
      <c r="B385" s="37">
        <v>46053.554166666669</v>
      </c>
      <c r="C385" s="2">
        <v>82868.649999999994</v>
      </c>
      <c r="D385" s="42">
        <v>82878.36</v>
      </c>
      <c r="E385" s="42">
        <v>82854.06</v>
      </c>
      <c r="F385" s="2">
        <v>82854.06</v>
      </c>
      <c r="G385" s="1">
        <v>94</v>
      </c>
      <c r="I385" s="37">
        <v>46053.554166666669</v>
      </c>
      <c r="J385" s="36"/>
      <c r="L385" s="2"/>
      <c r="M385" s="2"/>
      <c r="O385" s="37">
        <v>46053.554166666669</v>
      </c>
      <c r="P385" s="36"/>
      <c r="R385" s="2"/>
      <c r="S385" s="2"/>
    </row>
    <row r="386" spans="1:19" s="4" customFormat="1" x14ac:dyDescent="0.35">
      <c r="A386" s="7">
        <v>383</v>
      </c>
      <c r="B386" s="37">
        <v>46053.554861111108</v>
      </c>
      <c r="C386" s="2">
        <v>82854.17</v>
      </c>
      <c r="D386" s="42">
        <v>82854.22</v>
      </c>
      <c r="E386" s="42">
        <v>82740.58</v>
      </c>
      <c r="F386" s="2">
        <v>82773.919999999998</v>
      </c>
      <c r="G386" s="1">
        <v>207</v>
      </c>
      <c r="H386"/>
      <c r="I386" s="37">
        <v>46053.554861111108</v>
      </c>
      <c r="J386" s="36"/>
      <c r="L386" s="2"/>
      <c r="M386" s="2"/>
      <c r="N386"/>
      <c r="O386" s="37">
        <v>46053.554861111108</v>
      </c>
      <c r="P386" s="36"/>
      <c r="R386" s="2"/>
      <c r="S386" s="2"/>
    </row>
    <row r="387" spans="1:19" s="4" customFormat="1" x14ac:dyDescent="0.35">
      <c r="A387" s="7">
        <v>384</v>
      </c>
      <c r="B387" s="37">
        <v>46053.555555555555</v>
      </c>
      <c r="C387" s="2">
        <v>82773.919999999998</v>
      </c>
      <c r="D387" s="42">
        <v>82812.19</v>
      </c>
      <c r="E387" s="42">
        <v>82773.919999999998</v>
      </c>
      <c r="F387" s="2">
        <v>82780.429999999993</v>
      </c>
      <c r="G387" s="1">
        <v>158</v>
      </c>
      <c r="H387"/>
      <c r="I387" s="37">
        <v>46053.555555555555</v>
      </c>
      <c r="J387" s="36"/>
      <c r="L387" s="2"/>
      <c r="M387" s="2"/>
      <c r="N387"/>
      <c r="O387" s="37">
        <v>46053.555555555555</v>
      </c>
      <c r="P387" s="36"/>
      <c r="R387" s="2"/>
      <c r="S387" s="2"/>
    </row>
    <row r="388" spans="1:19" s="4" customFormat="1" x14ac:dyDescent="0.35">
      <c r="A388" s="7">
        <v>385</v>
      </c>
      <c r="B388" s="37">
        <v>46053.556250000001</v>
      </c>
      <c r="C388" s="2">
        <v>82780.42</v>
      </c>
      <c r="D388" s="42">
        <v>82798.55</v>
      </c>
      <c r="E388" s="42">
        <v>82771.31</v>
      </c>
      <c r="F388" s="2">
        <v>82789.5</v>
      </c>
      <c r="G388" s="1">
        <v>152</v>
      </c>
      <c r="H388"/>
      <c r="I388" s="37">
        <v>46053.556250000001</v>
      </c>
      <c r="J388" s="36"/>
      <c r="L388" s="2"/>
      <c r="M388" s="2"/>
      <c r="N388"/>
      <c r="O388" s="37">
        <v>46053.556250000001</v>
      </c>
      <c r="P388" s="36"/>
      <c r="R388" s="2"/>
      <c r="S388" s="2"/>
    </row>
    <row r="389" spans="1:19" s="4" customFormat="1" x14ac:dyDescent="0.35">
      <c r="A389" s="7">
        <v>386</v>
      </c>
      <c r="B389" s="37">
        <v>46053.556944444441</v>
      </c>
      <c r="C389" s="2">
        <v>82789.5</v>
      </c>
      <c r="D389" s="42">
        <v>82796.210000000006</v>
      </c>
      <c r="E389" s="42">
        <v>82756.78</v>
      </c>
      <c r="F389" s="2">
        <v>82777.52</v>
      </c>
      <c r="G389" s="1">
        <v>158</v>
      </c>
      <c r="H389"/>
      <c r="I389" s="37">
        <v>46053.556944444441</v>
      </c>
      <c r="J389" s="36"/>
      <c r="L389" s="2"/>
      <c r="M389" s="2"/>
      <c r="N389"/>
      <c r="O389" s="37">
        <v>46053.556944444441</v>
      </c>
      <c r="P389" s="36"/>
      <c r="R389" s="2"/>
      <c r="S389" s="2"/>
    </row>
    <row r="390" spans="1:19" s="4" customFormat="1" x14ac:dyDescent="0.35">
      <c r="A390" s="7">
        <v>387</v>
      </c>
      <c r="B390" s="37">
        <v>46053.55972222222</v>
      </c>
      <c r="C390" s="2">
        <v>82762.81</v>
      </c>
      <c r="D390" s="42">
        <v>82773.63</v>
      </c>
      <c r="E390" s="42">
        <v>82748.100000000006</v>
      </c>
      <c r="F390" s="2">
        <v>82759.75</v>
      </c>
      <c r="G390" s="1">
        <v>60</v>
      </c>
      <c r="H390"/>
      <c r="I390" s="37">
        <v>46053.55972222222</v>
      </c>
      <c r="J390" s="36"/>
      <c r="L390" s="2"/>
      <c r="M390" s="2"/>
      <c r="N390"/>
      <c r="O390" s="37">
        <v>46053.55972222222</v>
      </c>
      <c r="P390" s="36"/>
      <c r="R390" s="2"/>
      <c r="S390" s="2"/>
    </row>
    <row r="391" spans="1:19" s="4" customFormat="1" x14ac:dyDescent="0.35">
      <c r="A391" s="7">
        <v>388</v>
      </c>
      <c r="B391" s="37">
        <v>46053.560416666667</v>
      </c>
      <c r="C391" s="2">
        <v>82758.38</v>
      </c>
      <c r="D391" s="42">
        <v>82758.38</v>
      </c>
      <c r="E391" s="42">
        <v>82738.67</v>
      </c>
      <c r="F391" s="2">
        <v>82744</v>
      </c>
      <c r="G391" s="1">
        <v>172</v>
      </c>
      <c r="H391"/>
      <c r="I391" s="37">
        <v>46053.560416666667</v>
      </c>
      <c r="J391" s="36"/>
      <c r="L391" s="2"/>
      <c r="M391" s="2"/>
      <c r="N391"/>
      <c r="O391" s="37">
        <v>46053.560416666667</v>
      </c>
      <c r="P391" s="36"/>
      <c r="R391" s="2"/>
      <c r="S391" s="2"/>
    </row>
    <row r="392" spans="1:19" s="4" customFormat="1" x14ac:dyDescent="0.35">
      <c r="A392" s="7">
        <v>389</v>
      </c>
      <c r="B392" s="37">
        <v>46053.561111111114</v>
      </c>
      <c r="C392" s="2">
        <v>82747.72</v>
      </c>
      <c r="D392" s="42">
        <v>82776.97</v>
      </c>
      <c r="E392" s="42">
        <v>82732.33</v>
      </c>
      <c r="F392" s="2">
        <v>82771.100000000006</v>
      </c>
      <c r="G392" s="1">
        <v>159</v>
      </c>
      <c r="H392"/>
      <c r="I392" s="37">
        <v>46053.561111111114</v>
      </c>
      <c r="J392" s="36"/>
      <c r="L392" s="2"/>
      <c r="M392" s="2"/>
      <c r="N392"/>
      <c r="O392" s="37">
        <v>46053.561111111114</v>
      </c>
      <c r="P392" s="36"/>
      <c r="R392" s="2"/>
      <c r="S392" s="2"/>
    </row>
    <row r="393" spans="1:19" s="4" customFormat="1" x14ac:dyDescent="0.35">
      <c r="A393" s="7">
        <v>390</v>
      </c>
      <c r="B393" s="37">
        <v>46053.561805555553</v>
      </c>
      <c r="C393" s="2">
        <v>82771.100000000006</v>
      </c>
      <c r="D393" s="42">
        <v>82791.009999999995</v>
      </c>
      <c r="E393" s="42">
        <v>82771.100000000006</v>
      </c>
      <c r="F393" s="2">
        <v>82790.399999999994</v>
      </c>
      <c r="G393" s="1">
        <v>128</v>
      </c>
      <c r="H393"/>
      <c r="I393" s="37">
        <v>46053.561805555553</v>
      </c>
      <c r="J393" s="36"/>
      <c r="L393" s="2"/>
      <c r="M393" s="2"/>
      <c r="N393"/>
      <c r="O393" s="37">
        <v>46053.561805555553</v>
      </c>
      <c r="P393" s="36"/>
      <c r="R393" s="2"/>
      <c r="S393" s="2"/>
    </row>
    <row r="394" spans="1:19" s="4" customFormat="1" x14ac:dyDescent="0.35">
      <c r="A394" s="7">
        <v>391</v>
      </c>
      <c r="B394" s="37">
        <v>46053.5625</v>
      </c>
      <c r="C394" s="2">
        <v>82790.399999999994</v>
      </c>
      <c r="D394" s="42">
        <v>82811.13</v>
      </c>
      <c r="E394" s="42">
        <v>82778.83</v>
      </c>
      <c r="F394" s="2">
        <v>82780.5</v>
      </c>
      <c r="G394" s="1">
        <v>64</v>
      </c>
      <c r="H394"/>
      <c r="I394" s="37">
        <v>46053.5625</v>
      </c>
      <c r="J394" s="36"/>
      <c r="L394" s="2"/>
      <c r="M394" s="2"/>
      <c r="N394"/>
      <c r="O394" s="37">
        <v>46053.5625</v>
      </c>
      <c r="P394" s="36"/>
      <c r="R394" s="2"/>
      <c r="S394" s="2"/>
    </row>
    <row r="395" spans="1:19" s="4" customFormat="1" x14ac:dyDescent="0.35">
      <c r="A395" s="7">
        <v>392</v>
      </c>
      <c r="B395" s="37">
        <v>46053.563194444447</v>
      </c>
      <c r="C395" s="2">
        <v>82780.5</v>
      </c>
      <c r="D395" s="42">
        <v>82790.3</v>
      </c>
      <c r="E395" s="42">
        <v>82723.509999999995</v>
      </c>
      <c r="F395" s="2">
        <v>82743.94</v>
      </c>
      <c r="G395" s="1">
        <v>159</v>
      </c>
      <c r="H395"/>
      <c r="I395" s="37">
        <v>46053.563194444447</v>
      </c>
      <c r="J395" s="36"/>
      <c r="L395" s="2"/>
      <c r="M395" s="2"/>
      <c r="N395"/>
      <c r="O395" s="37">
        <v>46053.563194444447</v>
      </c>
      <c r="P395" s="36"/>
      <c r="R395" s="2"/>
      <c r="S395" s="2"/>
    </row>
    <row r="396" spans="1:19" s="4" customFormat="1" x14ac:dyDescent="0.35">
      <c r="A396" s="7">
        <v>393</v>
      </c>
      <c r="B396" s="37">
        <v>46053.563888888886</v>
      </c>
      <c r="C396" s="2">
        <v>82743.94</v>
      </c>
      <c r="D396" s="42">
        <v>82761.289999999994</v>
      </c>
      <c r="E396" s="42">
        <v>82599.22</v>
      </c>
      <c r="F396" s="2">
        <v>82610.52</v>
      </c>
      <c r="G396" s="1">
        <v>216</v>
      </c>
      <c r="H396"/>
      <c r="I396" s="37">
        <v>46053.563888888886</v>
      </c>
      <c r="J396" s="36"/>
      <c r="L396" s="2"/>
      <c r="M396" s="2"/>
      <c r="N396"/>
      <c r="O396" s="37">
        <v>46053.563888888886</v>
      </c>
      <c r="P396" s="36"/>
      <c r="R396" s="2"/>
      <c r="S396" s="2"/>
    </row>
    <row r="397" spans="1:19" s="4" customFormat="1" x14ac:dyDescent="0.35">
      <c r="A397" s="7">
        <v>394</v>
      </c>
      <c r="B397" s="37">
        <v>46053.564583333333</v>
      </c>
      <c r="C397" s="2">
        <v>82610.52</v>
      </c>
      <c r="D397" s="42">
        <v>82632</v>
      </c>
      <c r="E397" s="42">
        <v>82548.600000000006</v>
      </c>
      <c r="F397" s="2">
        <v>82589</v>
      </c>
      <c r="G397" s="1">
        <v>271</v>
      </c>
      <c r="H397"/>
      <c r="I397" s="37">
        <v>46053.564583333333</v>
      </c>
      <c r="J397" s="36"/>
      <c r="L397" s="2"/>
      <c r="M397" s="2"/>
      <c r="N397"/>
      <c r="O397" s="37">
        <v>46053.564583333333</v>
      </c>
      <c r="P397" s="36"/>
      <c r="R397" s="2"/>
      <c r="S397" s="2"/>
    </row>
    <row r="398" spans="1:19" s="4" customFormat="1" x14ac:dyDescent="0.35">
      <c r="A398" s="7">
        <v>395</v>
      </c>
      <c r="B398" s="37">
        <v>46053.56527777778</v>
      </c>
      <c r="C398" s="2">
        <v>82588.84</v>
      </c>
      <c r="D398" s="42">
        <v>82588.84</v>
      </c>
      <c r="E398" s="42">
        <v>82461.56</v>
      </c>
      <c r="F398" s="2">
        <v>82506.59</v>
      </c>
      <c r="G398" s="1">
        <v>258</v>
      </c>
      <c r="H398"/>
      <c r="I398" s="37">
        <v>46053.56527777778</v>
      </c>
      <c r="J398" s="36"/>
      <c r="L398" s="2"/>
      <c r="M398" s="2"/>
      <c r="N398"/>
      <c r="O398" s="37">
        <v>46053.56527777778</v>
      </c>
      <c r="P398" s="36"/>
      <c r="R398" s="2"/>
      <c r="S398" s="2"/>
    </row>
    <row r="399" spans="1:19" s="4" customFormat="1" x14ac:dyDescent="0.35">
      <c r="A399" s="7">
        <v>396</v>
      </c>
      <c r="B399" s="37">
        <v>46053.565972222219</v>
      </c>
      <c r="C399" s="2">
        <v>82489.5</v>
      </c>
      <c r="D399" s="42">
        <v>82598.27</v>
      </c>
      <c r="E399" s="42">
        <v>82489.5</v>
      </c>
      <c r="F399" s="2">
        <v>82598.27</v>
      </c>
      <c r="G399" s="1">
        <v>266</v>
      </c>
      <c r="H399"/>
      <c r="I399" s="37">
        <v>46053.565972222219</v>
      </c>
      <c r="J399" s="36"/>
      <c r="L399" s="2"/>
      <c r="M399" s="2"/>
      <c r="N399"/>
      <c r="O399" s="37">
        <v>46053.565972222219</v>
      </c>
      <c r="P399" s="36"/>
      <c r="R399" s="2"/>
      <c r="S399" s="2"/>
    </row>
    <row r="400" spans="1:19" s="4" customFormat="1" x14ac:dyDescent="0.35">
      <c r="A400" s="7">
        <v>397</v>
      </c>
      <c r="B400" s="37">
        <v>46053.566666666666</v>
      </c>
      <c r="C400" s="2">
        <v>82598.3</v>
      </c>
      <c r="D400" s="42">
        <v>82673.23</v>
      </c>
      <c r="E400" s="42">
        <v>82462.31</v>
      </c>
      <c r="F400" s="2">
        <v>82473.91</v>
      </c>
      <c r="G400" s="1">
        <v>256</v>
      </c>
      <c r="H400"/>
      <c r="I400" s="37">
        <v>46053.566666666666</v>
      </c>
      <c r="J400" s="36"/>
      <c r="L400" s="2"/>
      <c r="M400" s="2"/>
      <c r="N400"/>
      <c r="O400" s="37">
        <v>46053.566666666666</v>
      </c>
      <c r="P400" s="36"/>
      <c r="R400" s="2"/>
      <c r="S400" s="2"/>
    </row>
    <row r="401" spans="1:19" s="4" customFormat="1" x14ac:dyDescent="0.35">
      <c r="A401" s="7">
        <v>398</v>
      </c>
      <c r="B401" s="37">
        <v>46053.567361111112</v>
      </c>
      <c r="C401" s="2">
        <v>82473.91</v>
      </c>
      <c r="D401" s="42">
        <v>82539.820000000007</v>
      </c>
      <c r="E401" s="42">
        <v>82453.61</v>
      </c>
      <c r="F401" s="2">
        <v>82509.36</v>
      </c>
      <c r="G401" s="1">
        <v>215</v>
      </c>
      <c r="H401"/>
      <c r="I401" s="37">
        <v>46053.567361111112</v>
      </c>
      <c r="J401" s="36"/>
      <c r="L401" s="2"/>
      <c r="M401" s="2"/>
      <c r="N401"/>
      <c r="O401" s="37">
        <v>46053.567361111112</v>
      </c>
      <c r="P401" s="36"/>
      <c r="R401" s="2"/>
      <c r="S401" s="2"/>
    </row>
    <row r="402" spans="1:19" s="4" customFormat="1" x14ac:dyDescent="0.35">
      <c r="A402" s="7">
        <v>399</v>
      </c>
      <c r="B402" s="37">
        <v>46053.568055555559</v>
      </c>
      <c r="C402" s="2">
        <v>82509.429999999993</v>
      </c>
      <c r="D402" s="42">
        <v>82536.800000000003</v>
      </c>
      <c r="E402" s="42">
        <v>82438.559999999998</v>
      </c>
      <c r="F402" s="2">
        <v>82458.720000000001</v>
      </c>
      <c r="G402" s="1">
        <v>219</v>
      </c>
      <c r="H402"/>
      <c r="I402" s="37">
        <v>46053.568055555559</v>
      </c>
      <c r="J402" s="36"/>
      <c r="L402" s="2"/>
      <c r="M402" s="2"/>
      <c r="N402"/>
      <c r="O402" s="37">
        <v>46053.568055555559</v>
      </c>
      <c r="P402" s="36"/>
      <c r="R402" s="2"/>
      <c r="S402" s="2"/>
    </row>
    <row r="403" spans="1:19" s="4" customFormat="1" x14ac:dyDescent="0.35">
      <c r="A403" s="7">
        <v>400</v>
      </c>
      <c r="B403" s="37">
        <v>46053.568749999999</v>
      </c>
      <c r="C403" s="2">
        <v>82457.78</v>
      </c>
      <c r="D403" s="42">
        <v>82502.42</v>
      </c>
      <c r="E403" s="42">
        <v>82447.600000000006</v>
      </c>
      <c r="F403" s="2">
        <v>82492.69</v>
      </c>
      <c r="G403" s="1">
        <v>236</v>
      </c>
      <c r="H403"/>
      <c r="I403" s="37">
        <v>46053.568749999999</v>
      </c>
      <c r="J403" s="36"/>
      <c r="L403" s="2"/>
      <c r="M403" s="2"/>
      <c r="N403"/>
      <c r="O403" s="37">
        <v>46053.568749999999</v>
      </c>
      <c r="P403" s="36"/>
      <c r="R403" s="2"/>
      <c r="S403" s="2"/>
    </row>
    <row r="404" spans="1:19" s="4" customFormat="1" x14ac:dyDescent="0.35">
      <c r="A404" s="7">
        <v>401</v>
      </c>
      <c r="B404" s="37">
        <v>46053.569444444445</v>
      </c>
      <c r="C404" s="2">
        <v>82495.63</v>
      </c>
      <c r="D404" s="42">
        <v>82578.63</v>
      </c>
      <c r="E404" s="42">
        <v>82495.63</v>
      </c>
      <c r="F404" s="2">
        <v>82560.67</v>
      </c>
      <c r="G404" s="1">
        <v>233</v>
      </c>
      <c r="H404"/>
      <c r="I404" s="37">
        <v>46053.569444444445</v>
      </c>
      <c r="J404" s="36"/>
      <c r="L404" s="2"/>
      <c r="M404" s="2"/>
      <c r="N404"/>
      <c r="O404" s="37">
        <v>46053.569444444445</v>
      </c>
      <c r="P404" s="36"/>
      <c r="R404" s="2"/>
      <c r="S404" s="2"/>
    </row>
    <row r="405" spans="1:19" s="4" customFormat="1" x14ac:dyDescent="0.35">
      <c r="A405" s="7">
        <v>402</v>
      </c>
      <c r="B405" s="37">
        <v>46053.570138888892</v>
      </c>
      <c r="C405" s="2">
        <v>82560.62</v>
      </c>
      <c r="D405" s="42">
        <v>82582.460000000006</v>
      </c>
      <c r="E405" s="42">
        <v>82546.720000000001</v>
      </c>
      <c r="F405" s="2">
        <v>82568</v>
      </c>
      <c r="G405" s="1">
        <v>232</v>
      </c>
      <c r="H405"/>
      <c r="I405" s="37">
        <v>46053.570138888892</v>
      </c>
      <c r="J405" s="36"/>
      <c r="L405" s="2"/>
      <c r="M405" s="2"/>
      <c r="N405"/>
      <c r="O405" s="37">
        <v>46053.570138888892</v>
      </c>
      <c r="P405" s="36"/>
      <c r="R405" s="2"/>
      <c r="S405" s="2"/>
    </row>
    <row r="406" spans="1:19" s="4" customFormat="1" x14ac:dyDescent="0.35">
      <c r="A406" s="7">
        <v>403</v>
      </c>
      <c r="B406" s="37">
        <v>46053.570833333331</v>
      </c>
      <c r="C406" s="2">
        <v>82574.399999999994</v>
      </c>
      <c r="D406" s="42">
        <v>82594.929999999993</v>
      </c>
      <c r="E406" s="42">
        <v>82546.399999999994</v>
      </c>
      <c r="F406" s="2">
        <v>82558.66</v>
      </c>
      <c r="G406" s="1">
        <v>211</v>
      </c>
      <c r="H406"/>
      <c r="I406" s="37">
        <v>46053.570833333331</v>
      </c>
      <c r="J406" s="36"/>
      <c r="L406" s="2"/>
      <c r="M406" s="2"/>
      <c r="N406"/>
      <c r="O406" s="37">
        <v>46053.570833333331</v>
      </c>
      <c r="P406" s="36"/>
      <c r="R406" s="2"/>
      <c r="S406" s="2"/>
    </row>
    <row r="407" spans="1:19" s="4" customFormat="1" x14ac:dyDescent="0.35">
      <c r="A407" s="7">
        <v>404</v>
      </c>
      <c r="B407" s="37">
        <v>46053.571527777778</v>
      </c>
      <c r="C407" s="2">
        <v>82559.72</v>
      </c>
      <c r="D407" s="42">
        <v>82581.539999999994</v>
      </c>
      <c r="E407" s="42">
        <v>82518.5</v>
      </c>
      <c r="F407" s="2">
        <v>82554.23</v>
      </c>
      <c r="G407" s="1">
        <v>208</v>
      </c>
      <c r="H407"/>
      <c r="I407" s="37">
        <v>46053.571527777778</v>
      </c>
      <c r="J407" s="36"/>
      <c r="L407" s="2"/>
      <c r="M407" s="2"/>
      <c r="N407"/>
      <c r="O407" s="37">
        <v>46053.571527777778</v>
      </c>
      <c r="P407" s="36"/>
      <c r="R407" s="2"/>
      <c r="S407" s="2"/>
    </row>
    <row r="408" spans="1:19" s="4" customFormat="1" x14ac:dyDescent="0.35">
      <c r="A408" s="7">
        <v>405</v>
      </c>
      <c r="B408" s="37">
        <v>46053.572222222225</v>
      </c>
      <c r="C408" s="2">
        <v>82554.42</v>
      </c>
      <c r="D408" s="42">
        <v>82615.42</v>
      </c>
      <c r="E408" s="42">
        <v>82554.42</v>
      </c>
      <c r="F408" s="2">
        <v>82608.73</v>
      </c>
      <c r="G408" s="1">
        <v>184</v>
      </c>
      <c r="H408"/>
      <c r="I408" s="37">
        <v>46053.572222222225</v>
      </c>
      <c r="J408" s="36"/>
      <c r="L408" s="2"/>
      <c r="M408" s="2"/>
      <c r="N408"/>
      <c r="O408" s="37">
        <v>46053.572222222225</v>
      </c>
      <c r="P408" s="36"/>
      <c r="R408" s="2"/>
      <c r="S408" s="2"/>
    </row>
    <row r="409" spans="1:19" s="4" customFormat="1" x14ac:dyDescent="0.35">
      <c r="A409" s="7">
        <v>406</v>
      </c>
      <c r="B409" s="37">
        <v>46053.572916666664</v>
      </c>
      <c r="C409" s="2">
        <v>82609.5</v>
      </c>
      <c r="D409" s="42">
        <v>82620.320000000007</v>
      </c>
      <c r="E409" s="42">
        <v>82563.72</v>
      </c>
      <c r="F409" s="2">
        <v>82589.53</v>
      </c>
      <c r="G409" s="1">
        <v>193</v>
      </c>
      <c r="H409"/>
      <c r="I409" s="37">
        <v>46053.572916666664</v>
      </c>
      <c r="J409" s="36"/>
      <c r="L409" s="2"/>
      <c r="M409" s="2"/>
      <c r="N409"/>
      <c r="O409" s="37">
        <v>46053.572916666664</v>
      </c>
      <c r="P409" s="36"/>
      <c r="R409" s="2"/>
      <c r="S409" s="2"/>
    </row>
    <row r="410" spans="1:19" s="4" customFormat="1" x14ac:dyDescent="0.35">
      <c r="A410" s="7">
        <v>407</v>
      </c>
      <c r="B410" s="37">
        <v>46053.573611111111</v>
      </c>
      <c r="C410" s="2">
        <v>82587.72</v>
      </c>
      <c r="D410" s="42">
        <v>82686.100000000006</v>
      </c>
      <c r="E410" s="42">
        <v>82578.2</v>
      </c>
      <c r="F410" s="2">
        <v>82581.87</v>
      </c>
      <c r="G410" s="1">
        <v>217</v>
      </c>
      <c r="H410"/>
      <c r="I410" s="37">
        <v>46053.573611111111</v>
      </c>
      <c r="J410" s="36"/>
      <c r="L410" s="2"/>
      <c r="M410" s="2"/>
      <c r="N410"/>
      <c r="O410" s="37">
        <v>46053.573611111111</v>
      </c>
      <c r="P410" s="36"/>
      <c r="R410" s="2"/>
      <c r="S410" s="2"/>
    </row>
    <row r="411" spans="1:19" s="4" customFormat="1" x14ac:dyDescent="0.35">
      <c r="A411" s="7">
        <v>408</v>
      </c>
      <c r="B411" s="37">
        <v>46053.574305555558</v>
      </c>
      <c r="C411" s="2">
        <v>82587.89</v>
      </c>
      <c r="D411" s="42">
        <v>82656.899999999994</v>
      </c>
      <c r="E411" s="42">
        <v>82581.429999999993</v>
      </c>
      <c r="F411" s="2">
        <v>82590.679999999993</v>
      </c>
      <c r="G411" s="1">
        <v>227</v>
      </c>
      <c r="H411"/>
      <c r="I411" s="37">
        <v>46053.574305555558</v>
      </c>
      <c r="J411" s="36"/>
      <c r="L411" s="2"/>
      <c r="M411" s="2"/>
      <c r="N411"/>
      <c r="O411" s="37">
        <v>46053.574305555558</v>
      </c>
      <c r="P411" s="36"/>
      <c r="R411" s="2"/>
      <c r="S411" s="2"/>
    </row>
    <row r="412" spans="1:19" s="4" customFormat="1" x14ac:dyDescent="0.35">
      <c r="A412" s="7">
        <v>409</v>
      </c>
      <c r="B412" s="37">
        <v>46053.574999999997</v>
      </c>
      <c r="C412" s="2">
        <v>82590.63</v>
      </c>
      <c r="D412" s="42">
        <v>82613.66</v>
      </c>
      <c r="E412" s="42">
        <v>82560.33</v>
      </c>
      <c r="F412" s="2">
        <v>82613.649999999994</v>
      </c>
      <c r="G412" s="1">
        <v>229</v>
      </c>
      <c r="H412"/>
      <c r="I412" s="37">
        <v>46053.574999999997</v>
      </c>
      <c r="J412" s="36"/>
      <c r="L412" s="2"/>
      <c r="M412" s="2"/>
      <c r="N412"/>
      <c r="O412" s="37">
        <v>46053.574999999997</v>
      </c>
      <c r="P412" s="36"/>
      <c r="R412" s="2"/>
      <c r="S412" s="2"/>
    </row>
    <row r="413" spans="1:19" s="4" customFormat="1" x14ac:dyDescent="0.35">
      <c r="A413" s="7">
        <v>410</v>
      </c>
      <c r="B413" s="37">
        <v>46053.575694444444</v>
      </c>
      <c r="C413" s="2">
        <v>82613.649999999994</v>
      </c>
      <c r="D413" s="42">
        <v>82636.039999999994</v>
      </c>
      <c r="E413" s="42">
        <v>82589.02</v>
      </c>
      <c r="F413" s="2">
        <v>82631.199999999997</v>
      </c>
      <c r="G413" s="1">
        <v>211</v>
      </c>
      <c r="H413"/>
      <c r="I413" s="37">
        <v>46053.575694444444</v>
      </c>
      <c r="J413" s="36"/>
      <c r="L413" s="2"/>
      <c r="M413" s="2"/>
      <c r="N413"/>
      <c r="O413" s="37">
        <v>46053.575694444444</v>
      </c>
      <c r="P413" s="36"/>
      <c r="R413" s="2"/>
      <c r="S413" s="2"/>
    </row>
    <row r="414" spans="1:19" s="4" customFormat="1" x14ac:dyDescent="0.35">
      <c r="A414" s="7">
        <v>411</v>
      </c>
      <c r="B414" s="37">
        <v>46053.576388888891</v>
      </c>
      <c r="C414" s="2">
        <v>82630.7</v>
      </c>
      <c r="D414" s="42">
        <v>82638.41</v>
      </c>
      <c r="E414" s="42">
        <v>82595.62</v>
      </c>
      <c r="F414" s="2">
        <v>82634.399999999994</v>
      </c>
      <c r="G414" s="1">
        <v>166</v>
      </c>
      <c r="H414"/>
      <c r="I414" s="37">
        <v>46053.576388888891</v>
      </c>
      <c r="J414" s="36"/>
      <c r="L414" s="2"/>
      <c r="M414" s="2"/>
      <c r="N414"/>
      <c r="O414" s="37">
        <v>46053.576388888891</v>
      </c>
      <c r="P414" s="36"/>
      <c r="R414" s="2"/>
      <c r="S414" s="2"/>
    </row>
    <row r="415" spans="1:19" s="4" customFormat="1" x14ac:dyDescent="0.35">
      <c r="A415" s="7">
        <v>412</v>
      </c>
      <c r="B415" s="37">
        <v>46053.57708333333</v>
      </c>
      <c r="C415" s="2">
        <v>82634.399999999994</v>
      </c>
      <c r="D415" s="42">
        <v>82643.31</v>
      </c>
      <c r="E415" s="42">
        <v>82579.990000000005</v>
      </c>
      <c r="F415" s="2">
        <v>82582.83</v>
      </c>
      <c r="G415" s="1">
        <v>224</v>
      </c>
      <c r="H415"/>
      <c r="I415" s="37">
        <v>46053.57708333333</v>
      </c>
      <c r="J415" s="36"/>
      <c r="L415" s="2"/>
      <c r="M415" s="2"/>
      <c r="N415"/>
      <c r="O415" s="37">
        <v>46053.57708333333</v>
      </c>
      <c r="P415" s="36"/>
      <c r="R415" s="2"/>
      <c r="S415" s="2"/>
    </row>
    <row r="416" spans="1:19" s="4" customFormat="1" x14ac:dyDescent="0.35">
      <c r="A416" s="7">
        <v>413</v>
      </c>
      <c r="B416" s="37">
        <v>46053.577777777777</v>
      </c>
      <c r="C416" s="2">
        <v>82583.399999999994</v>
      </c>
      <c r="D416" s="42">
        <v>82608.539999999994</v>
      </c>
      <c r="E416" s="42">
        <v>82546.3</v>
      </c>
      <c r="F416" s="2">
        <v>82581.259999999995</v>
      </c>
      <c r="G416" s="1">
        <v>199</v>
      </c>
      <c r="H416"/>
      <c r="I416" s="37">
        <v>46053.577777777777</v>
      </c>
      <c r="J416" s="36"/>
      <c r="L416" s="2"/>
      <c r="M416" s="2"/>
      <c r="N416"/>
      <c r="O416" s="37">
        <v>46053.577777777777</v>
      </c>
      <c r="P416" s="36"/>
      <c r="R416" s="2"/>
      <c r="S416" s="2"/>
    </row>
    <row r="417" spans="1:19" s="4" customFormat="1" x14ac:dyDescent="0.35">
      <c r="A417" s="7">
        <v>414</v>
      </c>
      <c r="B417" s="37">
        <v>46053.578472222223</v>
      </c>
      <c r="C417" s="2">
        <v>82582.100000000006</v>
      </c>
      <c r="D417" s="42">
        <v>82623.78</v>
      </c>
      <c r="E417" s="42">
        <v>82582.070000000007</v>
      </c>
      <c r="F417" s="2">
        <v>82614.03</v>
      </c>
      <c r="G417" s="1">
        <v>190</v>
      </c>
      <c r="H417"/>
      <c r="I417" s="37">
        <v>46053.578472222223</v>
      </c>
      <c r="J417" s="36"/>
      <c r="L417" s="2"/>
      <c r="M417" s="2"/>
      <c r="N417"/>
      <c r="O417" s="37">
        <v>46053.578472222223</v>
      </c>
      <c r="P417" s="36"/>
      <c r="R417" s="2"/>
      <c r="S417" s="2"/>
    </row>
    <row r="418" spans="1:19" s="4" customFormat="1" x14ac:dyDescent="0.35">
      <c r="A418" s="7">
        <v>415</v>
      </c>
      <c r="B418" s="37">
        <v>46053.57916666667</v>
      </c>
      <c r="C418" s="2">
        <v>82613.39</v>
      </c>
      <c r="D418" s="42">
        <v>82636.77</v>
      </c>
      <c r="E418" s="42">
        <v>82609.59</v>
      </c>
      <c r="F418" s="2">
        <v>82636.06</v>
      </c>
      <c r="G418" s="1">
        <v>181</v>
      </c>
      <c r="H418"/>
      <c r="I418" s="37">
        <v>46053.57916666667</v>
      </c>
      <c r="J418" s="36"/>
      <c r="L418" s="2"/>
      <c r="M418" s="2"/>
      <c r="N418"/>
      <c r="O418" s="37">
        <v>46053.57916666667</v>
      </c>
      <c r="P418" s="36"/>
      <c r="R418" s="2"/>
      <c r="S418" s="2"/>
    </row>
    <row r="419" spans="1:19" s="4" customFormat="1" x14ac:dyDescent="0.35">
      <c r="A419" s="7">
        <v>416</v>
      </c>
      <c r="B419" s="37">
        <v>46053.579861111109</v>
      </c>
      <c r="C419" s="2">
        <v>82638.44</v>
      </c>
      <c r="D419" s="42">
        <v>82688.820000000007</v>
      </c>
      <c r="E419" s="42">
        <v>82630.490000000005</v>
      </c>
      <c r="F419" s="2">
        <v>82634.149999999994</v>
      </c>
      <c r="G419" s="1">
        <v>199</v>
      </c>
      <c r="H419"/>
      <c r="I419" s="37">
        <v>46053.579861111109</v>
      </c>
      <c r="J419" s="36"/>
      <c r="L419" s="2"/>
      <c r="M419" s="2"/>
      <c r="N419"/>
      <c r="O419" s="37">
        <v>46053.579861111109</v>
      </c>
      <c r="P419" s="36"/>
      <c r="R419" s="2"/>
      <c r="S419" s="2"/>
    </row>
    <row r="420" spans="1:19" s="4" customFormat="1" x14ac:dyDescent="0.35">
      <c r="A420" s="7">
        <v>417</v>
      </c>
      <c r="B420" s="37">
        <v>46053.580555555556</v>
      </c>
      <c r="C420" s="2">
        <v>82634.210000000006</v>
      </c>
      <c r="D420" s="42">
        <v>82654.3</v>
      </c>
      <c r="E420" s="42">
        <v>82632.539999999994</v>
      </c>
      <c r="F420" s="2">
        <v>82639.360000000001</v>
      </c>
      <c r="G420" s="1">
        <v>184</v>
      </c>
      <c r="H420"/>
      <c r="I420" s="37">
        <v>46053.580555555556</v>
      </c>
      <c r="J420" s="36"/>
      <c r="L420" s="2"/>
      <c r="M420" s="2"/>
      <c r="N420"/>
      <c r="O420" s="37">
        <v>46053.580555555556</v>
      </c>
      <c r="P420" s="36"/>
      <c r="R420" s="2"/>
      <c r="S420" s="2"/>
    </row>
    <row r="421" spans="1:19" s="4" customFormat="1" x14ac:dyDescent="0.35">
      <c r="A421" s="7">
        <v>418</v>
      </c>
      <c r="B421" s="37">
        <v>46053.581250000003</v>
      </c>
      <c r="C421" s="2">
        <v>82639.350000000006</v>
      </c>
      <c r="D421" s="42">
        <v>82677.100000000006</v>
      </c>
      <c r="E421" s="42">
        <v>82635.34</v>
      </c>
      <c r="F421" s="2">
        <v>82647.539999999994</v>
      </c>
      <c r="G421" s="1">
        <v>178</v>
      </c>
      <c r="H421"/>
      <c r="I421" s="37">
        <v>46053.581250000003</v>
      </c>
      <c r="J421" s="36"/>
      <c r="L421" s="2"/>
      <c r="M421" s="2"/>
      <c r="N421"/>
      <c r="O421" s="37">
        <v>46053.581250000003</v>
      </c>
      <c r="P421" s="36"/>
      <c r="R421" s="2"/>
      <c r="S421" s="2"/>
    </row>
    <row r="422" spans="1:19" s="4" customFormat="1" x14ac:dyDescent="0.35">
      <c r="A422" s="7">
        <v>419</v>
      </c>
      <c r="B422" s="37">
        <v>46053.581944444442</v>
      </c>
      <c r="C422" s="2">
        <v>82650.81</v>
      </c>
      <c r="D422" s="42">
        <v>82702.600000000006</v>
      </c>
      <c r="E422" s="42">
        <v>82650.81</v>
      </c>
      <c r="F422" s="2">
        <v>82701.990000000005</v>
      </c>
      <c r="G422" s="1">
        <v>147</v>
      </c>
      <c r="H422"/>
      <c r="I422" s="37">
        <v>46053.581944444442</v>
      </c>
      <c r="J422" s="36"/>
      <c r="L422" s="2"/>
      <c r="M422" s="2"/>
      <c r="N422"/>
      <c r="O422" s="37">
        <v>46053.581944444442</v>
      </c>
      <c r="P422" s="36"/>
      <c r="R422" s="2"/>
      <c r="S422" s="2"/>
    </row>
    <row r="423" spans="1:19" s="4" customFormat="1" x14ac:dyDescent="0.35">
      <c r="A423" s="7">
        <v>420</v>
      </c>
      <c r="B423" s="37">
        <v>46053.582638888889</v>
      </c>
      <c r="C423" s="2">
        <v>82701.990000000005</v>
      </c>
      <c r="D423" s="42">
        <v>82732.97</v>
      </c>
      <c r="E423" s="42">
        <v>82701.990000000005</v>
      </c>
      <c r="F423" s="2">
        <v>82723.3</v>
      </c>
      <c r="G423" s="1">
        <v>198</v>
      </c>
      <c r="H423"/>
      <c r="I423" s="37">
        <v>46053.582638888889</v>
      </c>
      <c r="J423" s="36"/>
      <c r="L423" s="2"/>
      <c r="M423" s="2"/>
      <c r="N423"/>
      <c r="O423" s="37">
        <v>46053.582638888889</v>
      </c>
      <c r="P423" s="36"/>
      <c r="R423" s="2"/>
      <c r="S423" s="2"/>
    </row>
    <row r="424" spans="1:19" s="4" customFormat="1" x14ac:dyDescent="0.35">
      <c r="A424" s="7">
        <v>421</v>
      </c>
      <c r="B424" s="37">
        <v>46053.583333333336</v>
      </c>
      <c r="C424" s="2">
        <v>82723.3</v>
      </c>
      <c r="D424" s="42">
        <v>82778.320000000007</v>
      </c>
      <c r="E424" s="42">
        <v>82723.23</v>
      </c>
      <c r="F424" s="2">
        <v>82763.73</v>
      </c>
      <c r="G424" s="1">
        <v>209</v>
      </c>
      <c r="H424"/>
      <c r="I424" s="37">
        <v>46053.583333333336</v>
      </c>
      <c r="J424" s="36"/>
      <c r="L424" s="2"/>
      <c r="M424" s="2"/>
      <c r="N424"/>
      <c r="O424" s="37">
        <v>46053.583333333336</v>
      </c>
      <c r="P424" s="36"/>
      <c r="R424" s="2"/>
      <c r="S424" s="2"/>
    </row>
    <row r="425" spans="1:19" s="4" customFormat="1" x14ac:dyDescent="0.35">
      <c r="A425" s="7">
        <v>422</v>
      </c>
      <c r="B425" s="37">
        <v>46053.584027777775</v>
      </c>
      <c r="C425" s="2">
        <v>82763.66</v>
      </c>
      <c r="D425" s="42">
        <v>82790.399999999994</v>
      </c>
      <c r="E425" s="42">
        <v>82763.509999999995</v>
      </c>
      <c r="F425" s="2">
        <v>82774.28</v>
      </c>
      <c r="G425" s="1">
        <v>222</v>
      </c>
      <c r="H425"/>
      <c r="I425" s="37">
        <v>46053.584027777775</v>
      </c>
      <c r="J425" s="36"/>
      <c r="L425" s="2"/>
      <c r="M425" s="2"/>
      <c r="N425"/>
      <c r="O425" s="37">
        <v>46053.584027777775</v>
      </c>
      <c r="P425" s="36"/>
      <c r="R425" s="2"/>
      <c r="S425" s="2"/>
    </row>
    <row r="426" spans="1:19" s="4" customFormat="1" x14ac:dyDescent="0.35">
      <c r="A426" s="7">
        <v>423</v>
      </c>
      <c r="B426" s="37">
        <v>46053.584722222222</v>
      </c>
      <c r="C426" s="2">
        <v>82774.3</v>
      </c>
      <c r="D426" s="42">
        <v>82774.3</v>
      </c>
      <c r="E426" s="42">
        <v>82670.259999999995</v>
      </c>
      <c r="F426" s="2">
        <v>82710.31</v>
      </c>
      <c r="G426" s="1">
        <v>211</v>
      </c>
      <c r="H426"/>
      <c r="I426" s="37">
        <v>46053.584722222222</v>
      </c>
      <c r="J426" s="36"/>
      <c r="L426" s="2"/>
      <c r="M426" s="2"/>
      <c r="N426"/>
      <c r="O426" s="37">
        <v>46053.584722222222</v>
      </c>
      <c r="P426" s="36"/>
      <c r="R426" s="2"/>
      <c r="S426" s="2"/>
    </row>
    <row r="427" spans="1:19" s="4" customFormat="1" x14ac:dyDescent="0.35">
      <c r="A427" s="7">
        <v>424</v>
      </c>
      <c r="B427" s="37">
        <v>46053.585416666669</v>
      </c>
      <c r="C427" s="2">
        <v>82710.31</v>
      </c>
      <c r="D427" s="42">
        <v>82774.3</v>
      </c>
      <c r="E427" s="42">
        <v>82710.31</v>
      </c>
      <c r="F427" s="2">
        <v>82742.899999999994</v>
      </c>
      <c r="G427" s="1">
        <v>175</v>
      </c>
      <c r="H427"/>
      <c r="I427" s="37">
        <v>46053.585416666669</v>
      </c>
      <c r="J427" s="36"/>
      <c r="L427" s="2"/>
      <c r="M427" s="2"/>
      <c r="N427"/>
      <c r="O427" s="37">
        <v>46053.585416666669</v>
      </c>
      <c r="P427" s="36"/>
      <c r="R427" s="2"/>
      <c r="S427" s="2"/>
    </row>
    <row r="428" spans="1:19" s="4" customFormat="1" x14ac:dyDescent="0.35">
      <c r="A428" s="7">
        <v>425</v>
      </c>
      <c r="B428" s="37">
        <v>46053.586111111108</v>
      </c>
      <c r="C428" s="2">
        <v>82739.91</v>
      </c>
      <c r="D428" s="42">
        <v>82833.490000000005</v>
      </c>
      <c r="E428" s="42">
        <v>82739.100000000006</v>
      </c>
      <c r="F428" s="2">
        <v>82833.490000000005</v>
      </c>
      <c r="G428" s="1">
        <v>180</v>
      </c>
      <c r="H428"/>
      <c r="I428" s="37">
        <v>46053.586111111108</v>
      </c>
      <c r="J428" s="36"/>
      <c r="L428" s="2"/>
      <c r="M428" s="2"/>
      <c r="N428"/>
      <c r="O428" s="37">
        <v>46053.586111111108</v>
      </c>
      <c r="P428" s="36"/>
      <c r="R428" s="2"/>
      <c r="S428" s="2"/>
    </row>
    <row r="429" spans="1:19" s="4" customFormat="1" x14ac:dyDescent="0.35">
      <c r="A429" s="7">
        <v>426</v>
      </c>
      <c r="B429" s="37">
        <v>46053.586805555555</v>
      </c>
      <c r="C429" s="2">
        <v>82837.41</v>
      </c>
      <c r="D429" s="42">
        <v>82872.210000000006</v>
      </c>
      <c r="E429" s="42">
        <v>82810.149999999994</v>
      </c>
      <c r="F429" s="2">
        <v>82810.5</v>
      </c>
      <c r="G429" s="1">
        <v>232</v>
      </c>
      <c r="H429"/>
      <c r="I429" s="37">
        <v>46053.586805555555</v>
      </c>
      <c r="J429" s="36"/>
      <c r="L429" s="2"/>
      <c r="M429" s="2"/>
      <c r="N429"/>
      <c r="O429" s="37">
        <v>46053.586805555555</v>
      </c>
      <c r="P429" s="36"/>
      <c r="R429" s="2"/>
      <c r="S429" s="2"/>
    </row>
    <row r="430" spans="1:19" s="4" customFormat="1" x14ac:dyDescent="0.35">
      <c r="A430" s="7">
        <v>427</v>
      </c>
      <c r="B430" s="37">
        <v>46053.587500000001</v>
      </c>
      <c r="C430" s="2">
        <v>82810.25</v>
      </c>
      <c r="D430" s="42">
        <v>82889.100000000006</v>
      </c>
      <c r="E430" s="42">
        <v>82810.22</v>
      </c>
      <c r="F430" s="2">
        <v>82878</v>
      </c>
      <c r="G430" s="1">
        <v>207</v>
      </c>
      <c r="H430"/>
      <c r="I430" s="37">
        <v>46053.587500000001</v>
      </c>
      <c r="J430" s="36"/>
      <c r="L430" s="2"/>
      <c r="M430" s="2"/>
      <c r="N430"/>
      <c r="O430" s="37">
        <v>46053.587500000001</v>
      </c>
      <c r="P430" s="36"/>
      <c r="R430" s="2"/>
      <c r="S430" s="2"/>
    </row>
    <row r="431" spans="1:19" s="4" customFormat="1" x14ac:dyDescent="0.35">
      <c r="A431" s="7">
        <v>428</v>
      </c>
      <c r="B431" s="37">
        <v>46053.588194444441</v>
      </c>
      <c r="C431" s="2">
        <v>82878.23</v>
      </c>
      <c r="D431" s="42">
        <v>82878.320000000007</v>
      </c>
      <c r="E431" s="42">
        <v>82770.28</v>
      </c>
      <c r="F431" s="2">
        <v>82780.55</v>
      </c>
      <c r="G431" s="1">
        <v>217</v>
      </c>
      <c r="H431"/>
      <c r="I431" s="37">
        <v>46053.588194444441</v>
      </c>
      <c r="J431" s="36"/>
      <c r="L431" s="2"/>
      <c r="M431" s="2"/>
      <c r="N431"/>
      <c r="O431" s="37">
        <v>46053.588194444441</v>
      </c>
      <c r="P431" s="36"/>
      <c r="R431" s="2"/>
      <c r="S431" s="2"/>
    </row>
    <row r="432" spans="1:19" s="4" customFormat="1" x14ac:dyDescent="0.35">
      <c r="A432" s="7">
        <v>429</v>
      </c>
      <c r="B432" s="37">
        <v>46053.588888888888</v>
      </c>
      <c r="C432" s="2">
        <v>82780.69</v>
      </c>
      <c r="D432" s="42">
        <v>82780.69</v>
      </c>
      <c r="E432" s="42">
        <v>82590.22</v>
      </c>
      <c r="F432" s="2">
        <v>82595.11</v>
      </c>
      <c r="G432" s="1">
        <v>248</v>
      </c>
      <c r="H432"/>
      <c r="I432" s="37">
        <v>46053.588888888888</v>
      </c>
      <c r="J432" s="36"/>
      <c r="L432" s="2"/>
      <c r="M432" s="2"/>
      <c r="N432"/>
      <c r="O432" s="37">
        <v>46053.588888888888</v>
      </c>
      <c r="P432" s="36"/>
      <c r="R432" s="2"/>
      <c r="S432" s="2"/>
    </row>
    <row r="433" spans="1:19" s="4" customFormat="1" x14ac:dyDescent="0.35">
      <c r="A433" s="7">
        <v>430</v>
      </c>
      <c r="B433" s="37">
        <v>46053.589583333334</v>
      </c>
      <c r="C433" s="2">
        <v>82590.41</v>
      </c>
      <c r="D433" s="42">
        <v>82590.41</v>
      </c>
      <c r="E433" s="42">
        <v>82537</v>
      </c>
      <c r="F433" s="2">
        <v>82556.89</v>
      </c>
      <c r="G433" s="1">
        <v>258</v>
      </c>
      <c r="H433"/>
      <c r="I433" s="37">
        <v>46053.589583333334</v>
      </c>
      <c r="J433" s="36"/>
      <c r="L433" s="2"/>
      <c r="M433" s="2"/>
      <c r="N433"/>
      <c r="O433" s="37">
        <v>46053.589583333334</v>
      </c>
      <c r="P433" s="36"/>
      <c r="R433" s="2"/>
      <c r="S433" s="2"/>
    </row>
    <row r="434" spans="1:19" x14ac:dyDescent="0.35">
      <c r="A434" s="7">
        <v>431</v>
      </c>
      <c r="B434" s="37">
        <v>46053.590277777781</v>
      </c>
      <c r="C434" s="2">
        <v>82557.53</v>
      </c>
      <c r="D434" s="42">
        <v>82626.740000000005</v>
      </c>
      <c r="E434" s="42">
        <v>82369.100000000006</v>
      </c>
      <c r="F434" s="2">
        <v>82415.58</v>
      </c>
      <c r="G434" s="1">
        <v>255</v>
      </c>
      <c r="I434" s="37">
        <v>46053.590277777781</v>
      </c>
      <c r="J434" s="36"/>
      <c r="L434" s="2"/>
      <c r="M434" s="2"/>
      <c r="O434" s="37">
        <v>46053.590277777781</v>
      </c>
      <c r="P434" s="36"/>
      <c r="R434" s="2"/>
      <c r="S434" s="2"/>
    </row>
    <row r="435" spans="1:19" x14ac:dyDescent="0.35">
      <c r="A435" s="7">
        <v>432</v>
      </c>
      <c r="B435" s="37">
        <v>46053.59097222222</v>
      </c>
      <c r="C435" s="2">
        <v>82406.28</v>
      </c>
      <c r="D435" s="42">
        <v>82541.210000000006</v>
      </c>
      <c r="E435" s="42">
        <v>82406.28</v>
      </c>
      <c r="F435" s="2">
        <v>82477.490000000005</v>
      </c>
      <c r="G435" s="1">
        <v>267</v>
      </c>
      <c r="I435" s="37">
        <v>46053.59097222222</v>
      </c>
      <c r="J435" s="36"/>
      <c r="L435" s="2"/>
      <c r="M435" s="2"/>
      <c r="O435" s="37">
        <v>46053.59097222222</v>
      </c>
      <c r="P435" s="36"/>
      <c r="R435" s="2"/>
      <c r="S435" s="2"/>
    </row>
    <row r="436" spans="1:19" x14ac:dyDescent="0.35">
      <c r="A436" s="7">
        <v>433</v>
      </c>
      <c r="B436" s="37">
        <v>46053.591666666667</v>
      </c>
      <c r="C436" s="2">
        <v>82483.19</v>
      </c>
      <c r="D436" s="42">
        <v>82487.22</v>
      </c>
      <c r="E436" s="42">
        <v>82378.84</v>
      </c>
      <c r="F436" s="2">
        <v>82420.88</v>
      </c>
      <c r="G436" s="1">
        <v>253</v>
      </c>
      <c r="I436" s="37">
        <v>46053.591666666667</v>
      </c>
      <c r="J436" s="36"/>
      <c r="L436" s="2"/>
      <c r="M436" s="2"/>
      <c r="O436" s="37">
        <v>46053.591666666667</v>
      </c>
      <c r="P436" s="36"/>
      <c r="R436" s="2"/>
      <c r="S436" s="2"/>
    </row>
    <row r="437" spans="1:19" x14ac:dyDescent="0.35">
      <c r="A437" s="7">
        <v>434</v>
      </c>
      <c r="B437" s="37">
        <v>46053.592361111114</v>
      </c>
      <c r="C437" s="2">
        <v>82421.53</v>
      </c>
      <c r="D437" s="42">
        <v>82444.94</v>
      </c>
      <c r="E437" s="42">
        <v>82340.63</v>
      </c>
      <c r="F437" s="2">
        <v>82444.94</v>
      </c>
      <c r="G437" s="1">
        <v>245</v>
      </c>
      <c r="I437" s="37">
        <v>46053.592361111114</v>
      </c>
      <c r="J437" s="36"/>
      <c r="L437" s="2"/>
      <c r="M437" s="2"/>
      <c r="O437" s="37">
        <v>46053.592361111114</v>
      </c>
      <c r="P437" s="36"/>
      <c r="R437" s="2"/>
      <c r="S437" s="2"/>
    </row>
    <row r="438" spans="1:19" x14ac:dyDescent="0.35">
      <c r="A438" s="7">
        <v>435</v>
      </c>
      <c r="B438" s="37">
        <v>46053.593055555553</v>
      </c>
      <c r="C438" s="2">
        <v>82453.240000000005</v>
      </c>
      <c r="D438" s="42">
        <v>82492.5</v>
      </c>
      <c r="E438" s="42">
        <v>82299.100000000006</v>
      </c>
      <c r="F438" s="2">
        <v>82407.899999999994</v>
      </c>
      <c r="G438" s="1">
        <v>274</v>
      </c>
      <c r="I438" s="37">
        <v>46053.593055555553</v>
      </c>
      <c r="J438" s="36"/>
      <c r="L438" s="2"/>
      <c r="M438" s="2"/>
      <c r="O438" s="37">
        <v>46053.593055555553</v>
      </c>
      <c r="P438" s="36"/>
      <c r="R438" s="2"/>
      <c r="S438" s="2"/>
    </row>
    <row r="439" spans="1:19" x14ac:dyDescent="0.35">
      <c r="A439" s="7">
        <v>436</v>
      </c>
      <c r="B439" s="37">
        <v>46053.59375</v>
      </c>
      <c r="C439" s="2">
        <v>82407.899999999994</v>
      </c>
      <c r="D439" s="42">
        <v>82457.710000000006</v>
      </c>
      <c r="E439" s="42">
        <v>82249.350000000006</v>
      </c>
      <c r="F439" s="2">
        <v>82347.89</v>
      </c>
      <c r="G439" s="1">
        <v>294</v>
      </c>
      <c r="I439" s="37">
        <v>46053.59375</v>
      </c>
      <c r="J439" s="36"/>
      <c r="L439" s="2"/>
      <c r="M439" s="2"/>
      <c r="O439" s="37">
        <v>46053.59375</v>
      </c>
      <c r="P439" s="36"/>
      <c r="R439" s="2"/>
      <c r="S439" s="2"/>
    </row>
    <row r="440" spans="1:19" x14ac:dyDescent="0.35">
      <c r="A440" s="7">
        <v>437</v>
      </c>
      <c r="B440" s="37">
        <v>46053.594444444447</v>
      </c>
      <c r="C440" s="2">
        <v>82352.3</v>
      </c>
      <c r="D440" s="42">
        <v>82476</v>
      </c>
      <c r="E440" s="42">
        <v>82339.94</v>
      </c>
      <c r="F440" s="2">
        <v>82476</v>
      </c>
      <c r="G440" s="1">
        <v>284</v>
      </c>
      <c r="I440" s="37">
        <v>46053.594444444447</v>
      </c>
      <c r="J440" s="36"/>
      <c r="L440" s="2"/>
      <c r="M440" s="2"/>
      <c r="O440" s="37">
        <v>46053.594444444447</v>
      </c>
      <c r="P440" s="36"/>
      <c r="R440" s="2"/>
      <c r="S440" s="2"/>
    </row>
    <row r="441" spans="1:19" x14ac:dyDescent="0.35">
      <c r="A441" s="7">
        <v>438</v>
      </c>
      <c r="B441" s="37">
        <v>46053.595138888886</v>
      </c>
      <c r="C441" s="2">
        <v>82470.850000000006</v>
      </c>
      <c r="D441" s="42">
        <v>82470.850000000006</v>
      </c>
      <c r="E441" s="42">
        <v>82328.81</v>
      </c>
      <c r="F441" s="2">
        <v>82358.2</v>
      </c>
      <c r="G441" s="1">
        <v>285</v>
      </c>
      <c r="I441" s="37">
        <v>46053.595138888886</v>
      </c>
      <c r="J441" s="36"/>
      <c r="L441" s="2"/>
      <c r="M441" s="2"/>
      <c r="O441" s="37">
        <v>46053.595138888886</v>
      </c>
      <c r="P441" s="36"/>
      <c r="R441" s="2"/>
      <c r="S441" s="2"/>
    </row>
    <row r="442" spans="1:19" x14ac:dyDescent="0.35">
      <c r="A442" s="7">
        <v>439</v>
      </c>
      <c r="B442" s="37">
        <v>46053.595833333333</v>
      </c>
      <c r="C442" s="2">
        <v>82361.5</v>
      </c>
      <c r="D442" s="42">
        <v>82379</v>
      </c>
      <c r="E442" s="42">
        <v>82229.73</v>
      </c>
      <c r="F442" s="2">
        <v>82238.990000000005</v>
      </c>
      <c r="G442" s="1">
        <v>285</v>
      </c>
      <c r="I442" s="37">
        <v>46053.595833333333</v>
      </c>
      <c r="J442" s="36"/>
      <c r="L442" s="2"/>
      <c r="M442" s="2"/>
      <c r="O442" s="37">
        <v>46053.595833333333</v>
      </c>
      <c r="P442" s="36"/>
      <c r="R442" s="2"/>
      <c r="S442" s="2"/>
    </row>
    <row r="443" spans="1:19" x14ac:dyDescent="0.35">
      <c r="A443" s="7">
        <v>440</v>
      </c>
      <c r="B443" s="37">
        <v>46053.59652777778</v>
      </c>
      <c r="C443" s="2">
        <v>82256.3</v>
      </c>
      <c r="D443" s="42">
        <v>82310.03</v>
      </c>
      <c r="E443" s="42">
        <v>82190.789999999994</v>
      </c>
      <c r="F443" s="2">
        <v>82230.710000000006</v>
      </c>
      <c r="G443" s="1">
        <v>287</v>
      </c>
      <c r="I443" s="37">
        <v>46053.59652777778</v>
      </c>
      <c r="J443" s="36"/>
      <c r="L443" s="2"/>
      <c r="M443" s="2"/>
      <c r="O443" s="37">
        <v>46053.59652777778</v>
      </c>
      <c r="P443" s="36"/>
      <c r="R443" s="2"/>
      <c r="S443" s="2"/>
    </row>
    <row r="444" spans="1:19" x14ac:dyDescent="0.35">
      <c r="A444" s="7">
        <v>441</v>
      </c>
      <c r="B444" s="37">
        <v>46053.597222222219</v>
      </c>
      <c r="C444" s="2">
        <v>82231.070000000007</v>
      </c>
      <c r="D444" s="42">
        <v>82289.95</v>
      </c>
      <c r="E444" s="42">
        <v>82204.09</v>
      </c>
      <c r="F444" s="2">
        <v>82222.929999999993</v>
      </c>
      <c r="G444" s="1">
        <v>277</v>
      </c>
      <c r="I444" s="37">
        <v>46053.597222222219</v>
      </c>
      <c r="J444" s="36"/>
      <c r="L444" s="2"/>
      <c r="M444" s="2"/>
      <c r="O444" s="37">
        <v>46053.597222222219</v>
      </c>
      <c r="P444" s="36"/>
      <c r="R444" s="2"/>
      <c r="S444" s="2"/>
    </row>
    <row r="445" spans="1:19" x14ac:dyDescent="0.35">
      <c r="A445" s="7">
        <v>442</v>
      </c>
      <c r="B445" s="37">
        <v>46053.597916666666</v>
      </c>
      <c r="C445" s="2">
        <v>82223.460000000006</v>
      </c>
      <c r="D445" s="42">
        <v>82317.740000000005</v>
      </c>
      <c r="E445" s="42">
        <v>82210.37</v>
      </c>
      <c r="F445" s="2">
        <v>82245.59</v>
      </c>
      <c r="G445" s="1">
        <v>256</v>
      </c>
      <c r="I445" s="37">
        <v>46053.597916666666</v>
      </c>
      <c r="J445" s="36"/>
      <c r="L445" s="2"/>
      <c r="M445" s="2"/>
      <c r="O445" s="37">
        <v>46053.597916666666</v>
      </c>
      <c r="P445" s="36"/>
      <c r="R445" s="2"/>
      <c r="S445" s="2"/>
    </row>
    <row r="446" spans="1:19" x14ac:dyDescent="0.35">
      <c r="A446" s="7">
        <v>443</v>
      </c>
      <c r="B446" s="37">
        <v>46053.598611111112</v>
      </c>
      <c r="C446" s="2">
        <v>82254.61</v>
      </c>
      <c r="D446" s="42">
        <v>82282.36</v>
      </c>
      <c r="E446" s="42">
        <v>82121.61</v>
      </c>
      <c r="F446" s="2">
        <v>82121.61</v>
      </c>
      <c r="G446" s="1">
        <v>285</v>
      </c>
      <c r="I446" s="37">
        <v>46053.598611111112</v>
      </c>
      <c r="J446" s="36"/>
      <c r="L446" s="2"/>
      <c r="M446" s="2"/>
      <c r="O446" s="37">
        <v>46053.598611111112</v>
      </c>
      <c r="P446" s="36"/>
      <c r="R446" s="2"/>
      <c r="S446" s="2"/>
    </row>
    <row r="447" spans="1:19" x14ac:dyDescent="0.35">
      <c r="A447" s="7">
        <v>444</v>
      </c>
      <c r="B447" s="37">
        <v>46053.599305555559</v>
      </c>
      <c r="C447" s="2">
        <v>82110.509999999995</v>
      </c>
      <c r="D447" s="42">
        <v>82178</v>
      </c>
      <c r="E447" s="42">
        <v>81961.960000000006</v>
      </c>
      <c r="F447" s="2">
        <v>82000.58</v>
      </c>
      <c r="G447" s="1">
        <v>306</v>
      </c>
      <c r="I447" s="37">
        <v>46053.599305555559</v>
      </c>
      <c r="J447" s="36"/>
      <c r="L447" s="2"/>
      <c r="M447" s="2"/>
      <c r="O447" s="37">
        <v>46053.599305555559</v>
      </c>
      <c r="P447" s="36"/>
      <c r="R447" s="2"/>
      <c r="S447" s="2"/>
    </row>
    <row r="448" spans="1:19" x14ac:dyDescent="0.35">
      <c r="A448" s="7">
        <v>445</v>
      </c>
      <c r="B448" s="37">
        <v>46053.599999999999</v>
      </c>
      <c r="C448" s="2">
        <v>82001.350000000006</v>
      </c>
      <c r="D448" s="42">
        <v>82093.16</v>
      </c>
      <c r="E448" s="42">
        <v>81918.039999999994</v>
      </c>
      <c r="F448" s="2">
        <v>81927.3</v>
      </c>
      <c r="G448" s="1">
        <v>308</v>
      </c>
      <c r="I448" s="37">
        <v>46053.599999999999</v>
      </c>
      <c r="J448" s="36"/>
      <c r="L448" s="2"/>
      <c r="M448" s="2"/>
      <c r="O448" s="37">
        <v>46053.599999999999</v>
      </c>
      <c r="P448" s="36"/>
      <c r="R448" s="2"/>
      <c r="S448" s="2"/>
    </row>
    <row r="449" spans="1:19" x14ac:dyDescent="0.35">
      <c r="A449" s="7">
        <v>446</v>
      </c>
      <c r="B449" s="37">
        <v>46053.600694444445</v>
      </c>
      <c r="C449" s="2">
        <v>81926.58</v>
      </c>
      <c r="D449" s="42">
        <v>82057.320000000007</v>
      </c>
      <c r="E449" s="42">
        <v>81907.45</v>
      </c>
      <c r="F449" s="2">
        <v>81952.5</v>
      </c>
      <c r="G449" s="1">
        <v>297</v>
      </c>
      <c r="I449" s="37">
        <v>46053.600694444445</v>
      </c>
      <c r="J449" s="36"/>
      <c r="L449" s="2"/>
      <c r="M449" s="2"/>
      <c r="O449" s="37">
        <v>46053.600694444445</v>
      </c>
      <c r="P449" s="36"/>
      <c r="R449" s="2"/>
      <c r="S449" s="2"/>
    </row>
    <row r="450" spans="1:19" x14ac:dyDescent="0.35">
      <c r="A450" s="7">
        <v>447</v>
      </c>
      <c r="B450" s="37">
        <v>46053.601388888892</v>
      </c>
      <c r="C450" s="2">
        <v>81941.55</v>
      </c>
      <c r="D450" s="42">
        <v>82004.009999999995</v>
      </c>
      <c r="E450" s="42">
        <v>81239.490000000005</v>
      </c>
      <c r="F450" s="2">
        <v>81532.800000000003</v>
      </c>
      <c r="G450" s="1">
        <v>295</v>
      </c>
      <c r="I450" s="37">
        <v>46053.601388888892</v>
      </c>
      <c r="J450" s="36"/>
      <c r="L450" s="2"/>
      <c r="M450" s="2"/>
      <c r="O450" s="37">
        <v>46053.601388888892</v>
      </c>
      <c r="P450" s="36"/>
      <c r="R450" s="2"/>
      <c r="S450" s="2"/>
    </row>
    <row r="451" spans="1:19" x14ac:dyDescent="0.35">
      <c r="A451" s="7">
        <v>448</v>
      </c>
      <c r="B451" s="37">
        <v>46053.602083333331</v>
      </c>
      <c r="C451" s="2">
        <v>81530.12</v>
      </c>
      <c r="D451" s="42">
        <v>81728.7</v>
      </c>
      <c r="E451" s="42">
        <v>81257.919999999998</v>
      </c>
      <c r="F451" s="2">
        <v>81488.66</v>
      </c>
      <c r="G451" s="1">
        <v>309</v>
      </c>
      <c r="I451" s="37">
        <v>46053.602083333331</v>
      </c>
      <c r="J451" s="36"/>
      <c r="L451" s="2"/>
      <c r="M451" s="2"/>
      <c r="O451" s="37">
        <v>46053.602083333331</v>
      </c>
      <c r="P451" s="36"/>
      <c r="R451" s="2"/>
      <c r="S451" s="2"/>
    </row>
    <row r="452" spans="1:19" x14ac:dyDescent="0.35">
      <c r="A452" s="7">
        <v>449</v>
      </c>
      <c r="B452" s="37">
        <v>46053.602777777778</v>
      </c>
      <c r="C452" s="2">
        <v>81503.94</v>
      </c>
      <c r="D452" s="42">
        <v>81674.600000000006</v>
      </c>
      <c r="E452" s="42">
        <v>81324.88</v>
      </c>
      <c r="F452" s="2">
        <v>81543.929999999993</v>
      </c>
      <c r="G452" s="1">
        <v>305</v>
      </c>
      <c r="I452" s="37">
        <v>46053.602777777778</v>
      </c>
      <c r="J452" s="36"/>
      <c r="L452" s="2"/>
      <c r="M452" s="2"/>
      <c r="O452" s="37">
        <v>46053.602777777778</v>
      </c>
      <c r="P452" s="36"/>
      <c r="R452" s="2"/>
      <c r="S452" s="2"/>
    </row>
    <row r="453" spans="1:19" x14ac:dyDescent="0.35">
      <c r="A453" s="7">
        <v>450</v>
      </c>
      <c r="B453" s="37">
        <v>46053.603472222225</v>
      </c>
      <c r="C453" s="2">
        <v>81543.87</v>
      </c>
      <c r="D453" s="42">
        <v>81612.039999999994</v>
      </c>
      <c r="E453" s="42">
        <v>81349.67</v>
      </c>
      <c r="F453" s="2">
        <v>81556.12</v>
      </c>
      <c r="G453" s="1">
        <v>306</v>
      </c>
      <c r="I453" s="37">
        <v>46053.603472222225</v>
      </c>
      <c r="J453" s="36"/>
      <c r="L453" s="2"/>
      <c r="M453" s="2"/>
      <c r="O453" s="37">
        <v>46053.603472222225</v>
      </c>
      <c r="P453" s="36"/>
      <c r="R453" s="2"/>
      <c r="S453" s="2"/>
    </row>
    <row r="454" spans="1:19" x14ac:dyDescent="0.35">
      <c r="A454" s="7">
        <v>451</v>
      </c>
      <c r="B454" s="37">
        <v>46053.604166666664</v>
      </c>
      <c r="C454" s="2">
        <v>81549.2</v>
      </c>
      <c r="D454" s="42">
        <v>81590.240000000005</v>
      </c>
      <c r="E454" s="42">
        <v>81360.289999999994</v>
      </c>
      <c r="F454" s="2">
        <v>81402.13</v>
      </c>
      <c r="G454" s="1">
        <v>302</v>
      </c>
      <c r="I454" s="37">
        <v>46053.604166666664</v>
      </c>
      <c r="J454" s="36"/>
      <c r="L454" s="2"/>
      <c r="M454" s="2"/>
      <c r="O454" s="37">
        <v>46053.604166666664</v>
      </c>
      <c r="P454" s="36"/>
      <c r="R454" s="2"/>
      <c r="S454" s="2"/>
    </row>
    <row r="455" spans="1:19" x14ac:dyDescent="0.35">
      <c r="A455" s="7">
        <v>452</v>
      </c>
      <c r="B455" s="37">
        <v>46053.604861111111</v>
      </c>
      <c r="C455" s="2">
        <v>81396.75</v>
      </c>
      <c r="D455" s="42">
        <v>81442.8</v>
      </c>
      <c r="E455" s="42">
        <v>81101.23</v>
      </c>
      <c r="F455" s="2">
        <v>81101.23</v>
      </c>
      <c r="G455" s="1">
        <v>312</v>
      </c>
      <c r="I455" s="37">
        <v>46053.604861111111</v>
      </c>
      <c r="J455" s="36"/>
      <c r="L455" s="2"/>
      <c r="M455" s="2"/>
      <c r="O455" s="37">
        <v>46053.604861111111</v>
      </c>
      <c r="P455" s="36"/>
      <c r="R455" s="2"/>
      <c r="S455" s="2"/>
    </row>
    <row r="456" spans="1:19" x14ac:dyDescent="0.35">
      <c r="A456" s="7">
        <v>453</v>
      </c>
      <c r="B456" s="37">
        <v>46053.605555555558</v>
      </c>
      <c r="C456" s="2">
        <v>81108.97</v>
      </c>
      <c r="D456" s="42">
        <v>81372.210000000006</v>
      </c>
      <c r="E456" s="42">
        <v>81101.460000000006</v>
      </c>
      <c r="F456" s="2">
        <v>81368.52</v>
      </c>
      <c r="G456" s="1">
        <v>310</v>
      </c>
      <c r="I456" s="37">
        <v>46053.605555555558</v>
      </c>
      <c r="J456" s="36"/>
      <c r="L456" s="2"/>
      <c r="M456" s="2"/>
      <c r="O456" s="37">
        <v>46053.605555555558</v>
      </c>
      <c r="P456" s="36"/>
      <c r="R456" s="2"/>
      <c r="S456" s="2"/>
    </row>
    <row r="457" spans="1:19" x14ac:dyDescent="0.35">
      <c r="A457" s="7">
        <v>454</v>
      </c>
      <c r="B457" s="37">
        <v>46053.606249999997</v>
      </c>
      <c r="C457" s="2">
        <v>81368.600000000006</v>
      </c>
      <c r="D457" s="42">
        <v>81494.740000000005</v>
      </c>
      <c r="E457" s="42">
        <v>81297.64</v>
      </c>
      <c r="F457" s="2">
        <v>81323.789999999994</v>
      </c>
      <c r="G457" s="1">
        <v>315</v>
      </c>
      <c r="I457" s="37">
        <v>46053.606249999997</v>
      </c>
      <c r="J457" s="36"/>
      <c r="L457" s="2"/>
      <c r="M457" s="2"/>
      <c r="O457" s="37">
        <v>46053.606249999997</v>
      </c>
      <c r="P457" s="36"/>
      <c r="R457" s="2"/>
      <c r="S457" s="2"/>
    </row>
    <row r="458" spans="1:19" x14ac:dyDescent="0.35">
      <c r="A458" s="7">
        <v>455</v>
      </c>
      <c r="B458" s="37">
        <v>46053.606944444444</v>
      </c>
      <c r="C458" s="2">
        <v>81321.509999999995</v>
      </c>
      <c r="D458" s="42">
        <v>81420.509999999995</v>
      </c>
      <c r="E458" s="42">
        <v>81260.179999999993</v>
      </c>
      <c r="F458" s="2">
        <v>81413.87</v>
      </c>
      <c r="G458" s="1">
        <v>298</v>
      </c>
      <c r="I458" s="37">
        <v>46053.606944444444</v>
      </c>
      <c r="J458" s="36"/>
      <c r="L458" s="2"/>
      <c r="M458" s="2"/>
      <c r="O458" s="37">
        <v>46053.606944444444</v>
      </c>
      <c r="P458" s="36"/>
      <c r="R458" s="2"/>
      <c r="S458" s="2"/>
    </row>
    <row r="459" spans="1:19" x14ac:dyDescent="0.35">
      <c r="A459" s="7">
        <v>456</v>
      </c>
      <c r="B459" s="37">
        <v>46053.607638888891</v>
      </c>
      <c r="C459" s="2">
        <v>81416.740000000005</v>
      </c>
      <c r="D459" s="42">
        <v>81514.11</v>
      </c>
      <c r="E459" s="42">
        <v>81348.17</v>
      </c>
      <c r="F459" s="2">
        <v>81494.47</v>
      </c>
      <c r="G459" s="1">
        <v>303</v>
      </c>
      <c r="I459" s="37">
        <v>46053.607638888891</v>
      </c>
      <c r="J459" s="36"/>
      <c r="L459" s="2"/>
      <c r="M459" s="2"/>
      <c r="O459" s="37">
        <v>46053.607638888891</v>
      </c>
      <c r="P459" s="36"/>
      <c r="R459" s="2"/>
      <c r="S459" s="2"/>
    </row>
    <row r="460" spans="1:19" x14ac:dyDescent="0.35">
      <c r="A460" s="7">
        <v>457</v>
      </c>
      <c r="B460" s="37">
        <v>46053.60833333333</v>
      </c>
      <c r="C460" s="2">
        <v>81487.259999999995</v>
      </c>
      <c r="D460" s="42">
        <v>81530.399999999994</v>
      </c>
      <c r="E460" s="42">
        <v>81145.55</v>
      </c>
      <c r="F460" s="2">
        <v>81188.240000000005</v>
      </c>
      <c r="G460" s="1">
        <v>309</v>
      </c>
      <c r="I460" s="37">
        <v>46053.60833333333</v>
      </c>
      <c r="J460" s="36"/>
      <c r="L460" s="2"/>
      <c r="M460" s="2"/>
      <c r="O460" s="37">
        <v>46053.60833333333</v>
      </c>
      <c r="P460" s="36"/>
      <c r="R460" s="2"/>
      <c r="S460" s="2"/>
    </row>
    <row r="461" spans="1:19" x14ac:dyDescent="0.35">
      <c r="A461" s="7">
        <v>458</v>
      </c>
      <c r="B461" s="37">
        <v>46053.609027777777</v>
      </c>
      <c r="C461" s="2">
        <v>81180.740000000005</v>
      </c>
      <c r="D461" s="42">
        <v>81243.710000000006</v>
      </c>
      <c r="E461" s="42">
        <v>81080.06</v>
      </c>
      <c r="F461" s="2">
        <v>81145.81</v>
      </c>
      <c r="G461" s="1">
        <v>299</v>
      </c>
      <c r="I461" s="37">
        <v>46053.609027777777</v>
      </c>
      <c r="J461" s="36"/>
      <c r="L461" s="2"/>
      <c r="M461" s="2"/>
      <c r="O461" s="37">
        <v>46053.609027777777</v>
      </c>
      <c r="P461" s="36"/>
      <c r="R461" s="2"/>
      <c r="S461" s="2"/>
    </row>
    <row r="462" spans="1:19" x14ac:dyDescent="0.35">
      <c r="A462" s="7">
        <v>459</v>
      </c>
      <c r="B462" s="37">
        <v>46053.609722222223</v>
      </c>
      <c r="C462" s="2">
        <v>81130.84</v>
      </c>
      <c r="D462" s="42">
        <v>81196.38</v>
      </c>
      <c r="E462" s="42">
        <v>80754.13</v>
      </c>
      <c r="F462" s="2">
        <v>81136.91</v>
      </c>
      <c r="G462" s="1">
        <v>303</v>
      </c>
      <c r="I462" s="37">
        <v>46053.609722222223</v>
      </c>
      <c r="J462" s="36"/>
      <c r="L462" s="2"/>
      <c r="M462" s="2"/>
      <c r="O462" s="37">
        <v>46053.609722222223</v>
      </c>
      <c r="P462" s="36">
        <v>80754.13</v>
      </c>
      <c r="Q462" s="4" t="s">
        <v>15</v>
      </c>
      <c r="R462" s="2"/>
      <c r="S462" s="2">
        <v>80754.13</v>
      </c>
    </row>
    <row r="463" spans="1:19" x14ac:dyDescent="0.35">
      <c r="A463" s="7">
        <v>460</v>
      </c>
      <c r="B463" s="37">
        <v>46053.61041666667</v>
      </c>
      <c r="C463" s="2">
        <v>81136.960000000006</v>
      </c>
      <c r="D463" s="42">
        <v>81136.960000000006</v>
      </c>
      <c r="E463" s="42">
        <v>80895.72</v>
      </c>
      <c r="F463" s="2">
        <v>81017.440000000002</v>
      </c>
      <c r="G463" s="1">
        <v>311</v>
      </c>
      <c r="I463" s="37">
        <v>46053.61041666667</v>
      </c>
      <c r="J463" s="36"/>
      <c r="L463" s="2"/>
      <c r="M463" s="2"/>
      <c r="O463" s="37">
        <v>46053.61041666667</v>
      </c>
      <c r="P463" s="36">
        <v>80789.261069999993</v>
      </c>
      <c r="R463" s="2"/>
      <c r="S463" s="2">
        <v>80751.359700000001</v>
      </c>
    </row>
    <row r="464" spans="1:19" x14ac:dyDescent="0.35">
      <c r="A464" s="7">
        <v>461</v>
      </c>
      <c r="B464" s="37">
        <v>46053.611111111109</v>
      </c>
      <c r="C464" s="2">
        <v>81001.3</v>
      </c>
      <c r="D464" s="42">
        <v>81062.31</v>
      </c>
      <c r="E464" s="42">
        <v>80959.75</v>
      </c>
      <c r="F464" s="2">
        <v>80970.009999999995</v>
      </c>
      <c r="G464" s="1">
        <v>305</v>
      </c>
      <c r="I464" s="37">
        <v>46053.611111111109</v>
      </c>
      <c r="J464" s="36"/>
      <c r="L464" s="2"/>
      <c r="M464" s="2"/>
      <c r="O464" s="37">
        <v>46053.611111111109</v>
      </c>
      <c r="P464" s="36">
        <v>80824.392139999996</v>
      </c>
      <c r="R464" s="2"/>
      <c r="S464" s="2">
        <v>80748.589389999994</v>
      </c>
    </row>
    <row r="465" spans="1:19" x14ac:dyDescent="0.35">
      <c r="A465" s="7">
        <v>462</v>
      </c>
      <c r="B465" s="37">
        <v>46053.611805555556</v>
      </c>
      <c r="C465" s="2">
        <v>80957.2</v>
      </c>
      <c r="D465" s="42">
        <v>81067.61</v>
      </c>
      <c r="E465" s="42">
        <v>80927.31</v>
      </c>
      <c r="F465" s="2">
        <v>80959.56</v>
      </c>
      <c r="G465" s="1">
        <v>303</v>
      </c>
      <c r="I465" s="37">
        <v>46053.611805555556</v>
      </c>
      <c r="J465" s="36"/>
      <c r="L465" s="2"/>
      <c r="M465" s="2"/>
      <c r="O465" s="37">
        <v>46053.611805555556</v>
      </c>
      <c r="P465" s="36">
        <v>80859.523209999999</v>
      </c>
      <c r="R465" s="2"/>
      <c r="S465" s="2">
        <v>80745.819090000005</v>
      </c>
    </row>
    <row r="466" spans="1:19" x14ac:dyDescent="0.35">
      <c r="A466" s="7">
        <v>463</v>
      </c>
      <c r="B466" s="37">
        <v>46053.612500000003</v>
      </c>
      <c r="C466" s="2">
        <v>80959.520000000004</v>
      </c>
      <c r="D466" s="42">
        <v>81008.14</v>
      </c>
      <c r="E466" s="42">
        <v>80848.960000000006</v>
      </c>
      <c r="F466" s="2">
        <v>80947.520000000004</v>
      </c>
      <c r="G466" s="1">
        <v>305</v>
      </c>
      <c r="I466" s="37">
        <v>46053.612500000003</v>
      </c>
      <c r="J466" s="36"/>
      <c r="L466" s="2"/>
      <c r="M466" s="2"/>
      <c r="O466" s="37">
        <v>46053.612500000003</v>
      </c>
      <c r="P466" s="36">
        <v>80894.654290000006</v>
      </c>
      <c r="R466" s="2"/>
      <c r="S466" s="2">
        <v>80743.048790000001</v>
      </c>
    </row>
    <row r="467" spans="1:19" x14ac:dyDescent="0.35">
      <c r="A467" s="7">
        <v>464</v>
      </c>
      <c r="B467" s="37">
        <v>46053.613194444442</v>
      </c>
      <c r="C467" s="2">
        <v>80949.350000000006</v>
      </c>
      <c r="D467" s="42">
        <v>81008.2</v>
      </c>
      <c r="E467" s="42">
        <v>80919.710000000006</v>
      </c>
      <c r="F467" s="2">
        <v>80974.399999999994</v>
      </c>
      <c r="G467" s="1">
        <v>296</v>
      </c>
      <c r="I467" s="37">
        <v>46053.613194444442</v>
      </c>
      <c r="J467" s="36"/>
      <c r="L467" s="2"/>
      <c r="M467" s="2"/>
      <c r="O467" s="37">
        <v>46053.613194444442</v>
      </c>
      <c r="P467" s="36">
        <v>80929.785359999994</v>
      </c>
      <c r="R467" s="2"/>
      <c r="S467" s="2">
        <v>80740.278479999994</v>
      </c>
    </row>
    <row r="468" spans="1:19" x14ac:dyDescent="0.35">
      <c r="A468" s="7">
        <v>465</v>
      </c>
      <c r="B468" s="37">
        <v>46053.613888888889</v>
      </c>
      <c r="C468" s="2">
        <v>80971.03</v>
      </c>
      <c r="D468" s="42">
        <v>81013.73</v>
      </c>
      <c r="E468" s="42">
        <v>80891.92</v>
      </c>
      <c r="F468" s="2">
        <v>80953.5</v>
      </c>
      <c r="G468" s="1">
        <v>289</v>
      </c>
      <c r="I468" s="37">
        <v>46053.613888888889</v>
      </c>
      <c r="J468" s="36"/>
      <c r="L468" s="2"/>
      <c r="M468" s="2"/>
      <c r="O468" s="37">
        <v>46053.613888888889</v>
      </c>
      <c r="P468" s="36">
        <v>80964.916429999997</v>
      </c>
      <c r="R468" s="2"/>
      <c r="S468" s="2">
        <v>80737.508180000004</v>
      </c>
    </row>
    <row r="469" spans="1:19" x14ac:dyDescent="0.35">
      <c r="A469" s="7">
        <v>466</v>
      </c>
      <c r="B469" s="37">
        <v>46053.614583333336</v>
      </c>
      <c r="C469" s="2">
        <v>80954.34</v>
      </c>
      <c r="D469" s="42">
        <v>81034.83</v>
      </c>
      <c r="E469" s="42">
        <v>80840.52</v>
      </c>
      <c r="F469" s="2">
        <v>80995.06</v>
      </c>
      <c r="G469" s="1">
        <v>299</v>
      </c>
      <c r="I469" s="37">
        <v>46053.614583333336</v>
      </c>
      <c r="J469" s="36"/>
      <c r="L469" s="2"/>
      <c r="M469" s="2"/>
      <c r="O469" s="37">
        <v>46053.614583333336</v>
      </c>
      <c r="P469" s="36">
        <v>81000.047500000001</v>
      </c>
      <c r="R469" s="2"/>
      <c r="S469" s="2">
        <v>80734.737880000001</v>
      </c>
    </row>
    <row r="470" spans="1:19" x14ac:dyDescent="0.35">
      <c r="A470" s="7">
        <v>467</v>
      </c>
      <c r="B470" s="37">
        <v>46053.615277777775</v>
      </c>
      <c r="C470" s="2">
        <v>80992.61</v>
      </c>
      <c r="D470" s="42">
        <v>81245.39</v>
      </c>
      <c r="E470" s="42">
        <v>80955.98</v>
      </c>
      <c r="F470" s="2">
        <v>81154.259999999995</v>
      </c>
      <c r="G470" s="1">
        <v>304</v>
      </c>
      <c r="I470" s="37">
        <v>46053.615277777775</v>
      </c>
      <c r="J470" s="36"/>
      <c r="L470" s="2"/>
      <c r="M470" s="2"/>
      <c r="O470" s="37">
        <v>46053.615277777775</v>
      </c>
      <c r="P470" s="36">
        <v>81035.178570000004</v>
      </c>
      <c r="R470" s="2"/>
      <c r="S470" s="2">
        <v>80731.967579999997</v>
      </c>
    </row>
    <row r="471" spans="1:19" x14ac:dyDescent="0.35">
      <c r="A471" s="7">
        <v>468</v>
      </c>
      <c r="B471" s="37">
        <v>46053.615972222222</v>
      </c>
      <c r="C471" s="2">
        <v>81154.460000000006</v>
      </c>
      <c r="D471" s="42">
        <v>81174.509999999995</v>
      </c>
      <c r="E471" s="42">
        <v>81026.53</v>
      </c>
      <c r="F471" s="2">
        <v>81045.899999999994</v>
      </c>
      <c r="G471" s="1">
        <v>277</v>
      </c>
      <c r="I471" s="37">
        <v>46053.615972222222</v>
      </c>
      <c r="J471" s="36"/>
      <c r="L471" s="2"/>
      <c r="M471" s="2"/>
      <c r="O471" s="37">
        <v>46053.615972222222</v>
      </c>
      <c r="P471" s="36">
        <v>81070.309640000007</v>
      </c>
      <c r="R471" s="2"/>
      <c r="S471" s="2">
        <v>80729.197270000004</v>
      </c>
    </row>
    <row r="472" spans="1:19" x14ac:dyDescent="0.35">
      <c r="A472" s="7">
        <v>469</v>
      </c>
      <c r="B472" s="37">
        <v>46053.616666666669</v>
      </c>
      <c r="C472" s="2">
        <v>81045.95</v>
      </c>
      <c r="D472" s="42">
        <v>81193.03</v>
      </c>
      <c r="E472" s="42">
        <v>81028.3</v>
      </c>
      <c r="F472" s="2">
        <v>81192.09</v>
      </c>
      <c r="G472" s="1">
        <v>274</v>
      </c>
      <c r="I472" s="37">
        <v>46053.616666666669</v>
      </c>
      <c r="J472" s="36"/>
      <c r="L472" s="2"/>
      <c r="M472" s="2"/>
      <c r="O472" s="37">
        <v>46053.616666666669</v>
      </c>
      <c r="P472" s="36">
        <v>81105.440709999995</v>
      </c>
      <c r="R472" s="2"/>
      <c r="S472" s="2">
        <v>80726.42697</v>
      </c>
    </row>
    <row r="473" spans="1:19" x14ac:dyDescent="0.35">
      <c r="A473" s="7">
        <v>470</v>
      </c>
      <c r="B473" s="37">
        <v>46053.617361111108</v>
      </c>
      <c r="C473" s="2">
        <v>81192.06</v>
      </c>
      <c r="D473" s="42">
        <v>81205.7</v>
      </c>
      <c r="E473" s="42">
        <v>81054.61</v>
      </c>
      <c r="F473" s="2">
        <v>81060.08</v>
      </c>
      <c r="G473" s="1">
        <v>270</v>
      </c>
      <c r="I473" s="37">
        <v>46053.617361111108</v>
      </c>
      <c r="J473" s="36"/>
      <c r="L473" s="2"/>
      <c r="M473" s="2"/>
      <c r="O473" s="37">
        <v>46053.617361111108</v>
      </c>
      <c r="P473" s="36">
        <v>81140.571790000002</v>
      </c>
      <c r="R473" s="2"/>
      <c r="S473" s="2">
        <v>80723.656669999997</v>
      </c>
    </row>
    <row r="474" spans="1:19" x14ac:dyDescent="0.35">
      <c r="A474" s="7">
        <v>471</v>
      </c>
      <c r="B474" s="37">
        <v>46053.618055555555</v>
      </c>
      <c r="C474" s="2">
        <v>81072.100000000006</v>
      </c>
      <c r="D474" s="42">
        <v>81127.83</v>
      </c>
      <c r="E474" s="42">
        <v>81040.52</v>
      </c>
      <c r="F474" s="2">
        <v>81074.75</v>
      </c>
      <c r="G474" s="1">
        <v>282</v>
      </c>
      <c r="I474" s="37">
        <v>46053.618055555555</v>
      </c>
      <c r="J474" s="36"/>
      <c r="L474" s="2"/>
      <c r="M474" s="2"/>
      <c r="O474" s="37">
        <v>46053.618055555555</v>
      </c>
      <c r="P474" s="36">
        <v>81175.702860000005</v>
      </c>
      <c r="R474" s="2"/>
      <c r="S474" s="2">
        <v>80720.886360000004</v>
      </c>
    </row>
    <row r="475" spans="1:19" x14ac:dyDescent="0.35">
      <c r="A475" s="7">
        <v>472</v>
      </c>
      <c r="B475" s="37">
        <v>46053.618750000001</v>
      </c>
      <c r="C475" s="2">
        <v>81061.210000000006</v>
      </c>
      <c r="D475" s="42">
        <v>81210.5</v>
      </c>
      <c r="E475" s="42">
        <v>81060.84</v>
      </c>
      <c r="F475" s="2">
        <v>81198.3</v>
      </c>
      <c r="G475" s="1">
        <v>280</v>
      </c>
      <c r="I475" s="37">
        <v>46053.618750000001</v>
      </c>
      <c r="J475" s="36"/>
      <c r="L475" s="2"/>
      <c r="M475" s="2"/>
      <c r="O475" s="37">
        <v>46053.618750000001</v>
      </c>
      <c r="P475" s="36">
        <v>81210.833929999993</v>
      </c>
      <c r="R475" s="2"/>
      <c r="S475" s="2">
        <v>80718.11606</v>
      </c>
    </row>
    <row r="476" spans="1:19" x14ac:dyDescent="0.35">
      <c r="A476" s="7">
        <v>473</v>
      </c>
      <c r="B476" s="37">
        <v>46053.619444444441</v>
      </c>
      <c r="C476" s="2">
        <v>81198.63</v>
      </c>
      <c r="D476" s="42">
        <v>81210.649999999994</v>
      </c>
      <c r="E476" s="42">
        <v>81172.86</v>
      </c>
      <c r="F476" s="2">
        <v>81200.570000000007</v>
      </c>
      <c r="G476" s="1">
        <v>249</v>
      </c>
      <c r="I476" s="37">
        <v>46053.619444444441</v>
      </c>
      <c r="J476" s="36"/>
      <c r="L476" s="2"/>
      <c r="M476" s="2"/>
      <c r="O476" s="37">
        <v>46053.619444444441</v>
      </c>
      <c r="P476" s="36">
        <v>81245.964999999997</v>
      </c>
      <c r="R476" s="2"/>
      <c r="S476" s="2">
        <v>80715.345759999997</v>
      </c>
    </row>
    <row r="477" spans="1:19" x14ac:dyDescent="0.35">
      <c r="A477" s="7">
        <v>474</v>
      </c>
      <c r="B477" s="37">
        <v>46053.620138888888</v>
      </c>
      <c r="C477" s="2">
        <v>81200.92</v>
      </c>
      <c r="D477" s="42">
        <v>81215.070000000007</v>
      </c>
      <c r="E477" s="42">
        <v>81168.67</v>
      </c>
      <c r="F477" s="2">
        <v>81215.070000000007</v>
      </c>
      <c r="G477" s="1">
        <v>224</v>
      </c>
      <c r="I477" s="37">
        <v>46053.620138888888</v>
      </c>
      <c r="J477" s="36"/>
      <c r="L477" s="2"/>
      <c r="M477" s="2"/>
      <c r="O477" s="37">
        <v>46053.620138888888</v>
      </c>
      <c r="P477" s="36">
        <v>81281.09607</v>
      </c>
      <c r="R477" s="2"/>
      <c r="S477" s="2">
        <v>80712.575450000004</v>
      </c>
    </row>
    <row r="478" spans="1:19" x14ac:dyDescent="0.35">
      <c r="A478" s="7">
        <v>475</v>
      </c>
      <c r="B478" s="37">
        <v>46053.620833333334</v>
      </c>
      <c r="C478" s="2">
        <v>81215.11</v>
      </c>
      <c r="D478" s="42">
        <v>81421.02</v>
      </c>
      <c r="E478" s="42">
        <v>81207</v>
      </c>
      <c r="F478" s="2">
        <v>81388.320000000007</v>
      </c>
      <c r="G478" s="1">
        <v>270</v>
      </c>
      <c r="I478" s="37">
        <v>46053.620833333334</v>
      </c>
      <c r="J478" s="36"/>
      <c r="L478" s="2"/>
      <c r="M478" s="2"/>
      <c r="O478" s="37">
        <v>46053.620833333334</v>
      </c>
      <c r="P478" s="36">
        <v>81316.227140000003</v>
      </c>
      <c r="R478" s="2"/>
      <c r="S478" s="2">
        <v>80709.80515</v>
      </c>
    </row>
    <row r="479" spans="1:19" x14ac:dyDescent="0.35">
      <c r="A479" s="7">
        <v>476</v>
      </c>
      <c r="B479" s="37">
        <v>46053.621527777781</v>
      </c>
      <c r="C479" s="2">
        <v>81388.12</v>
      </c>
      <c r="D479" s="42">
        <v>81526.63</v>
      </c>
      <c r="E479" s="42">
        <v>81365.27</v>
      </c>
      <c r="F479" s="2">
        <v>81502.039999999994</v>
      </c>
      <c r="G479" s="1">
        <v>285</v>
      </c>
      <c r="I479" s="37">
        <v>46053.621527777781</v>
      </c>
      <c r="J479" s="36"/>
      <c r="L479" s="2"/>
      <c r="M479" s="2"/>
      <c r="O479" s="37">
        <v>46053.621527777781</v>
      </c>
      <c r="P479" s="36">
        <v>81351.358210000006</v>
      </c>
      <c r="R479" s="2"/>
      <c r="S479" s="2">
        <v>80707.034849999996</v>
      </c>
    </row>
    <row r="480" spans="1:19" x14ac:dyDescent="0.35">
      <c r="A480" s="7">
        <v>477</v>
      </c>
      <c r="B480" s="37">
        <v>46053.62222222222</v>
      </c>
      <c r="C480" s="2">
        <v>81494.149999999994</v>
      </c>
      <c r="D480" s="42">
        <v>81494.149999999994</v>
      </c>
      <c r="E480" s="42">
        <v>81373.05</v>
      </c>
      <c r="F480" s="2">
        <v>81401.350000000006</v>
      </c>
      <c r="G480" s="1">
        <v>268</v>
      </c>
      <c r="I480" s="37">
        <v>46053.62222222222</v>
      </c>
      <c r="J480" s="36"/>
      <c r="L480" s="2"/>
      <c r="M480" s="2"/>
      <c r="O480" s="37">
        <v>46053.62222222222</v>
      </c>
      <c r="P480" s="36">
        <v>81386.489289999998</v>
      </c>
      <c r="R480" s="2"/>
      <c r="S480" s="2">
        <v>80704.264550000007</v>
      </c>
    </row>
    <row r="481" spans="1:19" x14ac:dyDescent="0.35">
      <c r="A481" s="7">
        <v>478</v>
      </c>
      <c r="B481" s="37">
        <v>46053.622916666667</v>
      </c>
      <c r="C481" s="2">
        <v>81400.94</v>
      </c>
      <c r="D481" s="42">
        <v>81499.39</v>
      </c>
      <c r="E481" s="42">
        <v>81400.94</v>
      </c>
      <c r="F481" s="2">
        <v>81488.47</v>
      </c>
      <c r="G481" s="1">
        <v>275</v>
      </c>
      <c r="I481" s="37">
        <v>46053.622916666667</v>
      </c>
      <c r="J481" s="36"/>
      <c r="L481" s="2"/>
      <c r="M481" s="2"/>
      <c r="O481" s="37">
        <v>46053.622916666667</v>
      </c>
      <c r="P481" s="36">
        <v>81421.620360000001</v>
      </c>
      <c r="R481" s="2"/>
      <c r="S481" s="2">
        <v>80701.49424</v>
      </c>
    </row>
    <row r="482" spans="1:19" x14ac:dyDescent="0.35">
      <c r="A482" s="7">
        <v>479</v>
      </c>
      <c r="B482" s="37">
        <v>46053.623611111114</v>
      </c>
      <c r="C482" s="2">
        <v>81488.37</v>
      </c>
      <c r="D482" s="42">
        <v>81507.03</v>
      </c>
      <c r="E482" s="42">
        <v>81424.800000000003</v>
      </c>
      <c r="F482" s="2">
        <v>81427.509999999995</v>
      </c>
      <c r="G482" s="1">
        <v>252</v>
      </c>
      <c r="I482" s="37">
        <v>46053.623611111114</v>
      </c>
      <c r="J482" s="36"/>
      <c r="L482" s="2"/>
      <c r="M482" s="2"/>
      <c r="O482" s="37">
        <v>46053.623611111114</v>
      </c>
      <c r="P482" s="36">
        <v>81456.751430000004</v>
      </c>
      <c r="R482" s="2"/>
      <c r="S482" s="2">
        <v>80698.723939999996</v>
      </c>
    </row>
    <row r="483" spans="1:19" x14ac:dyDescent="0.35">
      <c r="A483" s="7">
        <v>480</v>
      </c>
      <c r="B483" s="37">
        <v>46053.624305555553</v>
      </c>
      <c r="C483" s="2">
        <v>81426.720000000001</v>
      </c>
      <c r="D483" s="42">
        <v>81486.429999999993</v>
      </c>
      <c r="E483" s="42">
        <v>81426.66</v>
      </c>
      <c r="F483" s="2">
        <v>81442.37</v>
      </c>
      <c r="G483" s="1">
        <v>225</v>
      </c>
      <c r="I483" s="37">
        <v>46053.624305555553</v>
      </c>
      <c r="J483" s="36"/>
      <c r="L483" s="2"/>
      <c r="M483" s="2"/>
      <c r="O483" s="37">
        <v>46053.624305555553</v>
      </c>
      <c r="P483" s="36">
        <v>81491.882500000007</v>
      </c>
      <c r="R483" s="2"/>
      <c r="S483" s="2">
        <v>80695.953640000007</v>
      </c>
    </row>
    <row r="484" spans="1:19" x14ac:dyDescent="0.35">
      <c r="A484" s="7">
        <v>481</v>
      </c>
      <c r="B484" s="37">
        <v>46053.625</v>
      </c>
      <c r="C484" s="2">
        <v>81440.899999999994</v>
      </c>
      <c r="D484" s="42">
        <v>81502.399999999994</v>
      </c>
      <c r="E484" s="42">
        <v>81367.89</v>
      </c>
      <c r="F484" s="2">
        <v>81372.83</v>
      </c>
      <c r="G484" s="1">
        <v>272</v>
      </c>
      <c r="I484" s="37">
        <v>46053.625</v>
      </c>
      <c r="J484" s="36"/>
      <c r="L484" s="2"/>
      <c r="M484" s="2"/>
      <c r="O484" s="37">
        <v>46053.625</v>
      </c>
      <c r="P484" s="36">
        <v>81527.013569999996</v>
      </c>
      <c r="R484" s="2"/>
      <c r="S484" s="2">
        <v>80693.18333</v>
      </c>
    </row>
    <row r="485" spans="1:19" x14ac:dyDescent="0.35">
      <c r="A485" s="7">
        <v>482</v>
      </c>
      <c r="B485" s="37">
        <v>46053.625694444447</v>
      </c>
      <c r="C485" s="2">
        <v>81369.850000000006</v>
      </c>
      <c r="D485" s="42">
        <v>81377.55</v>
      </c>
      <c r="E485" s="42">
        <v>81190.25</v>
      </c>
      <c r="F485" s="2">
        <v>81238.41</v>
      </c>
      <c r="G485" s="1">
        <v>272</v>
      </c>
      <c r="I485" s="37">
        <v>46053.625694444447</v>
      </c>
      <c r="J485" s="36"/>
      <c r="L485" s="2"/>
      <c r="M485" s="2"/>
      <c r="O485" s="37">
        <v>46053.625694444447</v>
      </c>
      <c r="P485" s="36">
        <v>81562.144639999999</v>
      </c>
      <c r="R485" s="2"/>
      <c r="S485" s="2">
        <v>80690.413029999996</v>
      </c>
    </row>
    <row r="486" spans="1:19" x14ac:dyDescent="0.35">
      <c r="A486" s="7">
        <v>483</v>
      </c>
      <c r="B486" s="37">
        <v>46053.626388888886</v>
      </c>
      <c r="C486" s="2">
        <v>81238.45</v>
      </c>
      <c r="D486" s="42">
        <v>81251.509999999995</v>
      </c>
      <c r="E486" s="42">
        <v>81149.820000000007</v>
      </c>
      <c r="F486" s="2">
        <v>81241.289999999994</v>
      </c>
      <c r="G486" s="1">
        <v>246</v>
      </c>
      <c r="I486" s="37">
        <v>46053.626388888886</v>
      </c>
      <c r="J486" s="36"/>
      <c r="L486" s="2"/>
      <c r="M486" s="2"/>
      <c r="O486" s="37">
        <v>46053.626388888886</v>
      </c>
      <c r="P486" s="36">
        <v>81597.275710000002</v>
      </c>
      <c r="R486" s="2"/>
      <c r="S486" s="2">
        <v>80687.642730000007</v>
      </c>
    </row>
    <row r="487" spans="1:19" x14ac:dyDescent="0.35">
      <c r="A487" s="7">
        <v>484</v>
      </c>
      <c r="B487" s="37">
        <v>46053.627083333333</v>
      </c>
      <c r="C487" s="2">
        <v>81236.78</v>
      </c>
      <c r="D487" s="42">
        <v>81273.899999999994</v>
      </c>
      <c r="E487" s="42">
        <v>81192.539999999994</v>
      </c>
      <c r="F487" s="2">
        <v>81213.56</v>
      </c>
      <c r="G487" s="1">
        <v>256</v>
      </c>
      <c r="I487" s="37">
        <v>46053.627083333333</v>
      </c>
      <c r="J487" s="36"/>
      <c r="L487" s="2"/>
      <c r="M487" s="2"/>
      <c r="O487" s="37">
        <v>46053.627083333333</v>
      </c>
      <c r="P487" s="36">
        <v>81632.406789999994</v>
      </c>
      <c r="R487" s="2"/>
      <c r="S487" s="2">
        <v>80684.87242</v>
      </c>
    </row>
    <row r="488" spans="1:19" x14ac:dyDescent="0.35">
      <c r="A488" s="7">
        <v>485</v>
      </c>
      <c r="B488" s="37">
        <v>46053.62777777778</v>
      </c>
      <c r="C488" s="2">
        <v>81219.210000000006</v>
      </c>
      <c r="D488" s="42">
        <v>81304.039999999994</v>
      </c>
      <c r="E488" s="42">
        <v>81193.990000000005</v>
      </c>
      <c r="F488" s="2">
        <v>81266.320000000007</v>
      </c>
      <c r="G488" s="1">
        <v>266</v>
      </c>
      <c r="I488" s="37">
        <v>46053.62777777778</v>
      </c>
      <c r="J488" s="36"/>
      <c r="L488" s="2"/>
      <c r="M488" s="2"/>
      <c r="O488" s="37">
        <v>46053.62777777778</v>
      </c>
      <c r="P488" s="36">
        <v>81667.537859999997</v>
      </c>
      <c r="R488" s="2"/>
      <c r="S488" s="2">
        <v>80682.102119999996</v>
      </c>
    </row>
    <row r="489" spans="1:19" x14ac:dyDescent="0.35">
      <c r="A489" s="7">
        <v>486</v>
      </c>
      <c r="B489" s="37">
        <v>46053.628472222219</v>
      </c>
      <c r="C489" s="2">
        <v>81269.2</v>
      </c>
      <c r="D489" s="42">
        <v>81668.509999999995</v>
      </c>
      <c r="E489" s="42">
        <v>81269.2</v>
      </c>
      <c r="F489" s="2">
        <v>81646.81</v>
      </c>
      <c r="G489" s="1">
        <v>297</v>
      </c>
      <c r="I489" s="37">
        <v>46053.628472222219</v>
      </c>
      <c r="J489" s="36"/>
      <c r="L489" s="2"/>
      <c r="M489" s="2"/>
      <c r="O489" s="37">
        <v>46053.628472222219</v>
      </c>
      <c r="P489" s="36">
        <v>81702.66893</v>
      </c>
      <c r="R489" s="2"/>
      <c r="S489" s="2">
        <v>80679.331820000007</v>
      </c>
    </row>
    <row r="490" spans="1:19" x14ac:dyDescent="0.35">
      <c r="A490" s="7">
        <v>487</v>
      </c>
      <c r="B490" s="37">
        <v>46053.629166666666</v>
      </c>
      <c r="C490" s="2">
        <v>81628.7</v>
      </c>
      <c r="D490" s="42">
        <v>81737.8</v>
      </c>
      <c r="E490" s="42">
        <v>81590.59</v>
      </c>
      <c r="F490" s="2">
        <v>81601.14</v>
      </c>
      <c r="G490" s="1">
        <v>293</v>
      </c>
      <c r="I490" s="37">
        <v>46053.629166666666</v>
      </c>
      <c r="J490" s="36"/>
      <c r="L490" s="2"/>
      <c r="M490" s="2"/>
      <c r="O490" s="37">
        <v>46053.629166666666</v>
      </c>
      <c r="P490" s="36">
        <v>81737.8</v>
      </c>
      <c r="Q490" s="4" t="s">
        <v>14</v>
      </c>
      <c r="R490" s="2">
        <v>81737.8</v>
      </c>
      <c r="S490" s="2">
        <v>80676.561520000003</v>
      </c>
    </row>
    <row r="491" spans="1:19" x14ac:dyDescent="0.35">
      <c r="A491" s="7">
        <v>488</v>
      </c>
      <c r="B491" s="37">
        <v>46053.629861111112</v>
      </c>
      <c r="C491" s="2">
        <v>81601.14</v>
      </c>
      <c r="D491" s="42">
        <v>81617.75</v>
      </c>
      <c r="E491" s="42">
        <v>81520.08</v>
      </c>
      <c r="F491" s="2">
        <v>81541.98</v>
      </c>
      <c r="G491" s="1">
        <v>261</v>
      </c>
      <c r="I491" s="37">
        <v>46053.629861111112</v>
      </c>
      <c r="J491" s="36"/>
      <c r="L491" s="2"/>
      <c r="M491" s="2"/>
      <c r="O491" s="37">
        <v>46053.629861111112</v>
      </c>
      <c r="P491" s="36">
        <v>81720.082680000007</v>
      </c>
      <c r="R491" s="2">
        <v>81743.536269999997</v>
      </c>
      <c r="S491" s="2">
        <v>80673.791209999996</v>
      </c>
    </row>
    <row r="492" spans="1:19" x14ac:dyDescent="0.35">
      <c r="A492" s="7">
        <v>489</v>
      </c>
      <c r="B492" s="37">
        <v>46053.630555555559</v>
      </c>
      <c r="C492" s="2">
        <v>81554.850000000006</v>
      </c>
      <c r="D492" s="42">
        <v>81564.14</v>
      </c>
      <c r="E492" s="42">
        <v>81397.509999999995</v>
      </c>
      <c r="F492" s="2">
        <v>81428.929999999993</v>
      </c>
      <c r="G492" s="1">
        <v>282</v>
      </c>
      <c r="I492" s="37">
        <v>46053.630555555559</v>
      </c>
      <c r="J492" s="36"/>
      <c r="L492" s="2"/>
      <c r="M492" s="2"/>
      <c r="O492" s="37">
        <v>46053.630555555559</v>
      </c>
      <c r="P492" s="36">
        <v>81702.365349999993</v>
      </c>
      <c r="R492" s="2">
        <v>81749.272530000002</v>
      </c>
      <c r="S492" s="2">
        <v>80671.020910000007</v>
      </c>
    </row>
    <row r="493" spans="1:19" x14ac:dyDescent="0.35">
      <c r="A493" s="7">
        <v>490</v>
      </c>
      <c r="B493" s="37">
        <v>46053.631249999999</v>
      </c>
      <c r="C493" s="2">
        <v>81428.929999999993</v>
      </c>
      <c r="D493" s="42">
        <v>81448.850000000006</v>
      </c>
      <c r="E493" s="42">
        <v>81347.63</v>
      </c>
      <c r="F493" s="2">
        <v>81373.91</v>
      </c>
      <c r="G493" s="1">
        <v>281</v>
      </c>
      <c r="I493" s="37">
        <v>46053.631249999999</v>
      </c>
      <c r="J493" s="36"/>
      <c r="L493" s="2"/>
      <c r="M493" s="2"/>
      <c r="O493" s="37">
        <v>46053.631249999999</v>
      </c>
      <c r="P493" s="36">
        <v>81684.648029999997</v>
      </c>
      <c r="R493" s="2">
        <v>81755.008799999996</v>
      </c>
      <c r="S493" s="2">
        <v>80668.250610000003</v>
      </c>
    </row>
    <row r="494" spans="1:19" x14ac:dyDescent="0.35">
      <c r="A494" s="7">
        <v>491</v>
      </c>
      <c r="B494" s="37">
        <v>46053.631944444445</v>
      </c>
      <c r="C494" s="2">
        <v>81377.289999999994</v>
      </c>
      <c r="D494" s="42">
        <v>81406.23</v>
      </c>
      <c r="E494" s="42">
        <v>81325.789999999994</v>
      </c>
      <c r="F494" s="2">
        <v>81406.12</v>
      </c>
      <c r="G494" s="1">
        <v>220</v>
      </c>
      <c r="I494" s="37">
        <v>46053.631944444445</v>
      </c>
      <c r="J494" s="36"/>
      <c r="L494" s="2"/>
      <c r="M494" s="2"/>
      <c r="O494" s="37">
        <v>46053.631944444445</v>
      </c>
      <c r="P494" s="36">
        <v>81666.930699999997</v>
      </c>
      <c r="R494" s="2">
        <v>81760.745070000004</v>
      </c>
      <c r="S494" s="2">
        <v>80665.480299999996</v>
      </c>
    </row>
    <row r="495" spans="1:19" x14ac:dyDescent="0.35">
      <c r="A495" s="7">
        <v>492</v>
      </c>
      <c r="B495" s="37">
        <v>46053.632638888892</v>
      </c>
      <c r="C495" s="2">
        <v>81406.350000000006</v>
      </c>
      <c r="D495" s="42">
        <v>81419.62</v>
      </c>
      <c r="E495" s="42">
        <v>81287.03</v>
      </c>
      <c r="F495" s="2">
        <v>81297.53</v>
      </c>
      <c r="G495" s="1">
        <v>225</v>
      </c>
      <c r="I495" s="37">
        <v>46053.632638888892</v>
      </c>
      <c r="J495" s="36"/>
      <c r="L495" s="2"/>
      <c r="M495" s="2"/>
      <c r="O495" s="37">
        <v>46053.632638888892</v>
      </c>
      <c r="P495" s="36">
        <v>81649.213380000001</v>
      </c>
      <c r="R495" s="2">
        <v>81766.481329999995</v>
      </c>
      <c r="S495" s="2">
        <v>80662.710000000006</v>
      </c>
    </row>
    <row r="496" spans="1:19" x14ac:dyDescent="0.35">
      <c r="A496" s="7">
        <v>493</v>
      </c>
      <c r="B496" s="37">
        <v>46053.633333333331</v>
      </c>
      <c r="C496" s="2">
        <v>81297.210000000006</v>
      </c>
      <c r="D496" s="42">
        <v>81320.03</v>
      </c>
      <c r="E496" s="42">
        <v>81211.12</v>
      </c>
      <c r="F496" s="2">
        <v>81231.820000000007</v>
      </c>
      <c r="G496" s="1">
        <v>272</v>
      </c>
      <c r="I496" s="37">
        <v>46053.633333333331</v>
      </c>
      <c r="J496" s="36"/>
      <c r="L496" s="2"/>
      <c r="M496" s="2"/>
      <c r="O496" s="37">
        <v>46053.633333333331</v>
      </c>
      <c r="P496" s="36">
        <v>81631.496060000005</v>
      </c>
      <c r="R496" s="2">
        <v>81772.217600000004</v>
      </c>
      <c r="S496" s="2">
        <v>80659.939700000003</v>
      </c>
    </row>
    <row r="497" spans="1:19" x14ac:dyDescent="0.35">
      <c r="A497" s="7">
        <v>494</v>
      </c>
      <c r="B497" s="37">
        <v>46053.634027777778</v>
      </c>
      <c r="C497" s="2">
        <v>81231.81</v>
      </c>
      <c r="D497" s="42">
        <v>81252.429999999993</v>
      </c>
      <c r="E497" s="42">
        <v>81197.23</v>
      </c>
      <c r="F497" s="2">
        <v>81236.800000000003</v>
      </c>
      <c r="G497" s="1">
        <v>252</v>
      </c>
      <c r="I497" s="37">
        <v>46053.634027777778</v>
      </c>
      <c r="J497" s="36"/>
      <c r="L497" s="2"/>
      <c r="M497" s="2"/>
      <c r="O497" s="37">
        <v>46053.634027777778</v>
      </c>
      <c r="P497" s="36">
        <v>81613.778730000005</v>
      </c>
      <c r="R497" s="2">
        <v>81777.953869999998</v>
      </c>
      <c r="S497" s="2">
        <v>80657.169389999995</v>
      </c>
    </row>
    <row r="498" spans="1:19" x14ac:dyDescent="0.35">
      <c r="A498" s="7">
        <v>495</v>
      </c>
      <c r="B498" s="37">
        <v>46053.634722222225</v>
      </c>
      <c r="C498" s="2">
        <v>81236.81</v>
      </c>
      <c r="D498" s="42">
        <v>81251.41</v>
      </c>
      <c r="E498" s="42">
        <v>81170.539999999994</v>
      </c>
      <c r="F498" s="2">
        <v>81219.429999999993</v>
      </c>
      <c r="G498" s="1">
        <v>273</v>
      </c>
      <c r="I498" s="37">
        <v>46053.634722222225</v>
      </c>
      <c r="J498" s="36"/>
      <c r="L498" s="2"/>
      <c r="M498" s="2"/>
      <c r="O498" s="37">
        <v>46053.634722222225</v>
      </c>
      <c r="P498" s="36">
        <v>81596.061409999995</v>
      </c>
      <c r="R498" s="2">
        <v>81783.690130000003</v>
      </c>
      <c r="S498" s="2">
        <v>80654.399090000006</v>
      </c>
    </row>
    <row r="499" spans="1:19" x14ac:dyDescent="0.35">
      <c r="A499" s="7">
        <v>496</v>
      </c>
      <c r="B499" s="37">
        <v>46053.635416666664</v>
      </c>
      <c r="C499" s="2">
        <v>81220.539999999994</v>
      </c>
      <c r="D499" s="42">
        <v>81227.09</v>
      </c>
      <c r="E499" s="42">
        <v>81113.429999999993</v>
      </c>
      <c r="F499" s="2">
        <v>81113.600000000006</v>
      </c>
      <c r="G499" s="1">
        <v>243</v>
      </c>
      <c r="I499" s="37">
        <v>46053.635416666664</v>
      </c>
      <c r="J499" s="36"/>
      <c r="L499" s="2"/>
      <c r="M499" s="2"/>
      <c r="O499" s="37">
        <v>46053.635416666664</v>
      </c>
      <c r="P499" s="36">
        <v>81578.344079999995</v>
      </c>
      <c r="R499" s="2">
        <v>81789.426399999997</v>
      </c>
      <c r="S499" s="2">
        <v>80651.628790000002</v>
      </c>
    </row>
    <row r="500" spans="1:19" x14ac:dyDescent="0.35">
      <c r="A500" s="7">
        <v>497</v>
      </c>
      <c r="B500" s="37">
        <v>46053.636111111111</v>
      </c>
      <c r="C500" s="2">
        <v>81113.66</v>
      </c>
      <c r="D500" s="42">
        <v>81113.66</v>
      </c>
      <c r="E500" s="42">
        <v>81044.83</v>
      </c>
      <c r="F500" s="2">
        <v>81087.56</v>
      </c>
      <c r="G500" s="1">
        <v>268</v>
      </c>
      <c r="I500" s="37">
        <v>46053.636111111111</v>
      </c>
      <c r="J500" s="36"/>
      <c r="L500" s="2"/>
      <c r="M500" s="2"/>
      <c r="O500" s="37">
        <v>46053.636111111111</v>
      </c>
      <c r="P500" s="36">
        <v>81560.626759999999</v>
      </c>
      <c r="R500" s="2">
        <v>81795.162670000005</v>
      </c>
      <c r="S500" s="2">
        <v>80648.858479999995</v>
      </c>
    </row>
    <row r="501" spans="1:19" x14ac:dyDescent="0.35">
      <c r="A501" s="7">
        <v>498</v>
      </c>
      <c r="B501" s="37">
        <v>46053.636805555558</v>
      </c>
      <c r="C501" s="2">
        <v>81080.63</v>
      </c>
      <c r="D501" s="42">
        <v>81188.429999999993</v>
      </c>
      <c r="E501" s="42">
        <v>81058.45</v>
      </c>
      <c r="F501" s="2">
        <v>81188.08</v>
      </c>
      <c r="G501" s="1">
        <v>254</v>
      </c>
      <c r="I501" s="37">
        <v>46053.636805555558</v>
      </c>
      <c r="J501" s="36"/>
      <c r="L501" s="2"/>
      <c r="M501" s="2"/>
      <c r="O501" s="37">
        <v>46053.636805555558</v>
      </c>
      <c r="P501" s="36">
        <v>81542.909440000003</v>
      </c>
      <c r="R501" s="2">
        <v>81800.898929999996</v>
      </c>
      <c r="S501" s="2">
        <v>80646.088180000006</v>
      </c>
    </row>
    <row r="502" spans="1:19" x14ac:dyDescent="0.35">
      <c r="A502" s="7">
        <v>499</v>
      </c>
      <c r="B502" s="37">
        <v>46053.637499999997</v>
      </c>
      <c r="C502" s="2">
        <v>81188.14</v>
      </c>
      <c r="D502" s="42">
        <v>81216.89</v>
      </c>
      <c r="E502" s="42">
        <v>81101.55</v>
      </c>
      <c r="F502" s="2">
        <v>81162.100000000006</v>
      </c>
      <c r="G502" s="1">
        <v>260</v>
      </c>
      <c r="I502" s="37">
        <v>46053.637499999997</v>
      </c>
      <c r="J502" s="36"/>
      <c r="L502" s="2"/>
      <c r="M502" s="2"/>
      <c r="O502" s="37">
        <v>46053.637499999997</v>
      </c>
      <c r="P502" s="36">
        <v>81525.192110000004</v>
      </c>
      <c r="R502" s="2">
        <v>81806.635200000004</v>
      </c>
      <c r="S502" s="2">
        <v>80643.317880000002</v>
      </c>
    </row>
    <row r="503" spans="1:19" x14ac:dyDescent="0.35">
      <c r="A503" s="7">
        <v>500</v>
      </c>
      <c r="B503" s="37">
        <v>46053.638194444444</v>
      </c>
      <c r="C503" s="2">
        <v>81169.7</v>
      </c>
      <c r="D503" s="42">
        <v>81204.7</v>
      </c>
      <c r="E503" s="42">
        <v>81089.42</v>
      </c>
      <c r="F503" s="2">
        <v>81092.429999999993</v>
      </c>
      <c r="G503" s="1">
        <v>273</v>
      </c>
      <c r="I503" s="37">
        <v>46053.638194444444</v>
      </c>
      <c r="J503" s="36"/>
      <c r="L503" s="2"/>
      <c r="M503" s="2"/>
      <c r="O503" s="37">
        <v>46053.638194444444</v>
      </c>
      <c r="P503" s="36">
        <v>81507.474789999993</v>
      </c>
      <c r="R503" s="2">
        <v>81812.371469999998</v>
      </c>
      <c r="S503" s="2">
        <v>80640.547579999999</v>
      </c>
    </row>
    <row r="504" spans="1:19" x14ac:dyDescent="0.35">
      <c r="A504" s="7">
        <v>501</v>
      </c>
      <c r="B504" s="37">
        <v>46053.638888888891</v>
      </c>
      <c r="C504" s="2">
        <v>81092.429999999993</v>
      </c>
      <c r="D504" s="42">
        <v>81144.259999999995</v>
      </c>
      <c r="E504" s="42">
        <v>81069.25</v>
      </c>
      <c r="F504" s="2">
        <v>81095.64</v>
      </c>
      <c r="G504" s="1">
        <v>257</v>
      </c>
      <c r="I504" s="37">
        <v>46053.638888888891</v>
      </c>
      <c r="J504" s="36"/>
      <c r="L504" s="2"/>
      <c r="M504" s="2"/>
      <c r="O504" s="37">
        <v>46053.638888888891</v>
      </c>
      <c r="P504" s="36">
        <v>81489.757459999993</v>
      </c>
      <c r="R504" s="2">
        <v>81818.107730000003</v>
      </c>
      <c r="S504" s="2">
        <v>80637.777270000006</v>
      </c>
    </row>
    <row r="505" spans="1:19" x14ac:dyDescent="0.35">
      <c r="A505" s="7">
        <v>502</v>
      </c>
      <c r="B505" s="37">
        <v>46053.63958333333</v>
      </c>
      <c r="C505" s="2">
        <v>81095.69</v>
      </c>
      <c r="D505" s="43">
        <v>81187.710000000006</v>
      </c>
      <c r="E505" s="43">
        <v>81081.7</v>
      </c>
      <c r="F505" s="2">
        <v>81173.98</v>
      </c>
      <c r="G505" s="1">
        <v>256</v>
      </c>
      <c r="I505" s="39">
        <v>46053.63958333333</v>
      </c>
      <c r="J505" s="36"/>
      <c r="L505" s="2"/>
      <c r="M505" s="2"/>
      <c r="O505" s="37">
        <v>46053.63958333333</v>
      </c>
      <c r="P505" s="36">
        <v>81472.040139999997</v>
      </c>
      <c r="R505" s="2">
        <v>81823.843999999997</v>
      </c>
      <c r="S505" s="2">
        <v>80635.006970000002</v>
      </c>
    </row>
    <row r="506" spans="1:19" x14ac:dyDescent="0.35">
      <c r="A506" s="7">
        <v>503</v>
      </c>
      <c r="B506" s="37">
        <v>46053.640277777777</v>
      </c>
      <c r="C506" s="2">
        <v>81174.75</v>
      </c>
      <c r="D506" s="43">
        <v>81187.67</v>
      </c>
      <c r="E506" s="43">
        <v>81101.210000000006</v>
      </c>
      <c r="F506" s="2">
        <v>81182.09</v>
      </c>
      <c r="G506" s="1">
        <v>258</v>
      </c>
      <c r="I506" s="39">
        <v>46053.640277777777</v>
      </c>
      <c r="J506" s="36"/>
      <c r="L506" s="2"/>
      <c r="M506" s="2"/>
      <c r="O506" s="37">
        <v>46053.640277777777</v>
      </c>
      <c r="P506" s="36">
        <v>81454.322820000001</v>
      </c>
      <c r="R506" s="2">
        <v>81829.580270000006</v>
      </c>
      <c r="S506" s="2">
        <v>80632.236669999998</v>
      </c>
    </row>
    <row r="507" spans="1:19" x14ac:dyDescent="0.35">
      <c r="A507" s="7">
        <v>504</v>
      </c>
      <c r="B507" s="37">
        <v>46053.640972222223</v>
      </c>
      <c r="C507" s="2">
        <v>81178.649999999994</v>
      </c>
      <c r="D507" s="43">
        <v>81188.33</v>
      </c>
      <c r="E507" s="43">
        <v>81103.06</v>
      </c>
      <c r="F507" s="2">
        <v>81124.55</v>
      </c>
      <c r="G507" s="1">
        <v>229</v>
      </c>
      <c r="I507" s="39">
        <v>46053.640972222223</v>
      </c>
      <c r="J507" s="36"/>
      <c r="L507" s="2"/>
      <c r="M507" s="2"/>
      <c r="O507" s="37">
        <v>46053.640972222223</v>
      </c>
      <c r="P507" s="36">
        <v>81436.605490000002</v>
      </c>
      <c r="R507" s="2">
        <v>81835.316529999996</v>
      </c>
      <c r="S507" s="2">
        <v>80629.466360000006</v>
      </c>
    </row>
    <row r="508" spans="1:19" x14ac:dyDescent="0.35">
      <c r="A508" s="7">
        <v>505</v>
      </c>
      <c r="B508" s="37">
        <v>46053.64166666667</v>
      </c>
      <c r="C508" s="2">
        <v>81124.570000000007</v>
      </c>
      <c r="D508" s="43">
        <v>81171.45</v>
      </c>
      <c r="E508" s="43">
        <v>81100.61</v>
      </c>
      <c r="F508" s="2">
        <v>81106.31</v>
      </c>
      <c r="G508" s="1">
        <v>257</v>
      </c>
      <c r="I508" s="39">
        <v>46053.64166666667</v>
      </c>
      <c r="J508" s="36"/>
      <c r="L508" s="2"/>
      <c r="M508" s="2"/>
      <c r="O508" s="37">
        <v>46053.64166666667</v>
      </c>
      <c r="P508" s="36">
        <v>81418.888170000006</v>
      </c>
      <c r="R508" s="2">
        <v>81841.052800000005</v>
      </c>
      <c r="S508" s="2">
        <v>80626.696060000002</v>
      </c>
    </row>
    <row r="509" spans="1:19" x14ac:dyDescent="0.35">
      <c r="A509" s="7">
        <v>506</v>
      </c>
      <c r="B509" s="37">
        <v>46053.642361111109</v>
      </c>
      <c r="C509" s="2">
        <v>81115</v>
      </c>
      <c r="D509" s="43">
        <v>81274.73</v>
      </c>
      <c r="E509" s="43">
        <v>81101.600000000006</v>
      </c>
      <c r="F509" s="2">
        <v>81165.62</v>
      </c>
      <c r="G509" s="1">
        <v>278</v>
      </c>
      <c r="I509" s="39">
        <v>46053.642361111109</v>
      </c>
      <c r="J509" s="36"/>
      <c r="L509" s="2"/>
      <c r="M509" s="2"/>
      <c r="O509" s="37">
        <v>46053.642361111109</v>
      </c>
      <c r="P509" s="36">
        <v>81401.170849999995</v>
      </c>
      <c r="R509" s="2">
        <v>81846.789069999999</v>
      </c>
      <c r="S509" s="2">
        <v>80623.925759999998</v>
      </c>
    </row>
    <row r="510" spans="1:19" x14ac:dyDescent="0.35">
      <c r="A510" s="7">
        <v>507</v>
      </c>
      <c r="B510" s="37">
        <v>46053.643055555556</v>
      </c>
      <c r="C510" s="2">
        <v>81165.62</v>
      </c>
      <c r="D510" s="43">
        <v>81298.600000000006</v>
      </c>
      <c r="E510" s="43">
        <v>81165.62</v>
      </c>
      <c r="F510" s="2">
        <v>81174.350000000006</v>
      </c>
      <c r="G510" s="1">
        <v>249</v>
      </c>
      <c r="I510" s="39">
        <v>46053.643055555556</v>
      </c>
      <c r="J510" s="36"/>
      <c r="L510" s="2"/>
      <c r="M510" s="2"/>
      <c r="O510" s="37">
        <v>46053.643055555556</v>
      </c>
      <c r="P510" s="36">
        <v>81383.453519999995</v>
      </c>
      <c r="R510" s="2">
        <v>81852.525330000004</v>
      </c>
      <c r="S510" s="2">
        <v>80621.155450000006</v>
      </c>
    </row>
    <row r="511" spans="1:19" x14ac:dyDescent="0.35">
      <c r="A511" s="7">
        <v>508</v>
      </c>
      <c r="B511" s="37">
        <v>46053.643750000003</v>
      </c>
      <c r="C511" s="2">
        <v>81174.86</v>
      </c>
      <c r="D511" s="43">
        <v>81182.38</v>
      </c>
      <c r="E511" s="43">
        <v>81149.95</v>
      </c>
      <c r="F511" s="2">
        <v>81152.78</v>
      </c>
      <c r="G511" s="1">
        <v>218</v>
      </c>
      <c r="I511" s="39">
        <v>46053.643750000003</v>
      </c>
      <c r="J511" s="36"/>
      <c r="L511" s="2"/>
      <c r="M511" s="2"/>
      <c r="O511" s="37">
        <v>46053.643750000003</v>
      </c>
      <c r="P511" s="36">
        <v>81365.736199999999</v>
      </c>
      <c r="R511" s="2">
        <v>81858.261599999998</v>
      </c>
      <c r="S511" s="2">
        <v>80618.385150000002</v>
      </c>
    </row>
    <row r="512" spans="1:19" x14ac:dyDescent="0.35">
      <c r="A512" s="7">
        <v>509</v>
      </c>
      <c r="B512" s="37">
        <v>46053.644444444442</v>
      </c>
      <c r="C512" s="2">
        <v>81149.429999999993</v>
      </c>
      <c r="D512" s="43">
        <v>81208.91</v>
      </c>
      <c r="E512" s="43">
        <v>81110.429999999993</v>
      </c>
      <c r="F512" s="2">
        <v>81205.2</v>
      </c>
      <c r="G512" s="1">
        <v>225</v>
      </c>
      <c r="I512" s="39">
        <v>46053.644444444442</v>
      </c>
      <c r="J512" s="36"/>
      <c r="L512" s="2"/>
      <c r="M512" s="2"/>
      <c r="O512" s="37">
        <v>46053.644444444442</v>
      </c>
      <c r="P512" s="36">
        <v>81348.01887</v>
      </c>
      <c r="R512" s="2">
        <v>81863.997870000007</v>
      </c>
      <c r="S512" s="2">
        <v>80615.614849999998</v>
      </c>
    </row>
    <row r="513" spans="1:19" x14ac:dyDescent="0.35">
      <c r="A513" s="7">
        <v>510</v>
      </c>
      <c r="B513" s="37">
        <v>46053.645138888889</v>
      </c>
      <c r="C513" s="2">
        <v>81205.2</v>
      </c>
      <c r="D513" s="43">
        <v>81291.850000000006</v>
      </c>
      <c r="E513" s="43">
        <v>81205.179999999993</v>
      </c>
      <c r="F513" s="2">
        <v>81262.41</v>
      </c>
      <c r="G513" s="1">
        <v>219</v>
      </c>
      <c r="I513" s="39">
        <v>46053.645138888889</v>
      </c>
      <c r="J513" s="36"/>
      <c r="L513" s="2"/>
      <c r="M513" s="2"/>
      <c r="O513" s="37">
        <v>46053.645138888889</v>
      </c>
      <c r="P513" s="36">
        <v>81330.301550000004</v>
      </c>
      <c r="R513" s="2">
        <v>81869.734129999997</v>
      </c>
      <c r="S513" s="2">
        <v>80612.844549999994</v>
      </c>
    </row>
    <row r="514" spans="1:19" x14ac:dyDescent="0.35">
      <c r="A514" s="7">
        <v>511</v>
      </c>
      <c r="B514" s="37">
        <v>46053.645833333336</v>
      </c>
      <c r="C514" s="2">
        <v>81262.41</v>
      </c>
      <c r="D514" s="43">
        <v>81311.13</v>
      </c>
      <c r="E514" s="43">
        <v>81226.179999999993</v>
      </c>
      <c r="F514" s="2">
        <v>81250.53</v>
      </c>
      <c r="G514" s="1">
        <v>246</v>
      </c>
      <c r="I514" s="39">
        <v>46053.645833333336</v>
      </c>
      <c r="J514" s="36"/>
      <c r="L514" s="2"/>
      <c r="M514" s="2"/>
      <c r="O514" s="37">
        <v>46053.645833333336</v>
      </c>
      <c r="P514" s="36">
        <v>81312.584229999993</v>
      </c>
      <c r="R514" s="2">
        <v>81875.470400000006</v>
      </c>
      <c r="S514" s="2">
        <v>80610.074240000002</v>
      </c>
    </row>
    <row r="515" spans="1:19" x14ac:dyDescent="0.35">
      <c r="A515" s="7">
        <v>512</v>
      </c>
      <c r="B515" s="37">
        <v>46053.646527777775</v>
      </c>
      <c r="C515" s="2">
        <v>81250.27</v>
      </c>
      <c r="D515" s="43">
        <v>81307.72</v>
      </c>
      <c r="E515" s="43">
        <v>81194.69</v>
      </c>
      <c r="F515" s="2">
        <v>81194.69</v>
      </c>
      <c r="G515" s="1">
        <v>234</v>
      </c>
      <c r="I515" s="39">
        <v>46053.646527777775</v>
      </c>
      <c r="J515" s="36"/>
      <c r="L515" s="2"/>
      <c r="M515" s="2"/>
      <c r="O515" s="37">
        <v>46053.646527777775</v>
      </c>
      <c r="P515" s="36">
        <v>81294.866899999994</v>
      </c>
      <c r="R515" s="2">
        <v>81881.20667</v>
      </c>
      <c r="S515" s="2">
        <v>80607.303939999998</v>
      </c>
    </row>
    <row r="516" spans="1:19" x14ac:dyDescent="0.35">
      <c r="A516" s="7">
        <v>513</v>
      </c>
      <c r="B516" s="37">
        <v>46053.647222222222</v>
      </c>
      <c r="C516" s="2">
        <v>81191.149999999994</v>
      </c>
      <c r="D516" s="43">
        <v>81309.42</v>
      </c>
      <c r="E516" s="43">
        <v>81150.77</v>
      </c>
      <c r="F516" s="2">
        <v>81301.89</v>
      </c>
      <c r="G516" s="1">
        <v>247</v>
      </c>
      <c r="I516" s="39">
        <v>46053.647222222222</v>
      </c>
      <c r="J516" s="36"/>
      <c r="L516" s="2"/>
      <c r="M516" s="2"/>
      <c r="O516" s="37">
        <v>46053.647222222222</v>
      </c>
      <c r="P516" s="36">
        <v>81277.149579999998</v>
      </c>
      <c r="R516" s="2">
        <v>81886.942930000005</v>
      </c>
      <c r="S516" s="2">
        <v>80604.533639999994</v>
      </c>
    </row>
    <row r="517" spans="1:19" x14ac:dyDescent="0.35">
      <c r="A517" s="7">
        <v>514</v>
      </c>
      <c r="B517" s="37">
        <v>46053.647916666669</v>
      </c>
      <c r="C517" s="2">
        <v>81301.91</v>
      </c>
      <c r="D517" s="43">
        <v>81338.34</v>
      </c>
      <c r="E517" s="43">
        <v>81290.539999999994</v>
      </c>
      <c r="F517" s="2">
        <v>81292.22</v>
      </c>
      <c r="G517" s="1">
        <v>213</v>
      </c>
      <c r="I517" s="39">
        <v>46053.647916666669</v>
      </c>
      <c r="J517" s="36"/>
      <c r="L517" s="2"/>
      <c r="M517" s="2"/>
      <c r="O517" s="37">
        <v>46053.647916666669</v>
      </c>
      <c r="P517" s="36">
        <v>81259.432249999998</v>
      </c>
      <c r="R517" s="2">
        <v>81892.679199999999</v>
      </c>
      <c r="S517" s="2">
        <v>80601.763330000002</v>
      </c>
    </row>
    <row r="518" spans="1:19" x14ac:dyDescent="0.35">
      <c r="A518" s="7">
        <v>515</v>
      </c>
      <c r="B518" s="37">
        <v>46053.648611111108</v>
      </c>
      <c r="C518" s="2">
        <v>81292.83</v>
      </c>
      <c r="D518" s="43">
        <v>81325.3</v>
      </c>
      <c r="E518" s="43">
        <v>81281.929999999993</v>
      </c>
      <c r="F518" s="2">
        <v>81298.37</v>
      </c>
      <c r="G518" s="1">
        <v>186</v>
      </c>
      <c r="I518" s="39">
        <v>46053.648611111108</v>
      </c>
      <c r="J518" s="36"/>
      <c r="L518" s="2"/>
      <c r="M518" s="2"/>
      <c r="O518" s="37">
        <v>46053.648611111108</v>
      </c>
      <c r="P518" s="36">
        <v>81241.714930000002</v>
      </c>
      <c r="R518" s="2">
        <v>81898.415470000007</v>
      </c>
      <c r="S518" s="2">
        <v>80598.993029999998</v>
      </c>
    </row>
    <row r="519" spans="1:19" x14ac:dyDescent="0.35">
      <c r="A519" s="7">
        <v>516</v>
      </c>
      <c r="B519" s="37">
        <v>46053.649305555555</v>
      </c>
      <c r="C519" s="2">
        <v>81298.53</v>
      </c>
      <c r="D519" s="43">
        <v>81298.53</v>
      </c>
      <c r="E519" s="43">
        <v>81240.5</v>
      </c>
      <c r="F519" s="2">
        <v>81241.509999999995</v>
      </c>
      <c r="G519" s="1">
        <v>208</v>
      </c>
      <c r="I519" s="39">
        <v>46053.649305555555</v>
      </c>
      <c r="J519" s="36"/>
      <c r="L519" s="2"/>
      <c r="M519" s="2"/>
      <c r="O519" s="37">
        <v>46053.649305555555</v>
      </c>
      <c r="P519" s="36">
        <v>81223.997610000006</v>
      </c>
      <c r="R519" s="2">
        <v>81904.151729999998</v>
      </c>
      <c r="S519" s="2">
        <v>80596.222729999994</v>
      </c>
    </row>
    <row r="520" spans="1:19" x14ac:dyDescent="0.35">
      <c r="A520" s="7">
        <v>517</v>
      </c>
      <c r="B520" s="37">
        <v>46053.65</v>
      </c>
      <c r="C520" s="2">
        <v>81220.429999999993</v>
      </c>
      <c r="D520" s="43">
        <v>81239.600000000006</v>
      </c>
      <c r="E520" s="43">
        <v>81113.86</v>
      </c>
      <c r="F520" s="2">
        <v>81156.67</v>
      </c>
      <c r="G520" s="1">
        <v>241</v>
      </c>
      <c r="I520" s="39">
        <v>46053.65</v>
      </c>
      <c r="J520" s="36"/>
      <c r="L520" s="2"/>
      <c r="M520" s="2"/>
      <c r="O520" s="37">
        <v>46053.65</v>
      </c>
      <c r="P520" s="36">
        <v>81206.280280000006</v>
      </c>
      <c r="R520" s="2">
        <v>81909.888000000006</v>
      </c>
      <c r="S520" s="2">
        <v>80593.452420000001</v>
      </c>
    </row>
    <row r="521" spans="1:19" x14ac:dyDescent="0.35">
      <c r="A521" s="7">
        <v>518</v>
      </c>
      <c r="B521" s="37">
        <v>46053.650694444441</v>
      </c>
      <c r="C521" s="2">
        <v>81159.710000000006</v>
      </c>
      <c r="D521" s="43">
        <v>81174.679999999993</v>
      </c>
      <c r="E521" s="43">
        <v>81113.490000000005</v>
      </c>
      <c r="F521" s="2">
        <v>81174.62</v>
      </c>
      <c r="G521" s="1">
        <v>208</v>
      </c>
      <c r="I521" s="39">
        <v>46053.650694444441</v>
      </c>
      <c r="J521" s="36"/>
      <c r="L521" s="2"/>
      <c r="M521" s="2"/>
      <c r="O521" s="37">
        <v>46053.650694444441</v>
      </c>
      <c r="P521" s="36">
        <v>81188.562959999996</v>
      </c>
      <c r="R521" s="2">
        <v>81915.62427</v>
      </c>
      <c r="S521" s="2">
        <v>80590.682119999998</v>
      </c>
    </row>
    <row r="522" spans="1:19" x14ac:dyDescent="0.35">
      <c r="A522" s="7">
        <v>519</v>
      </c>
      <c r="B522" s="37">
        <v>46053.651388888888</v>
      </c>
      <c r="C522" s="2">
        <v>81174.63</v>
      </c>
      <c r="D522" s="43">
        <v>81225.91</v>
      </c>
      <c r="E522" s="43">
        <v>81142.070000000007</v>
      </c>
      <c r="F522" s="2">
        <v>81206.429999999993</v>
      </c>
      <c r="G522" s="1">
        <v>234</v>
      </c>
      <c r="I522" s="39">
        <v>46053.651388888888</v>
      </c>
      <c r="J522" s="36"/>
      <c r="L522" s="2"/>
      <c r="M522" s="2"/>
      <c r="O522" s="37">
        <v>46053.651388888888</v>
      </c>
      <c r="P522" s="36">
        <v>81170.845629999996</v>
      </c>
      <c r="R522" s="2">
        <v>81921.360530000005</v>
      </c>
      <c r="S522" s="2">
        <v>80587.911819999994</v>
      </c>
    </row>
    <row r="523" spans="1:19" x14ac:dyDescent="0.35">
      <c r="A523" s="7">
        <v>520</v>
      </c>
      <c r="B523" s="37">
        <v>46053.652083333334</v>
      </c>
      <c r="C523" s="2">
        <v>81201.210000000006</v>
      </c>
      <c r="D523" s="43">
        <v>81240.399999999994</v>
      </c>
      <c r="E523" s="43">
        <v>81161</v>
      </c>
      <c r="F523" s="2">
        <v>81236.47</v>
      </c>
      <c r="G523" s="1">
        <v>221</v>
      </c>
      <c r="I523" s="39">
        <v>46053.652083333334</v>
      </c>
      <c r="J523" s="36"/>
      <c r="L523" s="2"/>
      <c r="M523" s="2"/>
      <c r="O523" s="37">
        <v>46053.652083333334</v>
      </c>
      <c r="P523" s="36">
        <v>81153.12831</v>
      </c>
      <c r="R523" s="2">
        <v>81927.096799999999</v>
      </c>
      <c r="S523" s="2">
        <v>80585.141520000005</v>
      </c>
    </row>
    <row r="524" spans="1:19" x14ac:dyDescent="0.35">
      <c r="A524" s="7">
        <v>521</v>
      </c>
      <c r="B524" s="37">
        <v>46053.652777777781</v>
      </c>
      <c r="C524" s="2">
        <v>81236.479999999996</v>
      </c>
      <c r="D524" s="43">
        <v>81236.5</v>
      </c>
      <c r="E524" s="43">
        <v>81157.259999999995</v>
      </c>
      <c r="F524" s="2">
        <v>81157.73</v>
      </c>
      <c r="G524" s="1">
        <v>162</v>
      </c>
      <c r="I524" s="39">
        <v>46053.652777777781</v>
      </c>
      <c r="J524" s="36"/>
      <c r="L524" s="2"/>
      <c r="M524" s="2"/>
      <c r="O524" s="37">
        <v>46053.652777777781</v>
      </c>
      <c r="P524" s="36">
        <v>81135.410990000004</v>
      </c>
      <c r="R524" s="2">
        <v>81932.833069999993</v>
      </c>
      <c r="S524" s="2">
        <v>80582.371209999998</v>
      </c>
    </row>
    <row r="525" spans="1:19" x14ac:dyDescent="0.35">
      <c r="A525" s="7">
        <v>522</v>
      </c>
      <c r="B525" s="37">
        <v>46053.65347222222</v>
      </c>
      <c r="C525" s="2">
        <v>81157.72</v>
      </c>
      <c r="D525" s="43">
        <v>81179.039999999994</v>
      </c>
      <c r="E525" s="43">
        <v>81119.5</v>
      </c>
      <c r="F525" s="2">
        <v>81166.990000000005</v>
      </c>
      <c r="G525" s="1">
        <v>168</v>
      </c>
      <c r="I525" s="39">
        <v>46053.65347222222</v>
      </c>
      <c r="J525" s="36"/>
      <c r="L525" s="2"/>
      <c r="M525" s="2"/>
      <c r="O525" s="37">
        <v>46053.65347222222</v>
      </c>
      <c r="P525" s="36">
        <v>81117.693660000004</v>
      </c>
      <c r="R525" s="2">
        <v>81938.569329999998</v>
      </c>
      <c r="S525" s="2">
        <v>80579.600909999994</v>
      </c>
    </row>
    <row r="526" spans="1:19" x14ac:dyDescent="0.35">
      <c r="A526" s="7">
        <v>523</v>
      </c>
      <c r="B526" s="37">
        <v>46053.654166666667</v>
      </c>
      <c r="C526" s="2">
        <v>81161.679999999993</v>
      </c>
      <c r="D526" s="43">
        <v>81213.399999999994</v>
      </c>
      <c r="E526" s="43">
        <v>81155.39</v>
      </c>
      <c r="F526" s="2">
        <v>81178.53</v>
      </c>
      <c r="G526" s="1">
        <v>199</v>
      </c>
      <c r="I526" s="39">
        <v>46053.654166666667</v>
      </c>
      <c r="J526" s="36"/>
      <c r="L526" s="2"/>
      <c r="M526" s="2"/>
      <c r="O526" s="37">
        <v>46053.654166666667</v>
      </c>
      <c r="P526" s="36">
        <v>81099.976339999994</v>
      </c>
      <c r="R526" s="2">
        <v>81944.305600000007</v>
      </c>
      <c r="S526" s="2">
        <v>80576.830610000005</v>
      </c>
    </row>
    <row r="527" spans="1:19" x14ac:dyDescent="0.35">
      <c r="A527" s="7">
        <v>524</v>
      </c>
      <c r="B527" s="37">
        <v>46053.654861111114</v>
      </c>
      <c r="C527" s="2">
        <v>81179.81</v>
      </c>
      <c r="D527" s="43">
        <v>81209.240000000005</v>
      </c>
      <c r="E527" s="43">
        <v>81156.44</v>
      </c>
      <c r="F527" s="2">
        <v>81206.350000000006</v>
      </c>
      <c r="G527" s="1">
        <v>165</v>
      </c>
      <c r="I527" s="39">
        <v>46053.654861111114</v>
      </c>
      <c r="J527" s="36"/>
      <c r="L527" s="2"/>
      <c r="M527" s="2"/>
      <c r="O527" s="37">
        <v>46053.654861111114</v>
      </c>
      <c r="P527" s="36">
        <v>81082.259009999994</v>
      </c>
      <c r="R527" s="2">
        <v>81950.041870000001</v>
      </c>
      <c r="S527" s="2">
        <v>80574.060299999997</v>
      </c>
    </row>
    <row r="528" spans="1:19" x14ac:dyDescent="0.35">
      <c r="A528" s="7">
        <v>525</v>
      </c>
      <c r="B528" s="37">
        <v>46053.655555555553</v>
      </c>
      <c r="C528" s="2">
        <v>81206.37</v>
      </c>
      <c r="D528" s="43">
        <v>81302.559999999998</v>
      </c>
      <c r="E528" s="43">
        <v>81206.37</v>
      </c>
      <c r="F528" s="2">
        <v>81295.199999999997</v>
      </c>
      <c r="G528" s="1">
        <v>199</v>
      </c>
      <c r="I528" s="39">
        <v>46053.655555555553</v>
      </c>
      <c r="J528" s="36"/>
      <c r="L528" s="2"/>
      <c r="M528" s="2"/>
      <c r="O528" s="37">
        <v>46053.655555555553</v>
      </c>
      <c r="P528" s="36">
        <v>81064.541689999998</v>
      </c>
      <c r="R528" s="2">
        <v>81955.778130000006</v>
      </c>
      <c r="S528" s="2">
        <v>80571.289999999994</v>
      </c>
    </row>
    <row r="529" spans="1:19" x14ac:dyDescent="0.35">
      <c r="A529" s="7">
        <v>526</v>
      </c>
      <c r="B529" s="37">
        <v>46053.65625</v>
      </c>
      <c r="C529" s="2">
        <v>81301.100000000006</v>
      </c>
      <c r="D529" s="43">
        <v>81341.3</v>
      </c>
      <c r="E529" s="43">
        <v>81289.27</v>
      </c>
      <c r="F529" s="2">
        <v>81310.399999999994</v>
      </c>
      <c r="G529" s="1">
        <v>160</v>
      </c>
      <c r="I529" s="39">
        <v>46053.65625</v>
      </c>
      <c r="J529" s="36"/>
      <c r="L529" s="2"/>
      <c r="M529" s="2"/>
      <c r="O529" s="37">
        <v>46053.65625</v>
      </c>
      <c r="P529" s="36">
        <v>81046.824370000002</v>
      </c>
      <c r="R529" s="2">
        <v>81961.5144</v>
      </c>
      <c r="S529" s="2">
        <v>80568.519700000004</v>
      </c>
    </row>
    <row r="530" spans="1:19" x14ac:dyDescent="0.35">
      <c r="A530" s="7">
        <v>527</v>
      </c>
      <c r="B530" s="37">
        <v>46053.656944444447</v>
      </c>
      <c r="C530" s="2">
        <v>81313.22</v>
      </c>
      <c r="D530" s="43">
        <v>81344.600000000006</v>
      </c>
      <c r="E530" s="43">
        <v>81240.679999999993</v>
      </c>
      <c r="F530" s="2">
        <v>81246.69</v>
      </c>
      <c r="G530" s="1">
        <v>228</v>
      </c>
      <c r="I530" s="39">
        <v>46053.656944444447</v>
      </c>
      <c r="J530" s="36"/>
      <c r="L530" s="2"/>
      <c r="M530" s="2"/>
      <c r="O530" s="37">
        <v>46053.656944444447</v>
      </c>
      <c r="P530" s="36">
        <v>81029.107040000003</v>
      </c>
      <c r="R530" s="2">
        <v>81967.250669999994</v>
      </c>
      <c r="S530" s="2">
        <v>80565.749389999997</v>
      </c>
    </row>
    <row r="531" spans="1:19" x14ac:dyDescent="0.35">
      <c r="A531" s="7">
        <v>528</v>
      </c>
      <c r="B531" s="37">
        <v>46053.657638888886</v>
      </c>
      <c r="C531" s="2">
        <v>81246.78</v>
      </c>
      <c r="D531" s="43">
        <v>81307.61</v>
      </c>
      <c r="E531" s="43">
        <v>81230.36</v>
      </c>
      <c r="F531" s="2">
        <v>81269.31</v>
      </c>
      <c r="G531" s="1">
        <v>209</v>
      </c>
      <c r="I531" s="39">
        <v>46053.657638888886</v>
      </c>
      <c r="J531" s="36"/>
      <c r="L531" s="2"/>
      <c r="M531" s="2"/>
      <c r="O531" s="37">
        <v>46053.657638888886</v>
      </c>
      <c r="P531" s="36">
        <v>81011.389720000006</v>
      </c>
      <c r="R531" s="2">
        <v>81972.986929999999</v>
      </c>
      <c r="S531" s="2">
        <v>80562.979089999993</v>
      </c>
    </row>
    <row r="532" spans="1:19" x14ac:dyDescent="0.35">
      <c r="A532" s="7">
        <v>529</v>
      </c>
      <c r="B532" s="37">
        <v>46053.658333333333</v>
      </c>
      <c r="C532" s="2">
        <v>81269.289999999994</v>
      </c>
      <c r="D532" s="43">
        <v>81453.13</v>
      </c>
      <c r="E532" s="43">
        <v>81269.289999999994</v>
      </c>
      <c r="F532" s="2">
        <v>81453.119999999995</v>
      </c>
      <c r="G532" s="1">
        <v>227</v>
      </c>
      <c r="I532" s="39">
        <v>46053.658333333333</v>
      </c>
      <c r="J532" s="36"/>
      <c r="L532" s="2"/>
      <c r="M532" s="2"/>
      <c r="O532" s="37">
        <v>46053.658333333333</v>
      </c>
      <c r="P532" s="36">
        <v>80993.672390000007</v>
      </c>
      <c r="R532" s="2">
        <v>81978.723199999993</v>
      </c>
      <c r="S532" s="2">
        <v>80560.208790000004</v>
      </c>
    </row>
    <row r="533" spans="1:19" x14ac:dyDescent="0.35">
      <c r="A533" s="7">
        <v>530</v>
      </c>
      <c r="B533" s="37">
        <v>46053.65902777778</v>
      </c>
      <c r="C533" s="2">
        <v>81453.119999999995</v>
      </c>
      <c r="D533" s="43">
        <v>81477.8</v>
      </c>
      <c r="E533" s="43">
        <v>81397.11</v>
      </c>
      <c r="F533" s="2">
        <v>81435.92</v>
      </c>
      <c r="G533" s="1">
        <v>219</v>
      </c>
      <c r="I533" s="39">
        <v>46053.65902777778</v>
      </c>
      <c r="J533" s="36"/>
      <c r="L533" s="2"/>
      <c r="M533" s="2"/>
      <c r="O533" s="37">
        <v>46053.65902777778</v>
      </c>
      <c r="P533" s="36">
        <v>80975.955069999996</v>
      </c>
      <c r="R533" s="2">
        <v>81984.459470000002</v>
      </c>
      <c r="S533" s="2">
        <v>80557.438479999997</v>
      </c>
    </row>
    <row r="534" spans="1:19" x14ac:dyDescent="0.35">
      <c r="A534" s="7">
        <v>531</v>
      </c>
      <c r="B534" s="37">
        <v>46053.659722222219</v>
      </c>
      <c r="C534" s="2">
        <v>81439.100000000006</v>
      </c>
      <c r="D534" s="43">
        <v>81440.399999999994</v>
      </c>
      <c r="E534" s="43">
        <v>81369.55</v>
      </c>
      <c r="F534" s="2">
        <v>81401.039999999994</v>
      </c>
      <c r="G534" s="1">
        <v>199</v>
      </c>
      <c r="I534" s="39">
        <v>46053.659722222219</v>
      </c>
      <c r="J534" s="36"/>
      <c r="L534" s="2"/>
      <c r="M534" s="2"/>
      <c r="O534" s="37">
        <v>46053.659722222219</v>
      </c>
      <c r="P534" s="36">
        <v>80958.23775</v>
      </c>
      <c r="R534" s="2">
        <v>81990.195730000007</v>
      </c>
      <c r="S534" s="2">
        <v>80554.668179999993</v>
      </c>
    </row>
    <row r="535" spans="1:19" x14ac:dyDescent="0.35">
      <c r="A535" s="7">
        <v>532</v>
      </c>
      <c r="B535" s="37">
        <v>46053.660416666666</v>
      </c>
      <c r="C535" s="2">
        <v>81400.710000000006</v>
      </c>
      <c r="D535" s="43">
        <v>81402.62</v>
      </c>
      <c r="E535" s="43">
        <v>81360.92</v>
      </c>
      <c r="F535" s="2">
        <v>81372.210000000006</v>
      </c>
      <c r="G535" s="1">
        <v>189</v>
      </c>
      <c r="I535" s="39">
        <v>46053.660416666666</v>
      </c>
      <c r="J535" s="36"/>
      <c r="L535" s="2"/>
      <c r="M535" s="2"/>
      <c r="O535" s="37">
        <v>46053.660416666666</v>
      </c>
      <c r="P535" s="36">
        <v>80940.520420000001</v>
      </c>
      <c r="R535" s="2">
        <v>81995.932000000001</v>
      </c>
      <c r="S535" s="2">
        <v>80551.897880000004</v>
      </c>
    </row>
    <row r="536" spans="1:19" x14ac:dyDescent="0.35">
      <c r="A536" s="7">
        <v>533</v>
      </c>
      <c r="B536" s="37">
        <v>46053.661111111112</v>
      </c>
      <c r="C536" s="2">
        <v>81372.23</v>
      </c>
      <c r="D536" s="43">
        <v>81396.3</v>
      </c>
      <c r="E536" s="43">
        <v>81362.2</v>
      </c>
      <c r="F536" s="2">
        <v>81392.12</v>
      </c>
      <c r="G536" s="1">
        <v>170</v>
      </c>
      <c r="I536" s="39">
        <v>46053.661111111112</v>
      </c>
      <c r="J536" s="36"/>
      <c r="L536" s="2"/>
      <c r="M536" s="2"/>
      <c r="O536" s="37">
        <v>46053.661111111112</v>
      </c>
      <c r="P536" s="36">
        <v>80922.803100000005</v>
      </c>
      <c r="R536" s="2">
        <v>82001.668269999995</v>
      </c>
      <c r="S536" s="2">
        <v>80549.12758</v>
      </c>
    </row>
    <row r="537" spans="1:19" x14ac:dyDescent="0.35">
      <c r="A537" s="7">
        <v>534</v>
      </c>
      <c r="B537" s="37">
        <v>46053.661805555559</v>
      </c>
      <c r="C537" s="2">
        <v>81392.12</v>
      </c>
      <c r="D537" s="43">
        <v>81402.539999999994</v>
      </c>
      <c r="E537" s="43">
        <v>81367.98</v>
      </c>
      <c r="F537" s="2">
        <v>81378.259999999995</v>
      </c>
      <c r="G537" s="1">
        <v>176</v>
      </c>
      <c r="I537" s="39">
        <v>46053.661805555559</v>
      </c>
      <c r="J537" s="36"/>
      <c r="L537" s="2"/>
      <c r="M537" s="2"/>
      <c r="O537" s="37">
        <v>46053.661805555559</v>
      </c>
      <c r="P537" s="36">
        <v>80905.085770000005</v>
      </c>
      <c r="R537" s="2">
        <v>82007.40453</v>
      </c>
      <c r="S537" s="2">
        <v>80546.357269999993</v>
      </c>
    </row>
    <row r="538" spans="1:19" x14ac:dyDescent="0.35">
      <c r="A538" s="7">
        <v>535</v>
      </c>
      <c r="B538" s="37">
        <v>46053.662499999999</v>
      </c>
      <c r="C538" s="2">
        <v>81379.64</v>
      </c>
      <c r="D538" s="43">
        <v>81406.559999999998</v>
      </c>
      <c r="E538" s="43">
        <v>81341.34</v>
      </c>
      <c r="F538" s="2">
        <v>81368.479999999996</v>
      </c>
      <c r="G538" s="1">
        <v>172</v>
      </c>
      <c r="I538" s="39">
        <v>46053.662499999999</v>
      </c>
      <c r="J538" s="36"/>
      <c r="L538" s="2"/>
      <c r="M538" s="2"/>
      <c r="O538" s="37">
        <v>46053.662499999999</v>
      </c>
      <c r="P538" s="36">
        <v>80887.368449999994</v>
      </c>
      <c r="R538" s="2">
        <v>82013.140799999994</v>
      </c>
      <c r="S538" s="2">
        <v>80543.586970000004</v>
      </c>
    </row>
    <row r="539" spans="1:19" x14ac:dyDescent="0.35">
      <c r="A539" s="7">
        <v>536</v>
      </c>
      <c r="B539" s="37">
        <v>46053.663194444445</v>
      </c>
      <c r="C539" s="2">
        <v>81378</v>
      </c>
      <c r="D539" s="43">
        <v>81430.5</v>
      </c>
      <c r="E539" s="43">
        <v>81377.86</v>
      </c>
      <c r="F539" s="2">
        <v>81430.5</v>
      </c>
      <c r="G539" s="1">
        <v>165</v>
      </c>
      <c r="I539" s="39">
        <v>46053.663194444445</v>
      </c>
      <c r="J539" s="36"/>
      <c r="L539" s="2"/>
      <c r="M539" s="2"/>
      <c r="O539" s="37">
        <v>46053.663194444445</v>
      </c>
      <c r="P539" s="36">
        <v>80869.651129999998</v>
      </c>
      <c r="R539" s="2">
        <v>82018.877070000002</v>
      </c>
      <c r="S539" s="2">
        <v>80540.81667</v>
      </c>
    </row>
    <row r="540" spans="1:19" x14ac:dyDescent="0.35">
      <c r="A540" s="7">
        <v>537</v>
      </c>
      <c r="B540" s="37">
        <v>46053.663888888892</v>
      </c>
      <c r="C540" s="2">
        <v>81430.41</v>
      </c>
      <c r="D540" s="43">
        <v>81430.42</v>
      </c>
      <c r="E540" s="43">
        <v>81388</v>
      </c>
      <c r="F540" s="2">
        <v>81396.33</v>
      </c>
      <c r="G540" s="1">
        <v>181</v>
      </c>
      <c r="I540" s="39">
        <v>46053.663888888892</v>
      </c>
      <c r="J540" s="36"/>
      <c r="L540" s="2"/>
      <c r="M540" s="2"/>
      <c r="O540" s="37">
        <v>46053.663888888892</v>
      </c>
      <c r="P540" s="36">
        <v>80851.933799999999</v>
      </c>
      <c r="R540" s="2">
        <v>82024.613329999993</v>
      </c>
      <c r="S540" s="2">
        <v>80538.046359999993</v>
      </c>
    </row>
    <row r="541" spans="1:19" x14ac:dyDescent="0.35">
      <c r="A541" s="7">
        <v>538</v>
      </c>
      <c r="B541" s="37">
        <v>46053.664583333331</v>
      </c>
      <c r="C541" s="2">
        <v>81396.33</v>
      </c>
      <c r="D541" s="43">
        <v>81396.33</v>
      </c>
      <c r="E541" s="43">
        <v>81203.850000000006</v>
      </c>
      <c r="F541" s="2">
        <v>81262.23</v>
      </c>
      <c r="G541" s="1">
        <v>210</v>
      </c>
      <c r="I541" s="39">
        <v>46053.664583333331</v>
      </c>
      <c r="J541" s="36"/>
      <c r="L541" s="2"/>
      <c r="M541" s="2"/>
      <c r="O541" s="37">
        <v>46053.664583333331</v>
      </c>
      <c r="P541" s="36">
        <v>80834.216480000003</v>
      </c>
      <c r="R541" s="2">
        <v>82030.349600000001</v>
      </c>
      <c r="S541" s="2">
        <v>80535.276060000004</v>
      </c>
    </row>
    <row r="542" spans="1:19" x14ac:dyDescent="0.35">
      <c r="A542" s="7">
        <v>539</v>
      </c>
      <c r="B542" s="37">
        <v>46053.665277777778</v>
      </c>
      <c r="C542" s="2">
        <v>81262.23</v>
      </c>
      <c r="D542" s="43">
        <v>81293.649999999994</v>
      </c>
      <c r="E542" s="43">
        <v>81190.41</v>
      </c>
      <c r="F542" s="2">
        <v>81225.3</v>
      </c>
      <c r="G542" s="1">
        <v>249</v>
      </c>
      <c r="I542" s="39">
        <v>46053.665277777778</v>
      </c>
      <c r="J542" s="36"/>
      <c r="L542" s="2"/>
      <c r="M542" s="2"/>
      <c r="O542" s="37">
        <v>46053.665277777778</v>
      </c>
      <c r="P542" s="36">
        <v>80816.499150000003</v>
      </c>
      <c r="R542" s="2">
        <v>82036.085869999995</v>
      </c>
      <c r="S542" s="2">
        <v>80532.50576</v>
      </c>
    </row>
    <row r="543" spans="1:19" x14ac:dyDescent="0.35">
      <c r="A543" s="7">
        <v>540</v>
      </c>
      <c r="B543" s="37">
        <v>46053.665972222225</v>
      </c>
      <c r="C543" s="2">
        <v>81225.33</v>
      </c>
      <c r="D543" s="43">
        <v>81303.7</v>
      </c>
      <c r="E543" s="43">
        <v>81225.320000000007</v>
      </c>
      <c r="F543" s="2">
        <v>81256.820000000007</v>
      </c>
      <c r="G543" s="1">
        <v>230</v>
      </c>
      <c r="I543" s="39">
        <v>46053.665972222225</v>
      </c>
      <c r="J543" s="36"/>
      <c r="L543" s="2"/>
      <c r="M543" s="2"/>
      <c r="O543" s="37">
        <v>46053.665972222225</v>
      </c>
      <c r="P543" s="36">
        <v>80798.781830000007</v>
      </c>
      <c r="R543" s="2">
        <v>82041.82213</v>
      </c>
      <c r="S543" s="2">
        <v>80529.735449999993</v>
      </c>
    </row>
    <row r="544" spans="1:19" x14ac:dyDescent="0.35">
      <c r="A544" s="7">
        <v>541</v>
      </c>
      <c r="B544" s="37">
        <v>46053.666666666664</v>
      </c>
      <c r="C544" s="2">
        <v>81259.03</v>
      </c>
      <c r="D544" s="43">
        <v>81332.210000000006</v>
      </c>
      <c r="E544" s="43">
        <v>81240.91</v>
      </c>
      <c r="F544" s="2">
        <v>81332.210000000006</v>
      </c>
      <c r="G544" s="1">
        <v>144</v>
      </c>
      <c r="I544" s="39">
        <v>46053.666666666664</v>
      </c>
      <c r="J544" s="36"/>
      <c r="L544" s="2"/>
      <c r="M544" s="2"/>
      <c r="O544" s="37">
        <v>46053.666666666664</v>
      </c>
      <c r="P544" s="36">
        <v>80781.064509999997</v>
      </c>
      <c r="R544" s="2">
        <v>82047.558399999994</v>
      </c>
      <c r="S544" s="2">
        <v>80526.965150000004</v>
      </c>
    </row>
    <row r="545" spans="1:19" x14ac:dyDescent="0.35">
      <c r="A545" s="7">
        <v>542</v>
      </c>
      <c r="B545" s="37">
        <v>46053.667361111111</v>
      </c>
      <c r="C545" s="2">
        <v>81332.210000000006</v>
      </c>
      <c r="D545" s="43">
        <v>81336.800000000003</v>
      </c>
      <c r="E545" s="43">
        <v>81248.52</v>
      </c>
      <c r="F545" s="2">
        <v>81248.52</v>
      </c>
      <c r="G545" s="1">
        <v>226</v>
      </c>
      <c r="I545" s="39">
        <v>46053.667361111111</v>
      </c>
      <c r="J545" s="36"/>
      <c r="L545" s="2"/>
      <c r="M545" s="2"/>
      <c r="O545" s="37">
        <v>46053.667361111111</v>
      </c>
      <c r="P545" s="36">
        <v>80763.347179999997</v>
      </c>
      <c r="R545" s="2">
        <v>82053.294670000003</v>
      </c>
      <c r="S545" s="2">
        <v>80524.19485</v>
      </c>
    </row>
    <row r="546" spans="1:19" x14ac:dyDescent="0.35">
      <c r="A546" s="7">
        <v>543</v>
      </c>
      <c r="B546" s="37">
        <v>46053.668055555558</v>
      </c>
      <c r="C546" s="2">
        <v>81252.5</v>
      </c>
      <c r="D546" s="43">
        <v>81313.3</v>
      </c>
      <c r="E546" s="43">
        <v>81252.490000000005</v>
      </c>
      <c r="F546" s="2">
        <v>81313.14</v>
      </c>
      <c r="G546" s="1">
        <v>175</v>
      </c>
      <c r="I546" s="39">
        <v>46053.668055555558</v>
      </c>
      <c r="J546" s="36"/>
      <c r="L546" s="2"/>
      <c r="M546" s="2"/>
      <c r="O546" s="37">
        <v>46053.668055555558</v>
      </c>
      <c r="P546" s="36">
        <v>80745.629860000001</v>
      </c>
      <c r="R546" s="2">
        <v>82059.030929999994</v>
      </c>
      <c r="S546" s="2">
        <v>80521.424549999996</v>
      </c>
    </row>
    <row r="547" spans="1:19" x14ac:dyDescent="0.35">
      <c r="A547" s="7">
        <v>544</v>
      </c>
      <c r="B547" s="37">
        <v>46053.668749999997</v>
      </c>
      <c r="C547" s="2">
        <v>81313.100000000006</v>
      </c>
      <c r="D547" s="43">
        <v>81408.2</v>
      </c>
      <c r="E547" s="43">
        <v>81291.33</v>
      </c>
      <c r="F547" s="2">
        <v>81350.73</v>
      </c>
      <c r="G547" s="1">
        <v>219</v>
      </c>
      <c r="I547" s="39">
        <v>46053.668749999997</v>
      </c>
      <c r="J547" s="36"/>
      <c r="L547" s="2"/>
      <c r="M547" s="2"/>
      <c r="O547" s="37">
        <v>46053.668749999997</v>
      </c>
      <c r="P547" s="36">
        <v>80727.912540000005</v>
      </c>
      <c r="R547" s="2">
        <v>82064.767200000002</v>
      </c>
      <c r="S547" s="2">
        <v>80518.654240000003</v>
      </c>
    </row>
    <row r="548" spans="1:19" x14ac:dyDescent="0.35">
      <c r="A548" s="7">
        <v>545</v>
      </c>
      <c r="B548" s="37">
        <v>46053.669444444444</v>
      </c>
      <c r="C548" s="2">
        <v>81351.27</v>
      </c>
      <c r="D548" s="43">
        <v>81377.8</v>
      </c>
      <c r="E548" s="43">
        <v>81276.53</v>
      </c>
      <c r="F548" s="2">
        <v>81297.679999999993</v>
      </c>
      <c r="G548" s="1">
        <v>181</v>
      </c>
      <c r="I548" s="39">
        <v>46053.669444444444</v>
      </c>
      <c r="J548" s="36"/>
      <c r="L548" s="2"/>
      <c r="M548" s="2"/>
      <c r="O548" s="37">
        <v>46053.669444444444</v>
      </c>
      <c r="P548" s="36">
        <v>80710.195210000005</v>
      </c>
      <c r="R548" s="2">
        <v>82070.503469999996</v>
      </c>
      <c r="S548" s="2">
        <v>80515.88394</v>
      </c>
    </row>
    <row r="549" spans="1:19" x14ac:dyDescent="0.35">
      <c r="A549" s="7">
        <v>546</v>
      </c>
      <c r="B549" s="37">
        <v>46053.670138888891</v>
      </c>
      <c r="C549" s="2">
        <v>81290.990000000005</v>
      </c>
      <c r="D549" s="43">
        <v>81333.600000000006</v>
      </c>
      <c r="E549" s="43">
        <v>81289.86</v>
      </c>
      <c r="F549" s="2">
        <v>81292.31</v>
      </c>
      <c r="G549" s="1">
        <v>212</v>
      </c>
      <c r="I549" s="39">
        <v>46053.670138888891</v>
      </c>
      <c r="J549" s="36"/>
      <c r="L549" s="2"/>
      <c r="M549" s="2"/>
      <c r="O549" s="37">
        <v>46053.670138888891</v>
      </c>
      <c r="P549" s="36">
        <v>80692.477889999995</v>
      </c>
      <c r="R549" s="2">
        <v>82076.239730000001</v>
      </c>
      <c r="S549" s="2">
        <v>80513.113639999996</v>
      </c>
    </row>
    <row r="550" spans="1:19" x14ac:dyDescent="0.35">
      <c r="A550" s="7">
        <v>547</v>
      </c>
      <c r="B550" s="37">
        <v>46053.67083333333</v>
      </c>
      <c r="C550" s="2">
        <v>81293.740000000005</v>
      </c>
      <c r="D550" s="43">
        <v>81299.73</v>
      </c>
      <c r="E550" s="43">
        <v>81225.240000000005</v>
      </c>
      <c r="F550" s="2">
        <v>81239.73</v>
      </c>
      <c r="G550" s="1">
        <v>235</v>
      </c>
      <c r="I550" s="39">
        <v>46053.67083333333</v>
      </c>
      <c r="J550" s="36"/>
      <c r="L550" s="2"/>
      <c r="M550" s="2"/>
      <c r="O550" s="37">
        <v>46053.67083333333</v>
      </c>
      <c r="P550" s="36">
        <v>80674.760559999995</v>
      </c>
      <c r="R550" s="2">
        <v>82081.975999999995</v>
      </c>
      <c r="S550" s="2">
        <v>80510.343330000003</v>
      </c>
    </row>
    <row r="551" spans="1:19" x14ac:dyDescent="0.35">
      <c r="A551" s="7">
        <v>548</v>
      </c>
      <c r="B551" s="37">
        <v>46053.671527777777</v>
      </c>
      <c r="C551" s="2">
        <v>81239.97</v>
      </c>
      <c r="D551" s="43">
        <v>81239.97</v>
      </c>
      <c r="E551" s="43">
        <v>80938.92</v>
      </c>
      <c r="F551" s="2">
        <v>81042.720000000001</v>
      </c>
      <c r="G551" s="1">
        <v>281</v>
      </c>
      <c r="I551" s="39">
        <v>46053.671527777777</v>
      </c>
      <c r="J551" s="36"/>
      <c r="L551" s="2"/>
      <c r="M551" s="2"/>
      <c r="O551" s="37">
        <v>46053.671527777777</v>
      </c>
      <c r="P551" s="36">
        <v>80657.043239999999</v>
      </c>
      <c r="R551" s="2">
        <v>82087.712270000004</v>
      </c>
      <c r="S551" s="2">
        <v>80507.57303</v>
      </c>
    </row>
    <row r="552" spans="1:19" x14ac:dyDescent="0.35">
      <c r="A552" s="7">
        <v>549</v>
      </c>
      <c r="B552" s="37">
        <v>46053.672222222223</v>
      </c>
      <c r="C552" s="2">
        <v>81042.720000000001</v>
      </c>
      <c r="D552" s="43">
        <v>81070.070000000007</v>
      </c>
      <c r="E552" s="43">
        <v>80922.289999999994</v>
      </c>
      <c r="F552" s="2">
        <v>80956.69</v>
      </c>
      <c r="G552" s="1">
        <v>292</v>
      </c>
      <c r="I552" s="39">
        <v>46053.672222222223</v>
      </c>
      <c r="J552" s="36"/>
      <c r="L552" s="2"/>
      <c r="M552" s="2"/>
      <c r="O552" s="37">
        <v>46053.672222222223</v>
      </c>
      <c r="P552" s="36">
        <v>80639.325920000003</v>
      </c>
      <c r="R552" s="2">
        <v>82093.448529999994</v>
      </c>
      <c r="S552" s="2">
        <v>80504.802729999996</v>
      </c>
    </row>
    <row r="553" spans="1:19" x14ac:dyDescent="0.35">
      <c r="A553" s="7">
        <v>550</v>
      </c>
      <c r="B553" s="37">
        <v>46053.67291666667</v>
      </c>
      <c r="C553" s="2">
        <v>80956.649999999994</v>
      </c>
      <c r="D553" s="43">
        <v>80958.320000000007</v>
      </c>
      <c r="E553" s="43">
        <v>80681.320000000007</v>
      </c>
      <c r="F553" s="2">
        <v>80698.42</v>
      </c>
      <c r="G553" s="1">
        <v>278</v>
      </c>
      <c r="I553" s="39">
        <v>46053.67291666667</v>
      </c>
      <c r="J553" s="36"/>
      <c r="L553" s="2"/>
      <c r="M553" s="2"/>
      <c r="O553" s="37">
        <v>46053.67291666667</v>
      </c>
      <c r="P553" s="36">
        <v>80621.608590000003</v>
      </c>
      <c r="R553" s="2">
        <v>82099.184800000003</v>
      </c>
      <c r="S553" s="2">
        <v>80502.032420000003</v>
      </c>
    </row>
    <row r="554" spans="1:19" x14ac:dyDescent="0.35">
      <c r="A554" s="7">
        <v>551</v>
      </c>
      <c r="B554" s="37">
        <v>46053.673611111109</v>
      </c>
      <c r="C554" s="2">
        <v>80729.02</v>
      </c>
      <c r="D554" s="43">
        <v>81001.210000000006</v>
      </c>
      <c r="E554" s="43">
        <v>80729.02</v>
      </c>
      <c r="F554" s="2">
        <v>80926.320000000007</v>
      </c>
      <c r="G554" s="1">
        <v>293</v>
      </c>
      <c r="I554" s="39">
        <v>46053.673611111109</v>
      </c>
      <c r="J554" s="36"/>
      <c r="L554" s="2"/>
      <c r="M554" s="2"/>
      <c r="O554" s="37">
        <v>46053.673611111109</v>
      </c>
      <c r="P554" s="36">
        <v>80603.891269999993</v>
      </c>
      <c r="R554" s="2">
        <v>82104.921069999997</v>
      </c>
      <c r="S554" s="2">
        <v>80499.262119999999</v>
      </c>
    </row>
    <row r="555" spans="1:19" x14ac:dyDescent="0.35">
      <c r="A555" s="7">
        <v>552</v>
      </c>
      <c r="B555" s="37">
        <v>46053.674305555556</v>
      </c>
      <c r="C555" s="2">
        <v>80926.31</v>
      </c>
      <c r="D555" s="43">
        <v>81038.899999999994</v>
      </c>
      <c r="E555" s="43">
        <v>80915.58</v>
      </c>
      <c r="F555" s="2">
        <v>80987.94</v>
      </c>
      <c r="G555" s="1">
        <v>279</v>
      </c>
      <c r="I555" s="39">
        <v>46053.674305555556</v>
      </c>
      <c r="J555" s="36"/>
      <c r="L555" s="2"/>
      <c r="M555" s="2"/>
      <c r="O555" s="37">
        <v>46053.674305555556</v>
      </c>
      <c r="P555" s="36">
        <v>80586.173939999993</v>
      </c>
      <c r="R555" s="2">
        <v>82110.657330000002</v>
      </c>
      <c r="S555" s="2">
        <v>80496.491819999996</v>
      </c>
    </row>
    <row r="556" spans="1:19" x14ac:dyDescent="0.35">
      <c r="A556" s="7">
        <v>553</v>
      </c>
      <c r="B556" s="37">
        <v>46053.675000000003</v>
      </c>
      <c r="C556" s="2">
        <v>80990.34</v>
      </c>
      <c r="D556" s="43">
        <v>81120.2</v>
      </c>
      <c r="E556" s="43">
        <v>80964.5</v>
      </c>
      <c r="F556" s="2">
        <v>81021.72</v>
      </c>
      <c r="G556" s="1">
        <v>279</v>
      </c>
      <c r="I556" s="39">
        <v>46053.675000000003</v>
      </c>
      <c r="J556" s="36"/>
      <c r="L556" s="2"/>
      <c r="M556" s="2"/>
      <c r="O556" s="37">
        <v>46053.675000000003</v>
      </c>
      <c r="P556" s="36">
        <v>80568.456619999997</v>
      </c>
      <c r="R556" s="2">
        <v>82116.393599999996</v>
      </c>
      <c r="S556" s="2">
        <v>80493.721520000006</v>
      </c>
    </row>
    <row r="557" spans="1:19" x14ac:dyDescent="0.35">
      <c r="A557" s="7">
        <v>554</v>
      </c>
      <c r="B557" s="37">
        <v>46053.675694444442</v>
      </c>
      <c r="C557" s="2">
        <v>81025.94</v>
      </c>
      <c r="D557" s="43">
        <v>81060.23</v>
      </c>
      <c r="E557" s="43">
        <v>80919.91</v>
      </c>
      <c r="F557" s="2">
        <v>80977.210000000006</v>
      </c>
      <c r="G557" s="1">
        <v>252</v>
      </c>
      <c r="I557" s="39">
        <v>46053.675694444442</v>
      </c>
      <c r="J557" s="36"/>
      <c r="L557" s="2"/>
      <c r="M557" s="2"/>
      <c r="O557" s="37">
        <v>46053.675694444442</v>
      </c>
      <c r="P557" s="36">
        <v>80550.739300000001</v>
      </c>
      <c r="R557" s="2">
        <v>82122.129870000004</v>
      </c>
      <c r="S557" s="2">
        <v>80490.951209999999</v>
      </c>
    </row>
    <row r="558" spans="1:19" x14ac:dyDescent="0.35">
      <c r="A558" s="7">
        <v>555</v>
      </c>
      <c r="B558" s="37">
        <v>46053.676388888889</v>
      </c>
      <c r="C558" s="2">
        <v>80972.899999999994</v>
      </c>
      <c r="D558" s="43">
        <v>81013.820000000007</v>
      </c>
      <c r="E558" s="43">
        <v>80920.33</v>
      </c>
      <c r="F558" s="2">
        <v>80950.649999999994</v>
      </c>
      <c r="G558" s="1">
        <v>237</v>
      </c>
      <c r="I558" s="39">
        <v>46053.676388888889</v>
      </c>
      <c r="J558" s="36"/>
      <c r="L558" s="2"/>
      <c r="M558" s="2"/>
      <c r="O558" s="37">
        <v>46053.676388888889</v>
      </c>
      <c r="P558" s="36">
        <v>80533.021970000002</v>
      </c>
      <c r="R558" s="2">
        <v>82127.866129999995</v>
      </c>
      <c r="S558" s="2">
        <v>80488.180909999995</v>
      </c>
    </row>
    <row r="559" spans="1:19" x14ac:dyDescent="0.35">
      <c r="A559" s="7">
        <v>556</v>
      </c>
      <c r="B559" s="37">
        <v>46053.677083333336</v>
      </c>
      <c r="C559" s="2">
        <v>80951.320000000007</v>
      </c>
      <c r="D559" s="43">
        <v>81006.36</v>
      </c>
      <c r="E559" s="43">
        <v>80950.66</v>
      </c>
      <c r="F559" s="2">
        <v>80971.960000000006</v>
      </c>
      <c r="G559" s="1">
        <v>196</v>
      </c>
      <c r="I559" s="39">
        <v>46053.677083333336</v>
      </c>
      <c r="J559" s="36"/>
      <c r="L559" s="2"/>
      <c r="M559" s="2"/>
      <c r="O559" s="37">
        <v>46053.677083333336</v>
      </c>
      <c r="P559" s="36">
        <v>80515.304650000005</v>
      </c>
      <c r="R559" s="2">
        <v>82133.602400000003</v>
      </c>
      <c r="S559" s="2">
        <v>80485.410610000006</v>
      </c>
    </row>
    <row r="560" spans="1:19" x14ac:dyDescent="0.35">
      <c r="A560" s="7">
        <v>557</v>
      </c>
      <c r="B560" s="37">
        <v>46053.677777777775</v>
      </c>
      <c r="C560" s="2">
        <v>80971.95</v>
      </c>
      <c r="D560" s="43">
        <v>80971.95</v>
      </c>
      <c r="E560" s="43">
        <v>80765.66</v>
      </c>
      <c r="F560" s="2">
        <v>80803.12</v>
      </c>
      <c r="G560" s="1">
        <v>295</v>
      </c>
      <c r="I560" s="39">
        <v>46053.677777777775</v>
      </c>
      <c r="J560" s="36"/>
      <c r="L560" s="2"/>
      <c r="M560" s="2"/>
      <c r="O560" s="37">
        <v>46053.677777777775</v>
      </c>
      <c r="P560" s="36">
        <v>80497.587320000006</v>
      </c>
      <c r="R560" s="2">
        <v>82139.338669999997</v>
      </c>
      <c r="S560" s="2">
        <v>80482.640299999999</v>
      </c>
    </row>
    <row r="561" spans="1:19" x14ac:dyDescent="0.35">
      <c r="A561" s="7">
        <v>558</v>
      </c>
      <c r="B561" s="37">
        <v>46053.678472222222</v>
      </c>
      <c r="C561" s="2">
        <v>80613.91</v>
      </c>
      <c r="D561" s="43">
        <v>81147.520000000004</v>
      </c>
      <c r="E561" s="43">
        <v>80479.87</v>
      </c>
      <c r="F561" s="2">
        <v>81063.66</v>
      </c>
      <c r="G561" s="1">
        <v>305</v>
      </c>
      <c r="I561" s="39">
        <v>46053.678472222222</v>
      </c>
      <c r="J561" s="36"/>
      <c r="L561" s="2"/>
      <c r="M561" s="2"/>
      <c r="O561" s="37">
        <v>46053.678472222222</v>
      </c>
      <c r="P561" s="36">
        <v>80479.87</v>
      </c>
      <c r="Q561" s="4" t="s">
        <v>15</v>
      </c>
      <c r="R561" s="2">
        <v>82145.074930000002</v>
      </c>
      <c r="S561" s="2">
        <v>80479.87</v>
      </c>
    </row>
    <row r="562" spans="1:19" x14ac:dyDescent="0.35">
      <c r="A562" s="7">
        <v>559</v>
      </c>
      <c r="B562" s="37">
        <v>46053.679166666669</v>
      </c>
      <c r="C562" s="2">
        <v>81030.3</v>
      </c>
      <c r="D562" s="43">
        <v>81642.399999999994</v>
      </c>
      <c r="E562" s="43">
        <v>81030.3</v>
      </c>
      <c r="F562" s="2">
        <v>81394.05</v>
      </c>
      <c r="G562" s="1">
        <v>311</v>
      </c>
      <c r="I562" s="39">
        <v>46053.679166666669</v>
      </c>
      <c r="J562" s="36"/>
      <c r="L562" s="2"/>
      <c r="M562" s="2"/>
      <c r="O562" s="37">
        <v>46053.679166666669</v>
      </c>
      <c r="P562" s="36">
        <v>80901.907500000001</v>
      </c>
      <c r="R562" s="2">
        <v>82150.811199999996</v>
      </c>
      <c r="S562" s="2">
        <v>80436.487089999995</v>
      </c>
    </row>
    <row r="563" spans="1:19" x14ac:dyDescent="0.35">
      <c r="A563" s="7">
        <v>560</v>
      </c>
      <c r="B563" s="37">
        <v>46053.679861111108</v>
      </c>
      <c r="C563" s="2">
        <v>81391.91</v>
      </c>
      <c r="D563" s="43">
        <v>81567.38</v>
      </c>
      <c r="E563" s="43">
        <v>81353.14</v>
      </c>
      <c r="F563" s="2">
        <v>81380.960000000006</v>
      </c>
      <c r="G563" s="1">
        <v>310</v>
      </c>
      <c r="I563" s="39">
        <v>46053.679861111108</v>
      </c>
      <c r="J563" s="36"/>
      <c r="L563" s="2"/>
      <c r="M563" s="2"/>
      <c r="O563" s="37">
        <v>46053.679861111108</v>
      </c>
      <c r="P563" s="36">
        <v>81323.945000000007</v>
      </c>
      <c r="R563" s="2">
        <v>82156.547470000005</v>
      </c>
      <c r="S563" s="2">
        <v>80393.104179999995</v>
      </c>
    </row>
    <row r="564" spans="1:19" x14ac:dyDescent="0.35">
      <c r="A564" s="7">
        <v>561</v>
      </c>
      <c r="B564" s="37">
        <v>46053.680555555555</v>
      </c>
      <c r="C564" s="2">
        <v>81390.570000000007</v>
      </c>
      <c r="D564" s="43">
        <v>81678.320000000007</v>
      </c>
      <c r="E564" s="43">
        <v>81290.92</v>
      </c>
      <c r="F564" s="2">
        <v>81668</v>
      </c>
      <c r="G564" s="1">
        <v>300</v>
      </c>
      <c r="I564" s="39">
        <v>46053.680555555555</v>
      </c>
      <c r="J564" s="36"/>
      <c r="L564" s="2"/>
      <c r="M564" s="2"/>
      <c r="O564" s="37">
        <v>46053.680555555555</v>
      </c>
      <c r="P564" s="36">
        <v>81745.982499999998</v>
      </c>
      <c r="R564" s="2">
        <v>82162.283729999996</v>
      </c>
      <c r="S564" s="2">
        <v>80349.721269999995</v>
      </c>
    </row>
    <row r="565" spans="1:19" x14ac:dyDescent="0.35">
      <c r="A565" s="7">
        <v>562</v>
      </c>
      <c r="B565" s="37">
        <v>46053.681250000001</v>
      </c>
      <c r="C565" s="2">
        <v>81708.38</v>
      </c>
      <c r="D565" s="43">
        <v>82168.02</v>
      </c>
      <c r="E565" s="43">
        <v>81593.490000000005</v>
      </c>
      <c r="F565" s="2">
        <v>81770.33</v>
      </c>
      <c r="G565" s="1">
        <v>309</v>
      </c>
      <c r="I565" s="39">
        <v>46053.681250000001</v>
      </c>
      <c r="J565" s="36"/>
      <c r="L565" s="2"/>
      <c r="M565" s="2"/>
      <c r="O565" s="37">
        <v>46053.681250000001</v>
      </c>
      <c r="P565" s="36">
        <v>82168.02</v>
      </c>
      <c r="Q565" s="4" t="s">
        <v>14</v>
      </c>
      <c r="R565" s="2">
        <v>82168.02</v>
      </c>
      <c r="S565" s="2">
        <v>80306.338359999994</v>
      </c>
    </row>
    <row r="566" spans="1:19" x14ac:dyDescent="0.35">
      <c r="A566" s="7">
        <v>563</v>
      </c>
      <c r="B566" s="37">
        <v>46053.681944444441</v>
      </c>
      <c r="C566" s="2">
        <v>81768.61</v>
      </c>
      <c r="D566" s="43">
        <v>81768.61</v>
      </c>
      <c r="E566" s="43">
        <v>81637.740000000005</v>
      </c>
      <c r="F566" s="2">
        <v>81699.83</v>
      </c>
      <c r="G566" s="1">
        <v>294</v>
      </c>
      <c r="I566" s="39">
        <v>46053.681944444441</v>
      </c>
      <c r="J566" s="36"/>
      <c r="L566" s="2"/>
      <c r="M566" s="2"/>
      <c r="O566" s="37">
        <v>46053.681944444441</v>
      </c>
      <c r="P566" s="36">
        <v>82088.133530000006</v>
      </c>
      <c r="R566" s="2">
        <v>82116.108300000007</v>
      </c>
      <c r="S566" s="2">
        <v>80262.955449999994</v>
      </c>
    </row>
    <row r="567" spans="1:19" x14ac:dyDescent="0.35">
      <c r="A567" s="7">
        <v>564</v>
      </c>
      <c r="B567" s="37">
        <v>46053.682638888888</v>
      </c>
      <c r="C567" s="2">
        <v>81698.98</v>
      </c>
      <c r="D567" s="43">
        <v>81862.100000000006</v>
      </c>
      <c r="E567" s="43">
        <v>81698.98</v>
      </c>
      <c r="F567" s="2">
        <v>81751.460000000006</v>
      </c>
      <c r="G567" s="1">
        <v>309</v>
      </c>
      <c r="I567" s="39">
        <v>46053.682638888888</v>
      </c>
      <c r="J567" s="36"/>
      <c r="L567" s="2"/>
      <c r="M567" s="2"/>
      <c r="O567" s="37">
        <v>46053.682638888888</v>
      </c>
      <c r="P567" s="36">
        <v>82008.247059999994</v>
      </c>
      <c r="R567" s="2">
        <v>82064.196599999996</v>
      </c>
      <c r="S567" s="2">
        <v>80219.572549999997</v>
      </c>
    </row>
    <row r="568" spans="1:19" x14ac:dyDescent="0.35">
      <c r="A568" s="7">
        <v>565</v>
      </c>
      <c r="B568" s="37">
        <v>46053.683333333334</v>
      </c>
      <c r="C568" s="2">
        <v>81747.600000000006</v>
      </c>
      <c r="D568" s="43">
        <v>81869.48</v>
      </c>
      <c r="E568" s="43">
        <v>81698.990000000005</v>
      </c>
      <c r="F568" s="2">
        <v>81701.27</v>
      </c>
      <c r="G568" s="1">
        <v>283</v>
      </c>
      <c r="I568" s="39">
        <v>46053.683333333334</v>
      </c>
      <c r="J568" s="36"/>
      <c r="L568" s="2"/>
      <c r="M568" s="2"/>
      <c r="O568" s="37">
        <v>46053.683333333334</v>
      </c>
      <c r="P568" s="36">
        <v>81928.360589999997</v>
      </c>
      <c r="R568" s="2">
        <v>82012.284910000002</v>
      </c>
      <c r="S568" s="2">
        <v>80176.189639999997</v>
      </c>
    </row>
    <row r="569" spans="1:19" x14ac:dyDescent="0.35">
      <c r="A569" s="7">
        <v>566</v>
      </c>
      <c r="B569" s="37">
        <v>46053.684027777781</v>
      </c>
      <c r="C569" s="2">
        <v>81701.279999999999</v>
      </c>
      <c r="D569" s="43">
        <v>81789.16</v>
      </c>
      <c r="E569" s="43">
        <v>81463.199999999997</v>
      </c>
      <c r="F569" s="2">
        <v>81495.240000000005</v>
      </c>
      <c r="G569" s="1">
        <v>274</v>
      </c>
      <c r="I569" s="39">
        <v>46053.684027777781</v>
      </c>
      <c r="J569" s="36"/>
      <c r="L569" s="2"/>
      <c r="M569" s="2"/>
      <c r="O569" s="37">
        <v>46053.684027777781</v>
      </c>
      <c r="P569" s="36">
        <v>81848.474119999999</v>
      </c>
      <c r="R569" s="2">
        <v>81960.373210000005</v>
      </c>
      <c r="S569" s="2">
        <v>80132.806729999997</v>
      </c>
    </row>
    <row r="570" spans="1:19" x14ac:dyDescent="0.35">
      <c r="A570" s="7">
        <v>567</v>
      </c>
      <c r="B570" s="37">
        <v>46053.68472222222</v>
      </c>
      <c r="C570" s="2">
        <v>81489.89</v>
      </c>
      <c r="D570" s="43">
        <v>81505.38</v>
      </c>
      <c r="E570" s="43">
        <v>81336.11</v>
      </c>
      <c r="F570" s="2">
        <v>81418.69</v>
      </c>
      <c r="G570" s="1">
        <v>287</v>
      </c>
      <c r="I570" s="39">
        <v>46053.68472222222</v>
      </c>
      <c r="J570" s="36"/>
      <c r="L570" s="2"/>
      <c r="M570" s="2"/>
      <c r="O570" s="37">
        <v>46053.68472222222</v>
      </c>
      <c r="P570" s="36">
        <v>81768.587650000001</v>
      </c>
      <c r="R570" s="2">
        <v>81908.461509999994</v>
      </c>
      <c r="S570" s="2">
        <v>80089.423819999996</v>
      </c>
    </row>
    <row r="571" spans="1:19" x14ac:dyDescent="0.35">
      <c r="A571" s="7">
        <v>568</v>
      </c>
      <c r="B571" s="37">
        <v>46053.685416666667</v>
      </c>
      <c r="C571" s="2">
        <v>81419.210000000006</v>
      </c>
      <c r="D571" s="43">
        <v>81419.210000000006</v>
      </c>
      <c r="E571" s="43">
        <v>81167.820000000007</v>
      </c>
      <c r="F571" s="2">
        <v>81220.58</v>
      </c>
      <c r="G571" s="1">
        <v>301</v>
      </c>
      <c r="I571" s="39">
        <v>46053.685416666667</v>
      </c>
      <c r="J571" s="36"/>
      <c r="L571" s="2"/>
      <c r="M571" s="2"/>
      <c r="O571" s="37">
        <v>46053.685416666667</v>
      </c>
      <c r="P571" s="36">
        <v>81688.701180000004</v>
      </c>
      <c r="R571" s="2">
        <v>81856.549809999997</v>
      </c>
      <c r="S571" s="2">
        <v>80046.040909999996</v>
      </c>
    </row>
    <row r="572" spans="1:19" x14ac:dyDescent="0.35">
      <c r="A572" s="7">
        <v>569</v>
      </c>
      <c r="B572" s="37">
        <v>46053.686111111114</v>
      </c>
      <c r="C572" s="2">
        <v>81222.210000000006</v>
      </c>
      <c r="D572" s="43">
        <v>81238.600000000006</v>
      </c>
      <c r="E572" s="43">
        <v>81037.53</v>
      </c>
      <c r="F572" s="2">
        <v>81093.81</v>
      </c>
      <c r="G572" s="1">
        <v>295</v>
      </c>
      <c r="I572" s="39">
        <v>46053.686111111114</v>
      </c>
      <c r="J572" s="36"/>
      <c r="L572" s="2"/>
      <c r="M572" s="2"/>
      <c r="O572" s="37">
        <v>46053.686111111114</v>
      </c>
      <c r="P572" s="36">
        <v>81608.814710000006</v>
      </c>
      <c r="R572" s="2">
        <v>81804.63811</v>
      </c>
      <c r="S572" s="2">
        <v>80002.657999999996</v>
      </c>
    </row>
    <row r="573" spans="1:19" x14ac:dyDescent="0.35">
      <c r="A573" s="7">
        <v>570</v>
      </c>
      <c r="B573" s="37">
        <v>46053.686805555553</v>
      </c>
      <c r="C573" s="2">
        <v>81111.429999999993</v>
      </c>
      <c r="D573" s="43">
        <v>81153.61</v>
      </c>
      <c r="E573" s="43">
        <v>81055.61</v>
      </c>
      <c r="F573" s="2">
        <v>81064.52</v>
      </c>
      <c r="G573" s="1">
        <v>286</v>
      </c>
      <c r="I573" s="39">
        <v>46053.686805555553</v>
      </c>
      <c r="J573" s="36"/>
      <c r="L573" s="2"/>
      <c r="M573" s="2"/>
      <c r="O573" s="37">
        <v>46053.686805555553</v>
      </c>
      <c r="P573" s="36">
        <v>81528.928239999994</v>
      </c>
      <c r="R573" s="2">
        <v>81752.726420000006</v>
      </c>
      <c r="S573" s="2">
        <v>79959.275089999996</v>
      </c>
    </row>
    <row r="574" spans="1:19" x14ac:dyDescent="0.35">
      <c r="A574" s="7">
        <v>571</v>
      </c>
      <c r="B574" s="37">
        <v>46053.6875</v>
      </c>
      <c r="C574" s="2">
        <v>81068.429999999993</v>
      </c>
      <c r="D574" s="43">
        <v>81147.58</v>
      </c>
      <c r="E574" s="43">
        <v>80999.850000000006</v>
      </c>
      <c r="F574" s="2">
        <v>81049.600000000006</v>
      </c>
      <c r="G574" s="1">
        <v>291</v>
      </c>
      <c r="I574" s="39">
        <v>46053.6875</v>
      </c>
      <c r="J574" s="36"/>
      <c r="L574" s="2"/>
      <c r="M574" s="2"/>
      <c r="O574" s="37">
        <v>46053.6875</v>
      </c>
      <c r="P574" s="36">
        <v>81449.041759999993</v>
      </c>
      <c r="R574" s="2">
        <v>81700.814719999995</v>
      </c>
      <c r="S574" s="2">
        <v>79915.892179999995</v>
      </c>
    </row>
    <row r="575" spans="1:19" x14ac:dyDescent="0.35">
      <c r="A575" s="7">
        <v>572</v>
      </c>
      <c r="B575" s="37">
        <v>46053.688194444447</v>
      </c>
      <c r="C575" s="2">
        <v>81051.429999999993</v>
      </c>
      <c r="D575" s="43">
        <v>81160</v>
      </c>
      <c r="E575" s="43">
        <v>80922.78</v>
      </c>
      <c r="F575" s="2">
        <v>81160</v>
      </c>
      <c r="G575" s="1">
        <v>290</v>
      </c>
      <c r="I575" s="39">
        <v>46053.688194444447</v>
      </c>
      <c r="J575" s="36"/>
      <c r="L575" s="2"/>
      <c r="M575" s="2"/>
      <c r="O575" s="37">
        <v>46053.688194444447</v>
      </c>
      <c r="P575" s="36">
        <v>81369.155289999995</v>
      </c>
      <c r="R575" s="2">
        <v>81648.903019999998</v>
      </c>
      <c r="S575" s="2">
        <v>79872.509269999995</v>
      </c>
    </row>
    <row r="576" spans="1:19" x14ac:dyDescent="0.35">
      <c r="A576" s="7">
        <v>573</v>
      </c>
      <c r="B576" s="37">
        <v>46053.688888888886</v>
      </c>
      <c r="C576" s="2">
        <v>81182.460000000006</v>
      </c>
      <c r="D576" s="43">
        <v>81237.320000000007</v>
      </c>
      <c r="E576" s="43">
        <v>81091.91</v>
      </c>
      <c r="F576" s="2">
        <v>81124.639999999999</v>
      </c>
      <c r="G576" s="1">
        <v>283</v>
      </c>
      <c r="I576" s="39">
        <v>46053.688888888886</v>
      </c>
      <c r="J576" s="36"/>
      <c r="L576" s="2"/>
      <c r="M576" s="2"/>
      <c r="O576" s="37">
        <v>46053.688888888886</v>
      </c>
      <c r="P576" s="36">
        <v>81289.268819999998</v>
      </c>
      <c r="R576" s="2">
        <v>81596.991320000001</v>
      </c>
      <c r="S576" s="2">
        <v>79829.126359999995</v>
      </c>
    </row>
    <row r="577" spans="1:19" x14ac:dyDescent="0.35">
      <c r="A577" s="7">
        <v>574</v>
      </c>
      <c r="B577" s="37">
        <v>46053.689583333333</v>
      </c>
      <c r="C577" s="2">
        <v>81117.070000000007</v>
      </c>
      <c r="D577" s="43">
        <v>81212.83</v>
      </c>
      <c r="E577" s="43">
        <v>81100.259999999995</v>
      </c>
      <c r="F577" s="2">
        <v>81192.710000000006</v>
      </c>
      <c r="G577" s="1">
        <v>267</v>
      </c>
      <c r="I577" s="39">
        <v>46053.689583333333</v>
      </c>
      <c r="J577" s="36"/>
      <c r="L577" s="2"/>
      <c r="M577" s="2"/>
      <c r="O577" s="37">
        <v>46053.689583333333</v>
      </c>
      <c r="P577" s="36">
        <v>81209.38235</v>
      </c>
      <c r="R577" s="2">
        <v>81545.079620000004</v>
      </c>
      <c r="S577" s="2">
        <v>79785.743449999994</v>
      </c>
    </row>
    <row r="578" spans="1:19" x14ac:dyDescent="0.35">
      <c r="A578" s="7">
        <v>575</v>
      </c>
      <c r="B578" s="37">
        <v>46053.69027777778</v>
      </c>
      <c r="C578" s="2">
        <v>81186.740000000005</v>
      </c>
      <c r="D578" s="43">
        <v>81223.14</v>
      </c>
      <c r="E578" s="43">
        <v>81099.009999999995</v>
      </c>
      <c r="F578" s="2">
        <v>81132.929999999993</v>
      </c>
      <c r="G578" s="1">
        <v>273</v>
      </c>
      <c r="I578" s="39">
        <v>46053.69027777778</v>
      </c>
      <c r="J578" s="36"/>
      <c r="L578" s="2"/>
      <c r="M578" s="2"/>
      <c r="O578" s="37">
        <v>46053.69027777778</v>
      </c>
      <c r="P578" s="36">
        <v>81129.495880000002</v>
      </c>
      <c r="R578" s="2">
        <v>81493.167920000007</v>
      </c>
      <c r="S578" s="2">
        <v>79742.360549999998</v>
      </c>
    </row>
    <row r="579" spans="1:19" x14ac:dyDescent="0.35">
      <c r="A579" s="7">
        <v>576</v>
      </c>
      <c r="B579" s="37">
        <v>46053.690972222219</v>
      </c>
      <c r="C579" s="2">
        <v>81128.98</v>
      </c>
      <c r="D579" s="43">
        <v>81174.86</v>
      </c>
      <c r="E579" s="43">
        <v>81058.3</v>
      </c>
      <c r="F579" s="2">
        <v>81063.94</v>
      </c>
      <c r="G579" s="1">
        <v>254</v>
      </c>
      <c r="I579" s="39">
        <v>46053.690972222219</v>
      </c>
      <c r="J579" s="36"/>
      <c r="L579" s="2"/>
      <c r="M579" s="2"/>
      <c r="O579" s="37">
        <v>46053.690972222219</v>
      </c>
      <c r="P579" s="36">
        <v>81049.609410000005</v>
      </c>
      <c r="R579" s="2">
        <v>81441.256229999999</v>
      </c>
      <c r="S579" s="2">
        <v>79698.977639999997</v>
      </c>
    </row>
    <row r="580" spans="1:19" x14ac:dyDescent="0.35">
      <c r="A580" s="7">
        <v>577</v>
      </c>
      <c r="B580" s="37">
        <v>46053.691666666666</v>
      </c>
      <c r="C580" s="2">
        <v>81062.509999999995</v>
      </c>
      <c r="D580" s="43">
        <v>81087.509999999995</v>
      </c>
      <c r="E580" s="43">
        <v>80998.53</v>
      </c>
      <c r="F580" s="2">
        <v>81037.490000000005</v>
      </c>
      <c r="G580" s="1">
        <v>281</v>
      </c>
      <c r="I580" s="39">
        <v>46053.691666666666</v>
      </c>
      <c r="J580" s="36"/>
      <c r="L580" s="2"/>
      <c r="M580" s="2"/>
      <c r="O580" s="37">
        <v>46053.691666666666</v>
      </c>
      <c r="P580" s="36">
        <v>80969.722940000007</v>
      </c>
      <c r="R580" s="2">
        <v>81389.344530000002</v>
      </c>
      <c r="S580" s="2">
        <v>79655.594729999997</v>
      </c>
    </row>
    <row r="581" spans="1:19" x14ac:dyDescent="0.35">
      <c r="A581" s="7">
        <v>578</v>
      </c>
      <c r="B581" s="37">
        <v>46053.692361111112</v>
      </c>
      <c r="C581" s="2">
        <v>81037.350000000006</v>
      </c>
      <c r="D581" s="43">
        <v>81181.119999999995</v>
      </c>
      <c r="E581" s="43">
        <v>81016.899999999994</v>
      </c>
      <c r="F581" s="2">
        <v>81090.38</v>
      </c>
      <c r="G581" s="1">
        <v>260</v>
      </c>
      <c r="I581" s="39">
        <v>46053.692361111112</v>
      </c>
      <c r="J581" s="36"/>
      <c r="L581" s="2"/>
      <c r="M581" s="2"/>
      <c r="O581" s="37">
        <v>46053.692361111112</v>
      </c>
      <c r="P581" s="36">
        <v>80889.836469999995</v>
      </c>
      <c r="R581" s="2">
        <v>81337.432830000005</v>
      </c>
      <c r="S581" s="2">
        <v>79612.211819999997</v>
      </c>
    </row>
    <row r="582" spans="1:19" x14ac:dyDescent="0.35">
      <c r="A582" s="7">
        <v>579</v>
      </c>
      <c r="B582" s="37">
        <v>46053.693055555559</v>
      </c>
      <c r="C582" s="2">
        <v>81082.41</v>
      </c>
      <c r="D582" s="43">
        <v>81095.69</v>
      </c>
      <c r="E582" s="43">
        <v>80928.88</v>
      </c>
      <c r="F582" s="2">
        <v>80967</v>
      </c>
      <c r="G582" s="1">
        <v>259</v>
      </c>
      <c r="I582" s="39">
        <v>46053.693055555559</v>
      </c>
      <c r="J582" s="36"/>
      <c r="L582" s="2"/>
      <c r="M582" s="2"/>
      <c r="O582" s="37">
        <v>46053.693055555559</v>
      </c>
      <c r="P582" s="36">
        <v>80809.95</v>
      </c>
      <c r="R582" s="2">
        <v>81285.521129999994</v>
      </c>
      <c r="S582" s="2">
        <v>79568.828909999997</v>
      </c>
    </row>
    <row r="583" spans="1:19" x14ac:dyDescent="0.35">
      <c r="A583" s="7">
        <v>580</v>
      </c>
      <c r="B583" s="37">
        <v>46053.693749999999</v>
      </c>
      <c r="C583" s="2">
        <v>80968.11</v>
      </c>
      <c r="D583" s="43">
        <v>81002.95</v>
      </c>
      <c r="E583" s="43">
        <v>80911.820000000007</v>
      </c>
      <c r="F583" s="2">
        <v>80986.73</v>
      </c>
      <c r="G583" s="1">
        <v>273</v>
      </c>
      <c r="I583" s="39">
        <v>46053.693749999999</v>
      </c>
      <c r="J583" s="36"/>
      <c r="L583" s="2"/>
      <c r="M583" s="2"/>
      <c r="O583" s="37">
        <v>46053.693749999999</v>
      </c>
      <c r="P583" s="36">
        <v>80730.063529999999</v>
      </c>
      <c r="R583" s="2">
        <v>81233.609429999997</v>
      </c>
      <c r="S583" s="2">
        <v>79525.445999999996</v>
      </c>
    </row>
    <row r="584" spans="1:19" x14ac:dyDescent="0.35">
      <c r="A584" s="7">
        <v>581</v>
      </c>
      <c r="B584" s="37">
        <v>46053.694444444445</v>
      </c>
      <c r="C584" s="2">
        <v>80987.23</v>
      </c>
      <c r="D584" s="43">
        <v>81009.38</v>
      </c>
      <c r="E584" s="43">
        <v>80871.62</v>
      </c>
      <c r="F584" s="2">
        <v>80907.14</v>
      </c>
      <c r="G584" s="1">
        <v>278</v>
      </c>
      <c r="I584" s="39">
        <v>46053.694444444445</v>
      </c>
      <c r="J584" s="36"/>
      <c r="L584" s="2"/>
      <c r="M584" s="2"/>
      <c r="O584" s="37">
        <v>46053.694444444445</v>
      </c>
      <c r="P584" s="36">
        <v>80650.177060000002</v>
      </c>
      <c r="R584" s="2">
        <v>81181.697740000003</v>
      </c>
      <c r="S584" s="2">
        <v>79482.063089999996</v>
      </c>
    </row>
    <row r="585" spans="1:19" x14ac:dyDescent="0.35">
      <c r="A585" s="7">
        <v>582</v>
      </c>
      <c r="B585" s="37">
        <v>46053.695138888892</v>
      </c>
      <c r="C585" s="2">
        <v>80908.84</v>
      </c>
      <c r="D585" s="43">
        <v>80960.42</v>
      </c>
      <c r="E585" s="43">
        <v>80895.28</v>
      </c>
      <c r="F585" s="2">
        <v>80933.91</v>
      </c>
      <c r="G585" s="1">
        <v>228</v>
      </c>
      <c r="I585" s="39">
        <v>46053.695138888892</v>
      </c>
      <c r="J585" s="36"/>
      <c r="L585" s="2"/>
      <c r="M585" s="2"/>
      <c r="O585" s="37">
        <v>46053.695138888892</v>
      </c>
      <c r="P585" s="36">
        <v>80570.290590000004</v>
      </c>
      <c r="R585" s="2">
        <v>81129.786040000006</v>
      </c>
      <c r="S585" s="2">
        <v>79438.680179999996</v>
      </c>
    </row>
    <row r="586" spans="1:19" x14ac:dyDescent="0.35">
      <c r="A586" s="7">
        <v>583</v>
      </c>
      <c r="B586" s="37">
        <v>46053.695833333331</v>
      </c>
      <c r="C586" s="2">
        <v>80933.91</v>
      </c>
      <c r="D586" s="43">
        <v>81002.259999999995</v>
      </c>
      <c r="E586" s="43">
        <v>80933.899999999994</v>
      </c>
      <c r="F586" s="2">
        <v>81002.11</v>
      </c>
      <c r="G586" s="1">
        <v>226</v>
      </c>
      <c r="I586" s="39">
        <v>46053.695833333331</v>
      </c>
      <c r="J586" s="36"/>
      <c r="L586" s="2"/>
      <c r="M586" s="2"/>
      <c r="O586" s="37">
        <v>46053.695833333331</v>
      </c>
      <c r="P586" s="36">
        <v>80490.404120000007</v>
      </c>
      <c r="R586" s="2">
        <v>81077.874339999995</v>
      </c>
      <c r="S586" s="2">
        <v>79395.297269999995</v>
      </c>
    </row>
    <row r="587" spans="1:19" x14ac:dyDescent="0.35">
      <c r="A587" s="7">
        <v>584</v>
      </c>
      <c r="B587" s="37">
        <v>46053.696527777778</v>
      </c>
      <c r="C587" s="2">
        <v>81002.11</v>
      </c>
      <c r="D587" s="43">
        <v>81024.34</v>
      </c>
      <c r="E587" s="43">
        <v>80886.42</v>
      </c>
      <c r="F587" s="2">
        <v>80915.210000000006</v>
      </c>
      <c r="G587" s="1">
        <v>238</v>
      </c>
      <c r="I587" s="39">
        <v>46053.696527777778</v>
      </c>
      <c r="J587" s="36"/>
      <c r="L587" s="2"/>
      <c r="M587" s="2"/>
      <c r="O587" s="37">
        <v>46053.696527777778</v>
      </c>
      <c r="P587" s="36">
        <v>80410.517649999994</v>
      </c>
      <c r="R587" s="2">
        <v>81025.962639999998</v>
      </c>
      <c r="S587" s="2">
        <v>79351.914359999995</v>
      </c>
    </row>
    <row r="588" spans="1:19" x14ac:dyDescent="0.35">
      <c r="A588" s="7">
        <v>585</v>
      </c>
      <c r="B588" s="37">
        <v>46053.697222222225</v>
      </c>
      <c r="C588" s="2">
        <v>80919.839999999997</v>
      </c>
      <c r="D588" s="43">
        <v>80999.33</v>
      </c>
      <c r="E588" s="43">
        <v>80909.759999999995</v>
      </c>
      <c r="F588" s="2">
        <v>80937.539999999994</v>
      </c>
      <c r="G588" s="1">
        <v>255</v>
      </c>
      <c r="I588" s="39">
        <v>46053.697222222225</v>
      </c>
      <c r="J588" s="36"/>
      <c r="L588" s="2"/>
      <c r="M588" s="2"/>
      <c r="O588" s="37">
        <v>46053.697222222225</v>
      </c>
      <c r="P588" s="36">
        <v>80330.631179999997</v>
      </c>
      <c r="R588" s="2">
        <v>80974.050940000001</v>
      </c>
      <c r="S588" s="2">
        <v>79308.531449999995</v>
      </c>
    </row>
    <row r="589" spans="1:19" x14ac:dyDescent="0.35">
      <c r="A589" s="7">
        <v>586</v>
      </c>
      <c r="B589" s="37">
        <v>46053.697916666664</v>
      </c>
      <c r="C589" s="2">
        <v>80937.509999999995</v>
      </c>
      <c r="D589" s="43">
        <v>80994.789999999994</v>
      </c>
      <c r="E589" s="43">
        <v>80910.64</v>
      </c>
      <c r="F589" s="2">
        <v>80963.31</v>
      </c>
      <c r="G589" s="1">
        <v>221</v>
      </c>
      <c r="I589" s="39">
        <v>46053.697916666664</v>
      </c>
      <c r="J589" s="36"/>
      <c r="L589" s="2"/>
      <c r="M589" s="2"/>
      <c r="O589" s="37">
        <v>46053.697916666664</v>
      </c>
      <c r="P589" s="36">
        <v>80250.744709999999</v>
      </c>
      <c r="R589" s="2">
        <v>80922.139249999993</v>
      </c>
      <c r="S589" s="2">
        <v>79265.148549999998</v>
      </c>
    </row>
    <row r="590" spans="1:19" x14ac:dyDescent="0.35">
      <c r="A590" s="7">
        <v>587</v>
      </c>
      <c r="B590" s="37">
        <v>46053.698611111111</v>
      </c>
      <c r="C590" s="2">
        <v>80963.81</v>
      </c>
      <c r="D590" s="43">
        <v>80963.81</v>
      </c>
      <c r="E590" s="43">
        <v>80781.710000000006</v>
      </c>
      <c r="F590" s="2">
        <v>80788.3</v>
      </c>
      <c r="G590" s="1">
        <v>280</v>
      </c>
      <c r="I590" s="39">
        <v>46053.698611111111</v>
      </c>
      <c r="J590" s="36"/>
      <c r="L590" s="2"/>
      <c r="M590" s="2"/>
      <c r="O590" s="37">
        <v>46053.698611111111</v>
      </c>
      <c r="P590" s="36">
        <v>80170.858240000001</v>
      </c>
      <c r="R590" s="2">
        <v>80870.227549999996</v>
      </c>
      <c r="S590" s="2">
        <v>79221.765639999998</v>
      </c>
    </row>
    <row r="591" spans="1:19" x14ac:dyDescent="0.35">
      <c r="A591" s="7">
        <v>588</v>
      </c>
      <c r="B591" s="37">
        <v>46053.699305555558</v>
      </c>
      <c r="C591" s="2">
        <v>80745.06</v>
      </c>
      <c r="D591" s="43">
        <v>80766.14</v>
      </c>
      <c r="E591" s="43">
        <v>80175.509999999995</v>
      </c>
      <c r="F591" s="2">
        <v>80273.509999999995</v>
      </c>
      <c r="G591" s="1">
        <v>310</v>
      </c>
      <c r="I591" s="39">
        <v>46053.699305555558</v>
      </c>
      <c r="J591" s="36"/>
      <c r="L591" s="2"/>
      <c r="M591" s="2"/>
      <c r="O591" s="37">
        <v>46053.699305555558</v>
      </c>
      <c r="P591" s="36">
        <v>80090.97176</v>
      </c>
      <c r="R591" s="2">
        <v>80818.315849999999</v>
      </c>
      <c r="S591" s="2">
        <v>79178.382729999998</v>
      </c>
    </row>
    <row r="592" spans="1:19" x14ac:dyDescent="0.35">
      <c r="A592" s="7">
        <v>589</v>
      </c>
      <c r="B592" s="37">
        <v>46053.7</v>
      </c>
      <c r="C592" s="2">
        <v>80243.62</v>
      </c>
      <c r="D592" s="43">
        <v>80641.02</v>
      </c>
      <c r="E592" s="43">
        <v>80203.320000000007</v>
      </c>
      <c r="F592" s="2">
        <v>80422.509999999995</v>
      </c>
      <c r="G592" s="1">
        <v>311</v>
      </c>
      <c r="I592" s="39">
        <v>46053.7</v>
      </c>
      <c r="J592" s="36"/>
      <c r="L592" s="2"/>
      <c r="M592" s="2"/>
      <c r="O592" s="37">
        <v>46053.7</v>
      </c>
      <c r="P592" s="36">
        <v>80011.085290000003</v>
      </c>
      <c r="R592" s="2">
        <v>80766.404150000002</v>
      </c>
      <c r="S592" s="2">
        <v>79134.999819999997</v>
      </c>
    </row>
    <row r="593" spans="1:19" x14ac:dyDescent="0.35">
      <c r="A593" s="7">
        <v>590</v>
      </c>
      <c r="B593" s="37">
        <v>46053.700694444444</v>
      </c>
      <c r="C593" s="2">
        <v>80429.710000000006</v>
      </c>
      <c r="D593" s="43">
        <v>80521.83</v>
      </c>
      <c r="E593" s="43">
        <v>80402.490000000005</v>
      </c>
      <c r="F593" s="2">
        <v>80414</v>
      </c>
      <c r="G593" s="1">
        <v>293</v>
      </c>
      <c r="I593" s="39">
        <v>46053.700694444444</v>
      </c>
      <c r="J593" s="36"/>
      <c r="L593" s="2"/>
      <c r="M593" s="2"/>
      <c r="O593" s="37">
        <v>46053.700694444444</v>
      </c>
      <c r="P593" s="36">
        <v>79931.198820000005</v>
      </c>
      <c r="R593" s="2">
        <v>80714.492450000005</v>
      </c>
      <c r="S593" s="2">
        <v>79091.616909999997</v>
      </c>
    </row>
    <row r="594" spans="1:19" x14ac:dyDescent="0.35">
      <c r="A594" s="7">
        <v>591</v>
      </c>
      <c r="B594" s="37">
        <v>46053.701388888891</v>
      </c>
      <c r="C594" s="2">
        <v>80414</v>
      </c>
      <c r="D594" s="43">
        <v>80451.460000000006</v>
      </c>
      <c r="E594" s="43">
        <v>80302.41</v>
      </c>
      <c r="F594" s="2">
        <v>80352.429999999993</v>
      </c>
      <c r="G594" s="1">
        <v>294</v>
      </c>
      <c r="I594" s="39">
        <v>46053.701388888891</v>
      </c>
      <c r="J594" s="36"/>
      <c r="L594" s="2"/>
      <c r="M594" s="2"/>
      <c r="O594" s="37">
        <v>46053.701388888891</v>
      </c>
      <c r="P594" s="36">
        <v>79851.312349999993</v>
      </c>
      <c r="R594" s="2">
        <v>80662.580749999994</v>
      </c>
      <c r="S594" s="2">
        <v>79048.233999999997</v>
      </c>
    </row>
    <row r="595" spans="1:19" x14ac:dyDescent="0.35">
      <c r="A595" s="7">
        <v>592</v>
      </c>
      <c r="B595" s="37">
        <v>46053.70208333333</v>
      </c>
      <c r="C595" s="2">
        <v>80354.880000000005</v>
      </c>
      <c r="D595" s="43">
        <v>80474.45</v>
      </c>
      <c r="E595" s="43">
        <v>80167.259999999995</v>
      </c>
      <c r="F595" s="2">
        <v>80177.100000000006</v>
      </c>
      <c r="G595" s="1">
        <v>298</v>
      </c>
      <c r="I595" s="39">
        <v>46053.70208333333</v>
      </c>
      <c r="J595" s="36"/>
      <c r="L595" s="2"/>
      <c r="M595" s="2"/>
      <c r="O595" s="37">
        <v>46053.70208333333</v>
      </c>
      <c r="P595" s="36">
        <v>79771.425879999995</v>
      </c>
      <c r="R595" s="2">
        <v>80610.66906</v>
      </c>
      <c r="S595" s="2">
        <v>79004.851089999996</v>
      </c>
    </row>
    <row r="596" spans="1:19" x14ac:dyDescent="0.35">
      <c r="A596" s="7">
        <v>593</v>
      </c>
      <c r="B596" s="37">
        <v>46053.702777777777</v>
      </c>
      <c r="C596" s="2">
        <v>80176.62</v>
      </c>
      <c r="D596" s="43">
        <v>80373.509999999995</v>
      </c>
      <c r="E596" s="43">
        <v>80176.62</v>
      </c>
      <c r="F596" s="2">
        <v>80310.740000000005</v>
      </c>
      <c r="G596" s="1">
        <v>295</v>
      </c>
      <c r="I596" s="39">
        <v>46053.702777777777</v>
      </c>
      <c r="J596" s="36"/>
      <c r="L596" s="2"/>
      <c r="M596" s="2"/>
      <c r="O596" s="37">
        <v>46053.702777777777</v>
      </c>
      <c r="P596" s="36">
        <v>79691.539409999998</v>
      </c>
      <c r="R596" s="2">
        <v>80558.757360000003</v>
      </c>
      <c r="S596" s="2">
        <v>78961.468179999996</v>
      </c>
    </row>
    <row r="597" spans="1:19" x14ac:dyDescent="0.35">
      <c r="A597" s="7">
        <v>594</v>
      </c>
      <c r="B597" s="37">
        <v>46053.703472222223</v>
      </c>
      <c r="C597" s="2">
        <v>80304.179999999993</v>
      </c>
      <c r="D597" s="43">
        <v>80304.179999999993</v>
      </c>
      <c r="E597" s="43">
        <v>80047.14</v>
      </c>
      <c r="F597" s="2">
        <v>80088.009999999995</v>
      </c>
      <c r="G597" s="1">
        <v>296</v>
      </c>
      <c r="I597" s="39">
        <v>46053.703472222223</v>
      </c>
      <c r="J597" s="36"/>
      <c r="L597" s="2"/>
      <c r="M597" s="2"/>
      <c r="O597" s="37">
        <v>46053.703472222223</v>
      </c>
      <c r="P597" s="36">
        <v>79611.65294</v>
      </c>
      <c r="R597" s="2">
        <v>80506.845660000006</v>
      </c>
      <c r="S597" s="2">
        <v>78918.085269999996</v>
      </c>
    </row>
    <row r="598" spans="1:19" x14ac:dyDescent="0.35">
      <c r="A598" s="7">
        <v>595</v>
      </c>
      <c r="B598" s="37">
        <v>46053.70416666667</v>
      </c>
      <c r="C598" s="2">
        <v>80060.66</v>
      </c>
      <c r="D598" s="43">
        <v>80228.89</v>
      </c>
      <c r="E598" s="43">
        <v>80060.66</v>
      </c>
      <c r="F598" s="2">
        <v>80109.100000000006</v>
      </c>
      <c r="G598" s="1">
        <v>303</v>
      </c>
      <c r="I598" s="39">
        <v>46053.70416666667</v>
      </c>
      <c r="J598" s="36"/>
      <c r="L598" s="2"/>
      <c r="M598" s="2"/>
      <c r="O598" s="37">
        <v>46053.70416666667</v>
      </c>
      <c r="P598" s="36">
        <v>79531.766470000002</v>
      </c>
      <c r="R598" s="2">
        <v>80454.933959999995</v>
      </c>
      <c r="S598" s="2">
        <v>78874.702359999996</v>
      </c>
    </row>
    <row r="599" spans="1:19" x14ac:dyDescent="0.35">
      <c r="A599" s="7">
        <v>596</v>
      </c>
      <c r="B599" s="37">
        <v>46053.704861111109</v>
      </c>
      <c r="C599" s="2">
        <v>80109.11</v>
      </c>
      <c r="D599" s="43">
        <v>80254.460000000006</v>
      </c>
      <c r="E599" s="43">
        <v>80097.929999999993</v>
      </c>
      <c r="F599" s="2">
        <v>80120.59</v>
      </c>
      <c r="G599" s="1">
        <v>291</v>
      </c>
      <c r="I599" s="39">
        <v>46053.704861111109</v>
      </c>
      <c r="J599" s="36"/>
      <c r="L599" s="2"/>
      <c r="M599" s="2"/>
      <c r="O599" s="37">
        <v>46053.704861111109</v>
      </c>
      <c r="P599" s="36">
        <v>79451.88</v>
      </c>
      <c r="R599" s="2">
        <v>80403.022259999998</v>
      </c>
      <c r="S599" s="2">
        <v>78831.319449999995</v>
      </c>
    </row>
    <row r="600" spans="1:19" x14ac:dyDescent="0.35">
      <c r="A600" s="7">
        <v>597</v>
      </c>
      <c r="B600" s="37">
        <v>46053.705555555556</v>
      </c>
      <c r="C600" s="2">
        <v>80120.479999999996</v>
      </c>
      <c r="D600" s="43">
        <v>80306.7</v>
      </c>
      <c r="E600" s="43">
        <v>80120.479999999996</v>
      </c>
      <c r="F600" s="2">
        <v>80200.710000000006</v>
      </c>
      <c r="G600" s="1">
        <v>296</v>
      </c>
      <c r="I600" s="39">
        <v>46053.705555555556</v>
      </c>
      <c r="J600" s="36"/>
      <c r="L600" s="2"/>
      <c r="M600" s="2"/>
      <c r="O600" s="37">
        <v>46053.705555555556</v>
      </c>
      <c r="P600" s="36">
        <v>79371.993530000007</v>
      </c>
      <c r="R600" s="2">
        <v>80351.110570000004</v>
      </c>
      <c r="S600" s="2">
        <v>78787.936549999999</v>
      </c>
    </row>
    <row r="601" spans="1:19" x14ac:dyDescent="0.35">
      <c r="A601" s="7">
        <v>598</v>
      </c>
      <c r="B601" s="37">
        <v>46053.706250000003</v>
      </c>
      <c r="C601" s="2">
        <v>80204.78</v>
      </c>
      <c r="D601" s="43">
        <v>80237.429999999993</v>
      </c>
      <c r="E601" s="43">
        <v>80043.039999999994</v>
      </c>
      <c r="F601" s="2">
        <v>80117.600000000006</v>
      </c>
      <c r="G601" s="1">
        <v>287</v>
      </c>
      <c r="I601" s="39">
        <v>46053.706250000003</v>
      </c>
      <c r="J601" s="36"/>
      <c r="L601" s="2"/>
      <c r="M601" s="2"/>
      <c r="O601" s="37">
        <v>46053.706250000003</v>
      </c>
      <c r="P601" s="36">
        <v>79292.107059999995</v>
      </c>
      <c r="R601" s="2">
        <v>80299.198869999993</v>
      </c>
      <c r="S601" s="2">
        <v>78744.553639999998</v>
      </c>
    </row>
    <row r="602" spans="1:19" x14ac:dyDescent="0.35">
      <c r="A602" s="7">
        <v>599</v>
      </c>
      <c r="B602" s="37">
        <v>46053.706944444442</v>
      </c>
      <c r="C602" s="2">
        <v>80144.899999999994</v>
      </c>
      <c r="D602" s="43">
        <v>80276.23</v>
      </c>
      <c r="E602" s="43">
        <v>80123.53</v>
      </c>
      <c r="F602" s="2">
        <v>80225.009999999995</v>
      </c>
      <c r="G602" s="1">
        <v>289</v>
      </c>
      <c r="I602" s="39">
        <v>46053.706944444442</v>
      </c>
      <c r="J602" s="36"/>
      <c r="L602" s="2"/>
      <c r="M602" s="2"/>
      <c r="O602" s="37">
        <v>46053.706944444442</v>
      </c>
      <c r="P602" s="36">
        <v>79212.220589999997</v>
      </c>
      <c r="R602" s="2">
        <v>80247.287169999996</v>
      </c>
      <c r="S602" s="2">
        <v>78701.170729999998</v>
      </c>
    </row>
    <row r="603" spans="1:19" x14ac:dyDescent="0.35">
      <c r="A603" s="7">
        <v>600</v>
      </c>
      <c r="B603" s="37">
        <v>46053.707638888889</v>
      </c>
      <c r="C603" s="2">
        <v>80225.009999999995</v>
      </c>
      <c r="D603" s="43">
        <v>80384.12</v>
      </c>
      <c r="E603" s="43">
        <v>80224.899999999994</v>
      </c>
      <c r="F603" s="2">
        <v>80311.13</v>
      </c>
      <c r="G603" s="1">
        <v>282</v>
      </c>
      <c r="I603" s="39">
        <v>46053.707638888889</v>
      </c>
      <c r="J603" s="36"/>
      <c r="L603" s="2"/>
      <c r="M603" s="2"/>
      <c r="O603" s="37">
        <v>46053.707638888889</v>
      </c>
      <c r="P603" s="36">
        <v>79132.33412</v>
      </c>
      <c r="R603" s="2">
        <v>80195.375469999999</v>
      </c>
      <c r="S603" s="2">
        <v>78657.787819999998</v>
      </c>
    </row>
    <row r="604" spans="1:19" x14ac:dyDescent="0.35">
      <c r="A604" s="7">
        <v>601</v>
      </c>
      <c r="B604" s="37">
        <v>46053.708333333336</v>
      </c>
      <c r="C604" s="2">
        <v>80311.039999999994</v>
      </c>
      <c r="D604" s="43">
        <v>80474.98</v>
      </c>
      <c r="E604" s="43">
        <v>80295.23</v>
      </c>
      <c r="F604" s="2">
        <v>80474.98</v>
      </c>
      <c r="G604" s="1">
        <v>300</v>
      </c>
      <c r="I604" s="39">
        <v>46053.708333333336</v>
      </c>
      <c r="J604" s="36"/>
      <c r="L604" s="2"/>
      <c r="M604" s="2"/>
      <c r="O604" s="37">
        <v>46053.708333333336</v>
      </c>
      <c r="P604" s="36">
        <v>79052.447650000002</v>
      </c>
      <c r="R604" s="2">
        <v>80143.463770000002</v>
      </c>
      <c r="S604" s="2">
        <v>78614.404909999997</v>
      </c>
    </row>
    <row r="605" spans="1:19" x14ac:dyDescent="0.35">
      <c r="A605" s="7">
        <v>602</v>
      </c>
      <c r="B605" s="37">
        <v>46053.709027777775</v>
      </c>
      <c r="C605" s="2">
        <v>80474.94</v>
      </c>
      <c r="D605" s="43">
        <v>80488.73</v>
      </c>
      <c r="E605" s="43">
        <v>80290.5</v>
      </c>
      <c r="F605" s="2">
        <v>80291.22</v>
      </c>
      <c r="G605" s="1">
        <v>296</v>
      </c>
      <c r="I605" s="39">
        <v>46053.709027777775</v>
      </c>
      <c r="J605" s="36"/>
      <c r="L605" s="2"/>
      <c r="M605" s="2"/>
      <c r="O605" s="37">
        <v>46053.709027777775</v>
      </c>
      <c r="P605" s="36">
        <v>78972.561180000004</v>
      </c>
      <c r="R605" s="2">
        <v>80091.552079999994</v>
      </c>
      <c r="S605" s="2">
        <v>78571.021999999997</v>
      </c>
    </row>
    <row r="606" spans="1:19" x14ac:dyDescent="0.35">
      <c r="A606" s="7">
        <v>603</v>
      </c>
      <c r="B606" s="37">
        <v>46053.709722222222</v>
      </c>
      <c r="C606" s="2">
        <v>80291.240000000005</v>
      </c>
      <c r="D606" s="43">
        <v>80406.61</v>
      </c>
      <c r="E606" s="43">
        <v>80291.240000000005</v>
      </c>
      <c r="F606" s="2">
        <v>80406.61</v>
      </c>
      <c r="G606" s="1">
        <v>266</v>
      </c>
      <c r="I606" s="39">
        <v>46053.709722222222</v>
      </c>
      <c r="J606" s="36"/>
      <c r="L606" s="2"/>
      <c r="M606" s="2"/>
      <c r="O606" s="37">
        <v>46053.709722222222</v>
      </c>
      <c r="P606" s="36">
        <v>78892.674710000007</v>
      </c>
      <c r="R606" s="2">
        <v>80039.640379999997</v>
      </c>
      <c r="S606" s="2">
        <v>78527.639089999997</v>
      </c>
    </row>
    <row r="607" spans="1:19" x14ac:dyDescent="0.35">
      <c r="A607" s="7">
        <v>604</v>
      </c>
      <c r="B607" s="37">
        <v>46053.710416666669</v>
      </c>
      <c r="C607" s="2">
        <v>80408</v>
      </c>
      <c r="D607" s="43">
        <v>80492.88</v>
      </c>
      <c r="E607" s="43">
        <v>80373.41</v>
      </c>
      <c r="F607" s="2">
        <v>80485.210000000006</v>
      </c>
      <c r="G607" s="1">
        <v>286</v>
      </c>
      <c r="I607" s="39">
        <v>46053.710416666669</v>
      </c>
      <c r="J607" s="36"/>
      <c r="L607" s="2"/>
      <c r="M607" s="2"/>
      <c r="O607" s="37">
        <v>46053.710416666669</v>
      </c>
      <c r="P607" s="36">
        <v>78812.788239999994</v>
      </c>
      <c r="R607" s="2">
        <v>79987.72868</v>
      </c>
      <c r="S607" s="2">
        <v>78484.256179999997</v>
      </c>
    </row>
    <row r="608" spans="1:19" x14ac:dyDescent="0.35">
      <c r="A608" s="7">
        <v>605</v>
      </c>
      <c r="B608" s="37">
        <v>46053.711111111108</v>
      </c>
      <c r="C608" s="2">
        <v>80475.070000000007</v>
      </c>
      <c r="D608" s="43">
        <v>80489.84</v>
      </c>
      <c r="E608" s="43">
        <v>80290.62</v>
      </c>
      <c r="F608" s="2">
        <v>80290.62</v>
      </c>
      <c r="G608" s="1">
        <v>292</v>
      </c>
      <c r="I608" s="39">
        <v>46053.711111111108</v>
      </c>
      <c r="J608" s="36"/>
      <c r="L608" s="2"/>
      <c r="M608" s="2"/>
      <c r="O608" s="37">
        <v>46053.711111111108</v>
      </c>
      <c r="P608" s="36">
        <v>78732.901759999993</v>
      </c>
      <c r="R608" s="2">
        <v>79935.816980000003</v>
      </c>
      <c r="S608" s="2">
        <v>78440.873269999996</v>
      </c>
    </row>
    <row r="609" spans="1:19" x14ac:dyDescent="0.35">
      <c r="A609" s="7">
        <v>606</v>
      </c>
      <c r="B609" s="37">
        <v>46053.711805555555</v>
      </c>
      <c r="C609" s="2">
        <v>80289.759999999995</v>
      </c>
      <c r="D609" s="43">
        <v>80289.87</v>
      </c>
      <c r="E609" s="43">
        <v>80050.98</v>
      </c>
      <c r="F609" s="2">
        <v>80087.320000000007</v>
      </c>
      <c r="G609" s="1">
        <v>301</v>
      </c>
      <c r="I609" s="39">
        <v>46053.711805555555</v>
      </c>
      <c r="J609" s="36"/>
      <c r="L609" s="2"/>
      <c r="M609" s="2"/>
      <c r="O609" s="37">
        <v>46053.711805555555</v>
      </c>
      <c r="P609" s="36">
        <v>78653.015289999996</v>
      </c>
      <c r="R609" s="2">
        <v>79883.905280000006</v>
      </c>
      <c r="S609" s="2">
        <v>78397.490359999996</v>
      </c>
    </row>
    <row r="610" spans="1:19" x14ac:dyDescent="0.35">
      <c r="A610" s="7">
        <v>607</v>
      </c>
      <c r="B610" s="37">
        <v>46053.712500000001</v>
      </c>
      <c r="C610" s="2">
        <v>80070.7</v>
      </c>
      <c r="D610" s="43">
        <v>80317.52</v>
      </c>
      <c r="E610" s="43">
        <v>80023.3</v>
      </c>
      <c r="F610" s="2">
        <v>80102.73</v>
      </c>
      <c r="G610" s="1">
        <v>299</v>
      </c>
      <c r="I610" s="39">
        <v>46053.712500000001</v>
      </c>
      <c r="J610" s="36"/>
      <c r="L610" s="2"/>
      <c r="M610" s="2"/>
      <c r="O610" s="37">
        <v>46053.712500000001</v>
      </c>
      <c r="P610" s="36">
        <v>78573.128819999998</v>
      </c>
      <c r="R610" s="2">
        <v>79831.993579999995</v>
      </c>
      <c r="S610" s="2">
        <v>78354.107449999996</v>
      </c>
    </row>
    <row r="611" spans="1:19" x14ac:dyDescent="0.35">
      <c r="A611" s="7">
        <v>608</v>
      </c>
      <c r="B611" s="37">
        <v>46053.713194444441</v>
      </c>
      <c r="C611" s="2">
        <v>80113.06</v>
      </c>
      <c r="D611" s="43">
        <v>80183.990000000005</v>
      </c>
      <c r="E611" s="43">
        <v>80088.33</v>
      </c>
      <c r="F611" s="2">
        <v>80118.05</v>
      </c>
      <c r="G611" s="1">
        <v>291</v>
      </c>
      <c r="I611" s="39">
        <v>46053.713194444441</v>
      </c>
      <c r="J611" s="36"/>
      <c r="L611" s="2"/>
      <c r="M611" s="2"/>
      <c r="O611" s="37">
        <v>46053.713194444441</v>
      </c>
      <c r="P611" s="36">
        <v>78493.24235</v>
      </c>
      <c r="R611" s="2">
        <v>79780.081890000001</v>
      </c>
      <c r="S611" s="2">
        <v>78310.724549999999</v>
      </c>
    </row>
    <row r="612" spans="1:19" x14ac:dyDescent="0.35">
      <c r="A612" s="7">
        <v>609</v>
      </c>
      <c r="B612" s="37">
        <v>46053.713888888888</v>
      </c>
      <c r="C612" s="2">
        <v>80118.52</v>
      </c>
      <c r="D612" s="43">
        <v>80146.710000000006</v>
      </c>
      <c r="E612" s="43">
        <v>79340.81</v>
      </c>
      <c r="F612" s="2">
        <v>79360.47</v>
      </c>
      <c r="G612" s="1">
        <v>310</v>
      </c>
      <c r="I612" s="39">
        <v>46053.713888888888</v>
      </c>
      <c r="J612" s="36"/>
      <c r="L612" s="2"/>
      <c r="M612" s="2"/>
      <c r="O612" s="37">
        <v>46053.713888888888</v>
      </c>
      <c r="P612" s="36">
        <v>78413.355880000003</v>
      </c>
      <c r="R612" s="2">
        <v>79728.170190000004</v>
      </c>
      <c r="S612" s="2">
        <v>78267.341639999999</v>
      </c>
    </row>
    <row r="613" spans="1:19" x14ac:dyDescent="0.35">
      <c r="A613" s="7">
        <v>610</v>
      </c>
      <c r="B613" s="37">
        <v>46053.714583333334</v>
      </c>
      <c r="C613" s="2">
        <v>79401.8</v>
      </c>
      <c r="D613" s="43">
        <v>79755.199999999997</v>
      </c>
      <c r="E613" s="43">
        <v>79374.3</v>
      </c>
      <c r="F613" s="2">
        <v>79459.259999999995</v>
      </c>
      <c r="G613" s="1">
        <v>313</v>
      </c>
      <c r="I613" s="39">
        <v>46053.714583333334</v>
      </c>
      <c r="J613" s="36"/>
      <c r="L613" s="2"/>
      <c r="M613" s="2"/>
      <c r="O613" s="37">
        <v>46053.714583333334</v>
      </c>
      <c r="P613" s="36">
        <v>78333.469410000005</v>
      </c>
      <c r="R613" s="2">
        <v>79676.258489999993</v>
      </c>
      <c r="S613" s="2">
        <v>78223.958729999998</v>
      </c>
    </row>
    <row r="614" spans="1:19" x14ac:dyDescent="0.35">
      <c r="A614" s="7">
        <v>611</v>
      </c>
      <c r="B614" s="37">
        <v>46053.715277777781</v>
      </c>
      <c r="C614" s="2">
        <v>79456.78</v>
      </c>
      <c r="D614" s="43">
        <v>79511.47</v>
      </c>
      <c r="E614" s="43">
        <v>79019.759999999995</v>
      </c>
      <c r="F614" s="2">
        <v>79356.12</v>
      </c>
      <c r="G614" s="1">
        <v>308</v>
      </c>
      <c r="I614" s="39">
        <v>46053.715277777781</v>
      </c>
      <c r="J614" s="36"/>
      <c r="L614" s="2"/>
      <c r="M614" s="2"/>
      <c r="O614" s="37">
        <v>46053.715277777781</v>
      </c>
      <c r="P614" s="36">
        <v>78253.582939999993</v>
      </c>
      <c r="R614" s="2">
        <v>79624.346789999996</v>
      </c>
      <c r="S614" s="2">
        <v>78180.575819999998</v>
      </c>
    </row>
    <row r="615" spans="1:19" x14ac:dyDescent="0.35">
      <c r="A615" s="7">
        <v>612</v>
      </c>
      <c r="B615" s="37">
        <v>46053.71597222222</v>
      </c>
      <c r="C615" s="2">
        <v>79373.03</v>
      </c>
      <c r="D615" s="43">
        <v>79480.78</v>
      </c>
      <c r="E615" s="43">
        <v>78707.39</v>
      </c>
      <c r="F615" s="2">
        <v>78708.52</v>
      </c>
      <c r="G615" s="1">
        <v>303</v>
      </c>
      <c r="I615" s="39">
        <v>46053.71597222222</v>
      </c>
      <c r="J615" s="36"/>
      <c r="L615" s="2"/>
      <c r="M615" s="2"/>
      <c r="O615" s="37">
        <v>46053.71597222222</v>
      </c>
      <c r="P615" s="36">
        <v>78173.696469999995</v>
      </c>
      <c r="R615" s="2">
        <v>79572.435089999999</v>
      </c>
      <c r="S615" s="2">
        <v>78137.192909999998</v>
      </c>
    </row>
    <row r="616" spans="1:19" x14ac:dyDescent="0.35">
      <c r="A616" s="7">
        <v>613</v>
      </c>
      <c r="B616" s="37">
        <v>46053.716666666667</v>
      </c>
      <c r="C616" s="2">
        <v>78778.06</v>
      </c>
      <c r="D616" s="43">
        <v>79156.320000000007</v>
      </c>
      <c r="E616" s="43">
        <v>78093.81</v>
      </c>
      <c r="F616" s="2">
        <v>78736.679999999993</v>
      </c>
      <c r="G616" s="1">
        <v>302</v>
      </c>
      <c r="I616" s="39">
        <v>46053.716666666667</v>
      </c>
      <c r="J616" s="36"/>
      <c r="L616" s="2"/>
      <c r="M616" s="2"/>
      <c r="O616" s="37">
        <v>46053.716666666667</v>
      </c>
      <c r="P616" s="36">
        <v>78093.81</v>
      </c>
      <c r="Q616" s="4" t="s">
        <v>15</v>
      </c>
      <c r="R616" s="2">
        <v>79520.523400000005</v>
      </c>
      <c r="S616" s="2">
        <v>78093.81</v>
      </c>
    </row>
    <row r="617" spans="1:19" x14ac:dyDescent="0.35">
      <c r="A617" s="7">
        <v>614</v>
      </c>
      <c r="B617" s="37">
        <v>46053.717361111114</v>
      </c>
      <c r="C617" s="2">
        <v>78756.7</v>
      </c>
      <c r="D617" s="43">
        <v>79260.62</v>
      </c>
      <c r="E617" s="43">
        <v>78434.350000000006</v>
      </c>
      <c r="F617" s="2">
        <v>79231.39</v>
      </c>
      <c r="G617" s="1">
        <v>309</v>
      </c>
      <c r="I617" s="39">
        <v>46053.717361111114</v>
      </c>
      <c r="J617" s="36"/>
      <c r="L617" s="2"/>
      <c r="M617" s="2"/>
      <c r="O617" s="37">
        <v>46053.717361111114</v>
      </c>
      <c r="P617" s="36">
        <v>78755.255000000005</v>
      </c>
      <c r="R617" s="2">
        <v>79468.611699999994</v>
      </c>
      <c r="S617" s="2">
        <v>78065.754950000002</v>
      </c>
    </row>
    <row r="618" spans="1:19" x14ac:dyDescent="0.35">
      <c r="A618" s="7">
        <v>615</v>
      </c>
      <c r="B618" s="37">
        <v>46053.718055555553</v>
      </c>
      <c r="C618" s="2">
        <v>79264.94</v>
      </c>
      <c r="D618" s="43">
        <v>79416.7</v>
      </c>
      <c r="E618" s="43">
        <v>78750.5</v>
      </c>
      <c r="F618" s="2">
        <v>78750.5</v>
      </c>
      <c r="G618" s="1">
        <v>305</v>
      </c>
      <c r="I618" s="39">
        <v>46053.718055555553</v>
      </c>
      <c r="J618" s="36"/>
      <c r="L618" s="2"/>
      <c r="M618" s="2"/>
      <c r="O618" s="37">
        <v>46053.718055555553</v>
      </c>
      <c r="P618" s="36">
        <v>79416.7</v>
      </c>
      <c r="Q618" s="4" t="s">
        <v>14</v>
      </c>
      <c r="R618" s="2">
        <v>79416.7</v>
      </c>
      <c r="S618" s="2">
        <v>78037.699890000004</v>
      </c>
    </row>
    <row r="619" spans="1:19" x14ac:dyDescent="0.35">
      <c r="A619" s="7">
        <v>616</v>
      </c>
      <c r="B619" s="37">
        <v>46053.71875</v>
      </c>
      <c r="C619" s="2">
        <v>78759.27</v>
      </c>
      <c r="D619" s="43">
        <v>79173.48</v>
      </c>
      <c r="E619" s="43">
        <v>78759.27</v>
      </c>
      <c r="F619" s="2">
        <v>79027.259999999995</v>
      </c>
      <c r="G619" s="1">
        <v>313</v>
      </c>
      <c r="I619" s="39">
        <v>46053.71875</v>
      </c>
      <c r="J619" s="36"/>
      <c r="L619" s="2"/>
      <c r="M619" s="2"/>
      <c r="O619" s="37">
        <v>46053.71875</v>
      </c>
      <c r="P619" s="36">
        <v>79373.150559999995</v>
      </c>
      <c r="R619" s="2">
        <v>79408.837929999994</v>
      </c>
      <c r="S619" s="2">
        <v>78009.644839999994</v>
      </c>
    </row>
    <row r="620" spans="1:19" x14ac:dyDescent="0.35">
      <c r="A620" s="7">
        <v>617</v>
      </c>
      <c r="B620" s="37">
        <v>46053.719444444447</v>
      </c>
      <c r="C620" s="2">
        <v>79027.92</v>
      </c>
      <c r="D620" s="43">
        <v>79258.720000000001</v>
      </c>
      <c r="E620" s="43">
        <v>78929.279999999999</v>
      </c>
      <c r="F620" s="2">
        <v>79046.06</v>
      </c>
      <c r="G620" s="1">
        <v>308</v>
      </c>
      <c r="I620" s="39">
        <v>46053.719444444447</v>
      </c>
      <c r="J620" s="36"/>
      <c r="L620" s="2"/>
      <c r="M620" s="2"/>
      <c r="O620" s="37">
        <v>46053.719444444447</v>
      </c>
      <c r="P620" s="36">
        <v>79329.601120000007</v>
      </c>
      <c r="R620" s="2">
        <v>79400.975860000006</v>
      </c>
      <c r="S620" s="2">
        <v>77981.589779999995</v>
      </c>
    </row>
    <row r="621" spans="1:19" x14ac:dyDescent="0.35">
      <c r="A621" s="7">
        <v>618</v>
      </c>
      <c r="B621" s="37">
        <v>46053.720138888886</v>
      </c>
      <c r="C621" s="2">
        <v>79038.600000000006</v>
      </c>
      <c r="D621" s="43">
        <v>79372.289999999994</v>
      </c>
      <c r="E621" s="43">
        <v>79038.600000000006</v>
      </c>
      <c r="F621" s="2">
        <v>79153.600000000006</v>
      </c>
      <c r="G621" s="1">
        <v>313</v>
      </c>
      <c r="I621" s="39">
        <v>46053.720138888886</v>
      </c>
      <c r="J621" s="36"/>
      <c r="L621" s="2"/>
      <c r="M621" s="2"/>
      <c r="O621" s="37">
        <v>46053.720138888886</v>
      </c>
      <c r="P621" s="36">
        <v>79286.051689999993</v>
      </c>
      <c r="R621" s="2">
        <v>79393.113790000003</v>
      </c>
      <c r="S621" s="2">
        <v>77953.534729999999</v>
      </c>
    </row>
    <row r="622" spans="1:19" x14ac:dyDescent="0.35">
      <c r="A622" s="7">
        <v>619</v>
      </c>
      <c r="B622" s="37">
        <v>46053.720833333333</v>
      </c>
      <c r="C622" s="2">
        <v>79147.679999999993</v>
      </c>
      <c r="D622" s="43">
        <v>79281.710000000006</v>
      </c>
      <c r="E622" s="43">
        <v>79105.649999999994</v>
      </c>
      <c r="F622" s="2">
        <v>79188.81</v>
      </c>
      <c r="G622" s="1">
        <v>306</v>
      </c>
      <c r="I622" s="39">
        <v>46053.720833333333</v>
      </c>
      <c r="J622" s="36"/>
      <c r="L622" s="2"/>
      <c r="M622" s="2"/>
      <c r="O622" s="37">
        <v>46053.720833333333</v>
      </c>
      <c r="P622" s="36">
        <v>79242.502250000005</v>
      </c>
      <c r="R622" s="2">
        <v>79385.25172</v>
      </c>
      <c r="S622" s="2">
        <v>77925.479670000001</v>
      </c>
    </row>
    <row r="623" spans="1:19" x14ac:dyDescent="0.35">
      <c r="A623" s="7">
        <v>620</v>
      </c>
      <c r="B623" s="37">
        <v>46053.72152777778</v>
      </c>
      <c r="C623" s="2">
        <v>79181.210000000006</v>
      </c>
      <c r="D623" s="43">
        <v>79288.84</v>
      </c>
      <c r="E623" s="43">
        <v>78999.03</v>
      </c>
      <c r="F623" s="2">
        <v>79024.149999999994</v>
      </c>
      <c r="G623" s="1">
        <v>303</v>
      </c>
      <c r="I623" s="39">
        <v>46053.72152777778</v>
      </c>
      <c r="J623" s="36"/>
      <c r="L623" s="2"/>
      <c r="M623" s="2"/>
      <c r="O623" s="37">
        <v>46053.72152777778</v>
      </c>
      <c r="P623" s="36">
        <v>79198.952810000003</v>
      </c>
      <c r="R623" s="2">
        <v>79377.389660000001</v>
      </c>
      <c r="S623" s="2">
        <v>77897.424620000005</v>
      </c>
    </row>
    <row r="624" spans="1:19" x14ac:dyDescent="0.35">
      <c r="A624" s="7">
        <v>621</v>
      </c>
      <c r="B624" s="37">
        <v>46053.722222222219</v>
      </c>
      <c r="C624" s="2">
        <v>79014.77</v>
      </c>
      <c r="D624" s="43">
        <v>79040.070000000007</v>
      </c>
      <c r="E624" s="43">
        <v>78604.06</v>
      </c>
      <c r="F624" s="2">
        <v>78889.19</v>
      </c>
      <c r="G624" s="1">
        <v>306</v>
      </c>
      <c r="I624" s="39">
        <v>46053.722222222219</v>
      </c>
      <c r="J624" s="36"/>
      <c r="L624" s="2"/>
      <c r="M624" s="2"/>
      <c r="O624" s="37">
        <v>46053.722222222219</v>
      </c>
      <c r="P624" s="36">
        <v>79155.40337</v>
      </c>
      <c r="R624" s="2">
        <v>79369.527589999998</v>
      </c>
      <c r="S624" s="2">
        <v>77869.369560000006</v>
      </c>
    </row>
    <row r="625" spans="1:19" x14ac:dyDescent="0.35">
      <c r="A625" s="7">
        <v>622</v>
      </c>
      <c r="B625" s="37">
        <v>46053.722916666666</v>
      </c>
      <c r="C625" s="2">
        <v>78864.149999999994</v>
      </c>
      <c r="D625" s="43">
        <v>79056.320000000007</v>
      </c>
      <c r="E625" s="43">
        <v>78759.95</v>
      </c>
      <c r="F625" s="2">
        <v>78927.360000000001</v>
      </c>
      <c r="G625" s="1">
        <v>310</v>
      </c>
      <c r="I625" s="39">
        <v>46053.722916666666</v>
      </c>
      <c r="J625" s="36"/>
      <c r="L625" s="2"/>
      <c r="M625" s="2"/>
      <c r="O625" s="37">
        <v>46053.722916666666</v>
      </c>
      <c r="P625" s="36">
        <v>79111.853929999997</v>
      </c>
      <c r="R625" s="2">
        <v>79361.665519999995</v>
      </c>
      <c r="S625" s="2">
        <v>77841.314509999997</v>
      </c>
    </row>
    <row r="626" spans="1:19" x14ac:dyDescent="0.35">
      <c r="A626" s="7">
        <v>623</v>
      </c>
      <c r="B626" s="37">
        <v>46053.723611111112</v>
      </c>
      <c r="C626" s="2">
        <v>78914.11</v>
      </c>
      <c r="D626" s="43">
        <v>79024.7</v>
      </c>
      <c r="E626" s="43">
        <v>78806.94</v>
      </c>
      <c r="F626" s="2">
        <v>79005.2</v>
      </c>
      <c r="G626" s="1">
        <v>314</v>
      </c>
      <c r="I626" s="39">
        <v>46053.723611111112</v>
      </c>
      <c r="J626" s="36"/>
      <c r="L626" s="2"/>
      <c r="M626" s="2"/>
      <c r="O626" s="37">
        <v>46053.723611111112</v>
      </c>
      <c r="P626" s="36">
        <v>79068.304489999995</v>
      </c>
      <c r="R626" s="2">
        <v>79353.803450000007</v>
      </c>
      <c r="S626" s="2">
        <v>77813.259449999998</v>
      </c>
    </row>
    <row r="627" spans="1:19" x14ac:dyDescent="0.35">
      <c r="A627" s="7">
        <v>624</v>
      </c>
      <c r="B627" s="37">
        <v>46053.724305555559</v>
      </c>
      <c r="C627" s="2">
        <v>79005.03</v>
      </c>
      <c r="D627" s="43">
        <v>79060</v>
      </c>
      <c r="E627" s="43">
        <v>78830.240000000005</v>
      </c>
      <c r="F627" s="2">
        <v>78883.44</v>
      </c>
      <c r="G627" s="1">
        <v>301</v>
      </c>
      <c r="I627" s="39">
        <v>46053.724305555559</v>
      </c>
      <c r="J627" s="36"/>
      <c r="L627" s="2"/>
      <c r="M627" s="2"/>
      <c r="O627" s="37">
        <v>46053.724305555559</v>
      </c>
      <c r="P627" s="36">
        <v>79024.755059999996</v>
      </c>
      <c r="R627" s="2">
        <v>79345.941380000004</v>
      </c>
      <c r="S627" s="2">
        <v>77785.204400000002</v>
      </c>
    </row>
    <row r="628" spans="1:19" x14ac:dyDescent="0.35">
      <c r="A628" s="7">
        <v>625</v>
      </c>
      <c r="B628" s="37">
        <v>46053.724999999999</v>
      </c>
      <c r="C628" s="2">
        <v>78897.899999999994</v>
      </c>
      <c r="D628" s="43">
        <v>79158.23</v>
      </c>
      <c r="E628" s="43">
        <v>78878.8</v>
      </c>
      <c r="F628" s="2">
        <v>78960.039999999994</v>
      </c>
      <c r="G628" s="1">
        <v>306</v>
      </c>
      <c r="I628" s="39">
        <v>46053.724999999999</v>
      </c>
      <c r="J628" s="36"/>
      <c r="L628" s="2"/>
      <c r="M628" s="2"/>
      <c r="O628" s="37">
        <v>46053.724999999999</v>
      </c>
      <c r="P628" s="36">
        <v>78981.205619999993</v>
      </c>
      <c r="R628" s="2">
        <v>79338.079310000001</v>
      </c>
      <c r="S628" s="2">
        <v>77757.149340000004</v>
      </c>
    </row>
    <row r="629" spans="1:19" x14ac:dyDescent="0.35">
      <c r="A629" s="7">
        <v>626</v>
      </c>
      <c r="B629" s="37">
        <v>46053.725694444445</v>
      </c>
      <c r="C629" s="2">
        <v>78967.360000000001</v>
      </c>
      <c r="D629" s="43">
        <v>79090.33</v>
      </c>
      <c r="E629" s="43">
        <v>78926.19</v>
      </c>
      <c r="F629" s="2">
        <v>79023.009999999995</v>
      </c>
      <c r="G629" s="1">
        <v>298</v>
      </c>
      <c r="I629" s="39">
        <v>46053.725694444445</v>
      </c>
      <c r="J629" s="36"/>
      <c r="L629" s="2"/>
      <c r="M629" s="2"/>
      <c r="O629" s="37">
        <v>46053.725694444445</v>
      </c>
      <c r="P629" s="36">
        <v>78937.656180000005</v>
      </c>
      <c r="R629" s="2">
        <v>79330.217239999998</v>
      </c>
      <c r="S629" s="2">
        <v>77729.094289999994</v>
      </c>
    </row>
    <row r="630" spans="1:19" x14ac:dyDescent="0.35">
      <c r="A630" s="7">
        <v>627</v>
      </c>
      <c r="B630" s="37">
        <v>46053.726388888892</v>
      </c>
      <c r="C630" s="2">
        <v>79024.350000000006</v>
      </c>
      <c r="D630" s="43">
        <v>79085.37</v>
      </c>
      <c r="E630" s="43">
        <v>78903.149999999994</v>
      </c>
      <c r="F630" s="2">
        <v>79004.42</v>
      </c>
      <c r="G630" s="1">
        <v>300</v>
      </c>
      <c r="I630" s="39">
        <v>46053.726388888892</v>
      </c>
      <c r="J630" s="36"/>
      <c r="L630" s="2"/>
      <c r="M630" s="2"/>
      <c r="O630" s="37">
        <v>46053.726388888892</v>
      </c>
      <c r="P630" s="36">
        <v>78894.106740000003</v>
      </c>
      <c r="R630" s="2">
        <v>79322.355169999995</v>
      </c>
      <c r="S630" s="2">
        <v>77701.039229999995</v>
      </c>
    </row>
    <row r="631" spans="1:19" x14ac:dyDescent="0.35">
      <c r="A631" s="7">
        <v>628</v>
      </c>
      <c r="B631" s="37">
        <v>46053.727083333331</v>
      </c>
      <c r="C631" s="2">
        <v>79003.289999999994</v>
      </c>
      <c r="D631" s="43">
        <v>79153.600000000006</v>
      </c>
      <c r="E631" s="43">
        <v>78943.62</v>
      </c>
      <c r="F631" s="2">
        <v>79069.75</v>
      </c>
      <c r="G631" s="1">
        <v>296</v>
      </c>
      <c r="I631" s="39">
        <v>46053.727083333331</v>
      </c>
      <c r="J631" s="36"/>
      <c r="L631" s="2"/>
      <c r="M631" s="2"/>
      <c r="O631" s="37">
        <v>46053.727083333331</v>
      </c>
      <c r="P631" s="36">
        <v>78850.5573</v>
      </c>
      <c r="R631" s="2">
        <v>79314.493100000007</v>
      </c>
      <c r="S631" s="2">
        <v>77672.984179999999</v>
      </c>
    </row>
    <row r="632" spans="1:19" x14ac:dyDescent="0.35">
      <c r="A632" s="7">
        <v>629</v>
      </c>
      <c r="B632" s="37">
        <v>46053.727777777778</v>
      </c>
      <c r="C632" s="2">
        <v>79087.53</v>
      </c>
      <c r="D632" s="43">
        <v>79125.440000000002</v>
      </c>
      <c r="E632" s="43">
        <v>78980.31</v>
      </c>
      <c r="F632" s="2">
        <v>79033.600000000006</v>
      </c>
      <c r="G632" s="1">
        <v>295</v>
      </c>
      <c r="I632" s="39">
        <v>46053.727777777778</v>
      </c>
      <c r="J632" s="36"/>
      <c r="L632" s="2"/>
      <c r="M632" s="2"/>
      <c r="O632" s="37">
        <v>46053.727777777778</v>
      </c>
      <c r="P632" s="36">
        <v>78807.007870000001</v>
      </c>
      <c r="R632" s="2">
        <v>79306.631030000004</v>
      </c>
      <c r="S632" s="2">
        <v>77644.929120000001</v>
      </c>
    </row>
    <row r="633" spans="1:19" x14ac:dyDescent="0.35">
      <c r="A633" s="7">
        <v>630</v>
      </c>
      <c r="B633" s="37">
        <v>46053.728472222225</v>
      </c>
      <c r="C633" s="2">
        <v>79036.210000000006</v>
      </c>
      <c r="D633" s="43">
        <v>79117.009999999995</v>
      </c>
      <c r="E633" s="43">
        <v>78985.53</v>
      </c>
      <c r="F633" s="2">
        <v>79073.02</v>
      </c>
      <c r="G633" s="1">
        <v>284</v>
      </c>
      <c r="I633" s="39">
        <v>46053.728472222225</v>
      </c>
      <c r="J633" s="36"/>
      <c r="L633" s="2"/>
      <c r="M633" s="2"/>
      <c r="O633" s="37">
        <v>46053.728472222225</v>
      </c>
      <c r="P633" s="36">
        <v>78763.458429999999</v>
      </c>
      <c r="R633" s="2">
        <v>79298.768970000005</v>
      </c>
      <c r="S633" s="2">
        <v>77616.874070000005</v>
      </c>
    </row>
    <row r="634" spans="1:19" x14ac:dyDescent="0.35">
      <c r="A634" s="7">
        <v>631</v>
      </c>
      <c r="B634" s="37">
        <v>46053.729166666664</v>
      </c>
      <c r="C634" s="2">
        <v>79087.83</v>
      </c>
      <c r="D634" s="43">
        <v>79235.11</v>
      </c>
      <c r="E634" s="43">
        <v>78990.5</v>
      </c>
      <c r="F634" s="2">
        <v>78996.37</v>
      </c>
      <c r="G634" s="1">
        <v>307</v>
      </c>
      <c r="I634" s="39">
        <v>46053.729166666664</v>
      </c>
      <c r="J634" s="36"/>
      <c r="L634" s="2"/>
      <c r="M634" s="2"/>
      <c r="O634" s="37">
        <v>46053.729166666664</v>
      </c>
      <c r="P634" s="36">
        <v>78719.908989999996</v>
      </c>
      <c r="R634" s="2">
        <v>79290.906900000002</v>
      </c>
      <c r="S634" s="2">
        <v>77588.819010000007</v>
      </c>
    </row>
    <row r="635" spans="1:19" x14ac:dyDescent="0.35">
      <c r="A635" s="7">
        <v>632</v>
      </c>
      <c r="B635" s="37">
        <v>46053.729861111111</v>
      </c>
      <c r="C635" s="2">
        <v>78996.69</v>
      </c>
      <c r="D635" s="43">
        <v>79079.92</v>
      </c>
      <c r="E635" s="43">
        <v>78896.61</v>
      </c>
      <c r="F635" s="2">
        <v>78896.61</v>
      </c>
      <c r="G635" s="1">
        <v>299</v>
      </c>
      <c r="I635" s="39">
        <v>46053.729861111111</v>
      </c>
      <c r="J635" s="36"/>
      <c r="L635" s="2"/>
      <c r="M635" s="2"/>
      <c r="O635" s="37">
        <v>46053.729861111111</v>
      </c>
      <c r="P635" s="36">
        <v>78676.359549999994</v>
      </c>
      <c r="R635" s="2">
        <v>79283.044829999999</v>
      </c>
      <c r="S635" s="2">
        <v>77560.763959999997</v>
      </c>
    </row>
    <row r="636" spans="1:19" x14ac:dyDescent="0.35">
      <c r="A636" s="7">
        <v>633</v>
      </c>
      <c r="B636" s="37">
        <v>46053.730555555558</v>
      </c>
      <c r="C636" s="2">
        <v>78890.62</v>
      </c>
      <c r="D636" s="43">
        <v>78958.81</v>
      </c>
      <c r="E636" s="43">
        <v>78890.62</v>
      </c>
      <c r="F636" s="2">
        <v>78903.759999999995</v>
      </c>
      <c r="G636" s="1">
        <v>292</v>
      </c>
      <c r="I636" s="39">
        <v>46053.730555555558</v>
      </c>
      <c r="J636" s="36"/>
      <c r="L636" s="2"/>
      <c r="M636" s="2"/>
      <c r="O636" s="37">
        <v>46053.730555555558</v>
      </c>
      <c r="P636" s="36">
        <v>78632.810110000006</v>
      </c>
      <c r="R636" s="2">
        <v>79275.182759999996</v>
      </c>
      <c r="S636" s="2">
        <v>77532.708899999998</v>
      </c>
    </row>
    <row r="637" spans="1:19" x14ac:dyDescent="0.35">
      <c r="A637" s="7">
        <v>634</v>
      </c>
      <c r="B637" s="37">
        <v>46053.731249999997</v>
      </c>
      <c r="C637" s="2">
        <v>78891.27</v>
      </c>
      <c r="D637" s="43">
        <v>78904.070000000007</v>
      </c>
      <c r="E637" s="43">
        <v>78451.179999999993</v>
      </c>
      <c r="F637" s="2">
        <v>78485.25</v>
      </c>
      <c r="G637" s="1">
        <v>309</v>
      </c>
      <c r="I637" s="39">
        <v>46053.731249999997</v>
      </c>
      <c r="J637" s="36"/>
      <c r="L637" s="2"/>
      <c r="M637" s="2"/>
      <c r="O637" s="37">
        <v>46053.731249999997</v>
      </c>
      <c r="P637" s="36">
        <v>78589.260670000003</v>
      </c>
      <c r="R637" s="2">
        <v>79267.320689999993</v>
      </c>
      <c r="S637" s="2">
        <v>77504.653850000002</v>
      </c>
    </row>
    <row r="638" spans="1:19" x14ac:dyDescent="0.35">
      <c r="A638" s="7">
        <v>635</v>
      </c>
      <c r="B638" s="37">
        <v>46053.731944444444</v>
      </c>
      <c r="C638" s="2">
        <v>78483.12</v>
      </c>
      <c r="D638" s="43">
        <v>78688.77</v>
      </c>
      <c r="E638" s="43">
        <v>78483.12</v>
      </c>
      <c r="F638" s="2">
        <v>78546.710000000006</v>
      </c>
      <c r="G638" s="1">
        <v>305</v>
      </c>
      <c r="I638" s="39">
        <v>46053.731944444444</v>
      </c>
      <c r="J638" s="36"/>
      <c r="L638" s="2"/>
      <c r="M638" s="2"/>
      <c r="O638" s="37">
        <v>46053.731944444444</v>
      </c>
      <c r="P638" s="36">
        <v>78545.711240000004</v>
      </c>
      <c r="R638" s="2">
        <v>79259.458620000005</v>
      </c>
      <c r="S638" s="2">
        <v>77476.598790000004</v>
      </c>
    </row>
    <row r="639" spans="1:19" x14ac:dyDescent="0.35">
      <c r="A639" s="7">
        <v>636</v>
      </c>
      <c r="B639" s="37">
        <v>46053.732638888891</v>
      </c>
      <c r="C639" s="2">
        <v>78549.429999999993</v>
      </c>
      <c r="D639" s="43">
        <v>78792.12</v>
      </c>
      <c r="E639" s="43">
        <v>78507.009999999995</v>
      </c>
      <c r="F639" s="2">
        <v>78680.33</v>
      </c>
      <c r="G639" s="1">
        <v>304</v>
      </c>
      <c r="I639" s="39">
        <v>46053.732638888891</v>
      </c>
      <c r="J639" s="36"/>
      <c r="L639" s="2"/>
      <c r="M639" s="2"/>
      <c r="O639" s="37">
        <v>46053.732638888891</v>
      </c>
      <c r="P639" s="36">
        <v>78502.161800000002</v>
      </c>
      <c r="R639" s="2">
        <v>79251.596550000002</v>
      </c>
      <c r="S639" s="2">
        <v>77448.543739999994</v>
      </c>
    </row>
    <row r="640" spans="1:19" x14ac:dyDescent="0.35">
      <c r="A640" s="7">
        <v>637</v>
      </c>
      <c r="B640" s="37">
        <v>46053.73333333333</v>
      </c>
      <c r="C640" s="2">
        <v>78684.240000000005</v>
      </c>
      <c r="D640" s="43">
        <v>79095.990000000005</v>
      </c>
      <c r="E640" s="43">
        <v>78683.929999999993</v>
      </c>
      <c r="F640" s="2">
        <v>79069</v>
      </c>
      <c r="G640" s="1">
        <v>310</v>
      </c>
      <c r="I640" s="39">
        <v>46053.73333333333</v>
      </c>
      <c r="J640" s="36"/>
      <c r="L640" s="2"/>
      <c r="M640" s="2"/>
      <c r="O640" s="37">
        <v>46053.73333333333</v>
      </c>
      <c r="P640" s="36">
        <v>78458.612359999999</v>
      </c>
      <c r="R640" s="2">
        <v>79243.734479999999</v>
      </c>
      <c r="S640" s="2">
        <v>77420.488679999995</v>
      </c>
    </row>
    <row r="641" spans="1:19" x14ac:dyDescent="0.35">
      <c r="A641" s="7">
        <v>638</v>
      </c>
      <c r="B641" s="37">
        <v>46053.734027777777</v>
      </c>
      <c r="C641" s="2">
        <v>79079</v>
      </c>
      <c r="D641" s="43">
        <v>79172.800000000003</v>
      </c>
      <c r="E641" s="43">
        <v>78954.77</v>
      </c>
      <c r="F641" s="2">
        <v>78954.77</v>
      </c>
      <c r="G641" s="1">
        <v>298</v>
      </c>
      <c r="I641" s="39">
        <v>46053.734027777777</v>
      </c>
      <c r="J641" s="36"/>
      <c r="L641" s="2"/>
      <c r="M641" s="2"/>
      <c r="O641" s="37">
        <v>46053.734027777777</v>
      </c>
      <c r="P641" s="36">
        <v>78415.062919999997</v>
      </c>
      <c r="R641" s="2">
        <v>79235.872409999996</v>
      </c>
      <c r="S641" s="2">
        <v>77392.43363</v>
      </c>
    </row>
    <row r="642" spans="1:19" x14ac:dyDescent="0.35">
      <c r="A642" s="7">
        <v>639</v>
      </c>
      <c r="B642" s="37">
        <v>46053.734722222223</v>
      </c>
      <c r="C642" s="2">
        <v>78955.45</v>
      </c>
      <c r="D642" s="43">
        <v>79027.81</v>
      </c>
      <c r="E642" s="43">
        <v>78790.009999999995</v>
      </c>
      <c r="F642" s="2">
        <v>78792.52</v>
      </c>
      <c r="G642" s="1">
        <v>303</v>
      </c>
      <c r="I642" s="39">
        <v>46053.734722222223</v>
      </c>
      <c r="J642" s="36"/>
      <c r="L642" s="2"/>
      <c r="M642" s="2"/>
      <c r="O642" s="37">
        <v>46053.734722222223</v>
      </c>
      <c r="P642" s="36">
        <v>78371.513479999994</v>
      </c>
      <c r="R642" s="2">
        <v>79228.010339999993</v>
      </c>
      <c r="S642" s="2">
        <v>77364.378570000001</v>
      </c>
    </row>
    <row r="643" spans="1:19" x14ac:dyDescent="0.35">
      <c r="A643" s="7">
        <v>640</v>
      </c>
      <c r="B643" s="37">
        <v>46053.73541666667</v>
      </c>
      <c r="C643" s="2">
        <v>78803.520000000004</v>
      </c>
      <c r="D643" s="43">
        <v>78839.83</v>
      </c>
      <c r="E643" s="43">
        <v>78752.23</v>
      </c>
      <c r="F643" s="2">
        <v>78755.06</v>
      </c>
      <c r="G643" s="1">
        <v>299</v>
      </c>
      <c r="I643" s="39">
        <v>46053.73541666667</v>
      </c>
      <c r="J643" s="36"/>
      <c r="L643" s="2"/>
      <c r="M643" s="2"/>
      <c r="O643" s="37">
        <v>46053.73541666667</v>
      </c>
      <c r="P643" s="36">
        <v>78327.964040000006</v>
      </c>
      <c r="R643" s="2">
        <v>79220.148279999994</v>
      </c>
      <c r="S643" s="2">
        <v>77336.323520000005</v>
      </c>
    </row>
    <row r="644" spans="1:19" x14ac:dyDescent="0.35">
      <c r="A644" s="7">
        <v>641</v>
      </c>
      <c r="B644" s="37">
        <v>46053.736111111109</v>
      </c>
      <c r="C644" s="2">
        <v>78754.94</v>
      </c>
      <c r="D644" s="43">
        <v>78851.740000000005</v>
      </c>
      <c r="E644" s="43">
        <v>78611.64</v>
      </c>
      <c r="F644" s="2">
        <v>78616.72</v>
      </c>
      <c r="G644" s="1">
        <v>295</v>
      </c>
      <c r="I644" s="39">
        <v>46053.736111111109</v>
      </c>
      <c r="J644" s="36"/>
      <c r="L644" s="2"/>
      <c r="M644" s="2"/>
      <c r="O644" s="37">
        <v>46053.736111111109</v>
      </c>
      <c r="P644" s="36">
        <v>78284.414610000007</v>
      </c>
      <c r="R644" s="2">
        <v>79212.286210000006</v>
      </c>
      <c r="S644" s="2">
        <v>77308.268460000007</v>
      </c>
    </row>
    <row r="645" spans="1:19" x14ac:dyDescent="0.35">
      <c r="A645" s="7">
        <v>642</v>
      </c>
      <c r="B645" s="37">
        <v>46053.736805555556</v>
      </c>
      <c r="C645" s="2">
        <v>78618.78</v>
      </c>
      <c r="D645" s="43">
        <v>78699.53</v>
      </c>
      <c r="E645" s="43">
        <v>78528.05</v>
      </c>
      <c r="F645" s="2">
        <v>78528.05</v>
      </c>
      <c r="G645" s="1">
        <v>304</v>
      </c>
      <c r="I645" s="39">
        <v>46053.736805555556</v>
      </c>
      <c r="J645" s="36"/>
      <c r="L645" s="2"/>
      <c r="M645" s="2"/>
      <c r="O645" s="37">
        <v>46053.736805555556</v>
      </c>
      <c r="P645" s="36">
        <v>78240.865170000005</v>
      </c>
      <c r="R645" s="2">
        <v>79204.424140000003</v>
      </c>
      <c r="S645" s="2">
        <v>77280.213409999997</v>
      </c>
    </row>
    <row r="646" spans="1:19" x14ac:dyDescent="0.35">
      <c r="A646" s="7">
        <v>643</v>
      </c>
      <c r="B646" s="37">
        <v>46053.737500000003</v>
      </c>
      <c r="C646" s="2">
        <v>78529.02</v>
      </c>
      <c r="D646" s="43">
        <v>78668.399999999994</v>
      </c>
      <c r="E646" s="43">
        <v>78509.19</v>
      </c>
      <c r="F646" s="2">
        <v>78635.28</v>
      </c>
      <c r="G646" s="1">
        <v>300</v>
      </c>
      <c r="I646" s="39">
        <v>46053.737500000003</v>
      </c>
      <c r="J646" s="36"/>
      <c r="L646" s="2"/>
      <c r="M646" s="2"/>
      <c r="O646" s="37">
        <v>46053.737500000003</v>
      </c>
      <c r="P646" s="36">
        <v>78197.315730000002</v>
      </c>
      <c r="R646" s="2">
        <v>79196.56207</v>
      </c>
      <c r="S646" s="2">
        <v>77252.158349999998</v>
      </c>
    </row>
    <row r="647" spans="1:19" x14ac:dyDescent="0.35">
      <c r="A647" s="7">
        <v>644</v>
      </c>
      <c r="B647" s="37">
        <v>46053.738194444442</v>
      </c>
      <c r="C647" s="2">
        <v>78634.17</v>
      </c>
      <c r="D647" s="43">
        <v>78782.539999999994</v>
      </c>
      <c r="E647" s="43">
        <v>78602.509999999995</v>
      </c>
      <c r="F647" s="2">
        <v>78782.539999999994</v>
      </c>
      <c r="G647" s="1">
        <v>299</v>
      </c>
      <c r="I647" s="39">
        <v>46053.738194444442</v>
      </c>
      <c r="J647" s="36"/>
      <c r="L647" s="2"/>
      <c r="M647" s="2"/>
      <c r="O647" s="37">
        <v>46053.738194444442</v>
      </c>
      <c r="P647" s="36">
        <v>78153.76629</v>
      </c>
      <c r="R647" s="2">
        <v>79188.7</v>
      </c>
      <c r="S647" s="2">
        <v>77224.103300000002</v>
      </c>
    </row>
    <row r="648" spans="1:19" x14ac:dyDescent="0.35">
      <c r="A648" s="7">
        <v>645</v>
      </c>
      <c r="B648" s="37">
        <v>46053.738888888889</v>
      </c>
      <c r="C648" s="2">
        <v>78781.89</v>
      </c>
      <c r="D648" s="43">
        <v>78948.95</v>
      </c>
      <c r="E648" s="43">
        <v>78726.97</v>
      </c>
      <c r="F648" s="2">
        <v>78868.320000000007</v>
      </c>
      <c r="G648" s="1">
        <v>299</v>
      </c>
      <c r="I648" s="39">
        <v>46053.738888888889</v>
      </c>
      <c r="J648" s="36"/>
      <c r="L648" s="2"/>
      <c r="M648" s="2"/>
      <c r="O648" s="37">
        <v>46053.738888888889</v>
      </c>
      <c r="P648" s="36">
        <v>78110.216849999997</v>
      </c>
      <c r="R648" s="2">
        <v>79180.837929999994</v>
      </c>
      <c r="S648" s="2">
        <v>77196.048240000004</v>
      </c>
    </row>
    <row r="649" spans="1:19" x14ac:dyDescent="0.35">
      <c r="A649" s="7">
        <v>646</v>
      </c>
      <c r="B649" s="37">
        <v>46053.739583333336</v>
      </c>
      <c r="C649" s="2">
        <v>78870.06</v>
      </c>
      <c r="D649" s="43">
        <v>79042.33</v>
      </c>
      <c r="E649" s="43">
        <v>78870.06</v>
      </c>
      <c r="F649" s="2">
        <v>79004.34</v>
      </c>
      <c r="G649" s="1">
        <v>302</v>
      </c>
      <c r="I649" s="39">
        <v>46053.739583333336</v>
      </c>
      <c r="J649" s="36"/>
      <c r="L649" s="2"/>
      <c r="M649" s="2"/>
      <c r="O649" s="37">
        <v>46053.739583333336</v>
      </c>
      <c r="P649" s="36">
        <v>78066.667419999998</v>
      </c>
      <c r="R649" s="2">
        <v>79172.975860000006</v>
      </c>
      <c r="S649" s="2">
        <v>77167.993189999994</v>
      </c>
    </row>
    <row r="650" spans="1:19" x14ac:dyDescent="0.35">
      <c r="A650" s="7">
        <v>647</v>
      </c>
      <c r="B650" s="37">
        <v>46053.740277777775</v>
      </c>
      <c r="C650" s="2">
        <v>79015.100000000006</v>
      </c>
      <c r="D650" s="43">
        <v>79026.399999999994</v>
      </c>
      <c r="E650" s="43">
        <v>78793.62</v>
      </c>
      <c r="F650" s="2">
        <v>78807.92</v>
      </c>
      <c r="G650" s="1">
        <v>299</v>
      </c>
      <c r="I650" s="39">
        <v>46053.740277777775</v>
      </c>
      <c r="J650" s="36"/>
      <c r="L650" s="2"/>
      <c r="M650" s="2"/>
      <c r="O650" s="37">
        <v>46053.740277777775</v>
      </c>
      <c r="P650" s="36">
        <v>78023.117979999995</v>
      </c>
      <c r="R650" s="2">
        <v>79165.113790000003</v>
      </c>
      <c r="S650" s="2">
        <v>77139.938129999995</v>
      </c>
    </row>
    <row r="651" spans="1:19" x14ac:dyDescent="0.35">
      <c r="A651" s="7">
        <v>648</v>
      </c>
      <c r="B651" s="37">
        <v>46053.740972222222</v>
      </c>
      <c r="C651" s="2">
        <v>78819.929999999993</v>
      </c>
      <c r="D651" s="43">
        <v>78819.929999999993</v>
      </c>
      <c r="E651" s="43">
        <v>78690.5</v>
      </c>
      <c r="F651" s="2">
        <v>78716.37</v>
      </c>
      <c r="G651" s="1">
        <v>281</v>
      </c>
      <c r="I651" s="39">
        <v>46053.740972222222</v>
      </c>
      <c r="J651" s="36"/>
      <c r="L651" s="2"/>
      <c r="M651" s="2"/>
      <c r="O651" s="37">
        <v>46053.740972222222</v>
      </c>
      <c r="P651" s="36">
        <v>77979.568539999993</v>
      </c>
      <c r="R651" s="2">
        <v>79157.25172</v>
      </c>
      <c r="S651" s="2">
        <v>77111.88308</v>
      </c>
    </row>
    <row r="652" spans="1:19" x14ac:dyDescent="0.35">
      <c r="A652" s="7">
        <v>649</v>
      </c>
      <c r="B652" s="37">
        <v>46053.741666666669</v>
      </c>
      <c r="C652" s="2">
        <v>78714.95</v>
      </c>
      <c r="D652" s="43">
        <v>78785.320000000007</v>
      </c>
      <c r="E652" s="43">
        <v>78690.5</v>
      </c>
      <c r="F652" s="2">
        <v>78721.94</v>
      </c>
      <c r="G652" s="1">
        <v>273</v>
      </c>
      <c r="I652" s="39">
        <v>46053.741666666669</v>
      </c>
      <c r="J652" s="36"/>
      <c r="L652" s="2"/>
      <c r="M652" s="2"/>
      <c r="O652" s="37">
        <v>46053.741666666669</v>
      </c>
      <c r="P652" s="36">
        <v>77936.019100000005</v>
      </c>
      <c r="R652" s="2">
        <v>79149.389660000001</v>
      </c>
      <c r="S652" s="2">
        <v>77083.828020000001</v>
      </c>
    </row>
    <row r="653" spans="1:19" x14ac:dyDescent="0.35">
      <c r="A653" s="7">
        <v>650</v>
      </c>
      <c r="B653" s="37">
        <v>46053.742361111108</v>
      </c>
      <c r="C653" s="2">
        <v>78721.95</v>
      </c>
      <c r="D653" s="43">
        <v>78733.429999999993</v>
      </c>
      <c r="E653" s="43">
        <v>78660.03</v>
      </c>
      <c r="F653" s="2">
        <v>78704.009999999995</v>
      </c>
      <c r="G653" s="1">
        <v>277</v>
      </c>
      <c r="I653" s="39">
        <v>46053.742361111108</v>
      </c>
      <c r="J653" s="36"/>
      <c r="L653" s="2"/>
      <c r="M653" s="2"/>
      <c r="O653" s="37">
        <v>46053.742361111108</v>
      </c>
      <c r="P653" s="36">
        <v>77892.469660000002</v>
      </c>
      <c r="R653" s="2">
        <v>79141.527589999998</v>
      </c>
      <c r="S653" s="2">
        <v>77055.772970000005</v>
      </c>
    </row>
    <row r="654" spans="1:19" x14ac:dyDescent="0.35">
      <c r="A654" s="7">
        <v>651</v>
      </c>
      <c r="B654" s="37">
        <v>46053.743055555555</v>
      </c>
      <c r="C654" s="2">
        <v>78711.320000000007</v>
      </c>
      <c r="D654" s="43">
        <v>78753.649999999994</v>
      </c>
      <c r="E654" s="43">
        <v>78592.11</v>
      </c>
      <c r="F654" s="2">
        <v>78714.31</v>
      </c>
      <c r="G654" s="1">
        <v>294</v>
      </c>
      <c r="I654" s="39">
        <v>46053.743055555555</v>
      </c>
      <c r="J654" s="36"/>
      <c r="L654" s="2"/>
      <c r="M654" s="2"/>
      <c r="O654" s="37">
        <v>46053.743055555555</v>
      </c>
      <c r="P654" s="36">
        <v>77848.92022</v>
      </c>
      <c r="R654" s="2">
        <v>79133.665519999995</v>
      </c>
      <c r="S654" s="2">
        <v>77027.717910000007</v>
      </c>
    </row>
    <row r="655" spans="1:19" x14ac:dyDescent="0.35">
      <c r="A655" s="7">
        <v>652</v>
      </c>
      <c r="B655" s="37">
        <v>46053.743750000001</v>
      </c>
      <c r="C655" s="2">
        <v>78712.210000000006</v>
      </c>
      <c r="D655" s="43">
        <v>78913.320000000007</v>
      </c>
      <c r="E655" s="43">
        <v>78691.199999999997</v>
      </c>
      <c r="F655" s="2">
        <v>78875.009999999995</v>
      </c>
      <c r="G655" s="1">
        <v>281</v>
      </c>
      <c r="I655" s="39">
        <v>46053.743750000001</v>
      </c>
      <c r="J655" s="36"/>
      <c r="L655" s="2"/>
      <c r="M655" s="2"/>
      <c r="O655" s="37">
        <v>46053.743750000001</v>
      </c>
      <c r="P655" s="36">
        <v>77805.370790000001</v>
      </c>
      <c r="R655" s="2">
        <v>79125.803450000007</v>
      </c>
      <c r="S655" s="2">
        <v>76999.662859999997</v>
      </c>
    </row>
    <row r="656" spans="1:19" x14ac:dyDescent="0.35">
      <c r="A656" s="7">
        <v>653</v>
      </c>
      <c r="B656" s="37">
        <v>46053.744444444441</v>
      </c>
      <c r="C656" s="2">
        <v>78875</v>
      </c>
      <c r="D656" s="43">
        <v>79006.28</v>
      </c>
      <c r="E656" s="43">
        <v>78796.87</v>
      </c>
      <c r="F656" s="2">
        <v>78988.72</v>
      </c>
      <c r="G656" s="1">
        <v>289</v>
      </c>
      <c r="I656" s="39">
        <v>46053.744444444441</v>
      </c>
      <c r="J656" s="36"/>
      <c r="L656" s="2"/>
      <c r="M656" s="2"/>
      <c r="O656" s="37">
        <v>46053.744444444441</v>
      </c>
      <c r="P656" s="36">
        <v>77761.821349999998</v>
      </c>
      <c r="R656" s="2">
        <v>79117.941380000004</v>
      </c>
      <c r="S656" s="2">
        <v>76971.607799999998</v>
      </c>
    </row>
    <row r="657" spans="1:19" x14ac:dyDescent="0.35">
      <c r="A657" s="7">
        <v>654</v>
      </c>
      <c r="B657" s="37">
        <v>46053.745138888888</v>
      </c>
      <c r="C657" s="2">
        <v>78991.100000000006</v>
      </c>
      <c r="D657" s="43">
        <v>79008.100000000006</v>
      </c>
      <c r="E657" s="43">
        <v>78949.31</v>
      </c>
      <c r="F657" s="2">
        <v>78949.31</v>
      </c>
      <c r="G657" s="1">
        <v>267</v>
      </c>
      <c r="I657" s="39">
        <v>46053.745138888888</v>
      </c>
      <c r="J657" s="36"/>
      <c r="L657" s="2"/>
      <c r="M657" s="2"/>
      <c r="O657" s="37">
        <v>46053.745138888888</v>
      </c>
      <c r="P657" s="36">
        <v>77718.271909999996</v>
      </c>
      <c r="R657" s="2">
        <v>79110.079310000001</v>
      </c>
      <c r="S657" s="2">
        <v>76943.552750000003</v>
      </c>
    </row>
    <row r="658" spans="1:19" x14ac:dyDescent="0.35">
      <c r="A658" s="7">
        <v>655</v>
      </c>
      <c r="B658" s="37">
        <v>46053.745833333334</v>
      </c>
      <c r="C658" s="2">
        <v>78948.56</v>
      </c>
      <c r="D658" s="43">
        <v>78950.570000000007</v>
      </c>
      <c r="E658" s="43">
        <v>78876.97</v>
      </c>
      <c r="F658" s="2">
        <v>78903.740000000005</v>
      </c>
      <c r="G658" s="1">
        <v>277</v>
      </c>
      <c r="I658" s="39">
        <v>46053.745833333334</v>
      </c>
      <c r="J658" s="36"/>
      <c r="L658" s="2"/>
      <c r="M658" s="2"/>
      <c r="O658" s="37">
        <v>46053.745833333334</v>
      </c>
      <c r="P658" s="36">
        <v>77674.722469999993</v>
      </c>
      <c r="R658" s="2">
        <v>79102.217239999998</v>
      </c>
      <c r="S658" s="2">
        <v>76915.497690000004</v>
      </c>
    </row>
    <row r="659" spans="1:19" x14ac:dyDescent="0.35">
      <c r="A659" s="7">
        <v>656</v>
      </c>
      <c r="B659" s="37">
        <v>46053.746527777781</v>
      </c>
      <c r="C659" s="2">
        <v>78901.19</v>
      </c>
      <c r="D659" s="43">
        <v>78998.789999999994</v>
      </c>
      <c r="E659" s="43">
        <v>78895.8</v>
      </c>
      <c r="F659" s="2">
        <v>78912.960000000006</v>
      </c>
      <c r="G659" s="1">
        <v>279</v>
      </c>
      <c r="I659" s="39">
        <v>46053.746527777781</v>
      </c>
      <c r="J659" s="36"/>
      <c r="L659" s="2"/>
      <c r="M659" s="2"/>
      <c r="O659" s="37">
        <v>46053.746527777781</v>
      </c>
      <c r="P659" s="36">
        <v>77631.173030000005</v>
      </c>
      <c r="R659" s="2">
        <v>79094.355169999995</v>
      </c>
      <c r="S659" s="2">
        <v>76887.442639999994</v>
      </c>
    </row>
    <row r="660" spans="1:19" x14ac:dyDescent="0.35">
      <c r="A660" s="7">
        <v>657</v>
      </c>
      <c r="B660" s="37">
        <v>46053.74722222222</v>
      </c>
      <c r="C660" s="2">
        <v>78912.649999999994</v>
      </c>
      <c r="D660" s="43">
        <v>78976.06</v>
      </c>
      <c r="E660" s="43">
        <v>78890.990000000005</v>
      </c>
      <c r="F660" s="2">
        <v>78950.41</v>
      </c>
      <c r="G660" s="1">
        <v>263</v>
      </c>
      <c r="I660" s="39">
        <v>46053.74722222222</v>
      </c>
      <c r="J660" s="36"/>
      <c r="L660" s="2"/>
      <c r="M660" s="2"/>
      <c r="O660" s="37">
        <v>46053.74722222222</v>
      </c>
      <c r="P660" s="36">
        <v>77587.623600000006</v>
      </c>
      <c r="R660" s="2">
        <v>79086.493100000007</v>
      </c>
      <c r="S660" s="2">
        <v>76859.387579999995</v>
      </c>
    </row>
    <row r="661" spans="1:19" x14ac:dyDescent="0.35">
      <c r="A661" s="7">
        <v>658</v>
      </c>
      <c r="B661" s="37">
        <v>46053.747916666667</v>
      </c>
      <c r="C661" s="2">
        <v>78937.97</v>
      </c>
      <c r="D661" s="43">
        <v>78942.94</v>
      </c>
      <c r="E661" s="43">
        <v>78761.23</v>
      </c>
      <c r="F661" s="2">
        <v>78858.7</v>
      </c>
      <c r="G661" s="1">
        <v>281</v>
      </c>
      <c r="I661" s="39">
        <v>46053.747916666667</v>
      </c>
      <c r="J661" s="36"/>
      <c r="L661" s="2"/>
      <c r="M661" s="2"/>
      <c r="O661" s="37">
        <v>46053.747916666667</v>
      </c>
      <c r="P661" s="36">
        <v>77544.074160000004</v>
      </c>
      <c r="R661" s="2">
        <v>79078.631030000004</v>
      </c>
      <c r="S661" s="2">
        <v>76831.33253</v>
      </c>
    </row>
    <row r="662" spans="1:19" x14ac:dyDescent="0.35">
      <c r="A662" s="7">
        <v>659</v>
      </c>
      <c r="B662" s="37">
        <v>46053.748611111114</v>
      </c>
      <c r="C662" s="2">
        <v>78859.740000000005</v>
      </c>
      <c r="D662" s="43">
        <v>78880.75</v>
      </c>
      <c r="E662" s="43">
        <v>78751.63</v>
      </c>
      <c r="F662" s="2">
        <v>78770.12</v>
      </c>
      <c r="G662" s="1">
        <v>268</v>
      </c>
      <c r="I662" s="39">
        <v>46053.748611111114</v>
      </c>
      <c r="J662" s="36"/>
      <c r="L662" s="2"/>
      <c r="M662" s="2"/>
      <c r="O662" s="37">
        <v>46053.748611111114</v>
      </c>
      <c r="P662" s="36">
        <v>77500.524720000001</v>
      </c>
      <c r="R662" s="2">
        <v>79070.768970000005</v>
      </c>
      <c r="S662" s="2">
        <v>76803.277470000001</v>
      </c>
    </row>
    <row r="663" spans="1:19" x14ac:dyDescent="0.35">
      <c r="A663" s="7">
        <v>660</v>
      </c>
      <c r="B663" s="37">
        <v>46053.749305555553</v>
      </c>
      <c r="C663" s="2">
        <v>78770.12</v>
      </c>
      <c r="D663" s="43">
        <v>78868.899999999994</v>
      </c>
      <c r="E663" s="43">
        <v>78770.12</v>
      </c>
      <c r="F663" s="2">
        <v>78844.73</v>
      </c>
      <c r="G663" s="1">
        <v>270</v>
      </c>
      <c r="I663" s="39">
        <v>46053.749305555553</v>
      </c>
      <c r="J663" s="36"/>
      <c r="L663" s="2"/>
      <c r="M663" s="2"/>
      <c r="O663" s="37">
        <v>46053.749305555553</v>
      </c>
      <c r="P663" s="36">
        <v>77456.975279999999</v>
      </c>
      <c r="R663" s="2">
        <v>79062.906900000002</v>
      </c>
      <c r="S663" s="2">
        <v>76775.222420000006</v>
      </c>
    </row>
    <row r="664" spans="1:19" x14ac:dyDescent="0.35">
      <c r="A664" s="7">
        <v>661</v>
      </c>
      <c r="B664" s="37">
        <v>46053.75</v>
      </c>
      <c r="C664" s="2">
        <v>78846.52</v>
      </c>
      <c r="D664" s="43">
        <v>79086.84</v>
      </c>
      <c r="E664" s="43">
        <v>78833.3</v>
      </c>
      <c r="F664" s="2">
        <v>79065.78</v>
      </c>
      <c r="G664" s="1">
        <v>303</v>
      </c>
      <c r="I664" s="39">
        <v>46053.75</v>
      </c>
      <c r="J664" s="36"/>
      <c r="L664" s="2"/>
      <c r="M664" s="2"/>
      <c r="O664" s="37">
        <v>46053.75</v>
      </c>
      <c r="P664" s="36">
        <v>77413.425839999996</v>
      </c>
      <c r="R664" s="2">
        <v>79055.044829999999</v>
      </c>
      <c r="S664" s="2">
        <v>76747.167360000007</v>
      </c>
    </row>
    <row r="665" spans="1:19" x14ac:dyDescent="0.35">
      <c r="A665" s="7">
        <v>662</v>
      </c>
      <c r="B665" s="37">
        <v>46053.750694444447</v>
      </c>
      <c r="C665" s="2">
        <v>79066.45</v>
      </c>
      <c r="D665" s="43">
        <v>79067.710000000006</v>
      </c>
      <c r="E665" s="43">
        <v>78886.990000000005</v>
      </c>
      <c r="F665" s="2">
        <v>78913.77</v>
      </c>
      <c r="G665" s="1">
        <v>299</v>
      </c>
      <c r="I665" s="39">
        <v>46053.750694444447</v>
      </c>
      <c r="J665" s="36"/>
      <c r="L665" s="2"/>
      <c r="M665" s="2"/>
      <c r="O665" s="37">
        <v>46053.750694444447</v>
      </c>
      <c r="P665" s="36">
        <v>77369.876399999994</v>
      </c>
      <c r="R665" s="2">
        <v>79047.182759999996</v>
      </c>
      <c r="S665" s="2">
        <v>76719.112309999997</v>
      </c>
    </row>
    <row r="666" spans="1:19" x14ac:dyDescent="0.35">
      <c r="A666" s="7">
        <v>663</v>
      </c>
      <c r="B666" s="37">
        <v>46053.751388888886</v>
      </c>
      <c r="C666" s="2">
        <v>78916.820000000007</v>
      </c>
      <c r="D666" s="43">
        <v>78990.31</v>
      </c>
      <c r="E666" s="43">
        <v>78879.429999999993</v>
      </c>
      <c r="F666" s="2">
        <v>78908.81</v>
      </c>
      <c r="G666" s="1">
        <v>291</v>
      </c>
      <c r="I666" s="39">
        <v>46053.751388888886</v>
      </c>
      <c r="J666" s="36"/>
      <c r="L666" s="2"/>
      <c r="M666" s="2"/>
      <c r="O666" s="37">
        <v>46053.751388888886</v>
      </c>
      <c r="P666" s="36">
        <v>77326.326969999995</v>
      </c>
      <c r="R666" s="2">
        <v>79039.320689999993</v>
      </c>
      <c r="S666" s="2">
        <v>76691.057249999998</v>
      </c>
    </row>
    <row r="667" spans="1:19" x14ac:dyDescent="0.35">
      <c r="A667" s="7">
        <v>664</v>
      </c>
      <c r="B667" s="37">
        <v>46053.752083333333</v>
      </c>
      <c r="C667" s="2">
        <v>78905.91</v>
      </c>
      <c r="D667" s="43">
        <v>78905.91</v>
      </c>
      <c r="E667" s="43">
        <v>78800.679999999993</v>
      </c>
      <c r="F667" s="2">
        <v>78805.8</v>
      </c>
      <c r="G667" s="1">
        <v>281</v>
      </c>
      <c r="I667" s="39">
        <v>46053.752083333333</v>
      </c>
      <c r="J667" s="36"/>
      <c r="L667" s="2"/>
      <c r="M667" s="2"/>
      <c r="O667" s="37">
        <v>46053.752083333333</v>
      </c>
      <c r="P667" s="36">
        <v>77282.777530000007</v>
      </c>
      <c r="R667" s="2">
        <v>79031.458620000005</v>
      </c>
      <c r="S667" s="2">
        <v>76663.002200000003</v>
      </c>
    </row>
    <row r="668" spans="1:19" x14ac:dyDescent="0.35">
      <c r="A668" s="7">
        <v>665</v>
      </c>
      <c r="B668" s="37">
        <v>46053.75277777778</v>
      </c>
      <c r="C668" s="2">
        <v>78800.41</v>
      </c>
      <c r="D668" s="43">
        <v>78812.63</v>
      </c>
      <c r="E668" s="43">
        <v>78731.41</v>
      </c>
      <c r="F668" s="2">
        <v>78785.25</v>
      </c>
      <c r="G668" s="1">
        <v>280</v>
      </c>
      <c r="I668" s="39">
        <v>46053.75277777778</v>
      </c>
      <c r="J668" s="36"/>
      <c r="L668" s="2"/>
      <c r="M668" s="2"/>
      <c r="O668" s="37">
        <v>46053.75277777778</v>
      </c>
      <c r="P668" s="36">
        <v>77239.228090000004</v>
      </c>
      <c r="R668" s="2">
        <v>79023.596550000002</v>
      </c>
      <c r="S668" s="2">
        <v>76634.947140000004</v>
      </c>
    </row>
    <row r="669" spans="1:19" x14ac:dyDescent="0.35">
      <c r="A669" s="7">
        <v>666</v>
      </c>
      <c r="B669" s="37">
        <v>46053.753472222219</v>
      </c>
      <c r="C669" s="2">
        <v>78790.23</v>
      </c>
      <c r="D669" s="43">
        <v>78949.539999999994</v>
      </c>
      <c r="E669" s="43">
        <v>78790.23</v>
      </c>
      <c r="F669" s="2">
        <v>78896.06</v>
      </c>
      <c r="G669" s="1">
        <v>293</v>
      </c>
      <c r="I669" s="39">
        <v>46053.753472222219</v>
      </c>
      <c r="J669" s="36"/>
      <c r="L669" s="2"/>
      <c r="M669" s="2"/>
      <c r="O669" s="37">
        <v>46053.753472222219</v>
      </c>
      <c r="P669" s="36">
        <v>77195.678650000002</v>
      </c>
      <c r="R669" s="2">
        <v>79015.734479999999</v>
      </c>
      <c r="S669" s="2">
        <v>76606.892089999994</v>
      </c>
    </row>
    <row r="670" spans="1:19" x14ac:dyDescent="0.35">
      <c r="A670" s="7">
        <v>667</v>
      </c>
      <c r="B670" s="37">
        <v>46053.754166666666</v>
      </c>
      <c r="C670" s="2">
        <v>78898.03</v>
      </c>
      <c r="D670" s="43">
        <v>78904.91</v>
      </c>
      <c r="E670" s="43">
        <v>78770.5</v>
      </c>
      <c r="F670" s="2">
        <v>78770.63</v>
      </c>
      <c r="G670" s="1">
        <v>278</v>
      </c>
      <c r="I670" s="39">
        <v>46053.754166666666</v>
      </c>
      <c r="J670" s="36"/>
      <c r="L670" s="2"/>
      <c r="M670" s="2"/>
      <c r="O670" s="37">
        <v>46053.754166666666</v>
      </c>
      <c r="P670" s="36">
        <v>77152.129209999999</v>
      </c>
      <c r="R670" s="2">
        <v>79007.872409999996</v>
      </c>
      <c r="S670" s="2">
        <v>76578.837029999995</v>
      </c>
    </row>
    <row r="671" spans="1:19" x14ac:dyDescent="0.35">
      <c r="A671" s="7">
        <v>668</v>
      </c>
      <c r="B671" s="37">
        <v>46053.754861111112</v>
      </c>
      <c r="C671" s="2">
        <v>78770.48</v>
      </c>
      <c r="D671" s="43">
        <v>78786.539999999994</v>
      </c>
      <c r="E671" s="43">
        <v>78554.98</v>
      </c>
      <c r="F671" s="2">
        <v>78712.149999999994</v>
      </c>
      <c r="G671" s="1">
        <v>290</v>
      </c>
      <c r="I671" s="39">
        <v>46053.754861111112</v>
      </c>
      <c r="J671" s="36"/>
      <c r="L671" s="2"/>
      <c r="M671" s="2"/>
      <c r="O671" s="37">
        <v>46053.754861111112</v>
      </c>
      <c r="P671" s="36">
        <v>77108.57978</v>
      </c>
      <c r="R671" s="2">
        <v>79000.010339999993</v>
      </c>
      <c r="S671" s="2">
        <v>76550.78198</v>
      </c>
    </row>
    <row r="672" spans="1:19" x14ac:dyDescent="0.35">
      <c r="A672" s="7">
        <v>669</v>
      </c>
      <c r="B672" s="37">
        <v>46053.755555555559</v>
      </c>
      <c r="C672" s="2">
        <v>78699.929999999993</v>
      </c>
      <c r="D672" s="43">
        <v>78707.81</v>
      </c>
      <c r="E672" s="43">
        <v>78586.7</v>
      </c>
      <c r="F672" s="2">
        <v>78631.899999999994</v>
      </c>
      <c r="G672" s="1">
        <v>271</v>
      </c>
      <c r="I672" s="39">
        <v>46053.755555555559</v>
      </c>
      <c r="J672" s="36"/>
      <c r="L672" s="2"/>
      <c r="M672" s="2"/>
      <c r="O672" s="37">
        <v>46053.755555555559</v>
      </c>
      <c r="P672" s="36">
        <v>77065.030339999998</v>
      </c>
      <c r="R672" s="2">
        <v>78992.148279999994</v>
      </c>
      <c r="S672" s="2">
        <v>76522.726920000001</v>
      </c>
    </row>
    <row r="673" spans="1:19" x14ac:dyDescent="0.35">
      <c r="A673" s="7">
        <v>670</v>
      </c>
      <c r="B673" s="37">
        <v>46053.756249999999</v>
      </c>
      <c r="C673" s="2">
        <v>78640.2</v>
      </c>
      <c r="D673" s="43">
        <v>78802.97</v>
      </c>
      <c r="E673" s="43">
        <v>78637.100000000006</v>
      </c>
      <c r="F673" s="2">
        <v>78790.210000000006</v>
      </c>
      <c r="G673" s="1">
        <v>289</v>
      </c>
      <c r="I673" s="39">
        <v>46053.756249999999</v>
      </c>
      <c r="J673" s="36"/>
      <c r="L673" s="2"/>
      <c r="M673" s="2"/>
      <c r="O673" s="37">
        <v>46053.756249999999</v>
      </c>
      <c r="P673" s="36">
        <v>77021.480899999995</v>
      </c>
      <c r="R673" s="2">
        <v>78984.286210000006</v>
      </c>
      <c r="S673" s="2">
        <v>76494.671870000006</v>
      </c>
    </row>
    <row r="674" spans="1:19" x14ac:dyDescent="0.35">
      <c r="A674" s="7">
        <v>671</v>
      </c>
      <c r="B674" s="37">
        <v>46053.756944444445</v>
      </c>
      <c r="C674" s="2">
        <v>78797.7</v>
      </c>
      <c r="D674" s="43">
        <v>78800.039999999994</v>
      </c>
      <c r="E674" s="43">
        <v>78697.279999999999</v>
      </c>
      <c r="F674" s="2">
        <v>78734.91</v>
      </c>
      <c r="G674" s="1">
        <v>274</v>
      </c>
      <c r="I674" s="39">
        <v>46053.756944444445</v>
      </c>
      <c r="J674" s="36"/>
      <c r="L674" s="2"/>
      <c r="M674" s="2"/>
      <c r="O674" s="37">
        <v>46053.756944444445</v>
      </c>
      <c r="P674" s="36">
        <v>76977.931460000007</v>
      </c>
      <c r="R674" s="2">
        <v>78976.424140000003</v>
      </c>
      <c r="S674" s="2">
        <v>76466.616810000007</v>
      </c>
    </row>
    <row r="675" spans="1:19" x14ac:dyDescent="0.35">
      <c r="A675" s="7">
        <v>672</v>
      </c>
      <c r="B675" s="37">
        <v>46053.757638888892</v>
      </c>
      <c r="C675" s="2">
        <v>78740.3</v>
      </c>
      <c r="D675" s="43">
        <v>78836.58</v>
      </c>
      <c r="E675" s="43">
        <v>78728.070000000007</v>
      </c>
      <c r="F675" s="2">
        <v>78755.33</v>
      </c>
      <c r="G675" s="1">
        <v>264</v>
      </c>
      <c r="I675" s="39">
        <v>46053.757638888892</v>
      </c>
      <c r="J675" s="36"/>
      <c r="L675" s="2"/>
      <c r="M675" s="2"/>
      <c r="O675" s="37">
        <v>46053.757638888892</v>
      </c>
      <c r="P675" s="36">
        <v>76934.382020000005</v>
      </c>
      <c r="R675" s="2">
        <v>78968.56207</v>
      </c>
      <c r="S675" s="2">
        <v>76438.561759999997</v>
      </c>
    </row>
    <row r="676" spans="1:19" x14ac:dyDescent="0.35">
      <c r="A676" s="7">
        <v>673</v>
      </c>
      <c r="B676" s="37">
        <v>46053.758333333331</v>
      </c>
      <c r="C676" s="2">
        <v>78755.3</v>
      </c>
      <c r="D676" s="43">
        <v>78772.320000000007</v>
      </c>
      <c r="E676" s="43">
        <v>78678.13</v>
      </c>
      <c r="F676" s="2">
        <v>78756</v>
      </c>
      <c r="G676" s="1">
        <v>264</v>
      </c>
      <c r="I676" s="39">
        <v>46053.758333333331</v>
      </c>
      <c r="J676" s="36"/>
      <c r="L676" s="2"/>
      <c r="M676" s="2"/>
      <c r="O676" s="37">
        <v>46053.758333333331</v>
      </c>
      <c r="P676" s="36">
        <v>76890.832580000002</v>
      </c>
      <c r="R676" s="2">
        <v>78960.7</v>
      </c>
      <c r="S676" s="2">
        <v>76410.506699999998</v>
      </c>
    </row>
    <row r="677" spans="1:19" x14ac:dyDescent="0.35">
      <c r="A677" s="7">
        <v>674</v>
      </c>
      <c r="B677" s="37">
        <v>46053.759027777778</v>
      </c>
      <c r="C677" s="2">
        <v>78756</v>
      </c>
      <c r="D677" s="43">
        <v>78756.02</v>
      </c>
      <c r="E677" s="43">
        <v>78653.119999999995</v>
      </c>
      <c r="F677" s="2">
        <v>78680.72</v>
      </c>
      <c r="G677" s="1">
        <v>261</v>
      </c>
      <c r="I677" s="39">
        <v>46053.759027777778</v>
      </c>
      <c r="J677" s="36"/>
      <c r="L677" s="2"/>
      <c r="M677" s="2"/>
      <c r="O677" s="37">
        <v>46053.759027777778</v>
      </c>
      <c r="P677" s="36">
        <v>76847.283150000003</v>
      </c>
      <c r="R677" s="2">
        <v>78952.837929999994</v>
      </c>
      <c r="S677" s="2">
        <v>76382.451650000003</v>
      </c>
    </row>
    <row r="678" spans="1:19" x14ac:dyDescent="0.35">
      <c r="A678" s="7">
        <v>675</v>
      </c>
      <c r="B678" s="37">
        <v>46053.759722222225</v>
      </c>
      <c r="C678" s="2">
        <v>78680.710000000006</v>
      </c>
      <c r="D678" s="43">
        <v>78693.06</v>
      </c>
      <c r="E678" s="43">
        <v>78535.55</v>
      </c>
      <c r="F678" s="2">
        <v>78585.38</v>
      </c>
      <c r="G678" s="1">
        <v>256</v>
      </c>
      <c r="I678" s="39">
        <v>46053.759722222225</v>
      </c>
      <c r="J678" s="36"/>
      <c r="L678" s="2"/>
      <c r="M678" s="2"/>
      <c r="O678" s="37">
        <v>46053.759722222225</v>
      </c>
      <c r="P678" s="36">
        <v>76803.73371</v>
      </c>
      <c r="R678" s="2">
        <v>78944.975860000006</v>
      </c>
      <c r="S678" s="2">
        <v>76354.396590000004</v>
      </c>
    </row>
    <row r="679" spans="1:19" x14ac:dyDescent="0.35">
      <c r="A679" s="7">
        <v>676</v>
      </c>
      <c r="B679" s="37">
        <v>46053.760416666664</v>
      </c>
      <c r="C679" s="2">
        <v>78585.279999999999</v>
      </c>
      <c r="D679" s="43">
        <v>78614.8</v>
      </c>
      <c r="E679" s="43">
        <v>78523.199999999997</v>
      </c>
      <c r="F679" s="2">
        <v>78547.25</v>
      </c>
      <c r="G679" s="1">
        <v>284</v>
      </c>
      <c r="I679" s="39">
        <v>46053.760416666664</v>
      </c>
      <c r="J679" s="36"/>
      <c r="L679" s="2"/>
      <c r="M679" s="2"/>
      <c r="O679" s="37">
        <v>46053.760416666664</v>
      </c>
      <c r="P679" s="36">
        <v>76760.184269999998</v>
      </c>
      <c r="R679" s="2">
        <v>78937.113790000003</v>
      </c>
      <c r="S679" s="2">
        <v>76326.341539999994</v>
      </c>
    </row>
    <row r="680" spans="1:19" x14ac:dyDescent="0.35">
      <c r="A680" s="7">
        <v>677</v>
      </c>
      <c r="B680" s="37">
        <v>46053.761111111111</v>
      </c>
      <c r="C680" s="2">
        <v>78547.23</v>
      </c>
      <c r="D680" s="43">
        <v>78611.61</v>
      </c>
      <c r="E680" s="43">
        <v>78380.259999999995</v>
      </c>
      <c r="F680" s="2">
        <v>78380.259999999995</v>
      </c>
      <c r="G680" s="1">
        <v>289</v>
      </c>
      <c r="I680" s="39">
        <v>46053.761111111111</v>
      </c>
      <c r="J680" s="36"/>
      <c r="L680" s="2"/>
      <c r="M680" s="2"/>
      <c r="O680" s="37">
        <v>46053.761111111111</v>
      </c>
      <c r="P680" s="36">
        <v>76716.634829999995</v>
      </c>
      <c r="R680" s="2">
        <v>78929.25172</v>
      </c>
      <c r="S680" s="2">
        <v>76298.286479999995</v>
      </c>
    </row>
    <row r="681" spans="1:19" x14ac:dyDescent="0.35">
      <c r="A681" s="7">
        <v>678</v>
      </c>
      <c r="B681" s="37">
        <v>46053.761805555558</v>
      </c>
      <c r="C681" s="2">
        <v>78380.2</v>
      </c>
      <c r="D681" s="43">
        <v>78572.37</v>
      </c>
      <c r="E681" s="43">
        <v>78371.03</v>
      </c>
      <c r="F681" s="2">
        <v>78467.89</v>
      </c>
      <c r="G681" s="1">
        <v>300</v>
      </c>
      <c r="I681" s="39">
        <v>46053.761805555558</v>
      </c>
      <c r="J681" s="36"/>
      <c r="L681" s="2"/>
      <c r="M681" s="2"/>
      <c r="O681" s="37">
        <v>46053.761805555558</v>
      </c>
      <c r="P681" s="36">
        <v>76673.085389999993</v>
      </c>
      <c r="R681" s="2">
        <v>78921.389660000001</v>
      </c>
      <c r="S681" s="2">
        <v>76270.23143</v>
      </c>
    </row>
    <row r="682" spans="1:19" x14ac:dyDescent="0.35">
      <c r="A682" s="7">
        <v>679</v>
      </c>
      <c r="B682" s="37">
        <v>46053.762499999997</v>
      </c>
      <c r="C682" s="2">
        <v>78476.69</v>
      </c>
      <c r="D682" s="43">
        <v>78476.69</v>
      </c>
      <c r="E682" s="43">
        <v>78314.789999999994</v>
      </c>
      <c r="F682" s="2">
        <v>78319.98</v>
      </c>
      <c r="G682" s="1">
        <v>310</v>
      </c>
      <c r="I682" s="39">
        <v>46053.762499999997</v>
      </c>
      <c r="J682" s="36"/>
      <c r="L682" s="2"/>
      <c r="M682" s="2"/>
      <c r="O682" s="37">
        <v>46053.762499999997</v>
      </c>
      <c r="P682" s="36">
        <v>76629.535959999994</v>
      </c>
      <c r="R682" s="2">
        <v>78913.527589999998</v>
      </c>
      <c r="S682" s="2">
        <v>76242.176370000001</v>
      </c>
    </row>
    <row r="683" spans="1:19" x14ac:dyDescent="0.35">
      <c r="A683" s="7">
        <v>680</v>
      </c>
      <c r="B683" s="37">
        <v>46053.763194444444</v>
      </c>
      <c r="C683" s="2">
        <v>78323.649999999994</v>
      </c>
      <c r="D683" s="43">
        <v>78419.839999999997</v>
      </c>
      <c r="E683" s="43">
        <v>78295.63</v>
      </c>
      <c r="F683" s="2">
        <v>78311.94</v>
      </c>
      <c r="G683" s="1">
        <v>280</v>
      </c>
      <c r="I683" s="39">
        <v>46053.763194444444</v>
      </c>
      <c r="J683" s="36"/>
      <c r="L683" s="2"/>
      <c r="M683" s="2"/>
      <c r="O683" s="37">
        <v>46053.763194444444</v>
      </c>
      <c r="P683" s="36">
        <v>76585.986520000006</v>
      </c>
      <c r="R683" s="2">
        <v>78905.665519999995</v>
      </c>
      <c r="S683" s="2">
        <v>76214.121320000006</v>
      </c>
    </row>
    <row r="684" spans="1:19" x14ac:dyDescent="0.35">
      <c r="A684" s="7">
        <v>681</v>
      </c>
      <c r="B684" s="37">
        <v>46053.763888888891</v>
      </c>
      <c r="C684" s="2">
        <v>78317.899999999994</v>
      </c>
      <c r="D684" s="43">
        <v>78352.36</v>
      </c>
      <c r="E684" s="43">
        <v>78134.05</v>
      </c>
      <c r="F684" s="2">
        <v>78216.149999999994</v>
      </c>
      <c r="G684" s="1">
        <v>308</v>
      </c>
      <c r="I684" s="39">
        <v>46053.763888888891</v>
      </c>
      <c r="J684" s="36"/>
      <c r="L684" s="2"/>
      <c r="M684" s="2"/>
      <c r="O684" s="37">
        <v>46053.763888888891</v>
      </c>
      <c r="P684" s="36">
        <v>76542.437080000003</v>
      </c>
      <c r="R684" s="2">
        <v>78897.803450000007</v>
      </c>
      <c r="S684" s="2">
        <v>76186.066260000007</v>
      </c>
    </row>
    <row r="685" spans="1:19" x14ac:dyDescent="0.35">
      <c r="A685" s="7">
        <v>682</v>
      </c>
      <c r="B685" s="37">
        <v>46053.76458333333</v>
      </c>
      <c r="C685" s="2">
        <v>78209.899999999994</v>
      </c>
      <c r="D685" s="43">
        <v>78288.95</v>
      </c>
      <c r="E685" s="43">
        <v>77924.679999999993</v>
      </c>
      <c r="F685" s="2">
        <v>78136.08</v>
      </c>
      <c r="G685" s="1">
        <v>305</v>
      </c>
      <c r="I685" s="39">
        <v>46053.76458333333</v>
      </c>
      <c r="J685" s="36"/>
      <c r="L685" s="2"/>
      <c r="M685" s="2"/>
      <c r="O685" s="37">
        <v>46053.76458333333</v>
      </c>
      <c r="P685" s="36">
        <v>76498.887640000001</v>
      </c>
      <c r="R685" s="2">
        <v>78889.941380000004</v>
      </c>
      <c r="S685" s="2">
        <v>76158.011209999997</v>
      </c>
    </row>
    <row r="686" spans="1:19" x14ac:dyDescent="0.35">
      <c r="A686" s="7">
        <v>683</v>
      </c>
      <c r="B686" s="37">
        <v>46053.765277777777</v>
      </c>
      <c r="C686" s="2">
        <v>78117.53</v>
      </c>
      <c r="D686" s="43">
        <v>78489.22</v>
      </c>
      <c r="E686" s="43">
        <v>78117.53</v>
      </c>
      <c r="F686" s="2">
        <v>78365.67</v>
      </c>
      <c r="G686" s="1">
        <v>301</v>
      </c>
      <c r="I686" s="39">
        <v>46053.765277777777</v>
      </c>
      <c r="J686" s="36"/>
      <c r="L686" s="2"/>
      <c r="M686" s="2"/>
      <c r="O686" s="37">
        <v>46053.765277777777</v>
      </c>
      <c r="P686" s="36">
        <v>76455.338199999998</v>
      </c>
      <c r="R686" s="2">
        <v>78882.079310000001</v>
      </c>
      <c r="S686" s="2">
        <v>76129.956149999998</v>
      </c>
    </row>
    <row r="687" spans="1:19" x14ac:dyDescent="0.35">
      <c r="A687" s="7">
        <v>684</v>
      </c>
      <c r="B687" s="37">
        <v>46053.765972222223</v>
      </c>
      <c r="C687" s="2">
        <v>78361.66</v>
      </c>
      <c r="D687" s="43">
        <v>78367.91</v>
      </c>
      <c r="E687" s="43">
        <v>78271.91</v>
      </c>
      <c r="F687" s="2">
        <v>78360.03</v>
      </c>
      <c r="G687" s="1">
        <v>305</v>
      </c>
      <c r="I687" s="39">
        <v>46053.765972222223</v>
      </c>
      <c r="J687" s="36"/>
      <c r="L687" s="2"/>
      <c r="M687" s="2"/>
      <c r="O687" s="37">
        <v>46053.765972222223</v>
      </c>
      <c r="P687" s="36">
        <v>76411.788759999996</v>
      </c>
      <c r="R687" s="2">
        <v>78874.217239999998</v>
      </c>
      <c r="S687" s="2">
        <v>76101.901100000003</v>
      </c>
    </row>
    <row r="688" spans="1:19" x14ac:dyDescent="0.35">
      <c r="A688" s="7">
        <v>685</v>
      </c>
      <c r="B688" s="37">
        <v>46053.76666666667</v>
      </c>
      <c r="C688" s="2">
        <v>78351.39</v>
      </c>
      <c r="D688" s="43">
        <v>78413.62</v>
      </c>
      <c r="E688" s="43">
        <v>78240.5</v>
      </c>
      <c r="F688" s="2">
        <v>78244.22</v>
      </c>
      <c r="G688" s="1">
        <v>276</v>
      </c>
      <c r="I688" s="39">
        <v>46053.76666666667</v>
      </c>
      <c r="J688" s="36"/>
      <c r="L688" s="2"/>
      <c r="M688" s="2"/>
      <c r="O688" s="37">
        <v>46053.76666666667</v>
      </c>
      <c r="P688" s="36">
        <v>76368.239329999997</v>
      </c>
      <c r="R688" s="2">
        <v>78866.355169999995</v>
      </c>
      <c r="S688" s="2">
        <v>76073.846040000004</v>
      </c>
    </row>
    <row r="689" spans="1:19" x14ac:dyDescent="0.35">
      <c r="A689" s="7">
        <v>686</v>
      </c>
      <c r="B689" s="37">
        <v>46053.767361111109</v>
      </c>
      <c r="C689" s="2">
        <v>78244.36</v>
      </c>
      <c r="D689" s="43">
        <v>78390.34</v>
      </c>
      <c r="E689" s="43">
        <v>78244.36</v>
      </c>
      <c r="F689" s="2">
        <v>78390.320000000007</v>
      </c>
      <c r="G689" s="1">
        <v>293</v>
      </c>
      <c r="I689" s="39">
        <v>46053.767361111109</v>
      </c>
      <c r="J689" s="36"/>
      <c r="L689" s="2"/>
      <c r="M689" s="2"/>
      <c r="O689" s="37">
        <v>46053.767361111109</v>
      </c>
      <c r="P689" s="36">
        <v>76324.689889999994</v>
      </c>
      <c r="R689" s="2">
        <v>78858.493100000007</v>
      </c>
      <c r="S689" s="2">
        <v>76045.790989999994</v>
      </c>
    </row>
    <row r="690" spans="1:19" x14ac:dyDescent="0.35">
      <c r="A690" s="7">
        <v>687</v>
      </c>
      <c r="B690" s="37">
        <v>46053.768055555556</v>
      </c>
      <c r="C690" s="2">
        <v>78390.320000000007</v>
      </c>
      <c r="D690" s="43">
        <v>78390.320000000007</v>
      </c>
      <c r="E690" s="43">
        <v>78221.27</v>
      </c>
      <c r="F690" s="2">
        <v>78222.12</v>
      </c>
      <c r="G690" s="1">
        <v>258</v>
      </c>
      <c r="I690" s="39">
        <v>46053.768055555556</v>
      </c>
      <c r="J690" s="36"/>
      <c r="L690" s="2"/>
      <c r="M690" s="2"/>
      <c r="O690" s="37">
        <v>46053.768055555556</v>
      </c>
      <c r="P690" s="36">
        <v>76281.140450000006</v>
      </c>
      <c r="R690" s="2">
        <v>78850.631030000004</v>
      </c>
      <c r="S690" s="2">
        <v>76017.735929999995</v>
      </c>
    </row>
    <row r="691" spans="1:19" x14ac:dyDescent="0.35">
      <c r="A691" s="7">
        <v>688</v>
      </c>
      <c r="B691" s="37">
        <v>46053.768750000003</v>
      </c>
      <c r="C691" s="2">
        <v>78227.850000000006</v>
      </c>
      <c r="D691" s="43">
        <v>78349.960000000006</v>
      </c>
      <c r="E691" s="43">
        <v>78212.490000000005</v>
      </c>
      <c r="F691" s="2">
        <v>78313.009999999995</v>
      </c>
      <c r="G691" s="1">
        <v>279</v>
      </c>
      <c r="I691" s="39">
        <v>46053.768750000003</v>
      </c>
      <c r="J691" s="36"/>
      <c r="L691" s="2"/>
      <c r="M691" s="2"/>
      <c r="O691" s="37">
        <v>46053.768750000003</v>
      </c>
      <c r="P691" s="36">
        <v>76237.591010000004</v>
      </c>
      <c r="R691" s="2">
        <v>78842.768970000005</v>
      </c>
      <c r="S691" s="2">
        <v>75989.68088</v>
      </c>
    </row>
    <row r="692" spans="1:19" x14ac:dyDescent="0.35">
      <c r="A692" s="7">
        <v>689</v>
      </c>
      <c r="B692" s="37">
        <v>46053.769444444442</v>
      </c>
      <c r="C692" s="2">
        <v>78314.52</v>
      </c>
      <c r="D692" s="43">
        <v>78435.34</v>
      </c>
      <c r="E692" s="43">
        <v>78283.070000000007</v>
      </c>
      <c r="F692" s="2">
        <v>78384.2</v>
      </c>
      <c r="G692" s="1">
        <v>275</v>
      </c>
      <c r="I692" s="39">
        <v>46053.769444444442</v>
      </c>
      <c r="J692" s="36"/>
      <c r="L692" s="2"/>
      <c r="M692" s="2"/>
      <c r="O692" s="37">
        <v>46053.769444444442</v>
      </c>
      <c r="P692" s="36">
        <v>76194.041570000001</v>
      </c>
      <c r="R692" s="2">
        <v>78834.906900000002</v>
      </c>
      <c r="S692" s="2">
        <v>75961.625820000001</v>
      </c>
    </row>
    <row r="693" spans="1:19" x14ac:dyDescent="0.35">
      <c r="A693" s="7">
        <v>690</v>
      </c>
      <c r="B693" s="37">
        <v>46053.770138888889</v>
      </c>
      <c r="C693" s="2">
        <v>78384.320000000007</v>
      </c>
      <c r="D693" s="43">
        <v>78397.8</v>
      </c>
      <c r="E693" s="43">
        <v>78330.92</v>
      </c>
      <c r="F693" s="2">
        <v>78388.789999999994</v>
      </c>
      <c r="G693" s="1">
        <v>240</v>
      </c>
      <c r="I693" s="39">
        <v>46053.770138888889</v>
      </c>
      <c r="J693" s="36"/>
      <c r="L693" s="2"/>
      <c r="M693" s="2"/>
      <c r="O693" s="37">
        <v>46053.770138888889</v>
      </c>
      <c r="P693" s="36">
        <v>76150.492129999999</v>
      </c>
      <c r="R693" s="2">
        <v>78827.044829999999</v>
      </c>
      <c r="S693" s="2">
        <v>75933.570770000006</v>
      </c>
    </row>
    <row r="694" spans="1:19" x14ac:dyDescent="0.35">
      <c r="A694" s="7">
        <v>691</v>
      </c>
      <c r="B694" s="37">
        <v>46053.770833333336</v>
      </c>
      <c r="C694" s="2">
        <v>78388.72</v>
      </c>
      <c r="D694" s="43">
        <v>78681</v>
      </c>
      <c r="E694" s="43">
        <v>78388.399999999994</v>
      </c>
      <c r="F694" s="2">
        <v>78645.710000000006</v>
      </c>
      <c r="G694" s="1">
        <v>298</v>
      </c>
      <c r="I694" s="39">
        <v>46053.770833333336</v>
      </c>
      <c r="J694" s="36"/>
      <c r="L694" s="2"/>
      <c r="M694" s="2"/>
      <c r="O694" s="37">
        <v>46053.770833333336</v>
      </c>
      <c r="P694" s="36">
        <v>76106.9427</v>
      </c>
      <c r="R694" s="2">
        <v>78819.182759999996</v>
      </c>
      <c r="S694" s="2">
        <v>75905.515710000007</v>
      </c>
    </row>
    <row r="695" spans="1:19" x14ac:dyDescent="0.35">
      <c r="A695" s="7">
        <v>692</v>
      </c>
      <c r="B695" s="37">
        <v>46053.771527777775</v>
      </c>
      <c r="C695" s="2">
        <v>78660.5</v>
      </c>
      <c r="D695" s="43">
        <v>78690.25</v>
      </c>
      <c r="E695" s="43">
        <v>78398.320000000007</v>
      </c>
      <c r="F695" s="2">
        <v>78417.820000000007</v>
      </c>
      <c r="G695" s="1">
        <v>290</v>
      </c>
      <c r="I695" s="39">
        <v>46053.771527777775</v>
      </c>
      <c r="J695" s="36"/>
      <c r="L695" s="2"/>
      <c r="M695" s="2"/>
      <c r="O695" s="37">
        <v>46053.771527777775</v>
      </c>
      <c r="P695" s="36">
        <v>76063.393259999997</v>
      </c>
      <c r="R695" s="2">
        <v>78811.320689999993</v>
      </c>
      <c r="S695" s="2">
        <v>75877.460659999997</v>
      </c>
    </row>
    <row r="696" spans="1:19" x14ac:dyDescent="0.35">
      <c r="A696" s="7">
        <v>693</v>
      </c>
      <c r="B696" s="37">
        <v>46053.772222222222</v>
      </c>
      <c r="C696" s="2">
        <v>78424.009999999995</v>
      </c>
      <c r="D696" s="43">
        <v>78433.240000000005</v>
      </c>
      <c r="E696" s="43">
        <v>78353.23</v>
      </c>
      <c r="F696" s="2">
        <v>78379.81</v>
      </c>
      <c r="G696" s="1">
        <v>241</v>
      </c>
      <c r="I696" s="39">
        <v>46053.772222222222</v>
      </c>
      <c r="J696" s="36"/>
      <c r="L696" s="2"/>
      <c r="M696" s="2"/>
      <c r="O696" s="37">
        <v>46053.772222222222</v>
      </c>
      <c r="P696" s="36">
        <v>76019.843819999995</v>
      </c>
      <c r="R696" s="2">
        <v>78803.458620000005</v>
      </c>
      <c r="S696" s="2">
        <v>75849.405599999998</v>
      </c>
    </row>
    <row r="697" spans="1:19" x14ac:dyDescent="0.35">
      <c r="A697" s="7">
        <v>694</v>
      </c>
      <c r="B697" s="37">
        <v>46053.772916666669</v>
      </c>
      <c r="C697" s="2">
        <v>78376.62</v>
      </c>
      <c r="D697" s="43">
        <v>78388.12</v>
      </c>
      <c r="E697" s="43">
        <v>78311.44</v>
      </c>
      <c r="F697" s="2">
        <v>78324.92</v>
      </c>
      <c r="G697" s="1">
        <v>281</v>
      </c>
      <c r="I697" s="39">
        <v>46053.772916666669</v>
      </c>
      <c r="J697" s="36"/>
      <c r="L697" s="2"/>
      <c r="M697" s="2"/>
      <c r="O697" s="37">
        <v>46053.772916666669</v>
      </c>
      <c r="P697" s="36">
        <v>75976.294380000007</v>
      </c>
      <c r="R697" s="2">
        <v>78795.596550000002</v>
      </c>
      <c r="S697" s="2">
        <v>75821.350550000003</v>
      </c>
    </row>
    <row r="698" spans="1:19" x14ac:dyDescent="0.35">
      <c r="A698" s="7">
        <v>695</v>
      </c>
      <c r="B698" s="37">
        <v>46053.773611111108</v>
      </c>
      <c r="C698" s="2">
        <v>78314.34</v>
      </c>
      <c r="D698" s="43">
        <v>78382.399999999994</v>
      </c>
      <c r="E698" s="43">
        <v>78303.820000000007</v>
      </c>
      <c r="F698" s="2">
        <v>78369.36</v>
      </c>
      <c r="G698" s="1">
        <v>278</v>
      </c>
      <c r="I698" s="39">
        <v>46053.773611111108</v>
      </c>
      <c r="J698" s="36"/>
      <c r="L698" s="2"/>
      <c r="M698" s="2"/>
      <c r="O698" s="37">
        <v>46053.773611111108</v>
      </c>
      <c r="P698" s="36">
        <v>75932.744940000004</v>
      </c>
      <c r="R698" s="2">
        <v>78787.734479999999</v>
      </c>
      <c r="S698" s="2">
        <v>75793.295490000004</v>
      </c>
    </row>
    <row r="699" spans="1:19" x14ac:dyDescent="0.35">
      <c r="A699" s="7">
        <v>696</v>
      </c>
      <c r="B699" s="37">
        <v>46053.774305555555</v>
      </c>
      <c r="C699" s="2">
        <v>78369.31</v>
      </c>
      <c r="D699" s="43">
        <v>78370.990000000005</v>
      </c>
      <c r="E699" s="43">
        <v>78157.789999999994</v>
      </c>
      <c r="F699" s="2">
        <v>78170.22</v>
      </c>
      <c r="G699" s="1">
        <v>285</v>
      </c>
      <c r="I699" s="39">
        <v>46053.774305555555</v>
      </c>
      <c r="J699" s="36"/>
      <c r="L699" s="2"/>
      <c r="M699" s="2"/>
      <c r="O699" s="37">
        <v>46053.774305555555</v>
      </c>
      <c r="P699" s="36">
        <v>75889.195510000005</v>
      </c>
      <c r="R699" s="2">
        <v>78779.872409999996</v>
      </c>
      <c r="S699" s="2">
        <v>75765.240439999994</v>
      </c>
    </row>
    <row r="700" spans="1:19" x14ac:dyDescent="0.35">
      <c r="A700" s="7">
        <v>697</v>
      </c>
      <c r="B700" s="37">
        <v>46053.775000000001</v>
      </c>
      <c r="C700" s="2">
        <v>78169.990000000005</v>
      </c>
      <c r="D700" s="43">
        <v>78199.320000000007</v>
      </c>
      <c r="E700" s="43">
        <v>78148.95</v>
      </c>
      <c r="F700" s="2">
        <v>78150.97</v>
      </c>
      <c r="G700" s="1">
        <v>283</v>
      </c>
      <c r="I700" s="39">
        <v>46053.775000000001</v>
      </c>
      <c r="J700" s="36"/>
      <c r="L700" s="2"/>
      <c r="M700" s="2"/>
      <c r="O700" s="37">
        <v>46053.775000000001</v>
      </c>
      <c r="P700" s="36">
        <v>75845.646070000003</v>
      </c>
      <c r="R700" s="2">
        <v>78772.010339999993</v>
      </c>
      <c r="S700" s="2">
        <v>75737.185379999995</v>
      </c>
    </row>
    <row r="701" spans="1:19" x14ac:dyDescent="0.35">
      <c r="A701" s="7">
        <v>698</v>
      </c>
      <c r="B701" s="37">
        <v>46053.775694444441</v>
      </c>
      <c r="C701" s="2">
        <v>78150.87</v>
      </c>
      <c r="D701" s="43">
        <v>78162.899999999994</v>
      </c>
      <c r="E701" s="43">
        <v>77682.28</v>
      </c>
      <c r="F701" s="2">
        <v>77704.2</v>
      </c>
      <c r="G701" s="1">
        <v>308</v>
      </c>
      <c r="I701" s="39">
        <v>46053.775694444441</v>
      </c>
      <c r="J701" s="36"/>
      <c r="L701" s="2"/>
      <c r="M701" s="2"/>
      <c r="O701" s="37">
        <v>46053.775694444441</v>
      </c>
      <c r="P701" s="36">
        <v>75802.09663</v>
      </c>
      <c r="R701" s="2">
        <v>78764.148279999994</v>
      </c>
      <c r="S701" s="2">
        <v>75709.13033</v>
      </c>
    </row>
    <row r="702" spans="1:19" x14ac:dyDescent="0.35">
      <c r="A702" s="7">
        <v>699</v>
      </c>
      <c r="B702" s="37">
        <v>46053.776388888888</v>
      </c>
      <c r="C702" s="2">
        <v>77695.83</v>
      </c>
      <c r="D702" s="43">
        <v>77880.52</v>
      </c>
      <c r="E702" s="43">
        <v>77391.320000000007</v>
      </c>
      <c r="F702" s="2">
        <v>77753.34</v>
      </c>
      <c r="G702" s="1">
        <v>314</v>
      </c>
      <c r="I702" s="39">
        <v>46053.776388888888</v>
      </c>
      <c r="J702" s="36"/>
      <c r="L702" s="2"/>
      <c r="M702" s="2"/>
      <c r="O702" s="37">
        <v>46053.776388888888</v>
      </c>
      <c r="P702" s="36">
        <v>75758.547189999997</v>
      </c>
      <c r="R702" s="2">
        <v>78756.286210000006</v>
      </c>
      <c r="S702" s="2">
        <v>75681.075270000001</v>
      </c>
    </row>
    <row r="703" spans="1:19" x14ac:dyDescent="0.35">
      <c r="A703" s="7">
        <v>700</v>
      </c>
      <c r="B703" s="37">
        <v>46053.777083333334</v>
      </c>
      <c r="C703" s="2">
        <v>77772.350000000006</v>
      </c>
      <c r="D703" s="43">
        <v>77915.77</v>
      </c>
      <c r="E703" s="43">
        <v>77440.33</v>
      </c>
      <c r="F703" s="2">
        <v>77505.77</v>
      </c>
      <c r="G703" s="1">
        <v>312</v>
      </c>
      <c r="I703" s="39">
        <v>46053.777083333334</v>
      </c>
      <c r="J703" s="36"/>
      <c r="L703" s="2"/>
      <c r="M703" s="2"/>
      <c r="O703" s="37">
        <v>46053.777083333334</v>
      </c>
      <c r="P703" s="36">
        <v>75714.997749999995</v>
      </c>
      <c r="R703" s="2">
        <v>78748.424140000003</v>
      </c>
      <c r="S703" s="2">
        <v>75653.020220000006</v>
      </c>
    </row>
    <row r="704" spans="1:19" x14ac:dyDescent="0.35">
      <c r="A704" s="7">
        <v>701</v>
      </c>
      <c r="B704" s="37">
        <v>46053.777777777781</v>
      </c>
      <c r="C704" s="2">
        <v>77492.509999999995</v>
      </c>
      <c r="D704" s="43">
        <v>77577.009999999995</v>
      </c>
      <c r="E704" s="43">
        <v>77114.820000000007</v>
      </c>
      <c r="F704" s="2">
        <v>77120.88</v>
      </c>
      <c r="G704" s="1">
        <v>310</v>
      </c>
      <c r="I704" s="39">
        <v>46053.777777777781</v>
      </c>
      <c r="J704" s="36"/>
      <c r="L704" s="2"/>
      <c r="M704" s="2"/>
      <c r="O704" s="37">
        <v>46053.777777777781</v>
      </c>
      <c r="P704" s="36">
        <v>75671.448310000007</v>
      </c>
      <c r="R704" s="2">
        <v>78740.56207</v>
      </c>
      <c r="S704" s="2">
        <v>75624.965160000007</v>
      </c>
    </row>
    <row r="705" spans="1:19" x14ac:dyDescent="0.35">
      <c r="A705" s="7">
        <v>702</v>
      </c>
      <c r="B705" s="37">
        <v>46053.77847222222</v>
      </c>
      <c r="C705" s="2">
        <v>77171.78</v>
      </c>
      <c r="D705" s="43">
        <v>77544.44</v>
      </c>
      <c r="E705" s="43">
        <v>77171.78</v>
      </c>
      <c r="F705" s="2">
        <v>77448.47</v>
      </c>
      <c r="G705" s="1">
        <v>310</v>
      </c>
      <c r="I705" s="39">
        <v>46053.77847222222</v>
      </c>
      <c r="J705" s="36"/>
      <c r="L705" s="2"/>
      <c r="M705" s="2"/>
      <c r="O705" s="37">
        <v>46053.77847222222</v>
      </c>
      <c r="P705" s="36">
        <v>75627.898879999993</v>
      </c>
      <c r="R705" s="2">
        <v>78732.7</v>
      </c>
      <c r="S705" s="2">
        <v>75596.910109999997</v>
      </c>
    </row>
    <row r="706" spans="1:19" x14ac:dyDescent="0.35">
      <c r="A706" s="7">
        <v>703</v>
      </c>
      <c r="B706" s="37">
        <v>46053.779166666667</v>
      </c>
      <c r="C706" s="2">
        <v>77442.100000000006</v>
      </c>
      <c r="D706" s="43">
        <v>77576.399999999994</v>
      </c>
      <c r="E706" s="43">
        <v>77325.08</v>
      </c>
      <c r="F706" s="2">
        <v>77325.649999999994</v>
      </c>
      <c r="G706" s="1">
        <v>308</v>
      </c>
      <c r="I706" s="39">
        <v>46053.779166666667</v>
      </c>
      <c r="J706" s="36"/>
      <c r="L706" s="2"/>
      <c r="M706" s="2"/>
      <c r="O706" s="37">
        <v>46053.779166666667</v>
      </c>
      <c r="P706" s="36">
        <v>75584.349440000005</v>
      </c>
      <c r="R706" s="2">
        <v>78724.837929999994</v>
      </c>
      <c r="S706" s="2">
        <v>75568.855049999998</v>
      </c>
    </row>
    <row r="707" spans="1:19" x14ac:dyDescent="0.35">
      <c r="A707" s="7">
        <v>704</v>
      </c>
      <c r="B707" s="37">
        <v>46053.779861111114</v>
      </c>
      <c r="C707" s="2">
        <v>77350.27</v>
      </c>
      <c r="D707" s="43">
        <v>77350.27</v>
      </c>
      <c r="E707" s="43">
        <v>75540.800000000003</v>
      </c>
      <c r="F707" s="2">
        <v>75540.800000000003</v>
      </c>
      <c r="G707" s="1">
        <v>291</v>
      </c>
      <c r="I707" s="39">
        <v>46053.779861111114</v>
      </c>
      <c r="J707" s="36">
        <v>75540.800000000003</v>
      </c>
      <c r="K707" s="4" t="s">
        <v>15</v>
      </c>
      <c r="L707" s="2"/>
      <c r="M707" s="2"/>
      <c r="O707" s="37">
        <v>46053.779861111114</v>
      </c>
      <c r="P707" s="36">
        <v>75540.800000000003</v>
      </c>
      <c r="Q707" s="4" t="s">
        <v>15</v>
      </c>
      <c r="R707" s="2">
        <v>78716.975860000006</v>
      </c>
      <c r="S707" s="2">
        <v>75540.800000000003</v>
      </c>
    </row>
    <row r="708" spans="1:19" x14ac:dyDescent="0.35">
      <c r="A708" s="7">
        <v>705</v>
      </c>
      <c r="B708" s="37">
        <v>46053.780555555553</v>
      </c>
      <c r="C708" s="2">
        <v>75595.649999999994</v>
      </c>
      <c r="D708" s="43">
        <v>77557.62</v>
      </c>
      <c r="E708" s="43">
        <v>75595.070000000007</v>
      </c>
      <c r="F708" s="2">
        <v>77520.460000000006</v>
      </c>
      <c r="G708" s="1">
        <v>300</v>
      </c>
      <c r="I708" s="39">
        <v>46053.780555555553</v>
      </c>
      <c r="J708" s="36">
        <v>75544.655029999994</v>
      </c>
      <c r="L708" s="2"/>
      <c r="M708" s="2"/>
      <c r="O708" s="37">
        <v>46053.780555555553</v>
      </c>
      <c r="P708" s="36">
        <v>75650.574070000002</v>
      </c>
      <c r="R708" s="2">
        <v>78709.113790000003</v>
      </c>
      <c r="S708" s="2">
        <v>75569.253389999998</v>
      </c>
    </row>
    <row r="709" spans="1:19" x14ac:dyDescent="0.35">
      <c r="A709" s="7">
        <v>706</v>
      </c>
      <c r="B709" s="37">
        <v>46053.78125</v>
      </c>
      <c r="C709" s="2">
        <v>77504.62</v>
      </c>
      <c r="D709" s="43">
        <v>77873</v>
      </c>
      <c r="E709" s="43">
        <v>77049.72</v>
      </c>
      <c r="F709" s="2">
        <v>77858.3</v>
      </c>
      <c r="G709" s="1">
        <v>306</v>
      </c>
      <c r="I709" s="39">
        <v>46053.78125</v>
      </c>
      <c r="J709" s="36">
        <v>75548.510070000004</v>
      </c>
      <c r="L709" s="2"/>
      <c r="M709" s="2"/>
      <c r="O709" s="37">
        <v>46053.78125</v>
      </c>
      <c r="P709" s="36">
        <v>75760.348150000005</v>
      </c>
      <c r="R709" s="2">
        <v>78701.25172</v>
      </c>
      <c r="S709" s="2">
        <v>75597.706789999997</v>
      </c>
    </row>
    <row r="710" spans="1:19" x14ac:dyDescent="0.35">
      <c r="A710" s="7">
        <v>707</v>
      </c>
      <c r="B710" s="37">
        <v>46053.781944444447</v>
      </c>
      <c r="C710" s="2">
        <v>77848.09</v>
      </c>
      <c r="D710" s="43">
        <v>78271.929999999993</v>
      </c>
      <c r="E710" s="43">
        <v>77798.820000000007</v>
      </c>
      <c r="F710" s="2">
        <v>77862.06</v>
      </c>
      <c r="G710" s="1">
        <v>307</v>
      </c>
      <c r="I710" s="39">
        <v>46053.781944444447</v>
      </c>
      <c r="J710" s="36">
        <v>75552.365099999995</v>
      </c>
      <c r="L710" s="2"/>
      <c r="M710" s="2"/>
      <c r="O710" s="37">
        <v>46053.781944444447</v>
      </c>
      <c r="P710" s="36">
        <v>75870.122220000005</v>
      </c>
      <c r="R710" s="2">
        <v>78693.389660000001</v>
      </c>
      <c r="S710" s="2">
        <v>75626.160180000006</v>
      </c>
    </row>
    <row r="711" spans="1:19" x14ac:dyDescent="0.35">
      <c r="A711" s="7">
        <v>708</v>
      </c>
      <c r="B711" s="37">
        <v>46053.782638888886</v>
      </c>
      <c r="C711" s="2">
        <v>77812.13</v>
      </c>
      <c r="D711" s="43">
        <v>78175.429999999993</v>
      </c>
      <c r="E711" s="43">
        <v>77751.11</v>
      </c>
      <c r="F711" s="2">
        <v>78053.08</v>
      </c>
      <c r="G711" s="1">
        <v>306</v>
      </c>
      <c r="I711" s="39">
        <v>46053.782638888886</v>
      </c>
      <c r="J711" s="36">
        <v>75556.220140000005</v>
      </c>
      <c r="L711" s="2"/>
      <c r="M711" s="2"/>
      <c r="O711" s="37">
        <v>46053.782638888886</v>
      </c>
      <c r="P711" s="36">
        <v>75979.896299999993</v>
      </c>
      <c r="R711" s="2">
        <v>78685.527589999998</v>
      </c>
      <c r="S711" s="2">
        <v>75654.613570000001</v>
      </c>
    </row>
    <row r="712" spans="1:19" x14ac:dyDescent="0.35">
      <c r="A712" s="7">
        <v>709</v>
      </c>
      <c r="B712" s="37">
        <v>46053.783333333333</v>
      </c>
      <c r="C712" s="2">
        <v>78049.5</v>
      </c>
      <c r="D712" s="43">
        <v>78103.86</v>
      </c>
      <c r="E712" s="43">
        <v>77833.78</v>
      </c>
      <c r="F712" s="2">
        <v>77957.039999999994</v>
      </c>
      <c r="G712" s="1">
        <v>310</v>
      </c>
      <c r="I712" s="39">
        <v>46053.783333333333</v>
      </c>
      <c r="J712" s="36">
        <v>75560.075169999996</v>
      </c>
      <c r="L712" s="2"/>
      <c r="M712" s="2"/>
      <c r="O712" s="37">
        <v>46053.783333333333</v>
      </c>
      <c r="P712" s="36">
        <v>76089.670370000007</v>
      </c>
      <c r="R712" s="2">
        <v>78677.665519999995</v>
      </c>
      <c r="S712" s="2">
        <v>75683.066959999996</v>
      </c>
    </row>
    <row r="713" spans="1:19" x14ac:dyDescent="0.35">
      <c r="A713" s="7">
        <v>710</v>
      </c>
      <c r="B713" s="37">
        <v>46053.78402777778</v>
      </c>
      <c r="C713" s="2">
        <v>77961.34</v>
      </c>
      <c r="D713" s="43">
        <v>78005.66</v>
      </c>
      <c r="E713" s="43">
        <v>77725.490000000005</v>
      </c>
      <c r="F713" s="2">
        <v>77958.34</v>
      </c>
      <c r="G713" s="1">
        <v>310</v>
      </c>
      <c r="I713" s="39">
        <v>46053.78402777778</v>
      </c>
      <c r="J713" s="36">
        <v>75563.930210000006</v>
      </c>
      <c r="L713" s="2"/>
      <c r="M713" s="2"/>
      <c r="O713" s="37">
        <v>46053.78402777778</v>
      </c>
      <c r="P713" s="36">
        <v>76199.444440000007</v>
      </c>
      <c r="R713" s="2">
        <v>78669.803450000007</v>
      </c>
      <c r="S713" s="2">
        <v>75711.520359999995</v>
      </c>
    </row>
    <row r="714" spans="1:19" x14ac:dyDescent="0.35">
      <c r="A714" s="7">
        <v>711</v>
      </c>
      <c r="B714" s="37">
        <v>46053.784722222219</v>
      </c>
      <c r="C714" s="2">
        <v>77947.199999999997</v>
      </c>
      <c r="D714" s="43">
        <v>78158.350000000006</v>
      </c>
      <c r="E714" s="43">
        <v>77857.600000000006</v>
      </c>
      <c r="F714" s="2">
        <v>77947.759999999995</v>
      </c>
      <c r="G714" s="1">
        <v>312</v>
      </c>
      <c r="I714" s="39">
        <v>46053.784722222219</v>
      </c>
      <c r="J714" s="36">
        <v>75567.785239999997</v>
      </c>
      <c r="L714" s="2"/>
      <c r="M714" s="2"/>
      <c r="O714" s="37">
        <v>46053.784722222219</v>
      </c>
      <c r="P714" s="36">
        <v>76309.218519999995</v>
      </c>
      <c r="R714" s="2">
        <v>78661.941380000004</v>
      </c>
      <c r="S714" s="2">
        <v>75739.973750000005</v>
      </c>
    </row>
    <row r="715" spans="1:19" x14ac:dyDescent="0.35">
      <c r="A715" s="7">
        <v>712</v>
      </c>
      <c r="B715" s="37">
        <v>46053.785416666666</v>
      </c>
      <c r="C715" s="2">
        <v>77954.33</v>
      </c>
      <c r="D715" s="43">
        <v>77954.33</v>
      </c>
      <c r="E715" s="43">
        <v>77651.28</v>
      </c>
      <c r="F715" s="2">
        <v>77807.89</v>
      </c>
      <c r="G715" s="1">
        <v>306</v>
      </c>
      <c r="I715" s="39">
        <v>46053.785416666666</v>
      </c>
      <c r="J715" s="36">
        <v>75571.640280000007</v>
      </c>
      <c r="L715" s="2"/>
      <c r="M715" s="2"/>
      <c r="O715" s="37">
        <v>46053.785416666666</v>
      </c>
      <c r="P715" s="36">
        <v>76418.992589999994</v>
      </c>
      <c r="R715" s="2">
        <v>78654.079310000001</v>
      </c>
      <c r="S715" s="2">
        <v>75768.42714</v>
      </c>
    </row>
    <row r="716" spans="1:19" x14ac:dyDescent="0.35">
      <c r="A716" s="7">
        <v>713</v>
      </c>
      <c r="B716" s="37">
        <v>46053.786111111112</v>
      </c>
      <c r="C716" s="2">
        <v>77815.399999999994</v>
      </c>
      <c r="D716" s="43">
        <v>78169.19</v>
      </c>
      <c r="E716" s="43">
        <v>77716.11</v>
      </c>
      <c r="F716" s="2">
        <v>78030.7</v>
      </c>
      <c r="G716" s="1">
        <v>304</v>
      </c>
      <c r="I716" s="39">
        <v>46053.786111111112</v>
      </c>
      <c r="J716" s="36">
        <v>75575.495309999998</v>
      </c>
      <c r="L716" s="2"/>
      <c r="M716" s="2"/>
      <c r="O716" s="37">
        <v>46053.786111111112</v>
      </c>
      <c r="P716" s="36">
        <v>76528.766669999997</v>
      </c>
      <c r="R716" s="2">
        <v>78646.217239999998</v>
      </c>
      <c r="S716" s="2">
        <v>75796.880539999998</v>
      </c>
    </row>
    <row r="717" spans="1:19" x14ac:dyDescent="0.35">
      <c r="A717" s="7">
        <v>714</v>
      </c>
      <c r="B717" s="37">
        <v>46053.786805555559</v>
      </c>
      <c r="C717" s="2">
        <v>78023.17</v>
      </c>
      <c r="D717" s="43">
        <v>78085.009999999995</v>
      </c>
      <c r="E717" s="43">
        <v>77870.509999999995</v>
      </c>
      <c r="F717" s="2">
        <v>78050.06</v>
      </c>
      <c r="G717" s="1">
        <v>298</v>
      </c>
      <c r="I717" s="39">
        <v>46053.786805555559</v>
      </c>
      <c r="J717" s="36">
        <v>75579.350340000005</v>
      </c>
      <c r="L717" s="2"/>
      <c r="M717" s="2"/>
      <c r="O717" s="37">
        <v>46053.786805555559</v>
      </c>
      <c r="P717" s="36">
        <v>76638.540739999997</v>
      </c>
      <c r="R717" s="2">
        <v>78638.355169999995</v>
      </c>
      <c r="S717" s="2">
        <v>75825.333929999993</v>
      </c>
    </row>
    <row r="718" spans="1:19" x14ac:dyDescent="0.35">
      <c r="A718" s="7">
        <v>715</v>
      </c>
      <c r="B718" s="37">
        <v>46053.787499999999</v>
      </c>
      <c r="C718" s="2">
        <v>78058.03</v>
      </c>
      <c r="D718" s="43">
        <v>78101.05</v>
      </c>
      <c r="E718" s="43">
        <v>77844.009999999995</v>
      </c>
      <c r="F718" s="2">
        <v>77862.94</v>
      </c>
      <c r="G718" s="1">
        <v>310</v>
      </c>
      <c r="I718" s="39">
        <v>46053.787499999999</v>
      </c>
      <c r="J718" s="36">
        <v>75583.205379999999</v>
      </c>
      <c r="L718" s="2"/>
      <c r="M718" s="2"/>
      <c r="O718" s="37">
        <v>46053.787499999999</v>
      </c>
      <c r="P718" s="36">
        <v>76748.314809999996</v>
      </c>
      <c r="R718" s="2">
        <v>78630.493100000007</v>
      </c>
      <c r="S718" s="2">
        <v>75853.787320000003</v>
      </c>
    </row>
    <row r="719" spans="1:19" x14ac:dyDescent="0.35">
      <c r="A719" s="7">
        <v>716</v>
      </c>
      <c r="B719" s="37">
        <v>46053.788194444445</v>
      </c>
      <c r="C719" s="2">
        <v>77872.7</v>
      </c>
      <c r="D719" s="43">
        <v>77915.62</v>
      </c>
      <c r="E719" s="43">
        <v>77689.39</v>
      </c>
      <c r="F719" s="2">
        <v>77689.39</v>
      </c>
      <c r="G719" s="1">
        <v>305</v>
      </c>
      <c r="I719" s="39">
        <v>46053.788194444445</v>
      </c>
      <c r="J719" s="36">
        <v>75587.060410000006</v>
      </c>
      <c r="L719" s="2"/>
      <c r="M719" s="2"/>
      <c r="O719" s="37">
        <v>46053.788194444445</v>
      </c>
      <c r="P719" s="36">
        <v>76858.088889999999</v>
      </c>
      <c r="R719" s="2">
        <v>78622.631030000004</v>
      </c>
      <c r="S719" s="2">
        <v>75882.240709999998</v>
      </c>
    </row>
    <row r="720" spans="1:19" x14ac:dyDescent="0.35">
      <c r="A720" s="7">
        <v>717</v>
      </c>
      <c r="B720" s="37">
        <v>46053.788888888892</v>
      </c>
      <c r="C720" s="2">
        <v>77689.69</v>
      </c>
      <c r="D720" s="43">
        <v>77834.759999999995</v>
      </c>
      <c r="E720" s="43">
        <v>77618</v>
      </c>
      <c r="F720" s="2">
        <v>77770.73</v>
      </c>
      <c r="G720" s="1">
        <v>303</v>
      </c>
      <c r="I720" s="39">
        <v>46053.788888888892</v>
      </c>
      <c r="J720" s="36">
        <v>75590.91545</v>
      </c>
      <c r="L720" s="2"/>
      <c r="M720" s="2"/>
      <c r="O720" s="37">
        <v>46053.788888888892</v>
      </c>
      <c r="P720" s="36">
        <v>76967.862959999999</v>
      </c>
      <c r="R720" s="2">
        <v>78614.768970000005</v>
      </c>
      <c r="S720" s="2">
        <v>75910.694109999997</v>
      </c>
    </row>
    <row r="721" spans="1:19" x14ac:dyDescent="0.35">
      <c r="A721" s="7">
        <v>718</v>
      </c>
      <c r="B721" s="37">
        <v>46053.789583333331</v>
      </c>
      <c r="C721" s="2">
        <v>77767.58</v>
      </c>
      <c r="D721" s="43">
        <v>77990.31</v>
      </c>
      <c r="E721" s="43">
        <v>77767.58</v>
      </c>
      <c r="F721" s="2">
        <v>77851.17</v>
      </c>
      <c r="G721" s="1">
        <v>303</v>
      </c>
      <c r="I721" s="39">
        <v>46053.789583333331</v>
      </c>
      <c r="J721" s="36">
        <v>75594.770480000007</v>
      </c>
      <c r="L721" s="2"/>
      <c r="M721" s="2"/>
      <c r="O721" s="37">
        <v>46053.789583333331</v>
      </c>
      <c r="P721" s="36">
        <v>77077.637040000001</v>
      </c>
      <c r="R721" s="2">
        <v>78606.906900000002</v>
      </c>
      <c r="S721" s="2">
        <v>75939.147500000006</v>
      </c>
    </row>
    <row r="722" spans="1:19" x14ac:dyDescent="0.35">
      <c r="A722" s="7">
        <v>719</v>
      </c>
      <c r="B722" s="37">
        <v>46053.790277777778</v>
      </c>
      <c r="C722" s="2">
        <v>77852.320000000007</v>
      </c>
      <c r="D722" s="43">
        <v>78034.720000000001</v>
      </c>
      <c r="E722" s="43">
        <v>77852.320000000007</v>
      </c>
      <c r="F722" s="2">
        <v>77901.84</v>
      </c>
      <c r="G722" s="1">
        <v>303</v>
      </c>
      <c r="I722" s="39">
        <v>46053.790277777778</v>
      </c>
      <c r="J722" s="36">
        <v>75598.625520000001</v>
      </c>
      <c r="L722" s="2"/>
      <c r="M722" s="2"/>
      <c r="O722" s="37">
        <v>46053.790277777778</v>
      </c>
      <c r="P722" s="36">
        <v>77187.411110000001</v>
      </c>
      <c r="R722" s="2">
        <v>78599.044829999999</v>
      </c>
      <c r="S722" s="2">
        <v>75967.600890000002</v>
      </c>
    </row>
    <row r="723" spans="1:19" x14ac:dyDescent="0.35">
      <c r="A723" s="7">
        <v>720</v>
      </c>
      <c r="B723" s="37">
        <v>46053.790972222225</v>
      </c>
      <c r="C723" s="2">
        <v>77901.919999999998</v>
      </c>
      <c r="D723" s="43">
        <v>78016.89</v>
      </c>
      <c r="E723" s="43">
        <v>77901.919999999998</v>
      </c>
      <c r="F723" s="2">
        <v>77987.16</v>
      </c>
      <c r="G723" s="1">
        <v>283</v>
      </c>
      <c r="I723" s="39">
        <v>46053.790972222225</v>
      </c>
      <c r="J723" s="36">
        <v>75602.480549999993</v>
      </c>
      <c r="L723" s="2"/>
      <c r="M723" s="2"/>
      <c r="O723" s="37">
        <v>46053.790972222225</v>
      </c>
      <c r="P723" s="36">
        <v>77297.185190000004</v>
      </c>
      <c r="R723" s="2">
        <v>78591.182759999996</v>
      </c>
      <c r="S723" s="2">
        <v>75996.05429</v>
      </c>
    </row>
    <row r="724" spans="1:19" x14ac:dyDescent="0.35">
      <c r="A724" s="7">
        <v>721</v>
      </c>
      <c r="B724" s="37">
        <v>46053.791666666664</v>
      </c>
      <c r="C724" s="2">
        <v>77990.64</v>
      </c>
      <c r="D724" s="43">
        <v>78170.31</v>
      </c>
      <c r="E724" s="43">
        <v>77940.55</v>
      </c>
      <c r="F724" s="2">
        <v>78151.179999999993</v>
      </c>
      <c r="G724" s="1">
        <v>298</v>
      </c>
      <c r="I724" s="39">
        <v>46053.791666666664</v>
      </c>
      <c r="J724" s="36">
        <v>75606.335590000002</v>
      </c>
      <c r="L724" s="2"/>
      <c r="M724" s="2"/>
      <c r="O724" s="37">
        <v>46053.791666666664</v>
      </c>
      <c r="P724" s="36">
        <v>77406.959260000003</v>
      </c>
      <c r="R724" s="2">
        <v>78583.320689999993</v>
      </c>
      <c r="S724" s="2">
        <v>76024.507679999995</v>
      </c>
    </row>
    <row r="725" spans="1:19" x14ac:dyDescent="0.35">
      <c r="A725" s="7">
        <v>722</v>
      </c>
      <c r="B725" s="37">
        <v>46053.792361111111</v>
      </c>
      <c r="C725" s="2">
        <v>78141.88</v>
      </c>
      <c r="D725" s="43">
        <v>78144.42</v>
      </c>
      <c r="E725" s="43">
        <v>77742.27</v>
      </c>
      <c r="F725" s="2">
        <v>77866.91</v>
      </c>
      <c r="G725" s="1">
        <v>307</v>
      </c>
      <c r="I725" s="39">
        <v>46053.792361111111</v>
      </c>
      <c r="J725" s="36">
        <v>75610.190619999994</v>
      </c>
      <c r="L725" s="2"/>
      <c r="M725" s="2"/>
      <c r="O725" s="37">
        <v>46053.792361111111</v>
      </c>
      <c r="P725" s="36">
        <v>77516.733330000003</v>
      </c>
      <c r="R725" s="2">
        <v>78575.458620000005</v>
      </c>
      <c r="S725" s="2">
        <v>76052.961070000005</v>
      </c>
    </row>
    <row r="726" spans="1:19" x14ac:dyDescent="0.35">
      <c r="A726" s="7">
        <v>723</v>
      </c>
      <c r="B726" s="37">
        <v>46053.793055555558</v>
      </c>
      <c r="C726" s="2">
        <v>77855.19</v>
      </c>
      <c r="D726" s="43">
        <v>77953.73</v>
      </c>
      <c r="E726" s="43">
        <v>77780.929999999993</v>
      </c>
      <c r="F726" s="2">
        <v>77838.87</v>
      </c>
      <c r="G726" s="1">
        <v>302</v>
      </c>
      <c r="I726" s="39">
        <v>46053.793055555558</v>
      </c>
      <c r="J726" s="36">
        <v>75614.045660000003</v>
      </c>
      <c r="L726" s="2"/>
      <c r="M726" s="2"/>
      <c r="O726" s="37">
        <v>46053.793055555558</v>
      </c>
      <c r="P726" s="36">
        <v>77626.507410000006</v>
      </c>
      <c r="R726" s="2">
        <v>78567.596550000002</v>
      </c>
      <c r="S726" s="2">
        <v>76081.41446</v>
      </c>
    </row>
    <row r="727" spans="1:19" x14ac:dyDescent="0.35">
      <c r="A727" s="7">
        <v>724</v>
      </c>
      <c r="B727" s="37">
        <v>46053.793749999997</v>
      </c>
      <c r="C727" s="2">
        <v>77838.89</v>
      </c>
      <c r="D727" s="43">
        <v>77973.2</v>
      </c>
      <c r="E727" s="43">
        <v>77811.100000000006</v>
      </c>
      <c r="F727" s="2">
        <v>77842.210000000006</v>
      </c>
      <c r="G727" s="1">
        <v>297</v>
      </c>
      <c r="I727" s="39">
        <v>46053.793749999997</v>
      </c>
      <c r="J727" s="36">
        <v>75617.900689999995</v>
      </c>
      <c r="L727" s="2"/>
      <c r="M727" s="2"/>
      <c r="O727" s="37">
        <v>46053.793749999997</v>
      </c>
      <c r="P727" s="36">
        <v>77736.281480000005</v>
      </c>
      <c r="R727" s="2">
        <v>78559.734479999999</v>
      </c>
      <c r="S727" s="2">
        <v>76109.867859999998</v>
      </c>
    </row>
    <row r="728" spans="1:19" x14ac:dyDescent="0.35">
      <c r="A728" s="7">
        <v>725</v>
      </c>
      <c r="B728" s="37">
        <v>46053.794444444444</v>
      </c>
      <c r="C728" s="2">
        <v>77847.710000000006</v>
      </c>
      <c r="D728" s="43">
        <v>77927.3</v>
      </c>
      <c r="E728" s="43">
        <v>77775.06</v>
      </c>
      <c r="F728" s="2">
        <v>77860.710000000006</v>
      </c>
      <c r="G728" s="1">
        <v>299</v>
      </c>
      <c r="I728" s="39">
        <v>46053.794444444444</v>
      </c>
      <c r="J728" s="36">
        <v>75621.755720000001</v>
      </c>
      <c r="L728" s="2"/>
      <c r="M728" s="2"/>
      <c r="O728" s="37">
        <v>46053.794444444444</v>
      </c>
      <c r="P728" s="36">
        <v>77846.055559999993</v>
      </c>
      <c r="R728" s="2">
        <v>78551.872409999996</v>
      </c>
      <c r="S728" s="2">
        <v>76138.321249999994</v>
      </c>
    </row>
    <row r="729" spans="1:19" x14ac:dyDescent="0.35">
      <c r="A729" s="7">
        <v>726</v>
      </c>
      <c r="B729" s="37">
        <v>46053.795138888891</v>
      </c>
      <c r="C729" s="2">
        <v>77860.710000000006</v>
      </c>
      <c r="D729" s="43">
        <v>78027.91</v>
      </c>
      <c r="E729" s="43">
        <v>77831.41</v>
      </c>
      <c r="F729" s="2">
        <v>78016.69</v>
      </c>
      <c r="G729" s="1">
        <v>295</v>
      </c>
      <c r="I729" s="39">
        <v>46053.795138888891</v>
      </c>
      <c r="J729" s="36">
        <v>75625.610759999996</v>
      </c>
      <c r="L729" s="2"/>
      <c r="M729" s="2"/>
      <c r="O729" s="37">
        <v>46053.795138888891</v>
      </c>
      <c r="P729" s="36">
        <v>77955.829629999993</v>
      </c>
      <c r="R729" s="2">
        <v>78544.010339999993</v>
      </c>
      <c r="S729" s="2">
        <v>76166.774640000003</v>
      </c>
    </row>
    <row r="730" spans="1:19" x14ac:dyDescent="0.35">
      <c r="A730" s="7">
        <v>727</v>
      </c>
      <c r="B730" s="37">
        <v>46053.79583333333</v>
      </c>
      <c r="C730" s="2">
        <v>78035.12</v>
      </c>
      <c r="D730" s="43">
        <v>78304.72</v>
      </c>
      <c r="E730" s="43">
        <v>77995.97</v>
      </c>
      <c r="F730" s="2">
        <v>78026.34</v>
      </c>
      <c r="G730" s="1">
        <v>303</v>
      </c>
      <c r="I730" s="39">
        <v>46053.79583333333</v>
      </c>
      <c r="J730" s="36">
        <v>75629.465790000002</v>
      </c>
      <c r="L730" s="2"/>
      <c r="M730" s="2"/>
      <c r="O730" s="37">
        <v>46053.79583333333</v>
      </c>
      <c r="P730" s="36">
        <v>78065.603700000007</v>
      </c>
      <c r="R730" s="2">
        <v>78536.148279999994</v>
      </c>
      <c r="S730" s="2">
        <v>76195.228040000002</v>
      </c>
    </row>
    <row r="731" spans="1:19" x14ac:dyDescent="0.35">
      <c r="A731" s="7">
        <v>728</v>
      </c>
      <c r="B731" s="37">
        <v>46053.796527777777</v>
      </c>
      <c r="C731" s="2">
        <v>77988.5</v>
      </c>
      <c r="D731" s="43">
        <v>78137.820000000007</v>
      </c>
      <c r="E731" s="43">
        <v>77971.009999999995</v>
      </c>
      <c r="F731" s="2">
        <v>78137.820000000007</v>
      </c>
      <c r="G731" s="1">
        <v>292</v>
      </c>
      <c r="I731" s="39">
        <v>46053.796527777777</v>
      </c>
      <c r="J731" s="36">
        <v>75633.320829999997</v>
      </c>
      <c r="L731" s="2"/>
      <c r="M731" s="2"/>
      <c r="O731" s="37">
        <v>46053.796527777777</v>
      </c>
      <c r="P731" s="36">
        <v>78175.377779999995</v>
      </c>
      <c r="R731" s="2">
        <v>78528.286210000006</v>
      </c>
      <c r="S731" s="2">
        <v>76223.681429999997</v>
      </c>
    </row>
    <row r="732" spans="1:19" x14ac:dyDescent="0.35">
      <c r="A732" s="7">
        <v>729</v>
      </c>
      <c r="B732" s="37">
        <v>46053.797222222223</v>
      </c>
      <c r="C732" s="2">
        <v>78141.72</v>
      </c>
      <c r="D732" s="43">
        <v>78273.009999999995</v>
      </c>
      <c r="E732" s="43">
        <v>78086.62</v>
      </c>
      <c r="F732" s="2">
        <v>78185.25</v>
      </c>
      <c r="G732" s="1">
        <v>296</v>
      </c>
      <c r="I732" s="39">
        <v>46053.797222222223</v>
      </c>
      <c r="J732" s="36">
        <v>75637.175860000003</v>
      </c>
      <c r="L732" s="2"/>
      <c r="M732" s="2"/>
      <c r="O732" s="37">
        <v>46053.797222222223</v>
      </c>
      <c r="P732" s="36">
        <v>78285.151849999995</v>
      </c>
      <c r="R732" s="2">
        <v>78520.424140000003</v>
      </c>
      <c r="S732" s="2">
        <v>76252.134820000007</v>
      </c>
    </row>
    <row r="733" spans="1:19" x14ac:dyDescent="0.35">
      <c r="A733" s="7">
        <v>730</v>
      </c>
      <c r="B733" s="37">
        <v>46053.79791666667</v>
      </c>
      <c r="C733" s="2">
        <v>78187.070000000007</v>
      </c>
      <c r="D733" s="43">
        <v>78303.42</v>
      </c>
      <c r="E733" s="43">
        <v>78070.59</v>
      </c>
      <c r="F733" s="2">
        <v>78302.850000000006</v>
      </c>
      <c r="G733" s="1">
        <v>297</v>
      </c>
      <c r="I733" s="39">
        <v>46053.79791666667</v>
      </c>
      <c r="J733" s="36">
        <v>75641.030899999998</v>
      </c>
      <c r="L733" s="2"/>
      <c r="M733" s="2"/>
      <c r="O733" s="37">
        <v>46053.79791666667</v>
      </c>
      <c r="P733" s="36">
        <v>78394.925929999998</v>
      </c>
      <c r="R733" s="2">
        <v>78512.56207</v>
      </c>
      <c r="S733" s="2">
        <v>76280.588210000002</v>
      </c>
    </row>
    <row r="734" spans="1:19" x14ac:dyDescent="0.35">
      <c r="A734" s="7">
        <v>731</v>
      </c>
      <c r="B734" s="37">
        <v>46053.798611111109</v>
      </c>
      <c r="C734" s="2">
        <v>78286.350000000006</v>
      </c>
      <c r="D734" s="43">
        <v>78504.7</v>
      </c>
      <c r="E734" s="43">
        <v>78204.55</v>
      </c>
      <c r="F734" s="2">
        <v>78204.89</v>
      </c>
      <c r="G734" s="1">
        <v>303</v>
      </c>
      <c r="I734" s="39">
        <v>46053.798611111109</v>
      </c>
      <c r="J734" s="36">
        <v>75644.885930000004</v>
      </c>
      <c r="L734" s="2"/>
      <c r="M734" s="2"/>
      <c r="O734" s="37">
        <v>46053.798611111109</v>
      </c>
      <c r="P734" s="36">
        <v>78504.7</v>
      </c>
      <c r="Q734" s="4" t="s">
        <v>14</v>
      </c>
      <c r="R734" s="2">
        <v>78504.7</v>
      </c>
      <c r="S734" s="2">
        <v>76309.04161</v>
      </c>
    </row>
    <row r="735" spans="1:19" x14ac:dyDescent="0.35">
      <c r="A735" s="7">
        <v>732</v>
      </c>
      <c r="B735" s="37">
        <v>46053.799305555556</v>
      </c>
      <c r="C735" s="2">
        <v>78197.86</v>
      </c>
      <c r="D735" s="43">
        <v>78215.92</v>
      </c>
      <c r="E735" s="43">
        <v>78040.789999999994</v>
      </c>
      <c r="F735" s="2">
        <v>78086.06</v>
      </c>
      <c r="G735" s="1">
        <v>305</v>
      </c>
      <c r="I735" s="39">
        <v>46053.799305555556</v>
      </c>
      <c r="J735" s="36">
        <v>75648.740969999999</v>
      </c>
      <c r="L735" s="2"/>
      <c r="M735" s="2"/>
      <c r="O735" s="37">
        <v>46053.799305555556</v>
      </c>
      <c r="P735" s="36">
        <v>78457.441030000002</v>
      </c>
      <c r="R735" s="2">
        <v>78498.798060000001</v>
      </c>
      <c r="S735" s="2">
        <v>76337.494999999995</v>
      </c>
    </row>
    <row r="736" spans="1:19" x14ac:dyDescent="0.35">
      <c r="A736" s="7">
        <v>733</v>
      </c>
      <c r="B736" s="37">
        <v>46053.8</v>
      </c>
      <c r="C736" s="2">
        <v>78081.14</v>
      </c>
      <c r="D736" s="43">
        <v>78143</v>
      </c>
      <c r="E736" s="43">
        <v>78012.59</v>
      </c>
      <c r="F736" s="2">
        <v>78102.22</v>
      </c>
      <c r="G736" s="1">
        <v>296</v>
      </c>
      <c r="I736" s="39">
        <v>46053.8</v>
      </c>
      <c r="J736" s="36">
        <v>75652.596000000005</v>
      </c>
      <c r="L736" s="2"/>
      <c r="M736" s="2"/>
      <c r="O736" s="37">
        <v>46053.8</v>
      </c>
      <c r="P736" s="36">
        <v>78410.182069999995</v>
      </c>
      <c r="R736" s="2">
        <v>78492.896110000001</v>
      </c>
      <c r="S736" s="2">
        <v>76365.948390000005</v>
      </c>
    </row>
    <row r="737" spans="1:19" x14ac:dyDescent="0.35">
      <c r="A737" s="7">
        <v>734</v>
      </c>
      <c r="B737" s="37">
        <v>46053.800694444442</v>
      </c>
      <c r="C737" s="2">
        <v>78114.429999999993</v>
      </c>
      <c r="D737" s="43">
        <v>78167.02</v>
      </c>
      <c r="E737" s="43">
        <v>78046.820000000007</v>
      </c>
      <c r="F737" s="2">
        <v>78167.02</v>
      </c>
      <c r="G737" s="1">
        <v>294</v>
      </c>
      <c r="I737" s="39">
        <v>46053.800694444442</v>
      </c>
      <c r="J737" s="36">
        <v>75656.451029999997</v>
      </c>
      <c r="L737" s="2"/>
      <c r="M737" s="2"/>
      <c r="O737" s="37">
        <v>46053.800694444442</v>
      </c>
      <c r="P737" s="36">
        <v>78362.9231</v>
      </c>
      <c r="R737" s="2">
        <v>78486.994170000005</v>
      </c>
      <c r="S737" s="2">
        <v>76394.401790000004</v>
      </c>
    </row>
    <row r="738" spans="1:19" x14ac:dyDescent="0.35">
      <c r="A738" s="7">
        <v>735</v>
      </c>
      <c r="B738" s="37">
        <v>46053.801388888889</v>
      </c>
      <c r="C738" s="2">
        <v>78166.990000000005</v>
      </c>
      <c r="D738" s="43">
        <v>78189.62</v>
      </c>
      <c r="E738" s="43">
        <v>78091.75</v>
      </c>
      <c r="F738" s="2">
        <v>78174.02</v>
      </c>
      <c r="G738" s="1">
        <v>286</v>
      </c>
      <c r="I738" s="39">
        <v>46053.801388888889</v>
      </c>
      <c r="J738" s="36">
        <v>75660.306070000006</v>
      </c>
      <c r="L738" s="2"/>
      <c r="M738" s="2"/>
      <c r="O738" s="37">
        <v>46053.801388888889</v>
      </c>
      <c r="P738" s="36">
        <v>78315.664139999993</v>
      </c>
      <c r="R738" s="2">
        <v>78481.092220000006</v>
      </c>
      <c r="S738" s="2">
        <v>76422.855179999999</v>
      </c>
    </row>
    <row r="739" spans="1:19" x14ac:dyDescent="0.35">
      <c r="A739" s="7">
        <v>736</v>
      </c>
      <c r="B739" s="37">
        <v>46053.802083333336</v>
      </c>
      <c r="C739" s="2">
        <v>78172.240000000005</v>
      </c>
      <c r="D739" s="43">
        <v>78195.62</v>
      </c>
      <c r="E739" s="43">
        <v>77994.539999999994</v>
      </c>
      <c r="F739" s="2">
        <v>78094.95</v>
      </c>
      <c r="G739" s="1">
        <v>302</v>
      </c>
      <c r="I739" s="39">
        <v>46053.802083333336</v>
      </c>
      <c r="J739" s="36">
        <v>75664.161099999998</v>
      </c>
      <c r="L739" s="2"/>
      <c r="M739" s="2"/>
      <c r="O739" s="37">
        <v>46053.802083333336</v>
      </c>
      <c r="P739" s="36">
        <v>78268.405169999998</v>
      </c>
      <c r="R739" s="2">
        <v>78475.190279999995</v>
      </c>
      <c r="S739" s="2">
        <v>76451.308569999994</v>
      </c>
    </row>
    <row r="740" spans="1:19" x14ac:dyDescent="0.35">
      <c r="A740" s="7">
        <v>737</v>
      </c>
      <c r="B740" s="37">
        <v>46053.802777777775</v>
      </c>
      <c r="C740" s="2">
        <v>78094.83</v>
      </c>
      <c r="D740" s="43">
        <v>78319.789999999994</v>
      </c>
      <c r="E740" s="43">
        <v>78094.83</v>
      </c>
      <c r="F740" s="2">
        <v>78124</v>
      </c>
      <c r="G740" s="1">
        <v>311</v>
      </c>
      <c r="I740" s="39">
        <v>46053.802777777775</v>
      </c>
      <c r="J740" s="36">
        <v>75668.016140000007</v>
      </c>
      <c r="L740" s="2"/>
      <c r="M740" s="2"/>
      <c r="O740" s="37">
        <v>46053.802777777775</v>
      </c>
      <c r="P740" s="36">
        <v>78221.146210000006</v>
      </c>
      <c r="R740" s="2">
        <v>78469.288329999996</v>
      </c>
      <c r="S740" s="2">
        <v>76479.761960000003</v>
      </c>
    </row>
    <row r="741" spans="1:19" x14ac:dyDescent="0.35">
      <c r="A741" s="7">
        <v>738</v>
      </c>
      <c r="B741" s="37">
        <v>46053.803472222222</v>
      </c>
      <c r="C741" s="2">
        <v>78124.149999999994</v>
      </c>
      <c r="D741" s="43">
        <v>78137.33</v>
      </c>
      <c r="E741" s="43">
        <v>77981.11</v>
      </c>
      <c r="F741" s="2">
        <v>77984.899999999994</v>
      </c>
      <c r="G741" s="1">
        <v>300</v>
      </c>
      <c r="I741" s="39">
        <v>46053.803472222222</v>
      </c>
      <c r="J741" s="36">
        <v>75671.871169999999</v>
      </c>
      <c r="L741" s="2"/>
      <c r="M741" s="2"/>
      <c r="O741" s="37">
        <v>46053.803472222222</v>
      </c>
      <c r="P741" s="36">
        <v>78173.887239999996</v>
      </c>
      <c r="R741" s="2">
        <v>78463.38639</v>
      </c>
      <c r="S741" s="2">
        <v>76508.215360000002</v>
      </c>
    </row>
    <row r="742" spans="1:19" x14ac:dyDescent="0.35">
      <c r="A742" s="7">
        <v>739</v>
      </c>
      <c r="B742" s="37">
        <v>46053.804166666669</v>
      </c>
      <c r="C742" s="2">
        <v>77975.320000000007</v>
      </c>
      <c r="D742" s="43">
        <v>78130.59</v>
      </c>
      <c r="E742" s="43">
        <v>77975.320000000007</v>
      </c>
      <c r="F742" s="2">
        <v>78085.83</v>
      </c>
      <c r="G742" s="1">
        <v>286</v>
      </c>
      <c r="I742" s="39">
        <v>46053.804166666669</v>
      </c>
      <c r="J742" s="36">
        <v>75675.726209999993</v>
      </c>
      <c r="L742" s="2"/>
      <c r="M742" s="2"/>
      <c r="O742" s="37">
        <v>46053.804166666669</v>
      </c>
      <c r="P742" s="36">
        <v>78126.628280000004</v>
      </c>
      <c r="R742" s="2">
        <v>78457.48444</v>
      </c>
      <c r="S742" s="2">
        <v>76536.668749999997</v>
      </c>
    </row>
    <row r="743" spans="1:19" x14ac:dyDescent="0.35">
      <c r="A743" s="7">
        <v>740</v>
      </c>
      <c r="B743" s="37">
        <v>46053.804861111108</v>
      </c>
      <c r="C743" s="2">
        <v>78093.5</v>
      </c>
      <c r="D743" s="43">
        <v>78128.039999999994</v>
      </c>
      <c r="E743" s="43">
        <v>78056.789999999994</v>
      </c>
      <c r="F743" s="2">
        <v>78127.48</v>
      </c>
      <c r="G743" s="1">
        <v>254</v>
      </c>
      <c r="I743" s="39">
        <v>46053.804861111108</v>
      </c>
      <c r="J743" s="36">
        <v>75679.58124</v>
      </c>
      <c r="L743" s="2"/>
      <c r="M743" s="2"/>
      <c r="O743" s="37">
        <v>46053.804861111108</v>
      </c>
      <c r="P743" s="36">
        <v>78079.369309999995</v>
      </c>
      <c r="R743" s="2">
        <v>78451.582500000004</v>
      </c>
      <c r="S743" s="2">
        <v>76565.122140000007</v>
      </c>
    </row>
    <row r="744" spans="1:19" x14ac:dyDescent="0.35">
      <c r="A744" s="7">
        <v>741</v>
      </c>
      <c r="B744" s="37">
        <v>46053.805555555555</v>
      </c>
      <c r="C744" s="2">
        <v>78128.22</v>
      </c>
      <c r="D744" s="43">
        <v>78148.47</v>
      </c>
      <c r="E744" s="43">
        <v>78061.94</v>
      </c>
      <c r="F744" s="2">
        <v>78074.899999999994</v>
      </c>
      <c r="G744" s="1">
        <v>282</v>
      </c>
      <c r="I744" s="39">
        <v>46053.805555555555</v>
      </c>
      <c r="J744" s="36">
        <v>75683.436279999994</v>
      </c>
      <c r="L744" s="2"/>
      <c r="M744" s="2"/>
      <c r="O744" s="37">
        <v>46053.805555555555</v>
      </c>
      <c r="P744" s="36">
        <v>78032.110339999999</v>
      </c>
      <c r="R744" s="2">
        <v>78445.680559999993</v>
      </c>
      <c r="S744" s="2">
        <v>76593.575540000005</v>
      </c>
    </row>
    <row r="745" spans="1:19" x14ac:dyDescent="0.35">
      <c r="A745" s="7">
        <v>742</v>
      </c>
      <c r="B745" s="37">
        <v>46053.806250000001</v>
      </c>
      <c r="C745" s="2">
        <v>78074.559999999998</v>
      </c>
      <c r="D745" s="43">
        <v>78074.559999999998</v>
      </c>
      <c r="E745" s="43">
        <v>77927.11</v>
      </c>
      <c r="F745" s="2">
        <v>77927.649999999994</v>
      </c>
      <c r="G745" s="1">
        <v>283</v>
      </c>
      <c r="I745" s="39">
        <v>46053.806250000001</v>
      </c>
      <c r="J745" s="36">
        <v>75687.291310000001</v>
      </c>
      <c r="L745" s="2"/>
      <c r="M745" s="2"/>
      <c r="O745" s="37">
        <v>46053.806250000001</v>
      </c>
      <c r="P745" s="36">
        <v>77984.851379999993</v>
      </c>
      <c r="R745" s="2">
        <v>78439.778609999994</v>
      </c>
      <c r="S745" s="2">
        <v>76622.02893</v>
      </c>
    </row>
    <row r="746" spans="1:19" x14ac:dyDescent="0.35">
      <c r="A746" s="7">
        <v>743</v>
      </c>
      <c r="B746" s="37">
        <v>46053.806944444441</v>
      </c>
      <c r="C746" s="2">
        <v>77927.63</v>
      </c>
      <c r="D746" s="43">
        <v>77927.64</v>
      </c>
      <c r="E746" s="43">
        <v>77758.009999999995</v>
      </c>
      <c r="F746" s="2">
        <v>77787.66</v>
      </c>
      <c r="G746" s="1">
        <v>288</v>
      </c>
      <c r="I746" s="39">
        <v>46053.806944444441</v>
      </c>
      <c r="J746" s="36">
        <v>75691.146340000007</v>
      </c>
      <c r="L746" s="2"/>
      <c r="M746" s="2"/>
      <c r="O746" s="37">
        <v>46053.806944444441</v>
      </c>
      <c r="P746" s="36">
        <v>77937.592409999997</v>
      </c>
      <c r="R746" s="2">
        <v>78433.876669999998</v>
      </c>
      <c r="S746" s="2">
        <v>76650.482319999996</v>
      </c>
    </row>
    <row r="747" spans="1:19" x14ac:dyDescent="0.35">
      <c r="A747" s="7">
        <v>744</v>
      </c>
      <c r="B747" s="37">
        <v>46053.807638888888</v>
      </c>
      <c r="C747" s="2">
        <v>77788.42</v>
      </c>
      <c r="D747" s="43">
        <v>77905.69</v>
      </c>
      <c r="E747" s="43">
        <v>77788.42</v>
      </c>
      <c r="F747" s="2">
        <v>77834.070000000007</v>
      </c>
      <c r="G747" s="1">
        <v>278</v>
      </c>
      <c r="I747" s="39">
        <v>46053.807638888888</v>
      </c>
      <c r="J747" s="36">
        <v>75695.001380000002</v>
      </c>
      <c r="L747" s="2"/>
      <c r="M747" s="2"/>
      <c r="O747" s="37">
        <v>46053.807638888888</v>
      </c>
      <c r="P747" s="36">
        <v>77890.333450000006</v>
      </c>
      <c r="R747" s="2">
        <v>78427.974719999998</v>
      </c>
      <c r="S747" s="2">
        <v>76678.935710000005</v>
      </c>
    </row>
    <row r="748" spans="1:19" x14ac:dyDescent="0.35">
      <c r="A748" s="7">
        <v>745</v>
      </c>
      <c r="B748" s="37">
        <v>46053.808333333334</v>
      </c>
      <c r="C748" s="2">
        <v>77848.5</v>
      </c>
      <c r="D748" s="43">
        <v>77913.98</v>
      </c>
      <c r="E748" s="43">
        <v>77847.31</v>
      </c>
      <c r="F748" s="2">
        <v>77889.31</v>
      </c>
      <c r="G748" s="1">
        <v>269</v>
      </c>
      <c r="I748" s="39">
        <v>46053.808333333334</v>
      </c>
      <c r="J748" s="36">
        <v>75698.856409999993</v>
      </c>
      <c r="L748" s="2"/>
      <c r="M748" s="2"/>
      <c r="O748" s="37">
        <v>46053.808333333334</v>
      </c>
      <c r="P748" s="36">
        <v>77843.074479999996</v>
      </c>
      <c r="R748" s="2">
        <v>78422.072780000002</v>
      </c>
      <c r="S748" s="2">
        <v>76707.389110000004</v>
      </c>
    </row>
    <row r="749" spans="1:19" x14ac:dyDescent="0.35">
      <c r="A749" s="7">
        <v>746</v>
      </c>
      <c r="B749" s="37">
        <v>46053.809027777781</v>
      </c>
      <c r="C749" s="2">
        <v>77892.83</v>
      </c>
      <c r="D749" s="43">
        <v>77929.429999999993</v>
      </c>
      <c r="E749" s="43">
        <v>77780.91</v>
      </c>
      <c r="F749" s="2">
        <v>77863.73</v>
      </c>
      <c r="G749" s="1">
        <v>272</v>
      </c>
      <c r="I749" s="39">
        <v>46053.809027777781</v>
      </c>
      <c r="J749" s="36">
        <v>75702.711450000003</v>
      </c>
      <c r="L749" s="2"/>
      <c r="M749" s="2"/>
      <c r="O749" s="37">
        <v>46053.809027777781</v>
      </c>
      <c r="P749" s="36">
        <v>77795.815520000004</v>
      </c>
      <c r="R749" s="2">
        <v>78416.170830000003</v>
      </c>
      <c r="S749" s="2">
        <v>76735.842499999999</v>
      </c>
    </row>
    <row r="750" spans="1:19" x14ac:dyDescent="0.35">
      <c r="A750" s="7">
        <v>747</v>
      </c>
      <c r="B750" s="37">
        <v>46053.80972222222</v>
      </c>
      <c r="C750" s="2">
        <v>77864.210000000006</v>
      </c>
      <c r="D750" s="43">
        <v>78096.429999999993</v>
      </c>
      <c r="E750" s="43">
        <v>77864.2</v>
      </c>
      <c r="F750" s="2">
        <v>78025.63</v>
      </c>
      <c r="G750" s="1">
        <v>281</v>
      </c>
      <c r="I750" s="39">
        <v>46053.80972222222</v>
      </c>
      <c r="J750" s="36">
        <v>75706.566479999994</v>
      </c>
      <c r="L750" s="2"/>
      <c r="M750" s="2"/>
      <c r="O750" s="37">
        <v>46053.80972222222</v>
      </c>
      <c r="P750" s="36">
        <v>77748.556549999994</v>
      </c>
      <c r="R750" s="2">
        <v>78410.268890000007</v>
      </c>
      <c r="S750" s="2">
        <v>76764.295889999994</v>
      </c>
    </row>
    <row r="751" spans="1:19" x14ac:dyDescent="0.35">
      <c r="A751" s="7">
        <v>748</v>
      </c>
      <c r="B751" s="37">
        <v>46053.810416666667</v>
      </c>
      <c r="C751" s="2">
        <v>78041.91</v>
      </c>
      <c r="D751" s="43">
        <v>78098.740000000005</v>
      </c>
      <c r="E751" s="43">
        <v>77929.89</v>
      </c>
      <c r="F751" s="2">
        <v>77929.89</v>
      </c>
      <c r="G751" s="1">
        <v>286</v>
      </c>
      <c r="I751" s="39">
        <v>46053.810416666667</v>
      </c>
      <c r="J751" s="36">
        <v>75710.421520000004</v>
      </c>
      <c r="L751" s="2"/>
      <c r="M751" s="2"/>
      <c r="O751" s="37">
        <v>46053.810416666667</v>
      </c>
      <c r="P751" s="36">
        <v>77701.297590000002</v>
      </c>
      <c r="R751" s="2">
        <v>78404.366940000007</v>
      </c>
      <c r="S751" s="2">
        <v>76792.749290000007</v>
      </c>
    </row>
    <row r="752" spans="1:19" x14ac:dyDescent="0.35">
      <c r="A752" s="7">
        <v>749</v>
      </c>
      <c r="B752" s="37">
        <v>46053.811111111114</v>
      </c>
      <c r="C752" s="2">
        <v>77920.89</v>
      </c>
      <c r="D752" s="43">
        <v>77932.42</v>
      </c>
      <c r="E752" s="43">
        <v>77845.62</v>
      </c>
      <c r="F752" s="2">
        <v>77916.36</v>
      </c>
      <c r="G752" s="1">
        <v>261</v>
      </c>
      <c r="I752" s="39">
        <v>46053.811111111114</v>
      </c>
      <c r="J752" s="36">
        <v>75714.276549999995</v>
      </c>
      <c r="L752" s="2"/>
      <c r="M752" s="2"/>
      <c r="O752" s="37">
        <v>46053.811111111114</v>
      </c>
      <c r="P752" s="36">
        <v>77654.038620000007</v>
      </c>
      <c r="R752" s="2">
        <v>78398.464999999997</v>
      </c>
      <c r="S752" s="2">
        <v>76821.202680000002</v>
      </c>
    </row>
    <row r="753" spans="1:19" x14ac:dyDescent="0.35">
      <c r="A753" s="7">
        <v>750</v>
      </c>
      <c r="B753" s="37">
        <v>46053.811805555553</v>
      </c>
      <c r="C753" s="2">
        <v>77917.210000000006</v>
      </c>
      <c r="D753" s="43">
        <v>77938.03</v>
      </c>
      <c r="E753" s="43">
        <v>77890.320000000007</v>
      </c>
      <c r="F753" s="2">
        <v>77924.97</v>
      </c>
      <c r="G753" s="1">
        <v>237</v>
      </c>
      <c r="I753" s="39">
        <v>46053.811805555553</v>
      </c>
      <c r="J753" s="36">
        <v>75718.131590000005</v>
      </c>
      <c r="L753" s="2"/>
      <c r="M753" s="2"/>
      <c r="O753" s="37">
        <v>46053.811805555553</v>
      </c>
      <c r="P753" s="36">
        <v>77606.77966</v>
      </c>
      <c r="R753" s="2">
        <v>78392.56306</v>
      </c>
      <c r="S753" s="2">
        <v>76849.656069999997</v>
      </c>
    </row>
    <row r="754" spans="1:19" x14ac:dyDescent="0.35">
      <c r="A754" s="7">
        <v>751</v>
      </c>
      <c r="B754" s="37">
        <v>46053.8125</v>
      </c>
      <c r="C754" s="2">
        <v>77924.97</v>
      </c>
      <c r="D754" s="43">
        <v>78013.42</v>
      </c>
      <c r="E754" s="43">
        <v>77833.009999999995</v>
      </c>
      <c r="F754" s="2">
        <v>77833.009999999995</v>
      </c>
      <c r="G754" s="1">
        <v>268</v>
      </c>
      <c r="I754" s="39">
        <v>46053.8125</v>
      </c>
      <c r="J754" s="36">
        <v>75721.986619999996</v>
      </c>
      <c r="L754" s="2"/>
      <c r="M754" s="2"/>
      <c r="O754" s="37">
        <v>46053.8125</v>
      </c>
      <c r="P754" s="36">
        <v>77559.520690000005</v>
      </c>
      <c r="R754" s="2">
        <v>78386.661110000001</v>
      </c>
      <c r="S754" s="2">
        <v>76878.109460000007</v>
      </c>
    </row>
    <row r="755" spans="1:19" x14ac:dyDescent="0.35">
      <c r="A755" s="7">
        <v>752</v>
      </c>
      <c r="B755" s="37">
        <v>46053.813194444447</v>
      </c>
      <c r="C755" s="2">
        <v>77833.02</v>
      </c>
      <c r="D755" s="43">
        <v>77850.759999999995</v>
      </c>
      <c r="E755" s="43">
        <v>77720.72</v>
      </c>
      <c r="F755" s="2">
        <v>77748.66</v>
      </c>
      <c r="G755" s="1">
        <v>288</v>
      </c>
      <c r="I755" s="39">
        <v>46053.813194444447</v>
      </c>
      <c r="J755" s="36">
        <v>75725.841660000006</v>
      </c>
      <c r="L755" s="2"/>
      <c r="M755" s="2"/>
      <c r="O755" s="37">
        <v>46053.813194444447</v>
      </c>
      <c r="P755" s="36">
        <v>77512.261719999995</v>
      </c>
      <c r="R755" s="2">
        <v>78380.759170000005</v>
      </c>
      <c r="S755" s="2">
        <v>76906.562860000005</v>
      </c>
    </row>
    <row r="756" spans="1:19" x14ac:dyDescent="0.35">
      <c r="A756" s="7">
        <v>753</v>
      </c>
      <c r="B756" s="37">
        <v>46053.813888888886</v>
      </c>
      <c r="C756" s="2">
        <v>77746.92</v>
      </c>
      <c r="D756" s="43">
        <v>77748.83</v>
      </c>
      <c r="E756" s="43">
        <v>77497.53</v>
      </c>
      <c r="F756" s="2">
        <v>77536.009999999995</v>
      </c>
      <c r="G756" s="1">
        <v>303</v>
      </c>
      <c r="I756" s="39">
        <v>46053.813888888886</v>
      </c>
      <c r="J756" s="36">
        <v>75729.696689999997</v>
      </c>
      <c r="L756" s="2"/>
      <c r="M756" s="2"/>
      <c r="O756" s="37">
        <v>46053.813888888886</v>
      </c>
      <c r="P756" s="36">
        <v>77465.002760000003</v>
      </c>
      <c r="R756" s="2">
        <v>78374.857220000005</v>
      </c>
      <c r="S756" s="2">
        <v>76935.016250000001</v>
      </c>
    </row>
    <row r="757" spans="1:19" x14ac:dyDescent="0.35">
      <c r="A757" s="7">
        <v>754</v>
      </c>
      <c r="B757" s="37">
        <v>46053.814583333333</v>
      </c>
      <c r="C757" s="2">
        <v>77538.92</v>
      </c>
      <c r="D757" s="43">
        <v>77601.45</v>
      </c>
      <c r="E757" s="43">
        <v>77393.440000000002</v>
      </c>
      <c r="F757" s="2">
        <v>77443.13</v>
      </c>
      <c r="G757" s="1">
        <v>306</v>
      </c>
      <c r="I757" s="39">
        <v>46053.814583333333</v>
      </c>
      <c r="J757" s="36">
        <v>75733.551720000003</v>
      </c>
      <c r="L757" s="2"/>
      <c r="M757" s="2"/>
      <c r="O757" s="37">
        <v>46053.814583333333</v>
      </c>
      <c r="P757" s="36">
        <v>77417.743789999993</v>
      </c>
      <c r="R757" s="2">
        <v>78368.955279999995</v>
      </c>
      <c r="S757" s="2">
        <v>76963.469639999996</v>
      </c>
    </row>
    <row r="758" spans="1:19" x14ac:dyDescent="0.35">
      <c r="A758" s="7">
        <v>755</v>
      </c>
      <c r="B758" s="37">
        <v>46053.81527777778</v>
      </c>
      <c r="C758" s="2">
        <v>77450.34</v>
      </c>
      <c r="D758" s="43">
        <v>77523.03</v>
      </c>
      <c r="E758" s="43">
        <v>77443.509999999995</v>
      </c>
      <c r="F758" s="2">
        <v>77490.3</v>
      </c>
      <c r="G758" s="1">
        <v>287</v>
      </c>
      <c r="I758" s="39">
        <v>46053.81527777778</v>
      </c>
      <c r="J758" s="36">
        <v>75737.406759999998</v>
      </c>
      <c r="L758" s="2"/>
      <c r="M758" s="2"/>
      <c r="O758" s="37">
        <v>46053.81527777778</v>
      </c>
      <c r="P758" s="36">
        <v>77370.484830000001</v>
      </c>
      <c r="R758" s="2">
        <v>78363.053329999995</v>
      </c>
      <c r="S758" s="2">
        <v>76991.923039999994</v>
      </c>
    </row>
    <row r="759" spans="1:19" x14ac:dyDescent="0.35">
      <c r="A759" s="7">
        <v>756</v>
      </c>
      <c r="B759" s="37">
        <v>46053.815972222219</v>
      </c>
      <c r="C759" s="2">
        <v>77490.3</v>
      </c>
      <c r="D759" s="43">
        <v>77552.47</v>
      </c>
      <c r="E759" s="43">
        <v>77416.600000000006</v>
      </c>
      <c r="F759" s="2">
        <v>77425.009999999995</v>
      </c>
      <c r="G759" s="1">
        <v>296</v>
      </c>
      <c r="I759" s="39">
        <v>46053.815972222219</v>
      </c>
      <c r="J759" s="36">
        <v>75741.261790000004</v>
      </c>
      <c r="L759" s="2"/>
      <c r="M759" s="2"/>
      <c r="O759" s="37">
        <v>46053.815972222219</v>
      </c>
      <c r="P759" s="36">
        <v>77323.225860000006</v>
      </c>
      <c r="R759" s="2">
        <v>78357.151389999999</v>
      </c>
      <c r="S759" s="2">
        <v>77020.376430000004</v>
      </c>
    </row>
    <row r="760" spans="1:19" x14ac:dyDescent="0.35">
      <c r="A760" s="7">
        <v>757</v>
      </c>
      <c r="B760" s="37">
        <v>46053.816666666666</v>
      </c>
      <c r="C760" s="2">
        <v>77425.23</v>
      </c>
      <c r="D760" s="43">
        <v>77494.47</v>
      </c>
      <c r="E760" s="43">
        <v>77309.91</v>
      </c>
      <c r="F760" s="2">
        <v>77309.91</v>
      </c>
      <c r="G760" s="1">
        <v>252</v>
      </c>
      <c r="I760" s="39">
        <v>46053.816666666666</v>
      </c>
      <c r="J760" s="36">
        <v>75745.116829999999</v>
      </c>
      <c r="L760" s="2"/>
      <c r="M760" s="2"/>
      <c r="O760" s="37">
        <v>46053.816666666666</v>
      </c>
      <c r="P760" s="36">
        <v>77275.966899999999</v>
      </c>
      <c r="R760" s="2">
        <v>78351.24944</v>
      </c>
      <c r="S760" s="2">
        <v>77048.829819999999</v>
      </c>
    </row>
    <row r="761" spans="1:19" x14ac:dyDescent="0.35">
      <c r="A761" s="7">
        <v>758</v>
      </c>
      <c r="B761" s="37">
        <v>46053.817361111112</v>
      </c>
      <c r="C761" s="2">
        <v>77307.67</v>
      </c>
      <c r="D761" s="43">
        <v>77443.61</v>
      </c>
      <c r="E761" s="43">
        <v>77239.78</v>
      </c>
      <c r="F761" s="2">
        <v>77299.58</v>
      </c>
      <c r="G761" s="1">
        <v>284</v>
      </c>
      <c r="I761" s="39">
        <v>46053.817361111112</v>
      </c>
      <c r="J761" s="36">
        <v>75748.971860000005</v>
      </c>
      <c r="L761" s="2"/>
      <c r="M761" s="2"/>
      <c r="O761" s="37">
        <v>46053.817361111112</v>
      </c>
      <c r="P761" s="36">
        <v>77228.707930000004</v>
      </c>
      <c r="R761" s="2">
        <v>78345.347500000003</v>
      </c>
      <c r="S761" s="2">
        <v>77077.283209999994</v>
      </c>
    </row>
    <row r="762" spans="1:19" x14ac:dyDescent="0.35">
      <c r="A762" s="7">
        <v>759</v>
      </c>
      <c r="B762" s="37">
        <v>46053.818055555559</v>
      </c>
      <c r="C762" s="2">
        <v>77292.039999999994</v>
      </c>
      <c r="D762" s="43">
        <v>77299.97</v>
      </c>
      <c r="E762" s="43">
        <v>77230.009999999995</v>
      </c>
      <c r="F762" s="2">
        <v>77252.509999999995</v>
      </c>
      <c r="G762" s="1">
        <v>267</v>
      </c>
      <c r="I762" s="39">
        <v>46053.818055555559</v>
      </c>
      <c r="J762" s="36">
        <v>75752.8269</v>
      </c>
      <c r="L762" s="2"/>
      <c r="M762" s="2"/>
      <c r="O762" s="37">
        <v>46053.818055555559</v>
      </c>
      <c r="P762" s="36">
        <v>77181.448969999998</v>
      </c>
      <c r="R762" s="2">
        <v>78339.445559999993</v>
      </c>
      <c r="S762" s="2">
        <v>77105.736610000007</v>
      </c>
    </row>
    <row r="763" spans="1:19" x14ac:dyDescent="0.35">
      <c r="A763" s="7">
        <v>760</v>
      </c>
      <c r="B763" s="37">
        <v>46053.818749999999</v>
      </c>
      <c r="C763" s="2">
        <v>77253.600000000006</v>
      </c>
      <c r="D763" s="43">
        <v>77306.149999999994</v>
      </c>
      <c r="E763" s="43">
        <v>77134.19</v>
      </c>
      <c r="F763" s="2">
        <v>77261.27</v>
      </c>
      <c r="G763" s="1">
        <v>290</v>
      </c>
      <c r="I763" s="39">
        <v>46053.818749999999</v>
      </c>
      <c r="J763" s="36">
        <v>75756.681930000006</v>
      </c>
      <c r="L763" s="2"/>
      <c r="M763" s="2"/>
      <c r="O763" s="37">
        <v>46053.818749999999</v>
      </c>
      <c r="P763" s="36">
        <v>77134.19</v>
      </c>
      <c r="Q763" s="4" t="s">
        <v>15</v>
      </c>
      <c r="R763" s="2">
        <v>78333.543609999993</v>
      </c>
      <c r="S763" s="2">
        <v>77134.19</v>
      </c>
    </row>
    <row r="764" spans="1:19" x14ac:dyDescent="0.35">
      <c r="A764" s="7">
        <v>761</v>
      </c>
      <c r="B764" s="37">
        <v>46053.819444444445</v>
      </c>
      <c r="C764" s="2">
        <v>77268.160000000003</v>
      </c>
      <c r="D764" s="43">
        <v>77390.33</v>
      </c>
      <c r="E764" s="43">
        <v>77214.83</v>
      </c>
      <c r="F764" s="2">
        <v>77222.31</v>
      </c>
      <c r="G764" s="1">
        <v>289</v>
      </c>
      <c r="I764" s="39">
        <v>46053.819444444445</v>
      </c>
      <c r="J764" s="36">
        <v>75760.536970000001</v>
      </c>
      <c r="L764" s="2"/>
      <c r="M764" s="2"/>
      <c r="O764" s="37">
        <v>46053.819444444445</v>
      </c>
      <c r="P764" s="36">
        <v>77156.179999999993</v>
      </c>
      <c r="R764" s="2">
        <v>78327.641669999997</v>
      </c>
      <c r="S764" s="2">
        <v>77132.347779999996</v>
      </c>
    </row>
    <row r="765" spans="1:19" x14ac:dyDescent="0.35">
      <c r="A765" s="7">
        <v>762</v>
      </c>
      <c r="B765" s="37">
        <v>46053.820138888892</v>
      </c>
      <c r="C765" s="2">
        <v>77222.3</v>
      </c>
      <c r="D765" s="43">
        <v>77264.490000000005</v>
      </c>
      <c r="E765" s="43">
        <v>77182.83</v>
      </c>
      <c r="F765" s="2">
        <v>77220.56</v>
      </c>
      <c r="G765" s="1">
        <v>286</v>
      </c>
      <c r="I765" s="39">
        <v>46053.820138888892</v>
      </c>
      <c r="J765" s="36">
        <v>75764.392000000007</v>
      </c>
      <c r="L765" s="2"/>
      <c r="M765" s="2"/>
      <c r="O765" s="37">
        <v>46053.820138888892</v>
      </c>
      <c r="P765" s="36">
        <v>77178.17</v>
      </c>
      <c r="R765" s="2">
        <v>78321.739719999998</v>
      </c>
      <c r="S765" s="2">
        <v>77130.505560000005</v>
      </c>
    </row>
    <row r="766" spans="1:19" x14ac:dyDescent="0.35">
      <c r="A766" s="7">
        <v>763</v>
      </c>
      <c r="B766" s="37">
        <v>46053.820833333331</v>
      </c>
      <c r="C766" s="2">
        <v>77220.539999999994</v>
      </c>
      <c r="D766" s="43">
        <v>77299.55</v>
      </c>
      <c r="E766" s="43">
        <v>77190.06</v>
      </c>
      <c r="F766" s="2">
        <v>77246.64</v>
      </c>
      <c r="G766" s="1">
        <v>275</v>
      </c>
      <c r="I766" s="39">
        <v>46053.820833333331</v>
      </c>
      <c r="J766" s="36">
        <v>75768.247029999999</v>
      </c>
      <c r="L766" s="2"/>
      <c r="M766" s="2"/>
      <c r="O766" s="37">
        <v>46053.820833333331</v>
      </c>
      <c r="P766" s="36">
        <v>77200.160000000003</v>
      </c>
      <c r="R766" s="2">
        <v>78315.837780000002</v>
      </c>
      <c r="S766" s="2">
        <v>77128.663329999996</v>
      </c>
    </row>
    <row r="767" spans="1:19" x14ac:dyDescent="0.35">
      <c r="A767" s="7">
        <v>764</v>
      </c>
      <c r="B767" s="37">
        <v>46053.821527777778</v>
      </c>
      <c r="C767" s="2">
        <v>77246.710000000006</v>
      </c>
      <c r="D767" s="43">
        <v>77509.009999999995</v>
      </c>
      <c r="E767" s="43">
        <v>77246.710000000006</v>
      </c>
      <c r="F767" s="2">
        <v>77404.38</v>
      </c>
      <c r="G767" s="1">
        <v>295</v>
      </c>
      <c r="I767" s="39">
        <v>46053.821527777778</v>
      </c>
      <c r="J767" s="36">
        <v>75772.102069999994</v>
      </c>
      <c r="L767" s="2"/>
      <c r="M767" s="2"/>
      <c r="O767" s="37">
        <v>46053.821527777778</v>
      </c>
      <c r="P767" s="36">
        <v>77222.149999999994</v>
      </c>
      <c r="R767" s="2">
        <v>78309.935830000002</v>
      </c>
      <c r="S767" s="2">
        <v>77126.821110000004</v>
      </c>
    </row>
    <row r="768" spans="1:19" x14ac:dyDescent="0.35">
      <c r="A768" s="7">
        <v>765</v>
      </c>
      <c r="B768" s="37">
        <v>46053.822222222225</v>
      </c>
      <c r="C768" s="2">
        <v>77415.8</v>
      </c>
      <c r="D768" s="43">
        <v>77534.100000000006</v>
      </c>
      <c r="E768" s="43">
        <v>77390.73</v>
      </c>
      <c r="F768" s="2">
        <v>77472.19</v>
      </c>
      <c r="G768" s="1">
        <v>297</v>
      </c>
      <c r="I768" s="39">
        <v>46053.822222222225</v>
      </c>
      <c r="J768" s="36">
        <v>75775.9571</v>
      </c>
      <c r="L768" s="2"/>
      <c r="M768" s="2"/>
      <c r="O768" s="37">
        <v>46053.822222222225</v>
      </c>
      <c r="P768" s="36">
        <v>77244.14</v>
      </c>
      <c r="R768" s="2">
        <v>78304.033890000006</v>
      </c>
      <c r="S768" s="2">
        <v>77124.978889999999</v>
      </c>
    </row>
    <row r="769" spans="1:19" x14ac:dyDescent="0.35">
      <c r="A769" s="7">
        <v>766</v>
      </c>
      <c r="B769" s="37">
        <v>46053.822916666664</v>
      </c>
      <c r="C769" s="2">
        <v>77469.58</v>
      </c>
      <c r="D769" s="43">
        <v>77642.78</v>
      </c>
      <c r="E769" s="43">
        <v>77404.259999999995</v>
      </c>
      <c r="F769" s="2">
        <v>77641.210000000006</v>
      </c>
      <c r="G769" s="1">
        <v>294</v>
      </c>
      <c r="I769" s="39">
        <v>46053.822916666664</v>
      </c>
      <c r="J769" s="36">
        <v>75779.812139999995</v>
      </c>
      <c r="L769" s="2"/>
      <c r="M769" s="2"/>
      <c r="O769" s="37">
        <v>46053.822916666664</v>
      </c>
      <c r="P769" s="36">
        <v>77266.13</v>
      </c>
      <c r="R769" s="2">
        <v>78298.131940000007</v>
      </c>
      <c r="S769" s="2">
        <v>77123.136670000007</v>
      </c>
    </row>
    <row r="770" spans="1:19" x14ac:dyDescent="0.35">
      <c r="A770" s="7">
        <v>767</v>
      </c>
      <c r="B770" s="37">
        <v>46053.823611111111</v>
      </c>
      <c r="C770" s="2">
        <v>77634.02</v>
      </c>
      <c r="D770" s="43">
        <v>77634.02</v>
      </c>
      <c r="E770" s="43">
        <v>77484.179999999993</v>
      </c>
      <c r="F770" s="2">
        <v>77604.27</v>
      </c>
      <c r="G770" s="1">
        <v>307</v>
      </c>
      <c r="I770" s="39">
        <v>46053.823611111111</v>
      </c>
      <c r="J770" s="36">
        <v>75783.667170000001</v>
      </c>
      <c r="L770" s="2"/>
      <c r="M770" s="2"/>
      <c r="O770" s="37">
        <v>46053.823611111111</v>
      </c>
      <c r="P770" s="36">
        <v>77288.12</v>
      </c>
      <c r="R770" s="2">
        <v>78292.23</v>
      </c>
      <c r="S770" s="2">
        <v>77121.294439999998</v>
      </c>
    </row>
    <row r="771" spans="1:19" x14ac:dyDescent="0.35">
      <c r="A771" s="7">
        <v>768</v>
      </c>
      <c r="B771" s="37">
        <v>46053.824305555558</v>
      </c>
      <c r="C771" s="2">
        <v>77603.600000000006</v>
      </c>
      <c r="D771" s="43">
        <v>77821.31</v>
      </c>
      <c r="E771" s="43">
        <v>77593.2</v>
      </c>
      <c r="F771" s="2">
        <v>77744.28</v>
      </c>
      <c r="G771" s="1">
        <v>302</v>
      </c>
      <c r="I771" s="39">
        <v>46053.824305555558</v>
      </c>
      <c r="J771" s="36">
        <v>75787.522209999996</v>
      </c>
      <c r="L771" s="2"/>
      <c r="M771" s="2"/>
      <c r="O771" s="37">
        <v>46053.824305555558</v>
      </c>
      <c r="P771" s="36">
        <v>77310.11</v>
      </c>
      <c r="R771" s="2">
        <v>78286.32806</v>
      </c>
      <c r="S771" s="2">
        <v>77119.452220000006</v>
      </c>
    </row>
    <row r="772" spans="1:19" x14ac:dyDescent="0.35">
      <c r="A772" s="7">
        <v>769</v>
      </c>
      <c r="B772" s="37">
        <v>46053.824999999997</v>
      </c>
      <c r="C772" s="2">
        <v>77744.679999999993</v>
      </c>
      <c r="D772" s="43">
        <v>77751.37</v>
      </c>
      <c r="E772" s="43">
        <v>77608.41</v>
      </c>
      <c r="F772" s="2">
        <v>77620.42</v>
      </c>
      <c r="G772" s="1">
        <v>298</v>
      </c>
      <c r="I772" s="39">
        <v>46053.824999999997</v>
      </c>
      <c r="J772" s="36">
        <v>75791.377240000002</v>
      </c>
      <c r="L772" s="2"/>
      <c r="M772" s="2"/>
      <c r="O772" s="37">
        <v>46053.824999999997</v>
      </c>
      <c r="P772" s="36">
        <v>77332.100000000006</v>
      </c>
      <c r="R772" s="2">
        <v>78280.42611</v>
      </c>
      <c r="S772" s="2">
        <v>77117.61</v>
      </c>
    </row>
    <row r="773" spans="1:19" x14ac:dyDescent="0.35">
      <c r="A773" s="7">
        <v>770</v>
      </c>
      <c r="B773" s="37">
        <v>46053.825694444444</v>
      </c>
      <c r="C773" s="2">
        <v>77620.42</v>
      </c>
      <c r="D773" s="43">
        <v>77722.59</v>
      </c>
      <c r="E773" s="43">
        <v>77564.41</v>
      </c>
      <c r="F773" s="2">
        <v>77722.59</v>
      </c>
      <c r="G773" s="1">
        <v>273</v>
      </c>
      <c r="I773" s="39">
        <v>46053.825694444444</v>
      </c>
      <c r="J773" s="36">
        <v>75795.232279999997</v>
      </c>
      <c r="L773" s="2"/>
      <c r="M773" s="2"/>
      <c r="O773" s="37">
        <v>46053.825694444444</v>
      </c>
      <c r="P773" s="36">
        <v>77354.09</v>
      </c>
      <c r="R773" s="2">
        <v>78274.524170000004</v>
      </c>
      <c r="S773" s="2">
        <v>77115.767779999995</v>
      </c>
    </row>
    <row r="774" spans="1:19" x14ac:dyDescent="0.35">
      <c r="A774" s="7">
        <v>771</v>
      </c>
      <c r="B774" s="37">
        <v>46053.826388888891</v>
      </c>
      <c r="C774" s="2">
        <v>77722.679999999993</v>
      </c>
      <c r="D774" s="43">
        <v>77768.11</v>
      </c>
      <c r="E774" s="43">
        <v>77711.81</v>
      </c>
      <c r="F774" s="2">
        <v>77758.399999999994</v>
      </c>
      <c r="G774" s="1">
        <v>243</v>
      </c>
      <c r="I774" s="39">
        <v>46053.826388888891</v>
      </c>
      <c r="J774" s="36">
        <v>75799.087310000003</v>
      </c>
      <c r="L774" s="2"/>
      <c r="M774" s="2"/>
      <c r="O774" s="37">
        <v>46053.826388888891</v>
      </c>
      <c r="P774" s="36">
        <v>77376.08</v>
      </c>
      <c r="R774" s="2">
        <v>78268.622220000005</v>
      </c>
      <c r="S774" s="2">
        <v>77113.925560000003</v>
      </c>
    </row>
    <row r="775" spans="1:19" x14ac:dyDescent="0.35">
      <c r="A775" s="7">
        <v>772</v>
      </c>
      <c r="B775" s="37">
        <v>46053.82708333333</v>
      </c>
      <c r="C775" s="2">
        <v>77758.399999999994</v>
      </c>
      <c r="D775" s="43">
        <v>77887.02</v>
      </c>
      <c r="E775" s="43">
        <v>77713.490000000005</v>
      </c>
      <c r="F775" s="2">
        <v>77887.02</v>
      </c>
      <c r="G775" s="1">
        <v>250</v>
      </c>
      <c r="I775" s="39">
        <v>46053.82708333333</v>
      </c>
      <c r="J775" s="36">
        <v>75802.942339999994</v>
      </c>
      <c r="L775" s="2"/>
      <c r="M775" s="2"/>
      <c r="O775" s="37">
        <v>46053.82708333333</v>
      </c>
      <c r="P775" s="36">
        <v>77398.070000000007</v>
      </c>
      <c r="R775" s="2">
        <v>78262.720279999994</v>
      </c>
      <c r="S775" s="2">
        <v>77112.083329999994</v>
      </c>
    </row>
    <row r="776" spans="1:19" x14ac:dyDescent="0.35">
      <c r="A776" s="7">
        <v>773</v>
      </c>
      <c r="B776" s="37">
        <v>46053.827777777777</v>
      </c>
      <c r="C776" s="2">
        <v>77879.23</v>
      </c>
      <c r="D776" s="43">
        <v>77902.75</v>
      </c>
      <c r="E776" s="43">
        <v>77712.23</v>
      </c>
      <c r="F776" s="2">
        <v>77818.070000000007</v>
      </c>
      <c r="G776" s="1">
        <v>295</v>
      </c>
      <c r="I776" s="39">
        <v>46053.827777777777</v>
      </c>
      <c r="J776" s="36">
        <v>75806.797380000004</v>
      </c>
      <c r="L776" s="2"/>
      <c r="M776" s="2"/>
      <c r="O776" s="37">
        <v>46053.827777777777</v>
      </c>
      <c r="P776" s="36">
        <v>77420.06</v>
      </c>
      <c r="R776" s="2">
        <v>78256.818329999995</v>
      </c>
      <c r="S776" s="2">
        <v>77110.241110000003</v>
      </c>
    </row>
    <row r="777" spans="1:19" x14ac:dyDescent="0.35">
      <c r="A777" s="7">
        <v>774</v>
      </c>
      <c r="B777" s="37">
        <v>46053.828472222223</v>
      </c>
      <c r="C777" s="2">
        <v>77817.75</v>
      </c>
      <c r="D777" s="43">
        <v>77838.67</v>
      </c>
      <c r="E777" s="43">
        <v>77707.95</v>
      </c>
      <c r="F777" s="2">
        <v>77740.67</v>
      </c>
      <c r="G777" s="1">
        <v>281</v>
      </c>
      <c r="I777" s="39">
        <v>46053.828472222223</v>
      </c>
      <c r="J777" s="36">
        <v>75810.652409999995</v>
      </c>
      <c r="L777" s="2"/>
      <c r="M777" s="2"/>
      <c r="O777" s="37">
        <v>46053.828472222223</v>
      </c>
      <c r="P777" s="36">
        <v>77442.05</v>
      </c>
      <c r="R777" s="2">
        <v>78250.916389999999</v>
      </c>
      <c r="S777" s="2">
        <v>77108.398889999997</v>
      </c>
    </row>
    <row r="778" spans="1:19" x14ac:dyDescent="0.35">
      <c r="A778" s="7">
        <v>775</v>
      </c>
      <c r="B778" s="37">
        <v>46053.82916666667</v>
      </c>
      <c r="C778" s="2">
        <v>77742.45</v>
      </c>
      <c r="D778" s="43">
        <v>77753.740000000005</v>
      </c>
      <c r="E778" s="43">
        <v>77703.899999999994</v>
      </c>
      <c r="F778" s="2">
        <v>77739.039999999994</v>
      </c>
      <c r="G778" s="1">
        <v>263</v>
      </c>
      <c r="I778" s="39">
        <v>46053.82916666667</v>
      </c>
      <c r="J778" s="36">
        <v>75814.507450000005</v>
      </c>
      <c r="L778" s="2"/>
      <c r="M778" s="2"/>
      <c r="O778" s="37">
        <v>46053.82916666667</v>
      </c>
      <c r="P778" s="36">
        <v>77464.039999999994</v>
      </c>
      <c r="R778" s="2">
        <v>78245.014439999999</v>
      </c>
      <c r="S778" s="2">
        <v>77106.556670000005</v>
      </c>
    </row>
    <row r="779" spans="1:19" x14ac:dyDescent="0.35">
      <c r="A779" s="7">
        <v>776</v>
      </c>
      <c r="B779" s="37">
        <v>46053.829861111109</v>
      </c>
      <c r="C779" s="2">
        <v>77739.22</v>
      </c>
      <c r="D779" s="43">
        <v>77821.440000000002</v>
      </c>
      <c r="E779" s="43">
        <v>77739.009999999995</v>
      </c>
      <c r="F779" s="2">
        <v>77771.199999999997</v>
      </c>
      <c r="G779" s="1">
        <v>220</v>
      </c>
      <c r="I779" s="39">
        <v>46053.829861111109</v>
      </c>
      <c r="J779" s="36">
        <v>75818.362479999996</v>
      </c>
      <c r="L779" s="2"/>
      <c r="M779" s="2"/>
      <c r="O779" s="37">
        <v>46053.829861111109</v>
      </c>
      <c r="P779" s="36">
        <v>77486.03</v>
      </c>
      <c r="R779" s="2">
        <v>78239.112500000003</v>
      </c>
      <c r="S779" s="2">
        <v>77104.714439999996</v>
      </c>
    </row>
    <row r="780" spans="1:19" x14ac:dyDescent="0.35">
      <c r="A780" s="7">
        <v>777</v>
      </c>
      <c r="B780" s="37">
        <v>46053.830555555556</v>
      </c>
      <c r="C780" s="2">
        <v>77771.179999999993</v>
      </c>
      <c r="D780" s="43">
        <v>77940.31</v>
      </c>
      <c r="E780" s="43">
        <v>77750.8</v>
      </c>
      <c r="F780" s="2">
        <v>77902.210000000006</v>
      </c>
      <c r="G780" s="1">
        <v>261</v>
      </c>
      <c r="I780" s="39">
        <v>46053.830555555556</v>
      </c>
      <c r="J780" s="36">
        <v>75822.217520000006</v>
      </c>
      <c r="L780" s="2"/>
      <c r="M780" s="2"/>
      <c r="O780" s="37">
        <v>46053.830555555556</v>
      </c>
      <c r="P780" s="36">
        <v>77508.02</v>
      </c>
      <c r="R780" s="2">
        <v>78233.210560000007</v>
      </c>
      <c r="S780" s="2">
        <v>77102.872220000005</v>
      </c>
    </row>
    <row r="781" spans="1:19" x14ac:dyDescent="0.35">
      <c r="A781" s="7">
        <v>778</v>
      </c>
      <c r="B781" s="37">
        <v>46053.831250000003</v>
      </c>
      <c r="C781" s="2">
        <v>77902.11</v>
      </c>
      <c r="D781" s="43">
        <v>77911.600000000006</v>
      </c>
      <c r="E781" s="43">
        <v>77788.39</v>
      </c>
      <c r="F781" s="2">
        <v>77789.25</v>
      </c>
      <c r="G781" s="1">
        <v>281</v>
      </c>
      <c r="I781" s="39">
        <v>46053.831250000003</v>
      </c>
      <c r="J781" s="36">
        <v>75826.072549999997</v>
      </c>
      <c r="L781" s="2"/>
      <c r="M781" s="2"/>
      <c r="O781" s="37">
        <v>46053.831250000003</v>
      </c>
      <c r="P781" s="36">
        <v>77530.009999999995</v>
      </c>
      <c r="R781" s="2">
        <v>78227.308609999993</v>
      </c>
      <c r="S781" s="2">
        <v>77101.03</v>
      </c>
    </row>
    <row r="782" spans="1:19" x14ac:dyDescent="0.35">
      <c r="A782" s="7">
        <v>779</v>
      </c>
      <c r="B782" s="37">
        <v>46053.831944444442</v>
      </c>
      <c r="C782" s="2">
        <v>77788.39</v>
      </c>
      <c r="D782" s="43">
        <v>77929.13</v>
      </c>
      <c r="E782" s="43">
        <v>77785.5</v>
      </c>
      <c r="F782" s="2">
        <v>77851.210000000006</v>
      </c>
      <c r="G782" s="1">
        <v>257</v>
      </c>
      <c r="I782" s="39">
        <v>46053.831944444442</v>
      </c>
      <c r="J782" s="36">
        <v>75829.927590000007</v>
      </c>
      <c r="L782" s="2"/>
      <c r="M782" s="2"/>
      <c r="O782" s="37">
        <v>46053.831944444442</v>
      </c>
      <c r="P782" s="36">
        <v>77552</v>
      </c>
      <c r="R782" s="2">
        <v>78221.406669999997</v>
      </c>
      <c r="S782" s="2">
        <v>77099.187779999993</v>
      </c>
    </row>
    <row r="783" spans="1:19" x14ac:dyDescent="0.35">
      <c r="A783" s="7">
        <v>780</v>
      </c>
      <c r="B783" s="37">
        <v>46053.832638888889</v>
      </c>
      <c r="C783" s="2">
        <v>77851.75</v>
      </c>
      <c r="D783" s="43">
        <v>77876.02</v>
      </c>
      <c r="E783" s="43">
        <v>77690.69</v>
      </c>
      <c r="F783" s="2">
        <v>77698.13</v>
      </c>
      <c r="G783" s="1">
        <v>263</v>
      </c>
      <c r="I783" s="39">
        <v>46053.832638888889</v>
      </c>
      <c r="J783" s="36">
        <v>75833.782619999998</v>
      </c>
      <c r="L783" s="2"/>
      <c r="M783" s="2"/>
      <c r="O783" s="37">
        <v>46053.832638888889</v>
      </c>
      <c r="P783" s="36">
        <v>77573.990000000005</v>
      </c>
      <c r="R783" s="2">
        <v>78215.504719999997</v>
      </c>
      <c r="S783" s="2">
        <v>77097.345560000002</v>
      </c>
    </row>
    <row r="784" spans="1:19" x14ac:dyDescent="0.35">
      <c r="A784" s="7">
        <v>781</v>
      </c>
      <c r="B784" s="37">
        <v>46053.833333333336</v>
      </c>
      <c r="C784" s="2">
        <v>77698.789999999994</v>
      </c>
      <c r="D784" s="43">
        <v>77760.600000000006</v>
      </c>
      <c r="E784" s="43">
        <v>77690.5</v>
      </c>
      <c r="F784" s="2">
        <v>77733.13</v>
      </c>
      <c r="G784" s="1">
        <v>239</v>
      </c>
      <c r="I784" s="39">
        <v>46053.833333333336</v>
      </c>
      <c r="J784" s="36">
        <v>75837.637659999993</v>
      </c>
      <c r="L784" s="2"/>
      <c r="M784" s="2"/>
      <c r="O784" s="37">
        <v>46053.833333333336</v>
      </c>
      <c r="P784" s="36">
        <v>77595.98</v>
      </c>
      <c r="R784" s="2">
        <v>78209.602780000001</v>
      </c>
      <c r="S784" s="2">
        <v>77095.503330000007</v>
      </c>
    </row>
    <row r="785" spans="1:19" x14ac:dyDescent="0.35">
      <c r="A785" s="7">
        <v>782</v>
      </c>
      <c r="B785" s="37">
        <v>46053.834027777775</v>
      </c>
      <c r="C785" s="2">
        <v>77732.570000000007</v>
      </c>
      <c r="D785" s="43">
        <v>77832.28</v>
      </c>
      <c r="E785" s="43">
        <v>77704.83</v>
      </c>
      <c r="F785" s="2">
        <v>77760.240000000005</v>
      </c>
      <c r="G785" s="1">
        <v>245</v>
      </c>
      <c r="I785" s="39">
        <v>46053.834027777775</v>
      </c>
      <c r="J785" s="36">
        <v>75841.492689999999</v>
      </c>
      <c r="L785" s="2"/>
      <c r="M785" s="2"/>
      <c r="O785" s="37">
        <v>46053.834027777775</v>
      </c>
      <c r="P785" s="36">
        <v>77617.97</v>
      </c>
      <c r="R785" s="2">
        <v>78203.700830000002</v>
      </c>
      <c r="S785" s="2">
        <v>77093.661110000001</v>
      </c>
    </row>
    <row r="786" spans="1:19" x14ac:dyDescent="0.35">
      <c r="A786" s="7">
        <v>783</v>
      </c>
      <c r="B786" s="37">
        <v>46053.834722222222</v>
      </c>
      <c r="C786" s="2">
        <v>77760.23</v>
      </c>
      <c r="D786" s="43">
        <v>77824.87</v>
      </c>
      <c r="E786" s="43">
        <v>77712.490000000005</v>
      </c>
      <c r="F786" s="2">
        <v>77768.210000000006</v>
      </c>
      <c r="G786" s="1">
        <v>286</v>
      </c>
      <c r="I786" s="39">
        <v>46053.834722222222</v>
      </c>
      <c r="J786" s="36">
        <v>75845.347720000005</v>
      </c>
      <c r="L786" s="2"/>
      <c r="M786" s="2"/>
      <c r="O786" s="37">
        <v>46053.834722222222</v>
      </c>
      <c r="P786" s="36">
        <v>77639.960000000006</v>
      </c>
      <c r="R786" s="2">
        <v>78197.798890000005</v>
      </c>
      <c r="S786" s="2">
        <v>77091.818889999995</v>
      </c>
    </row>
    <row r="787" spans="1:19" x14ac:dyDescent="0.35">
      <c r="A787" s="7">
        <v>784</v>
      </c>
      <c r="B787" s="37">
        <v>46053.835416666669</v>
      </c>
      <c r="C787" s="2">
        <v>77770.210000000006</v>
      </c>
      <c r="D787" s="43">
        <v>77778.320000000007</v>
      </c>
      <c r="E787" s="43">
        <v>77593.990000000005</v>
      </c>
      <c r="F787" s="2">
        <v>77595.22</v>
      </c>
      <c r="G787" s="1">
        <v>269</v>
      </c>
      <c r="I787" s="39">
        <v>46053.835416666669</v>
      </c>
      <c r="J787" s="36">
        <v>75849.20276</v>
      </c>
      <c r="L787" s="2"/>
      <c r="M787" s="2"/>
      <c r="O787" s="37">
        <v>46053.835416666669</v>
      </c>
      <c r="P787" s="36">
        <v>77661.95</v>
      </c>
      <c r="R787" s="2">
        <v>78191.896940000006</v>
      </c>
      <c r="S787" s="2">
        <v>77089.976670000004</v>
      </c>
    </row>
    <row r="788" spans="1:19" x14ac:dyDescent="0.35">
      <c r="A788" s="7">
        <v>785</v>
      </c>
      <c r="B788" s="37">
        <v>46053.836111111108</v>
      </c>
      <c r="C788" s="2">
        <v>77590.48</v>
      </c>
      <c r="D788" s="43">
        <v>77810.34</v>
      </c>
      <c r="E788" s="43">
        <v>77581.179999999993</v>
      </c>
      <c r="F788" s="2">
        <v>77725.539999999994</v>
      </c>
      <c r="G788" s="1">
        <v>267</v>
      </c>
      <c r="I788" s="39">
        <v>46053.836111111108</v>
      </c>
      <c r="J788" s="36">
        <v>75853.057790000006</v>
      </c>
      <c r="L788" s="2"/>
      <c r="M788" s="2"/>
      <c r="O788" s="37">
        <v>46053.836111111108</v>
      </c>
      <c r="P788" s="36">
        <v>77683.94</v>
      </c>
      <c r="R788" s="2">
        <v>78185.994999999995</v>
      </c>
      <c r="S788" s="2">
        <v>77088.134439999994</v>
      </c>
    </row>
    <row r="789" spans="1:19" x14ac:dyDescent="0.35">
      <c r="A789" s="7">
        <v>786</v>
      </c>
      <c r="B789" s="37">
        <v>46053.836805555555</v>
      </c>
      <c r="C789" s="2">
        <v>77726.11</v>
      </c>
      <c r="D789" s="43">
        <v>77726.11</v>
      </c>
      <c r="E789" s="43">
        <v>77651.31</v>
      </c>
      <c r="F789" s="2">
        <v>77717.61</v>
      </c>
      <c r="G789" s="1">
        <v>277</v>
      </c>
      <c r="I789" s="39">
        <v>46053.836805555555</v>
      </c>
      <c r="J789" s="36">
        <v>75856.912830000001</v>
      </c>
      <c r="L789" s="2"/>
      <c r="M789" s="2"/>
      <c r="O789" s="37">
        <v>46053.836805555555</v>
      </c>
      <c r="P789" s="36">
        <v>77705.929999999993</v>
      </c>
      <c r="R789" s="2">
        <v>78180.093059999999</v>
      </c>
      <c r="S789" s="2">
        <v>77086.292220000003</v>
      </c>
    </row>
    <row r="790" spans="1:19" x14ac:dyDescent="0.35">
      <c r="A790" s="7">
        <v>787</v>
      </c>
      <c r="B790" s="37">
        <v>46053.837500000001</v>
      </c>
      <c r="C790" s="2">
        <v>77717.929999999993</v>
      </c>
      <c r="D790" s="43">
        <v>77890.33</v>
      </c>
      <c r="E790" s="43">
        <v>77717.929999999993</v>
      </c>
      <c r="F790" s="2">
        <v>77864.67</v>
      </c>
      <c r="G790" s="1">
        <v>285</v>
      </c>
      <c r="I790" s="39">
        <v>46053.837500000001</v>
      </c>
      <c r="J790" s="36">
        <v>75860.767860000007</v>
      </c>
      <c r="L790" s="2"/>
      <c r="M790" s="2"/>
      <c r="O790" s="37">
        <v>46053.837500000001</v>
      </c>
      <c r="P790" s="36">
        <v>77727.92</v>
      </c>
      <c r="R790" s="2">
        <v>78174.19111</v>
      </c>
      <c r="S790" s="2">
        <v>77084.45</v>
      </c>
    </row>
    <row r="791" spans="1:19" x14ac:dyDescent="0.35">
      <c r="A791" s="7">
        <v>788</v>
      </c>
      <c r="B791" s="37">
        <v>46053.838194444441</v>
      </c>
      <c r="C791" s="2">
        <v>77864.91</v>
      </c>
      <c r="D791" s="43">
        <v>77874.009999999995</v>
      </c>
      <c r="E791" s="43">
        <v>77779.320000000007</v>
      </c>
      <c r="F791" s="2">
        <v>77860.83</v>
      </c>
      <c r="G791" s="1">
        <v>252</v>
      </c>
      <c r="I791" s="39">
        <v>46053.838194444441</v>
      </c>
      <c r="J791" s="36">
        <v>75864.622900000002</v>
      </c>
      <c r="L791" s="2"/>
      <c r="M791" s="2"/>
      <c r="O791" s="37">
        <v>46053.838194444441</v>
      </c>
      <c r="P791" s="36">
        <v>77749.91</v>
      </c>
      <c r="R791" s="2">
        <v>78168.289170000004</v>
      </c>
      <c r="S791" s="2">
        <v>77082.607780000006</v>
      </c>
    </row>
    <row r="792" spans="1:19" x14ac:dyDescent="0.35">
      <c r="A792" s="7">
        <v>789</v>
      </c>
      <c r="B792" s="37">
        <v>46053.838888888888</v>
      </c>
      <c r="C792" s="2">
        <v>77858.429999999993</v>
      </c>
      <c r="D792" s="43">
        <v>77858.47</v>
      </c>
      <c r="E792" s="43">
        <v>77768.61</v>
      </c>
      <c r="F792" s="2">
        <v>77802.84</v>
      </c>
      <c r="G792" s="1">
        <v>228</v>
      </c>
      <c r="I792" s="39">
        <v>46053.838888888888</v>
      </c>
      <c r="J792" s="36">
        <v>75868.477929999994</v>
      </c>
      <c r="L792" s="2"/>
      <c r="M792" s="2"/>
      <c r="O792" s="37">
        <v>46053.838888888888</v>
      </c>
      <c r="P792" s="36">
        <v>77771.899999999994</v>
      </c>
      <c r="R792" s="2">
        <v>78162.387220000004</v>
      </c>
      <c r="S792" s="2">
        <v>77080.76556</v>
      </c>
    </row>
    <row r="793" spans="1:19" x14ac:dyDescent="0.35">
      <c r="A793" s="7">
        <v>790</v>
      </c>
      <c r="B793" s="37">
        <v>46053.839583333334</v>
      </c>
      <c r="C793" s="2">
        <v>77802.820000000007</v>
      </c>
      <c r="D793" s="43">
        <v>77826.81</v>
      </c>
      <c r="E793" s="43">
        <v>77738.13</v>
      </c>
      <c r="F793" s="2">
        <v>77763.64</v>
      </c>
      <c r="G793" s="1">
        <v>181</v>
      </c>
      <c r="I793" s="39">
        <v>46053.839583333334</v>
      </c>
      <c r="J793" s="36">
        <v>75872.332970000003</v>
      </c>
      <c r="L793" s="2"/>
      <c r="M793" s="2"/>
      <c r="O793" s="37">
        <v>46053.839583333334</v>
      </c>
      <c r="P793" s="36">
        <v>77793.89</v>
      </c>
      <c r="R793" s="2">
        <v>78156.485279999994</v>
      </c>
      <c r="S793" s="2">
        <v>77078.923330000005</v>
      </c>
    </row>
    <row r="794" spans="1:19" x14ac:dyDescent="0.35">
      <c r="A794" s="7">
        <v>791</v>
      </c>
      <c r="B794" s="37">
        <v>46053.840277777781</v>
      </c>
      <c r="C794" s="2">
        <v>77764.02</v>
      </c>
      <c r="D794" s="43">
        <v>77784.09</v>
      </c>
      <c r="E794" s="43">
        <v>77674.210000000006</v>
      </c>
      <c r="F794" s="2">
        <v>77676.210000000006</v>
      </c>
      <c r="G794" s="1">
        <v>245</v>
      </c>
      <c r="I794" s="39">
        <v>46053.840277777781</v>
      </c>
      <c r="J794" s="36">
        <v>75876.187999999995</v>
      </c>
      <c r="L794" s="2"/>
      <c r="M794" s="2"/>
      <c r="O794" s="37">
        <v>46053.840277777781</v>
      </c>
      <c r="P794" s="36">
        <v>77815.88</v>
      </c>
      <c r="R794" s="2">
        <v>78150.583329999994</v>
      </c>
      <c r="S794" s="2">
        <v>77077.081109999999</v>
      </c>
    </row>
    <row r="795" spans="1:19" x14ac:dyDescent="0.35">
      <c r="A795" s="7">
        <v>792</v>
      </c>
      <c r="B795" s="37">
        <v>46053.84097222222</v>
      </c>
      <c r="C795" s="2">
        <v>77676.509999999995</v>
      </c>
      <c r="D795" s="43">
        <v>77785.31</v>
      </c>
      <c r="E795" s="43">
        <v>77676.34</v>
      </c>
      <c r="F795" s="2">
        <v>77779.490000000005</v>
      </c>
      <c r="G795" s="1">
        <v>238</v>
      </c>
      <c r="I795" s="39">
        <v>46053.84097222222</v>
      </c>
      <c r="J795" s="36">
        <v>75880.043030000001</v>
      </c>
      <c r="L795" s="2"/>
      <c r="M795" s="2"/>
      <c r="O795" s="37">
        <v>46053.84097222222</v>
      </c>
      <c r="P795" s="36">
        <v>77837.87</v>
      </c>
      <c r="R795" s="2">
        <v>78144.681389999998</v>
      </c>
      <c r="S795" s="2">
        <v>77075.238889999993</v>
      </c>
    </row>
    <row r="796" spans="1:19" x14ac:dyDescent="0.35">
      <c r="A796" s="7">
        <v>793</v>
      </c>
      <c r="B796" s="37">
        <v>46053.841666666667</v>
      </c>
      <c r="C796" s="2">
        <v>77778.67</v>
      </c>
      <c r="D796" s="43">
        <v>77789.429999999993</v>
      </c>
      <c r="E796" s="43">
        <v>77589.2</v>
      </c>
      <c r="F796" s="2">
        <v>77610.73</v>
      </c>
      <c r="G796" s="1">
        <v>247</v>
      </c>
      <c r="I796" s="39">
        <v>46053.841666666667</v>
      </c>
      <c r="J796" s="36">
        <v>75883.898069999996</v>
      </c>
      <c r="L796" s="2"/>
      <c r="M796" s="2"/>
      <c r="O796" s="37">
        <v>46053.841666666667</v>
      </c>
      <c r="P796" s="36">
        <v>77859.86</v>
      </c>
      <c r="R796" s="2">
        <v>78138.779439999998</v>
      </c>
      <c r="S796" s="2">
        <v>77073.396670000002</v>
      </c>
    </row>
    <row r="797" spans="1:19" x14ac:dyDescent="0.35">
      <c r="A797" s="7">
        <v>794</v>
      </c>
      <c r="B797" s="37">
        <v>46053.842361111114</v>
      </c>
      <c r="C797" s="2">
        <v>77616.710000000006</v>
      </c>
      <c r="D797" s="43">
        <v>77698.81</v>
      </c>
      <c r="E797" s="43">
        <v>77572.59</v>
      </c>
      <c r="F797" s="2">
        <v>77579.63</v>
      </c>
      <c r="G797" s="1">
        <v>267</v>
      </c>
      <c r="I797" s="39">
        <v>46053.842361111114</v>
      </c>
      <c r="J797" s="36">
        <v>75887.753100000002</v>
      </c>
      <c r="L797" s="2"/>
      <c r="M797" s="2"/>
      <c r="O797" s="37">
        <v>46053.842361111114</v>
      </c>
      <c r="P797" s="36">
        <v>77881.850000000006</v>
      </c>
      <c r="R797" s="2">
        <v>78132.877500000002</v>
      </c>
      <c r="S797" s="2">
        <v>77071.554440000007</v>
      </c>
    </row>
    <row r="798" spans="1:19" x14ac:dyDescent="0.35">
      <c r="A798" s="7">
        <v>795</v>
      </c>
      <c r="B798" s="37">
        <v>46053.843055555553</v>
      </c>
      <c r="C798" s="2">
        <v>77584.97</v>
      </c>
      <c r="D798" s="43">
        <v>77629.919999999998</v>
      </c>
      <c r="E798" s="43">
        <v>77448.38</v>
      </c>
      <c r="F798" s="2">
        <v>77479.66</v>
      </c>
      <c r="G798" s="1">
        <v>253</v>
      </c>
      <c r="I798" s="39">
        <v>46053.843055555553</v>
      </c>
      <c r="J798" s="36">
        <v>75891.608139999997</v>
      </c>
      <c r="L798" s="2"/>
      <c r="M798" s="2"/>
      <c r="O798" s="37">
        <v>46053.843055555553</v>
      </c>
      <c r="P798" s="36">
        <v>77903.839999999997</v>
      </c>
      <c r="R798" s="2">
        <v>78126.975560000006</v>
      </c>
      <c r="S798" s="2">
        <v>77069.712220000001</v>
      </c>
    </row>
    <row r="799" spans="1:19" x14ac:dyDescent="0.35">
      <c r="A799" s="7">
        <v>796</v>
      </c>
      <c r="B799" s="37">
        <v>46053.84375</v>
      </c>
      <c r="C799" s="2">
        <v>77472.94</v>
      </c>
      <c r="D799" s="43">
        <v>77580.62</v>
      </c>
      <c r="E799" s="43">
        <v>77434.64</v>
      </c>
      <c r="F799" s="2">
        <v>77536.399999999994</v>
      </c>
      <c r="G799" s="1">
        <v>276</v>
      </c>
      <c r="I799" s="39">
        <v>46053.84375</v>
      </c>
      <c r="J799" s="36">
        <v>75895.463170000003</v>
      </c>
      <c r="L799" s="2"/>
      <c r="M799" s="2"/>
      <c r="O799" s="37">
        <v>46053.84375</v>
      </c>
      <c r="P799" s="36">
        <v>77925.83</v>
      </c>
      <c r="R799" s="2">
        <v>78121.073610000007</v>
      </c>
      <c r="S799" s="2">
        <v>77067.87</v>
      </c>
    </row>
    <row r="800" spans="1:19" x14ac:dyDescent="0.35">
      <c r="A800" s="7">
        <v>797</v>
      </c>
      <c r="B800" s="37">
        <v>46053.844444444447</v>
      </c>
      <c r="C800" s="2">
        <v>77525.919999999998</v>
      </c>
      <c r="D800" s="43">
        <v>77525.919999999998</v>
      </c>
      <c r="E800" s="43">
        <v>77348.11</v>
      </c>
      <c r="F800" s="2">
        <v>77446.740000000005</v>
      </c>
      <c r="G800" s="1">
        <v>274</v>
      </c>
      <c r="I800" s="39">
        <v>46053.844444444447</v>
      </c>
      <c r="J800" s="36">
        <v>75899.318209999998</v>
      </c>
      <c r="L800" s="2"/>
      <c r="M800" s="2"/>
      <c r="O800" s="37">
        <v>46053.844444444447</v>
      </c>
      <c r="P800" s="36">
        <v>77947.820000000007</v>
      </c>
      <c r="R800" s="2">
        <v>78115.171669999996</v>
      </c>
      <c r="S800" s="2">
        <v>77066.027780000004</v>
      </c>
    </row>
    <row r="801" spans="1:19" x14ac:dyDescent="0.35">
      <c r="A801" s="7">
        <v>798</v>
      </c>
      <c r="B801" s="37">
        <v>46053.845138888886</v>
      </c>
      <c r="C801" s="2">
        <v>77454.399999999994</v>
      </c>
      <c r="D801" s="43">
        <v>77502.23</v>
      </c>
      <c r="E801" s="43">
        <v>77436.81</v>
      </c>
      <c r="F801" s="2">
        <v>77473.960000000006</v>
      </c>
      <c r="G801" s="1">
        <v>267</v>
      </c>
      <c r="I801" s="39">
        <v>46053.845138888886</v>
      </c>
      <c r="J801" s="36">
        <v>75903.173240000004</v>
      </c>
      <c r="L801" s="2"/>
      <c r="M801" s="2"/>
      <c r="O801" s="37">
        <v>46053.845138888886</v>
      </c>
      <c r="P801" s="36">
        <v>77969.81</v>
      </c>
      <c r="R801" s="2">
        <v>78109.269719999997</v>
      </c>
      <c r="S801" s="2">
        <v>77064.185559999998</v>
      </c>
    </row>
    <row r="802" spans="1:19" x14ac:dyDescent="0.35">
      <c r="A802" s="7">
        <v>799</v>
      </c>
      <c r="B802" s="37">
        <v>46053.845833333333</v>
      </c>
      <c r="C802" s="2">
        <v>77473.94</v>
      </c>
      <c r="D802" s="43">
        <v>77509.460000000006</v>
      </c>
      <c r="E802" s="43">
        <v>77420.56</v>
      </c>
      <c r="F802" s="2">
        <v>77424.08</v>
      </c>
      <c r="G802" s="1">
        <v>221</v>
      </c>
      <c r="I802" s="39">
        <v>46053.845833333333</v>
      </c>
      <c r="J802" s="36">
        <v>75907.028279999999</v>
      </c>
      <c r="L802" s="2"/>
      <c r="M802" s="2"/>
      <c r="O802" s="37">
        <v>46053.845833333333</v>
      </c>
      <c r="P802" s="36">
        <v>77991.8</v>
      </c>
      <c r="R802" s="2">
        <v>78103.36778</v>
      </c>
      <c r="S802" s="2">
        <v>77062.343330000003</v>
      </c>
    </row>
    <row r="803" spans="1:19" x14ac:dyDescent="0.35">
      <c r="A803" s="7">
        <v>800</v>
      </c>
      <c r="B803" s="37">
        <v>46053.84652777778</v>
      </c>
      <c r="C803" s="2">
        <v>77422.77</v>
      </c>
      <c r="D803" s="43">
        <v>77558.59</v>
      </c>
      <c r="E803" s="43">
        <v>77412.649999999994</v>
      </c>
      <c r="F803" s="2">
        <v>77558.59</v>
      </c>
      <c r="G803" s="1">
        <v>225</v>
      </c>
      <c r="I803" s="39">
        <v>46053.84652777778</v>
      </c>
      <c r="J803" s="36">
        <v>75910.883310000005</v>
      </c>
      <c r="L803" s="2"/>
      <c r="M803" s="2"/>
      <c r="O803" s="37">
        <v>46053.84652777778</v>
      </c>
      <c r="P803" s="36">
        <v>78013.789999999994</v>
      </c>
      <c r="R803" s="2">
        <v>78097.465830000001</v>
      </c>
      <c r="S803" s="2">
        <v>77060.501109999997</v>
      </c>
    </row>
    <row r="804" spans="1:19" x14ac:dyDescent="0.35">
      <c r="A804" s="7">
        <v>801</v>
      </c>
      <c r="B804" s="37">
        <v>46053.847222222219</v>
      </c>
      <c r="C804" s="2">
        <v>77559.61</v>
      </c>
      <c r="D804" s="43">
        <v>77559.61</v>
      </c>
      <c r="E804" s="43">
        <v>77453.259999999995</v>
      </c>
      <c r="F804" s="2">
        <v>77500.5</v>
      </c>
      <c r="G804" s="1">
        <v>263</v>
      </c>
      <c r="I804" s="39">
        <v>46053.847222222219</v>
      </c>
      <c r="J804" s="36">
        <v>75914.738339999996</v>
      </c>
      <c r="L804" s="2"/>
      <c r="M804" s="2"/>
      <c r="O804" s="37">
        <v>46053.847222222219</v>
      </c>
      <c r="P804" s="36">
        <v>78035.78</v>
      </c>
      <c r="R804" s="2">
        <v>78091.563890000005</v>
      </c>
      <c r="S804" s="2">
        <v>77058.658890000006</v>
      </c>
    </row>
    <row r="805" spans="1:19" x14ac:dyDescent="0.35">
      <c r="A805" s="7">
        <v>802</v>
      </c>
      <c r="B805" s="37">
        <v>46053.847916666666</v>
      </c>
      <c r="C805" s="2">
        <v>77500.5</v>
      </c>
      <c r="D805" s="43">
        <v>77662.75</v>
      </c>
      <c r="E805" s="43">
        <v>77480.27</v>
      </c>
      <c r="F805" s="2">
        <v>77641.95</v>
      </c>
      <c r="G805" s="1">
        <v>281</v>
      </c>
      <c r="I805" s="39">
        <v>46053.847916666666</v>
      </c>
      <c r="J805" s="36">
        <v>75918.593380000006</v>
      </c>
      <c r="L805" s="2"/>
      <c r="M805" s="2"/>
      <c r="O805" s="37">
        <v>46053.847916666666</v>
      </c>
      <c r="P805" s="36">
        <v>78057.77</v>
      </c>
      <c r="R805" s="2">
        <v>78085.661940000005</v>
      </c>
      <c r="S805" s="2">
        <v>77056.81667</v>
      </c>
    </row>
    <row r="806" spans="1:19" x14ac:dyDescent="0.35">
      <c r="A806" s="7">
        <v>803</v>
      </c>
      <c r="B806" s="37">
        <v>46053.848611111112</v>
      </c>
      <c r="C806" s="2">
        <v>77641.960000000006</v>
      </c>
      <c r="D806" s="43">
        <v>78079.759999999995</v>
      </c>
      <c r="E806" s="43">
        <v>77641.960000000006</v>
      </c>
      <c r="F806" s="2">
        <v>77997.16</v>
      </c>
      <c r="G806" s="1">
        <v>305</v>
      </c>
      <c r="I806" s="39">
        <v>46053.848611111112</v>
      </c>
      <c r="J806" s="36">
        <v>75922.448409999997</v>
      </c>
      <c r="L806" s="2"/>
      <c r="M806" s="2"/>
      <c r="O806" s="37">
        <v>46053.848611111112</v>
      </c>
      <c r="P806" s="36">
        <v>78079.759999999995</v>
      </c>
      <c r="Q806" s="4" t="s">
        <v>14</v>
      </c>
      <c r="R806" s="2">
        <v>78079.759999999995</v>
      </c>
      <c r="S806" s="2">
        <v>77054.974440000005</v>
      </c>
    </row>
    <row r="807" spans="1:19" x14ac:dyDescent="0.35">
      <c r="A807" s="7">
        <v>804</v>
      </c>
      <c r="B807" s="37">
        <v>46053.849305555559</v>
      </c>
      <c r="C807" s="2">
        <v>77995.839999999997</v>
      </c>
      <c r="D807" s="43">
        <v>77995.839999999997</v>
      </c>
      <c r="E807" s="43">
        <v>77773.97</v>
      </c>
      <c r="F807" s="2">
        <v>77774.63</v>
      </c>
      <c r="G807" s="1">
        <v>298</v>
      </c>
      <c r="I807" s="39">
        <v>46053.849305555559</v>
      </c>
      <c r="J807" s="36">
        <v>75926.303450000007</v>
      </c>
      <c r="L807" s="2"/>
      <c r="M807" s="2"/>
      <c r="O807" s="37">
        <v>46053.849305555559</v>
      </c>
      <c r="P807" s="36">
        <v>77984.755449999997</v>
      </c>
      <c r="R807" s="2">
        <v>78080.499490000002</v>
      </c>
      <c r="S807" s="2">
        <v>77053.13222</v>
      </c>
    </row>
    <row r="808" spans="1:19" x14ac:dyDescent="0.35">
      <c r="A808" s="7">
        <v>805</v>
      </c>
      <c r="B808" s="37">
        <v>46053.85</v>
      </c>
      <c r="C808" s="2">
        <v>77766.11</v>
      </c>
      <c r="D808" s="43">
        <v>77784.84</v>
      </c>
      <c r="E808" s="43">
        <v>77648.53</v>
      </c>
      <c r="F808" s="2">
        <v>77649.45</v>
      </c>
      <c r="G808" s="1">
        <v>283</v>
      </c>
      <c r="I808" s="39">
        <v>46053.85</v>
      </c>
      <c r="J808" s="36">
        <v>75930.158479999998</v>
      </c>
      <c r="L808" s="2"/>
      <c r="M808" s="2"/>
      <c r="O808" s="37">
        <v>46053.85</v>
      </c>
      <c r="P808" s="36">
        <v>77889.750910000002</v>
      </c>
      <c r="R808" s="2">
        <v>78081.238970000006</v>
      </c>
      <c r="S808" s="2">
        <v>77051.289999999994</v>
      </c>
    </row>
    <row r="809" spans="1:19" x14ac:dyDescent="0.35">
      <c r="A809" s="7">
        <v>806</v>
      </c>
      <c r="B809" s="37">
        <v>46053.850694444445</v>
      </c>
      <c r="C809" s="2">
        <v>77649.84</v>
      </c>
      <c r="D809" s="43">
        <v>77690</v>
      </c>
      <c r="E809" s="43">
        <v>77614.83</v>
      </c>
      <c r="F809" s="2">
        <v>77623.039999999994</v>
      </c>
      <c r="G809" s="1">
        <v>281</v>
      </c>
      <c r="I809" s="39">
        <v>46053.850694444445</v>
      </c>
      <c r="J809" s="36">
        <v>75934.013519999993</v>
      </c>
      <c r="L809" s="2"/>
      <c r="M809" s="2"/>
      <c r="O809" s="37">
        <v>46053.850694444445</v>
      </c>
      <c r="P809" s="36">
        <v>77794.746360000005</v>
      </c>
      <c r="R809" s="2">
        <v>78081.978459999998</v>
      </c>
      <c r="S809" s="2">
        <v>77049.447780000002</v>
      </c>
    </row>
    <row r="810" spans="1:19" x14ac:dyDescent="0.35">
      <c r="A810" s="7">
        <v>807</v>
      </c>
      <c r="B810" s="37">
        <v>46053.851388888892</v>
      </c>
      <c r="C810" s="2">
        <v>77613.570000000007</v>
      </c>
      <c r="D810" s="43">
        <v>77633.009999999995</v>
      </c>
      <c r="E810" s="43">
        <v>77453.259999999995</v>
      </c>
      <c r="F810" s="2">
        <v>77489.48</v>
      </c>
      <c r="G810" s="1">
        <v>268</v>
      </c>
      <c r="I810" s="39">
        <v>46053.851388888892</v>
      </c>
      <c r="J810" s="36">
        <v>75937.868549999999</v>
      </c>
      <c r="L810" s="2"/>
      <c r="M810" s="2"/>
      <c r="O810" s="37">
        <v>46053.851388888892</v>
      </c>
      <c r="P810" s="36">
        <v>77699.741819999996</v>
      </c>
      <c r="R810" s="2">
        <v>78082.717950000006</v>
      </c>
      <c r="S810" s="2">
        <v>77047.605559999996</v>
      </c>
    </row>
    <row r="811" spans="1:19" x14ac:dyDescent="0.35">
      <c r="A811" s="7">
        <v>808</v>
      </c>
      <c r="B811" s="37">
        <v>46053.852083333331</v>
      </c>
      <c r="C811" s="2">
        <v>77490.399999999994</v>
      </c>
      <c r="D811" s="43">
        <v>77525.259999999995</v>
      </c>
      <c r="E811" s="43">
        <v>77439.88</v>
      </c>
      <c r="F811" s="2">
        <v>77439.88</v>
      </c>
      <c r="G811" s="1">
        <v>272</v>
      </c>
      <c r="I811" s="39">
        <v>46053.852083333331</v>
      </c>
      <c r="J811" s="36">
        <v>75941.723589999994</v>
      </c>
      <c r="L811" s="2"/>
      <c r="M811" s="2"/>
      <c r="O811" s="37">
        <v>46053.852083333331</v>
      </c>
      <c r="P811" s="36">
        <v>77604.737269999998</v>
      </c>
      <c r="R811" s="2">
        <v>78083.457439999998</v>
      </c>
      <c r="S811" s="2">
        <v>77045.763330000002</v>
      </c>
    </row>
    <row r="812" spans="1:19" x14ac:dyDescent="0.35">
      <c r="A812" s="7">
        <v>809</v>
      </c>
      <c r="B812" s="37">
        <v>46053.852777777778</v>
      </c>
      <c r="C812" s="2">
        <v>77440.160000000003</v>
      </c>
      <c r="D812" s="43">
        <v>77450.399999999994</v>
      </c>
      <c r="E812" s="43">
        <v>77332.83</v>
      </c>
      <c r="F812" s="2">
        <v>77354.539999999994</v>
      </c>
      <c r="G812" s="1">
        <v>244</v>
      </c>
      <c r="I812" s="39">
        <v>46053.852777777778</v>
      </c>
      <c r="J812" s="36">
        <v>75945.57862</v>
      </c>
      <c r="L812" s="2"/>
      <c r="M812" s="2"/>
      <c r="O812" s="37">
        <v>46053.852777777778</v>
      </c>
      <c r="P812" s="36">
        <v>77509.732730000003</v>
      </c>
      <c r="R812" s="2">
        <v>78084.196920000002</v>
      </c>
      <c r="S812" s="2">
        <v>77043.921109999996</v>
      </c>
    </row>
    <row r="813" spans="1:19" x14ac:dyDescent="0.35">
      <c r="A813" s="7">
        <v>810</v>
      </c>
      <c r="B813" s="37">
        <v>46053.853472222225</v>
      </c>
      <c r="C813" s="2">
        <v>77357.899999999994</v>
      </c>
      <c r="D813" s="43">
        <v>77408.850000000006</v>
      </c>
      <c r="E813" s="43">
        <v>77321.3</v>
      </c>
      <c r="F813" s="2">
        <v>77337.919999999998</v>
      </c>
      <c r="G813" s="1">
        <v>245</v>
      </c>
      <c r="I813" s="39">
        <v>46053.853472222225</v>
      </c>
      <c r="J813" s="36">
        <v>75949.433659999995</v>
      </c>
      <c r="L813" s="2"/>
      <c r="M813" s="2"/>
      <c r="O813" s="37">
        <v>46053.853472222225</v>
      </c>
      <c r="P813" s="36">
        <v>77414.728180000006</v>
      </c>
      <c r="R813" s="2">
        <v>78084.936409999995</v>
      </c>
      <c r="S813" s="2">
        <v>77042.078890000004</v>
      </c>
    </row>
    <row r="814" spans="1:19" x14ac:dyDescent="0.35">
      <c r="A814" s="7">
        <v>811</v>
      </c>
      <c r="B814" s="37">
        <v>46053.854166666664</v>
      </c>
      <c r="C814" s="2">
        <v>77337.94</v>
      </c>
      <c r="D814" s="43">
        <v>77340.399999999994</v>
      </c>
      <c r="E814" s="43">
        <v>77203.86</v>
      </c>
      <c r="F814" s="2">
        <v>77230.350000000006</v>
      </c>
      <c r="G814" s="1">
        <v>264</v>
      </c>
      <c r="I814" s="39">
        <v>46053.854166666664</v>
      </c>
      <c r="J814" s="36">
        <v>75953.288690000001</v>
      </c>
      <c r="L814" s="2"/>
      <c r="M814" s="2"/>
      <c r="O814" s="37">
        <v>46053.854166666664</v>
      </c>
      <c r="P814" s="36">
        <v>77319.723639999997</v>
      </c>
      <c r="R814" s="2">
        <v>78085.675900000002</v>
      </c>
      <c r="S814" s="2">
        <v>77040.236669999998</v>
      </c>
    </row>
    <row r="815" spans="1:19" x14ac:dyDescent="0.35">
      <c r="A815" s="7">
        <v>812</v>
      </c>
      <c r="B815" s="37">
        <v>46053.854861111111</v>
      </c>
      <c r="C815" s="2">
        <v>77230.44</v>
      </c>
      <c r="D815" s="43">
        <v>77276.63</v>
      </c>
      <c r="E815" s="43">
        <v>77190.5</v>
      </c>
      <c r="F815" s="2">
        <v>77195.740000000005</v>
      </c>
      <c r="G815" s="1">
        <v>271</v>
      </c>
      <c r="I815" s="39">
        <v>46053.854861111111</v>
      </c>
      <c r="J815" s="36">
        <v>75957.143719999993</v>
      </c>
      <c r="L815" s="2"/>
      <c r="M815" s="2"/>
      <c r="O815" s="37">
        <v>46053.854861111111</v>
      </c>
      <c r="P815" s="36">
        <v>77224.719089999999</v>
      </c>
      <c r="R815" s="2">
        <v>78086.415380000006</v>
      </c>
      <c r="S815" s="2">
        <v>77038.394440000004</v>
      </c>
    </row>
    <row r="816" spans="1:19" x14ac:dyDescent="0.35">
      <c r="A816" s="7">
        <v>813</v>
      </c>
      <c r="B816" s="37">
        <v>46053.855555555558</v>
      </c>
      <c r="C816" s="2">
        <v>77192.78</v>
      </c>
      <c r="D816" s="43">
        <v>77249.259999999995</v>
      </c>
      <c r="E816" s="43">
        <v>77035.350000000006</v>
      </c>
      <c r="F816" s="2">
        <v>77118.94</v>
      </c>
      <c r="G816" s="1">
        <v>300</v>
      </c>
      <c r="I816" s="39">
        <v>46053.855555555558</v>
      </c>
      <c r="J816" s="36">
        <v>75960.998760000002</v>
      </c>
      <c r="L816" s="2"/>
      <c r="M816" s="2"/>
      <c r="O816" s="37">
        <v>46053.855555555558</v>
      </c>
      <c r="P816" s="36">
        <v>77129.714550000004</v>
      </c>
      <c r="R816" s="2">
        <v>78087.154869999998</v>
      </c>
      <c r="S816" s="2">
        <v>77036.552219999998</v>
      </c>
    </row>
    <row r="817" spans="1:19" x14ac:dyDescent="0.35">
      <c r="A817" s="7">
        <v>814</v>
      </c>
      <c r="B817" s="37">
        <v>46053.856249999997</v>
      </c>
      <c r="C817" s="2">
        <v>77123.179999999993</v>
      </c>
      <c r="D817" s="43">
        <v>77149.440000000002</v>
      </c>
      <c r="E817" s="43">
        <v>77034.710000000006</v>
      </c>
      <c r="F817" s="2">
        <v>77119.210000000006</v>
      </c>
      <c r="G817" s="1">
        <v>288</v>
      </c>
      <c r="I817" s="39">
        <v>46053.856249999997</v>
      </c>
      <c r="J817" s="36">
        <v>75964.853789999994</v>
      </c>
      <c r="L817" s="2"/>
      <c r="M817" s="2"/>
      <c r="O817" s="37">
        <v>46053.856249999997</v>
      </c>
      <c r="P817" s="36">
        <v>77034.710000000006</v>
      </c>
      <c r="Q817" s="4" t="s">
        <v>15</v>
      </c>
      <c r="R817" s="2">
        <v>78087.894360000006</v>
      </c>
      <c r="S817" s="2">
        <v>77034.710000000006</v>
      </c>
    </row>
    <row r="818" spans="1:19" x14ac:dyDescent="0.35">
      <c r="A818" s="7">
        <v>815</v>
      </c>
      <c r="B818" s="37">
        <v>46053.856944444444</v>
      </c>
      <c r="C818" s="2">
        <v>77120.41</v>
      </c>
      <c r="D818" s="43">
        <v>77128.5</v>
      </c>
      <c r="E818" s="43">
        <v>77071.63</v>
      </c>
      <c r="F818" s="2">
        <v>77080.479999999996</v>
      </c>
      <c r="G818" s="1">
        <v>272</v>
      </c>
      <c r="I818" s="39">
        <v>46053.856944444444</v>
      </c>
      <c r="J818" s="36">
        <v>75968.708830000003</v>
      </c>
      <c r="L818" s="2"/>
      <c r="M818" s="2"/>
      <c r="O818" s="37">
        <v>46053.856944444444</v>
      </c>
      <c r="P818" s="36">
        <v>77073.063209999993</v>
      </c>
      <c r="R818" s="2">
        <v>78088.633849999998</v>
      </c>
      <c r="S818" s="2">
        <v>77040.2736</v>
      </c>
    </row>
    <row r="819" spans="1:19" x14ac:dyDescent="0.35">
      <c r="A819" s="7">
        <v>816</v>
      </c>
      <c r="B819" s="37">
        <v>46053.857638888891</v>
      </c>
      <c r="C819" s="2">
        <v>77083.520000000004</v>
      </c>
      <c r="D819" s="43">
        <v>77271.59</v>
      </c>
      <c r="E819" s="43">
        <v>77083.520000000004</v>
      </c>
      <c r="F819" s="2">
        <v>77178.179999999993</v>
      </c>
      <c r="G819" s="1">
        <v>292</v>
      </c>
      <c r="I819" s="39">
        <v>46053.857638888891</v>
      </c>
      <c r="J819" s="36">
        <v>75972.563859999995</v>
      </c>
      <c r="L819" s="2"/>
      <c r="M819" s="2"/>
      <c r="O819" s="37">
        <v>46053.857638888891</v>
      </c>
      <c r="P819" s="36">
        <v>77111.416429999997</v>
      </c>
      <c r="R819" s="2">
        <v>78089.373330000002</v>
      </c>
      <c r="S819" s="2">
        <v>77045.837199999994</v>
      </c>
    </row>
    <row r="820" spans="1:19" x14ac:dyDescent="0.35">
      <c r="A820" s="7">
        <v>817</v>
      </c>
      <c r="B820" s="37">
        <v>46053.85833333333</v>
      </c>
      <c r="C820" s="2">
        <v>77178.22</v>
      </c>
      <c r="D820" s="43">
        <v>77330.66</v>
      </c>
      <c r="E820" s="43">
        <v>77171.56</v>
      </c>
      <c r="F820" s="2">
        <v>77189.52</v>
      </c>
      <c r="G820" s="1">
        <v>295</v>
      </c>
      <c r="I820" s="39">
        <v>46053.85833333333</v>
      </c>
      <c r="J820" s="36">
        <v>75976.418900000004</v>
      </c>
      <c r="L820" s="2"/>
      <c r="M820" s="2"/>
      <c r="O820" s="37">
        <v>46053.85833333333</v>
      </c>
      <c r="P820" s="36">
        <v>77149.769639999999</v>
      </c>
      <c r="R820" s="2">
        <v>78090.112819999995</v>
      </c>
      <c r="S820" s="2">
        <v>77051.400800000003</v>
      </c>
    </row>
    <row r="821" spans="1:19" x14ac:dyDescent="0.35">
      <c r="A821" s="7">
        <v>818</v>
      </c>
      <c r="B821" s="37">
        <v>46053.859027777777</v>
      </c>
      <c r="C821" s="2">
        <v>77198.600000000006</v>
      </c>
      <c r="D821" s="43">
        <v>77198.600000000006</v>
      </c>
      <c r="E821" s="43">
        <v>77140.5</v>
      </c>
      <c r="F821" s="2">
        <v>77174.320000000007</v>
      </c>
      <c r="G821" s="1">
        <v>250</v>
      </c>
      <c r="I821" s="39">
        <v>46053.859027777777</v>
      </c>
      <c r="J821" s="36">
        <v>75980.273929999996</v>
      </c>
      <c r="L821" s="2"/>
      <c r="M821" s="2"/>
      <c r="O821" s="37">
        <v>46053.859027777777</v>
      </c>
      <c r="P821" s="36">
        <v>77188.122860000003</v>
      </c>
      <c r="R821" s="2">
        <v>78090.852310000002</v>
      </c>
      <c r="S821" s="2">
        <v>77056.964399999997</v>
      </c>
    </row>
    <row r="822" spans="1:19" x14ac:dyDescent="0.35">
      <c r="A822" s="7">
        <v>819</v>
      </c>
      <c r="B822" s="37">
        <v>46053.859722222223</v>
      </c>
      <c r="C822" s="2">
        <v>77174</v>
      </c>
      <c r="D822" s="43">
        <v>77253.11</v>
      </c>
      <c r="E822" s="43">
        <v>77069.990000000005</v>
      </c>
      <c r="F822" s="2">
        <v>77241.27</v>
      </c>
      <c r="G822" s="1">
        <v>296</v>
      </c>
      <c r="I822" s="39">
        <v>46053.859722222223</v>
      </c>
      <c r="J822" s="36">
        <v>75984.128970000005</v>
      </c>
      <c r="L822" s="2"/>
      <c r="M822" s="2"/>
      <c r="O822" s="37">
        <v>46053.859722222223</v>
      </c>
      <c r="P822" s="36">
        <v>77226.476070000004</v>
      </c>
      <c r="R822" s="2">
        <v>78091.591790000006</v>
      </c>
      <c r="S822" s="2">
        <v>77062.528000000006</v>
      </c>
    </row>
    <row r="823" spans="1:19" x14ac:dyDescent="0.35">
      <c r="A823" s="7">
        <v>820</v>
      </c>
      <c r="B823" s="37">
        <v>46053.86041666667</v>
      </c>
      <c r="C823" s="2">
        <v>77226.47</v>
      </c>
      <c r="D823" s="43">
        <v>77266.5</v>
      </c>
      <c r="E823" s="43">
        <v>77158.100000000006</v>
      </c>
      <c r="F823" s="2">
        <v>77208.2</v>
      </c>
      <c r="G823" s="1">
        <v>281</v>
      </c>
      <c r="I823" s="39">
        <v>46053.86041666667</v>
      </c>
      <c r="J823" s="36">
        <v>75987.983999999997</v>
      </c>
      <c r="L823" s="2"/>
      <c r="M823" s="2"/>
      <c r="O823" s="37">
        <v>46053.86041666667</v>
      </c>
      <c r="P823" s="36">
        <v>77264.829289999994</v>
      </c>
      <c r="R823" s="2">
        <v>78092.331279999999</v>
      </c>
      <c r="S823" s="2">
        <v>77068.0916</v>
      </c>
    </row>
    <row r="824" spans="1:19" x14ac:dyDescent="0.35">
      <c r="A824" s="7">
        <v>821</v>
      </c>
      <c r="B824" s="37">
        <v>46053.861111111109</v>
      </c>
      <c r="C824" s="2">
        <v>77207.679999999993</v>
      </c>
      <c r="D824" s="43">
        <v>77230.83</v>
      </c>
      <c r="E824" s="43">
        <v>77169.740000000005</v>
      </c>
      <c r="F824" s="2">
        <v>77230.509999999995</v>
      </c>
      <c r="G824" s="1">
        <v>256</v>
      </c>
      <c r="I824" s="39">
        <v>46053.861111111109</v>
      </c>
      <c r="J824" s="36">
        <v>75991.839030000003</v>
      </c>
      <c r="L824" s="2"/>
      <c r="M824" s="2"/>
      <c r="O824" s="37">
        <v>46053.861111111109</v>
      </c>
      <c r="P824" s="36">
        <v>77303.182499999995</v>
      </c>
      <c r="R824" s="2">
        <v>78093.070770000006</v>
      </c>
      <c r="S824" s="2">
        <v>77073.655199999994</v>
      </c>
    </row>
    <row r="825" spans="1:19" x14ac:dyDescent="0.35">
      <c r="A825" s="7">
        <v>822</v>
      </c>
      <c r="B825" s="37">
        <v>46053.861805555556</v>
      </c>
      <c r="C825" s="2">
        <v>77230.45</v>
      </c>
      <c r="D825" s="43">
        <v>77362.83</v>
      </c>
      <c r="E825" s="43">
        <v>77210.539999999994</v>
      </c>
      <c r="F825" s="2">
        <v>77285.509999999995</v>
      </c>
      <c r="G825" s="1">
        <v>269</v>
      </c>
      <c r="I825" s="39">
        <v>46053.861805555556</v>
      </c>
      <c r="J825" s="36">
        <v>75995.694069999998</v>
      </c>
      <c r="L825" s="2"/>
      <c r="M825" s="2"/>
      <c r="O825" s="37">
        <v>46053.861805555556</v>
      </c>
      <c r="P825" s="36">
        <v>77341.535709999996</v>
      </c>
      <c r="R825" s="2">
        <v>78093.810259999998</v>
      </c>
      <c r="S825" s="2">
        <v>77079.218800000002</v>
      </c>
    </row>
    <row r="826" spans="1:19" x14ac:dyDescent="0.35">
      <c r="A826" s="7">
        <v>823</v>
      </c>
      <c r="B826" s="37">
        <v>46053.862500000003</v>
      </c>
      <c r="C826" s="2">
        <v>77285.5</v>
      </c>
      <c r="D826" s="43">
        <v>77351.11</v>
      </c>
      <c r="E826" s="43">
        <v>77277.759999999995</v>
      </c>
      <c r="F826" s="2">
        <v>77318.75</v>
      </c>
      <c r="G826" s="1">
        <v>280</v>
      </c>
      <c r="I826" s="39">
        <v>46053.862500000003</v>
      </c>
      <c r="J826" s="36">
        <v>75999.549100000004</v>
      </c>
      <c r="L826" s="2"/>
      <c r="M826" s="2"/>
      <c r="O826" s="37">
        <v>46053.862500000003</v>
      </c>
      <c r="P826" s="36">
        <v>77379.888930000001</v>
      </c>
      <c r="R826" s="2">
        <v>78094.549740000002</v>
      </c>
      <c r="S826" s="2">
        <v>77084.782399999996</v>
      </c>
    </row>
    <row r="827" spans="1:19" x14ac:dyDescent="0.35">
      <c r="A827" s="7">
        <v>824</v>
      </c>
      <c r="B827" s="37">
        <v>46053.863194444442</v>
      </c>
      <c r="C827" s="2">
        <v>77318.75</v>
      </c>
      <c r="D827" s="43">
        <v>77520.75</v>
      </c>
      <c r="E827" s="43">
        <v>77318.740000000005</v>
      </c>
      <c r="F827" s="2">
        <v>77448.22</v>
      </c>
      <c r="G827" s="1">
        <v>298</v>
      </c>
      <c r="I827" s="39">
        <v>46053.863194444442</v>
      </c>
      <c r="J827" s="36">
        <v>76003.404139999999</v>
      </c>
      <c r="L827" s="2"/>
      <c r="M827" s="2"/>
      <c r="O827" s="37">
        <v>46053.863194444442</v>
      </c>
      <c r="P827" s="36">
        <v>77418.242140000002</v>
      </c>
      <c r="R827" s="2">
        <v>78095.289229999995</v>
      </c>
      <c r="S827" s="2">
        <v>77090.346000000005</v>
      </c>
    </row>
    <row r="828" spans="1:19" x14ac:dyDescent="0.35">
      <c r="A828" s="7">
        <v>825</v>
      </c>
      <c r="B828" s="37">
        <v>46053.863888888889</v>
      </c>
      <c r="C828" s="2">
        <v>77448.47</v>
      </c>
      <c r="D828" s="43">
        <v>77475.509999999995</v>
      </c>
      <c r="E828" s="43">
        <v>77364.92</v>
      </c>
      <c r="F828" s="2">
        <v>77473.95</v>
      </c>
      <c r="G828" s="1">
        <v>254</v>
      </c>
      <c r="I828" s="39">
        <v>46053.863888888889</v>
      </c>
      <c r="J828" s="36">
        <v>76007.259170000005</v>
      </c>
      <c r="L828" s="2"/>
      <c r="M828" s="2"/>
      <c r="O828" s="37">
        <v>46053.863888888889</v>
      </c>
      <c r="P828" s="36">
        <v>77456.595360000007</v>
      </c>
      <c r="R828" s="2">
        <v>78096.028720000002</v>
      </c>
      <c r="S828" s="2">
        <v>77095.909599999999</v>
      </c>
    </row>
    <row r="829" spans="1:19" x14ac:dyDescent="0.35">
      <c r="A829" s="7">
        <v>826</v>
      </c>
      <c r="B829" s="37">
        <v>46053.864583333336</v>
      </c>
      <c r="C829" s="2">
        <v>77475.179999999993</v>
      </c>
      <c r="D829" s="43">
        <v>77490.3</v>
      </c>
      <c r="E829" s="43">
        <v>77363.929999999993</v>
      </c>
      <c r="F829" s="2">
        <v>77365.509999999995</v>
      </c>
      <c r="G829" s="1">
        <v>263</v>
      </c>
      <c r="I829" s="39">
        <v>46053.864583333336</v>
      </c>
      <c r="J829" s="36">
        <v>76011.11421</v>
      </c>
      <c r="L829" s="2"/>
      <c r="M829" s="2"/>
      <c r="O829" s="37">
        <v>46053.864583333336</v>
      </c>
      <c r="P829" s="36">
        <v>77494.948569999993</v>
      </c>
      <c r="R829" s="2">
        <v>78096.768209999995</v>
      </c>
      <c r="S829" s="2">
        <v>77101.473199999993</v>
      </c>
    </row>
    <row r="830" spans="1:19" x14ac:dyDescent="0.35">
      <c r="A830" s="7">
        <v>827</v>
      </c>
      <c r="B830" s="37">
        <v>46053.865277777775</v>
      </c>
      <c r="C830" s="2">
        <v>77360.240000000005</v>
      </c>
      <c r="D830" s="43">
        <v>77457.73</v>
      </c>
      <c r="E830" s="43">
        <v>77274.28</v>
      </c>
      <c r="F830" s="2">
        <v>77420.97</v>
      </c>
      <c r="G830" s="1">
        <v>280</v>
      </c>
      <c r="I830" s="39">
        <v>46053.865277777775</v>
      </c>
      <c r="J830" s="36">
        <v>76014.969240000006</v>
      </c>
      <c r="L830" s="2"/>
      <c r="M830" s="2"/>
      <c r="O830" s="37">
        <v>46053.865277777775</v>
      </c>
      <c r="P830" s="36">
        <v>77533.301789999998</v>
      </c>
      <c r="R830" s="2">
        <v>78097.507689999999</v>
      </c>
      <c r="S830" s="2">
        <v>77107.036800000002</v>
      </c>
    </row>
    <row r="831" spans="1:19" x14ac:dyDescent="0.35">
      <c r="A831" s="7">
        <v>828</v>
      </c>
      <c r="B831" s="37">
        <v>46053.865972222222</v>
      </c>
      <c r="C831" s="2">
        <v>77420.960000000006</v>
      </c>
      <c r="D831" s="43">
        <v>77476.73</v>
      </c>
      <c r="E831" s="43">
        <v>77354.009999999995</v>
      </c>
      <c r="F831" s="2">
        <v>77355.78</v>
      </c>
      <c r="G831" s="1">
        <v>267</v>
      </c>
      <c r="I831" s="39">
        <v>46053.865972222222</v>
      </c>
      <c r="J831" s="36">
        <v>76018.824280000001</v>
      </c>
      <c r="L831" s="2"/>
      <c r="M831" s="2"/>
      <c r="O831" s="37">
        <v>46053.865972222222</v>
      </c>
      <c r="P831" s="36">
        <v>77571.654999999999</v>
      </c>
      <c r="R831" s="2">
        <v>78098.247180000006</v>
      </c>
      <c r="S831" s="2">
        <v>77112.600399999996</v>
      </c>
    </row>
    <row r="832" spans="1:19" x14ac:dyDescent="0.35">
      <c r="A832" s="7">
        <v>829</v>
      </c>
      <c r="B832" s="37">
        <v>46053.866666666669</v>
      </c>
      <c r="C832" s="2">
        <v>77355.740000000005</v>
      </c>
      <c r="D832" s="43">
        <v>77485.34</v>
      </c>
      <c r="E832" s="43">
        <v>77355.740000000005</v>
      </c>
      <c r="F832" s="2">
        <v>77482.23</v>
      </c>
      <c r="G832" s="1">
        <v>270</v>
      </c>
      <c r="I832" s="39">
        <v>46053.866666666669</v>
      </c>
      <c r="J832" s="36">
        <v>76022.679310000007</v>
      </c>
      <c r="L832" s="2"/>
      <c r="M832" s="2"/>
      <c r="O832" s="37">
        <v>46053.866666666669</v>
      </c>
      <c r="P832" s="36">
        <v>77610.00821</v>
      </c>
      <c r="R832" s="2">
        <v>78098.986669999998</v>
      </c>
      <c r="S832" s="2">
        <v>77118.164000000004</v>
      </c>
    </row>
    <row r="833" spans="1:19" x14ac:dyDescent="0.35">
      <c r="A833" s="7">
        <v>830</v>
      </c>
      <c r="B833" s="37">
        <v>46053.867361111108</v>
      </c>
      <c r="C833" s="2">
        <v>77477.509999999995</v>
      </c>
      <c r="D833" s="43">
        <v>77477.509999999995</v>
      </c>
      <c r="E833" s="43">
        <v>77318.78</v>
      </c>
      <c r="F833" s="2">
        <v>77362.649999999994</v>
      </c>
      <c r="G833" s="1">
        <v>277</v>
      </c>
      <c r="I833" s="39">
        <v>46053.867361111108</v>
      </c>
      <c r="J833" s="36">
        <v>76026.534339999998</v>
      </c>
      <c r="L833" s="2"/>
      <c r="M833" s="2"/>
      <c r="O833" s="37">
        <v>46053.867361111108</v>
      </c>
      <c r="P833" s="36">
        <v>77648.361430000004</v>
      </c>
      <c r="R833" s="2">
        <v>78099.726150000002</v>
      </c>
      <c r="S833" s="2">
        <v>77123.727599999998</v>
      </c>
    </row>
    <row r="834" spans="1:19" x14ac:dyDescent="0.35">
      <c r="A834" s="7">
        <v>831</v>
      </c>
      <c r="B834" s="37">
        <v>46053.868055555555</v>
      </c>
      <c r="C834" s="2">
        <v>77360.56</v>
      </c>
      <c r="D834" s="43">
        <v>77454.75</v>
      </c>
      <c r="E834" s="43">
        <v>77336.77</v>
      </c>
      <c r="F834" s="2">
        <v>77439.73</v>
      </c>
      <c r="G834" s="1">
        <v>271</v>
      </c>
      <c r="I834" s="39">
        <v>46053.868055555555</v>
      </c>
      <c r="J834" s="36">
        <v>76030.389379999993</v>
      </c>
      <c r="L834" s="2"/>
      <c r="M834" s="2"/>
      <c r="O834" s="37">
        <v>46053.868055555555</v>
      </c>
      <c r="P834" s="36">
        <v>77686.714640000006</v>
      </c>
      <c r="R834" s="2">
        <v>78100.465639999995</v>
      </c>
      <c r="S834" s="2">
        <v>77129.291200000007</v>
      </c>
    </row>
    <row r="835" spans="1:19" x14ac:dyDescent="0.35">
      <c r="A835" s="7">
        <v>832</v>
      </c>
      <c r="B835" s="37">
        <v>46053.868750000001</v>
      </c>
      <c r="C835" s="2">
        <v>77440.23</v>
      </c>
      <c r="D835" s="43">
        <v>77482.960000000006</v>
      </c>
      <c r="E835" s="43">
        <v>77425.39</v>
      </c>
      <c r="F835" s="2">
        <v>77468.789999999994</v>
      </c>
      <c r="G835" s="1">
        <v>237</v>
      </c>
      <c r="I835" s="39">
        <v>46053.868750000001</v>
      </c>
      <c r="J835" s="36">
        <v>76034.244409999999</v>
      </c>
      <c r="L835" s="2"/>
      <c r="M835" s="2"/>
      <c r="O835" s="37">
        <v>46053.868750000001</v>
      </c>
      <c r="P835" s="36">
        <v>77725.067859999996</v>
      </c>
      <c r="R835" s="2">
        <v>78101.205130000002</v>
      </c>
      <c r="S835" s="2">
        <v>77134.854800000001</v>
      </c>
    </row>
    <row r="836" spans="1:19" x14ac:dyDescent="0.35">
      <c r="A836" s="7">
        <v>833</v>
      </c>
      <c r="B836" s="37">
        <v>46053.869444444441</v>
      </c>
      <c r="C836" s="2">
        <v>77468.59</v>
      </c>
      <c r="D836" s="43">
        <v>77576.81</v>
      </c>
      <c r="E836" s="43">
        <v>77468.59</v>
      </c>
      <c r="F836" s="2">
        <v>77552.56</v>
      </c>
      <c r="G836" s="1">
        <v>242</v>
      </c>
      <c r="I836" s="39">
        <v>46053.869444444441</v>
      </c>
      <c r="J836" s="36">
        <v>76038.099449999994</v>
      </c>
      <c r="L836" s="2"/>
      <c r="M836" s="2"/>
      <c r="O836" s="37">
        <v>46053.869444444441</v>
      </c>
      <c r="P836" s="36">
        <v>77763.421069999997</v>
      </c>
      <c r="R836" s="2">
        <v>78101.944619999995</v>
      </c>
      <c r="S836" s="2">
        <v>77140.418399999995</v>
      </c>
    </row>
    <row r="837" spans="1:19" x14ac:dyDescent="0.35">
      <c r="A837" s="7">
        <v>834</v>
      </c>
      <c r="B837" s="37">
        <v>46053.870138888888</v>
      </c>
      <c r="C837" s="2">
        <v>77567.509999999995</v>
      </c>
      <c r="D837" s="43">
        <v>77577.740000000005</v>
      </c>
      <c r="E837" s="43">
        <v>77513.31</v>
      </c>
      <c r="F837" s="2">
        <v>77560.5</v>
      </c>
      <c r="G837" s="1">
        <v>272</v>
      </c>
      <c r="I837" s="39">
        <v>46053.870138888888</v>
      </c>
      <c r="J837" s="36">
        <v>76041.95448</v>
      </c>
      <c r="L837" s="2"/>
      <c r="M837" s="2"/>
      <c r="O837" s="37">
        <v>46053.870138888888</v>
      </c>
      <c r="P837" s="36">
        <v>77801.774290000001</v>
      </c>
      <c r="R837" s="2">
        <v>78102.684099999999</v>
      </c>
      <c r="S837" s="2">
        <v>77145.982000000004</v>
      </c>
    </row>
    <row r="838" spans="1:19" x14ac:dyDescent="0.35">
      <c r="A838" s="7">
        <v>835</v>
      </c>
      <c r="B838" s="37">
        <v>46053.870833333334</v>
      </c>
      <c r="C838" s="2">
        <v>77560.05</v>
      </c>
      <c r="D838" s="43">
        <v>77664.11</v>
      </c>
      <c r="E838" s="43">
        <v>77544.92</v>
      </c>
      <c r="F838" s="2">
        <v>77664.05</v>
      </c>
      <c r="G838" s="1">
        <v>236</v>
      </c>
      <c r="I838" s="39">
        <v>46053.870833333334</v>
      </c>
      <c r="J838" s="36">
        <v>76045.809519999995</v>
      </c>
      <c r="L838" s="2"/>
      <c r="M838" s="2"/>
      <c r="O838" s="37">
        <v>46053.870833333334</v>
      </c>
      <c r="P838" s="36">
        <v>77840.127500000002</v>
      </c>
      <c r="R838" s="2">
        <v>78103.423590000006</v>
      </c>
      <c r="S838" s="2">
        <v>77151.545599999998</v>
      </c>
    </row>
    <row r="839" spans="1:19" x14ac:dyDescent="0.35">
      <c r="A839" s="7">
        <v>836</v>
      </c>
      <c r="B839" s="37">
        <v>46053.871527777781</v>
      </c>
      <c r="C839" s="2">
        <v>77664.7</v>
      </c>
      <c r="D839" s="43">
        <v>77761.179999999993</v>
      </c>
      <c r="E839" s="43">
        <v>77627.990000000005</v>
      </c>
      <c r="F839" s="2">
        <v>77751.19</v>
      </c>
      <c r="G839" s="1">
        <v>279</v>
      </c>
      <c r="I839" s="39">
        <v>46053.871527777781</v>
      </c>
      <c r="J839" s="36">
        <v>76049.664550000001</v>
      </c>
      <c r="L839" s="2"/>
      <c r="M839" s="2"/>
      <c r="O839" s="37">
        <v>46053.871527777781</v>
      </c>
      <c r="P839" s="36">
        <v>77878.480710000003</v>
      </c>
      <c r="R839" s="2">
        <v>78104.163079999998</v>
      </c>
      <c r="S839" s="2">
        <v>77157.109200000006</v>
      </c>
    </row>
    <row r="840" spans="1:19" x14ac:dyDescent="0.35">
      <c r="A840" s="7">
        <v>837</v>
      </c>
      <c r="B840" s="37">
        <v>46053.87222222222</v>
      </c>
      <c r="C840" s="2">
        <v>77753.7</v>
      </c>
      <c r="D840" s="43">
        <v>77932.03</v>
      </c>
      <c r="E840" s="43">
        <v>77727.210000000006</v>
      </c>
      <c r="F840" s="2">
        <v>77932.03</v>
      </c>
      <c r="G840" s="1">
        <v>283</v>
      </c>
      <c r="I840" s="39">
        <v>46053.87222222222</v>
      </c>
      <c r="J840" s="36">
        <v>76053.519589999996</v>
      </c>
      <c r="L840" s="2"/>
      <c r="M840" s="2"/>
      <c r="O840" s="37">
        <v>46053.87222222222</v>
      </c>
      <c r="P840" s="36">
        <v>77916.833929999993</v>
      </c>
      <c r="R840" s="2">
        <v>78104.902560000002</v>
      </c>
      <c r="S840" s="2">
        <v>77162.6728</v>
      </c>
    </row>
    <row r="841" spans="1:19" x14ac:dyDescent="0.35">
      <c r="A841" s="7">
        <v>838</v>
      </c>
      <c r="B841" s="37">
        <v>46053.872916666667</v>
      </c>
      <c r="C841" s="2">
        <v>77911.19</v>
      </c>
      <c r="D841" s="43">
        <v>77955.73</v>
      </c>
      <c r="E841" s="43">
        <v>77853.48</v>
      </c>
      <c r="F841" s="2">
        <v>77926.67</v>
      </c>
      <c r="G841" s="1">
        <v>261</v>
      </c>
      <c r="I841" s="39">
        <v>46053.872916666667</v>
      </c>
      <c r="J841" s="36">
        <v>76057.374620000002</v>
      </c>
      <c r="L841" s="2"/>
      <c r="M841" s="2"/>
      <c r="O841" s="37">
        <v>46053.872916666667</v>
      </c>
      <c r="P841" s="36">
        <v>77955.187139999995</v>
      </c>
      <c r="R841" s="2">
        <v>78105.642049999995</v>
      </c>
      <c r="S841" s="2">
        <v>77168.236399999994</v>
      </c>
    </row>
    <row r="842" spans="1:19" x14ac:dyDescent="0.35">
      <c r="A842" s="7">
        <v>839</v>
      </c>
      <c r="B842" s="37">
        <v>46053.873611111114</v>
      </c>
      <c r="C842" s="2">
        <v>77927.75</v>
      </c>
      <c r="D842" s="43">
        <v>78045.240000000005</v>
      </c>
      <c r="E842" s="43">
        <v>77927.75</v>
      </c>
      <c r="F842" s="2">
        <v>78024.22</v>
      </c>
      <c r="G842" s="1">
        <v>265</v>
      </c>
      <c r="I842" s="39">
        <v>46053.873611111114</v>
      </c>
      <c r="J842" s="36">
        <v>76061.229659999997</v>
      </c>
      <c r="L842" s="2"/>
      <c r="M842" s="2"/>
      <c r="O842" s="37">
        <v>46053.873611111114</v>
      </c>
      <c r="P842" s="36">
        <v>77993.540359999999</v>
      </c>
      <c r="R842" s="2">
        <v>78106.381540000002</v>
      </c>
      <c r="S842" s="2">
        <v>77173.8</v>
      </c>
    </row>
    <row r="843" spans="1:19" x14ac:dyDescent="0.35">
      <c r="A843" s="7">
        <v>840</v>
      </c>
      <c r="B843" s="37">
        <v>46053.874305555553</v>
      </c>
      <c r="C843" s="2">
        <v>78024.2</v>
      </c>
      <c r="D843" s="43">
        <v>78037.58</v>
      </c>
      <c r="E843" s="43">
        <v>77943.86</v>
      </c>
      <c r="F843" s="2">
        <v>77945.94</v>
      </c>
      <c r="G843" s="1">
        <v>267</v>
      </c>
      <c r="I843" s="39">
        <v>46053.874305555553</v>
      </c>
      <c r="J843" s="36">
        <v>76065.084690000003</v>
      </c>
      <c r="L843" s="2"/>
      <c r="M843" s="2"/>
      <c r="O843" s="37">
        <v>46053.874305555553</v>
      </c>
      <c r="P843" s="36">
        <v>78031.89357</v>
      </c>
      <c r="R843" s="2">
        <v>78107.121029999995</v>
      </c>
      <c r="S843" s="2">
        <v>77179.363599999997</v>
      </c>
    </row>
    <row r="844" spans="1:19" x14ac:dyDescent="0.35">
      <c r="A844" s="7">
        <v>841</v>
      </c>
      <c r="B844" s="37">
        <v>46053.875</v>
      </c>
      <c r="C844" s="2">
        <v>77940.5</v>
      </c>
      <c r="D844" s="43">
        <v>78042.2</v>
      </c>
      <c r="E844" s="43">
        <v>77940.5</v>
      </c>
      <c r="F844" s="2">
        <v>78017.75</v>
      </c>
      <c r="G844" s="1">
        <v>242</v>
      </c>
      <c r="I844" s="39">
        <v>46053.875</v>
      </c>
      <c r="J844" s="36">
        <v>76068.939719999995</v>
      </c>
      <c r="L844" s="2"/>
      <c r="M844" s="2"/>
      <c r="O844" s="37">
        <v>46053.875</v>
      </c>
      <c r="P844" s="36">
        <v>78070.246790000005</v>
      </c>
      <c r="R844" s="2">
        <v>78107.860509999999</v>
      </c>
      <c r="S844" s="2">
        <v>77184.927200000006</v>
      </c>
    </row>
    <row r="845" spans="1:19" x14ac:dyDescent="0.35">
      <c r="A845" s="7">
        <v>842</v>
      </c>
      <c r="B845" s="37">
        <v>46053.875694444447</v>
      </c>
      <c r="C845" s="2">
        <v>78017.64</v>
      </c>
      <c r="D845" s="43">
        <v>78108.600000000006</v>
      </c>
      <c r="E845" s="43">
        <v>78005.289999999994</v>
      </c>
      <c r="F845" s="2">
        <v>78049.58</v>
      </c>
      <c r="G845" s="1">
        <v>268</v>
      </c>
      <c r="I845" s="39">
        <v>46053.875694444447</v>
      </c>
      <c r="J845" s="36">
        <v>76072.794760000004</v>
      </c>
      <c r="L845" s="2"/>
      <c r="M845" s="2"/>
      <c r="O845" s="37">
        <v>46053.875694444447</v>
      </c>
      <c r="P845" s="36">
        <v>78108.600000000006</v>
      </c>
      <c r="Q845" s="4" t="s">
        <v>14</v>
      </c>
      <c r="R845" s="2">
        <v>78108.600000000006</v>
      </c>
      <c r="S845" s="2">
        <v>77190.4908</v>
      </c>
    </row>
    <row r="846" spans="1:19" x14ac:dyDescent="0.35">
      <c r="A846" s="7">
        <v>843</v>
      </c>
      <c r="B846" s="37">
        <v>46053.876388888886</v>
      </c>
      <c r="C846" s="2">
        <v>78049.63</v>
      </c>
      <c r="D846" s="43">
        <v>78049.63</v>
      </c>
      <c r="E846" s="43">
        <v>77801.84</v>
      </c>
      <c r="F846" s="2">
        <v>77819.61</v>
      </c>
      <c r="G846" s="1">
        <v>249</v>
      </c>
      <c r="I846" s="39">
        <v>46053.876388888886</v>
      </c>
      <c r="J846" s="36">
        <v>76076.649789999996</v>
      </c>
      <c r="L846" s="2"/>
      <c r="M846" s="2"/>
      <c r="O846" s="37">
        <v>46053.876388888886</v>
      </c>
      <c r="P846" s="36">
        <v>78072.431360000002</v>
      </c>
      <c r="R846" s="2">
        <v>78115.091790000006</v>
      </c>
      <c r="S846" s="2">
        <v>77196.054399999994</v>
      </c>
    </row>
    <row r="847" spans="1:19" x14ac:dyDescent="0.35">
      <c r="A847" s="7">
        <v>844</v>
      </c>
      <c r="B847" s="37">
        <v>46053.877083333333</v>
      </c>
      <c r="C847" s="2">
        <v>77838.3</v>
      </c>
      <c r="D847" s="43">
        <v>77890.23</v>
      </c>
      <c r="E847" s="43">
        <v>77592.820000000007</v>
      </c>
      <c r="F847" s="2">
        <v>77630.78</v>
      </c>
      <c r="G847" s="1">
        <v>261</v>
      </c>
      <c r="I847" s="39">
        <v>46053.877083333333</v>
      </c>
      <c r="J847" s="36">
        <v>76080.504830000005</v>
      </c>
      <c r="L847" s="2"/>
      <c r="M847" s="2"/>
      <c r="O847" s="37">
        <v>46053.877083333333</v>
      </c>
      <c r="P847" s="36">
        <v>78036.262730000002</v>
      </c>
      <c r="R847" s="2">
        <v>78121.583589999995</v>
      </c>
      <c r="S847" s="2">
        <v>77201.618000000002</v>
      </c>
    </row>
    <row r="848" spans="1:19" x14ac:dyDescent="0.35">
      <c r="A848" s="7">
        <v>845</v>
      </c>
      <c r="B848" s="37">
        <v>46053.87777777778</v>
      </c>
      <c r="C848" s="2">
        <v>77636.11</v>
      </c>
      <c r="D848" s="43">
        <v>77700.19</v>
      </c>
      <c r="E848" s="43">
        <v>77621.61</v>
      </c>
      <c r="F848" s="2">
        <v>77653.87</v>
      </c>
      <c r="G848" s="1">
        <v>206</v>
      </c>
      <c r="I848" s="39">
        <v>46053.87777777778</v>
      </c>
      <c r="J848" s="36">
        <v>76084.359859999997</v>
      </c>
      <c r="L848" s="2"/>
      <c r="M848" s="2"/>
      <c r="O848" s="37">
        <v>46053.87777777778</v>
      </c>
      <c r="P848" s="36">
        <v>78000.094089999999</v>
      </c>
      <c r="R848" s="2">
        <v>78128.075379999995</v>
      </c>
      <c r="S848" s="2">
        <v>77207.181599999996</v>
      </c>
    </row>
    <row r="849" spans="1:19" x14ac:dyDescent="0.35">
      <c r="A849" s="7">
        <v>846</v>
      </c>
      <c r="B849" s="37">
        <v>46053.878472222219</v>
      </c>
      <c r="C849" s="2">
        <v>77653.87</v>
      </c>
      <c r="D849" s="43">
        <v>77765.320000000007</v>
      </c>
      <c r="E849" s="43">
        <v>77629.259999999995</v>
      </c>
      <c r="F849" s="2">
        <v>77637.820000000007</v>
      </c>
      <c r="G849" s="1">
        <v>247</v>
      </c>
      <c r="I849" s="39">
        <v>46053.878472222219</v>
      </c>
      <c r="J849" s="36">
        <v>76088.214900000006</v>
      </c>
      <c r="L849" s="2"/>
      <c r="M849" s="2"/>
      <c r="O849" s="37">
        <v>46053.878472222219</v>
      </c>
      <c r="P849" s="36">
        <v>77963.925449999995</v>
      </c>
      <c r="R849" s="2">
        <v>78134.567179999998</v>
      </c>
      <c r="S849" s="2">
        <v>77212.745200000005</v>
      </c>
    </row>
    <row r="850" spans="1:19" x14ac:dyDescent="0.35">
      <c r="A850" s="7">
        <v>847</v>
      </c>
      <c r="B850" s="37">
        <v>46053.879166666666</v>
      </c>
      <c r="C850" s="2">
        <v>77634.960000000006</v>
      </c>
      <c r="D850" s="43">
        <v>77752.31</v>
      </c>
      <c r="E850" s="43">
        <v>77632.31</v>
      </c>
      <c r="F850" s="2">
        <v>77743.64</v>
      </c>
      <c r="G850" s="1">
        <v>275</v>
      </c>
      <c r="I850" s="39">
        <v>46053.879166666666</v>
      </c>
      <c r="J850" s="36">
        <v>76092.069929999998</v>
      </c>
      <c r="L850" s="2"/>
      <c r="M850" s="2"/>
      <c r="O850" s="37">
        <v>46053.879166666666</v>
      </c>
      <c r="P850" s="36">
        <v>77927.756819999995</v>
      </c>
      <c r="R850" s="2">
        <v>78141.058969999998</v>
      </c>
      <c r="S850" s="2">
        <v>77218.308799999999</v>
      </c>
    </row>
    <row r="851" spans="1:19" x14ac:dyDescent="0.35">
      <c r="A851" s="7">
        <v>848</v>
      </c>
      <c r="B851" s="37">
        <v>46053.879861111112</v>
      </c>
      <c r="C851" s="2">
        <v>77751.25</v>
      </c>
      <c r="D851" s="43">
        <v>77911.259999999995</v>
      </c>
      <c r="E851" s="43">
        <v>77739.12</v>
      </c>
      <c r="F851" s="2">
        <v>77883.600000000006</v>
      </c>
      <c r="G851" s="1">
        <v>271</v>
      </c>
      <c r="I851" s="39">
        <v>46053.879861111112</v>
      </c>
      <c r="J851" s="36">
        <v>76095.924969999993</v>
      </c>
      <c r="L851" s="2"/>
      <c r="M851" s="2"/>
      <c r="O851" s="37">
        <v>46053.879861111112</v>
      </c>
      <c r="P851" s="36">
        <v>77891.588180000006</v>
      </c>
      <c r="R851" s="2">
        <v>78147.550770000002</v>
      </c>
      <c r="S851" s="2">
        <v>77223.872399999993</v>
      </c>
    </row>
    <row r="852" spans="1:19" x14ac:dyDescent="0.35">
      <c r="A852" s="7">
        <v>849</v>
      </c>
      <c r="B852" s="37">
        <v>46053.880555555559</v>
      </c>
      <c r="C852" s="2">
        <v>77884.22</v>
      </c>
      <c r="D852" s="43">
        <v>77921.14</v>
      </c>
      <c r="E852" s="43">
        <v>77849.83</v>
      </c>
      <c r="F852" s="2">
        <v>77863.429999999993</v>
      </c>
      <c r="G852" s="1">
        <v>278</v>
      </c>
      <c r="I852" s="39">
        <v>46053.880555555559</v>
      </c>
      <c r="J852" s="36">
        <v>76099.78</v>
      </c>
      <c r="L852" s="2"/>
      <c r="M852" s="2"/>
      <c r="O852" s="37">
        <v>46053.880555555559</v>
      </c>
      <c r="P852" s="36">
        <v>77855.419550000006</v>
      </c>
      <c r="R852" s="2">
        <v>78154.042560000002</v>
      </c>
      <c r="S852" s="2">
        <v>77229.436000000002</v>
      </c>
    </row>
    <row r="853" spans="1:19" x14ac:dyDescent="0.35">
      <c r="A853" s="7">
        <v>850</v>
      </c>
      <c r="B853" s="37">
        <v>46053.881249999999</v>
      </c>
      <c r="C853" s="2">
        <v>77872.899999999994</v>
      </c>
      <c r="D853" s="43">
        <v>77919.11</v>
      </c>
      <c r="E853" s="43">
        <v>77857.259999999995</v>
      </c>
      <c r="F853" s="2">
        <v>77895.34</v>
      </c>
      <c r="G853" s="1">
        <v>261</v>
      </c>
      <c r="I853" s="39">
        <v>46053.881249999999</v>
      </c>
      <c r="J853" s="36">
        <v>76103.635030000005</v>
      </c>
      <c r="L853" s="2"/>
      <c r="M853" s="2"/>
      <c r="O853" s="37">
        <v>46053.881249999999</v>
      </c>
      <c r="P853" s="36">
        <v>77819.250910000002</v>
      </c>
      <c r="R853" s="2">
        <v>78160.534360000005</v>
      </c>
      <c r="S853" s="2">
        <v>77234.999599999996</v>
      </c>
    </row>
    <row r="854" spans="1:19" x14ac:dyDescent="0.35">
      <c r="A854" s="7">
        <v>851</v>
      </c>
      <c r="B854" s="37">
        <v>46053.881944444445</v>
      </c>
      <c r="C854" s="2">
        <v>77895.320000000007</v>
      </c>
      <c r="D854" s="43">
        <v>77895.320000000007</v>
      </c>
      <c r="E854" s="43">
        <v>77839.45</v>
      </c>
      <c r="F854" s="2">
        <v>77886.2</v>
      </c>
      <c r="G854" s="1">
        <v>204</v>
      </c>
      <c r="I854" s="39">
        <v>46053.881944444445</v>
      </c>
      <c r="J854" s="36">
        <v>76107.49007</v>
      </c>
      <c r="L854" s="2"/>
      <c r="M854" s="2"/>
      <c r="O854" s="37">
        <v>46053.881944444445</v>
      </c>
      <c r="P854" s="36">
        <v>77783.082269999999</v>
      </c>
      <c r="R854" s="2">
        <v>78167.026150000005</v>
      </c>
      <c r="S854" s="2">
        <v>77240.563200000004</v>
      </c>
    </row>
    <row r="855" spans="1:19" x14ac:dyDescent="0.35">
      <c r="A855" s="7">
        <v>852</v>
      </c>
      <c r="B855" s="37">
        <v>46053.882638888892</v>
      </c>
      <c r="C855" s="2">
        <v>77886.350000000006</v>
      </c>
      <c r="D855" s="43">
        <v>77886.350000000006</v>
      </c>
      <c r="E855" s="43">
        <v>77733.45</v>
      </c>
      <c r="F855" s="2">
        <v>77739.97</v>
      </c>
      <c r="G855" s="1">
        <v>261</v>
      </c>
      <c r="I855" s="39">
        <v>46053.882638888892</v>
      </c>
      <c r="J855" s="36">
        <v>76111.345100000006</v>
      </c>
      <c r="L855" s="2"/>
      <c r="M855" s="2"/>
      <c r="O855" s="37">
        <v>46053.882638888892</v>
      </c>
      <c r="P855" s="36">
        <v>77746.913639999999</v>
      </c>
      <c r="R855" s="2">
        <v>78173.517949999994</v>
      </c>
      <c r="S855" s="2">
        <v>77246.126799999998</v>
      </c>
    </row>
    <row r="856" spans="1:19" x14ac:dyDescent="0.35">
      <c r="A856" s="7">
        <v>853</v>
      </c>
      <c r="B856" s="37">
        <v>46053.883333333331</v>
      </c>
      <c r="C856" s="2">
        <v>77739.759999999995</v>
      </c>
      <c r="D856" s="43">
        <v>77791.850000000006</v>
      </c>
      <c r="E856" s="43">
        <v>77699.73</v>
      </c>
      <c r="F856" s="2">
        <v>77700.820000000007</v>
      </c>
      <c r="G856" s="1">
        <v>255</v>
      </c>
      <c r="I856" s="39">
        <v>46053.883333333331</v>
      </c>
      <c r="J856" s="36">
        <v>76115.200140000001</v>
      </c>
      <c r="L856" s="2"/>
      <c r="M856" s="2"/>
      <c r="O856" s="37">
        <v>46053.883333333331</v>
      </c>
      <c r="P856" s="36">
        <v>77710.744999999995</v>
      </c>
      <c r="R856" s="2">
        <v>78180.009739999994</v>
      </c>
      <c r="S856" s="2">
        <v>77251.690400000007</v>
      </c>
    </row>
    <row r="857" spans="1:19" x14ac:dyDescent="0.35">
      <c r="A857" s="7">
        <v>854</v>
      </c>
      <c r="B857" s="37">
        <v>46053.884027777778</v>
      </c>
      <c r="C857" s="2">
        <v>77690.64</v>
      </c>
      <c r="D857" s="43">
        <v>77713.83</v>
      </c>
      <c r="E857" s="43">
        <v>77636.75</v>
      </c>
      <c r="F857" s="2">
        <v>77636.75</v>
      </c>
      <c r="G857" s="1">
        <v>216</v>
      </c>
      <c r="I857" s="39">
        <v>46053.884027777778</v>
      </c>
      <c r="J857" s="36">
        <v>76119.055170000007</v>
      </c>
      <c r="L857" s="2"/>
      <c r="M857" s="2"/>
      <c r="O857" s="37">
        <v>46053.884027777778</v>
      </c>
      <c r="P857" s="36">
        <v>77674.576360000006</v>
      </c>
      <c r="R857" s="2">
        <v>78186.501539999997</v>
      </c>
      <c r="S857" s="2">
        <v>77257.254000000001</v>
      </c>
    </row>
    <row r="858" spans="1:19" x14ac:dyDescent="0.35">
      <c r="A858" s="7">
        <v>855</v>
      </c>
      <c r="B858" s="37">
        <v>46053.884722222225</v>
      </c>
      <c r="C858" s="2">
        <v>77626.73</v>
      </c>
      <c r="D858" s="43">
        <v>77626.73</v>
      </c>
      <c r="E858" s="43">
        <v>77560.38</v>
      </c>
      <c r="F858" s="2">
        <v>77612.09</v>
      </c>
      <c r="G858" s="1">
        <v>200</v>
      </c>
      <c r="I858" s="39">
        <v>46053.884722222225</v>
      </c>
      <c r="J858" s="36">
        <v>76122.910210000002</v>
      </c>
      <c r="L858" s="2"/>
      <c r="M858" s="2"/>
      <c r="O858" s="37">
        <v>46053.884722222225</v>
      </c>
      <c r="P858" s="36">
        <v>77638.407730000006</v>
      </c>
      <c r="R858" s="2">
        <v>78192.993329999998</v>
      </c>
      <c r="S858" s="2">
        <v>77262.817599999995</v>
      </c>
    </row>
    <row r="859" spans="1:19" x14ac:dyDescent="0.35">
      <c r="A859" s="7">
        <v>856</v>
      </c>
      <c r="B859" s="37">
        <v>46053.885416666664</v>
      </c>
      <c r="C859" s="2">
        <v>77599.08</v>
      </c>
      <c r="D859" s="43">
        <v>77715.490000000005</v>
      </c>
      <c r="E859" s="43">
        <v>77572.72</v>
      </c>
      <c r="F859" s="2">
        <v>77657.14</v>
      </c>
      <c r="G859" s="1">
        <v>248</v>
      </c>
      <c r="I859" s="39">
        <v>46053.885416666664</v>
      </c>
      <c r="J859" s="36">
        <v>76126.765239999993</v>
      </c>
      <c r="L859" s="2"/>
      <c r="M859" s="2"/>
      <c r="O859" s="37">
        <v>46053.885416666664</v>
      </c>
      <c r="P859" s="36">
        <v>77602.239090000003</v>
      </c>
      <c r="R859" s="2">
        <v>78199.485130000001</v>
      </c>
      <c r="S859" s="2">
        <v>77268.381200000003</v>
      </c>
    </row>
    <row r="860" spans="1:19" x14ac:dyDescent="0.35">
      <c r="A860" s="7">
        <v>857</v>
      </c>
      <c r="B860" s="37">
        <v>46053.886111111111</v>
      </c>
      <c r="C860" s="2">
        <v>77641.25</v>
      </c>
      <c r="D860" s="43">
        <v>77711.11</v>
      </c>
      <c r="E860" s="43">
        <v>77560.31</v>
      </c>
      <c r="F860" s="2">
        <v>77662.490000000005</v>
      </c>
      <c r="G860" s="1">
        <v>282</v>
      </c>
      <c r="I860" s="39">
        <v>46053.886111111111</v>
      </c>
      <c r="J860" s="36">
        <v>76130.620280000003</v>
      </c>
      <c r="L860" s="2"/>
      <c r="M860" s="2"/>
      <c r="O860" s="37">
        <v>46053.886111111111</v>
      </c>
      <c r="P860" s="36">
        <v>77566.070449999999</v>
      </c>
      <c r="R860" s="2">
        <v>78205.976920000001</v>
      </c>
      <c r="S860" s="2">
        <v>77273.944799999997</v>
      </c>
    </row>
    <row r="861" spans="1:19" x14ac:dyDescent="0.35">
      <c r="A861" s="7">
        <v>858</v>
      </c>
      <c r="B861" s="37">
        <v>46053.886805555558</v>
      </c>
      <c r="C861" s="2">
        <v>77652.55</v>
      </c>
      <c r="D861" s="43">
        <v>77693.47</v>
      </c>
      <c r="E861" s="43">
        <v>77627.08</v>
      </c>
      <c r="F861" s="2">
        <v>77681.399999999994</v>
      </c>
      <c r="G861" s="1">
        <v>216</v>
      </c>
      <c r="I861" s="39">
        <v>46053.886805555558</v>
      </c>
      <c r="J861" s="36">
        <v>76134.475309999994</v>
      </c>
      <c r="L861" s="2"/>
      <c r="M861" s="2"/>
      <c r="O861" s="37">
        <v>46053.886805555558</v>
      </c>
      <c r="P861" s="36">
        <v>77529.901819999999</v>
      </c>
      <c r="R861" s="2">
        <v>78212.468720000004</v>
      </c>
      <c r="S861" s="2">
        <v>77279.508400000006</v>
      </c>
    </row>
    <row r="862" spans="1:19" x14ac:dyDescent="0.35">
      <c r="A862" s="7">
        <v>859</v>
      </c>
      <c r="B862" s="37">
        <v>46053.887499999997</v>
      </c>
      <c r="C862" s="2">
        <v>77681.56</v>
      </c>
      <c r="D862" s="43">
        <v>77722.490000000005</v>
      </c>
      <c r="E862" s="43">
        <v>77626.039999999994</v>
      </c>
      <c r="F862" s="2">
        <v>77663.09</v>
      </c>
      <c r="G862" s="1">
        <v>229</v>
      </c>
      <c r="I862" s="39">
        <v>46053.887499999997</v>
      </c>
      <c r="J862" s="36">
        <v>76138.33034</v>
      </c>
      <c r="L862" s="2"/>
      <c r="M862" s="2"/>
      <c r="O862" s="37">
        <v>46053.887499999997</v>
      </c>
      <c r="P862" s="36">
        <v>77493.733179999996</v>
      </c>
      <c r="R862" s="2">
        <v>78218.960510000004</v>
      </c>
      <c r="S862" s="2">
        <v>77285.072</v>
      </c>
    </row>
    <row r="863" spans="1:19" x14ac:dyDescent="0.35">
      <c r="A863" s="7">
        <v>860</v>
      </c>
      <c r="B863" s="37">
        <v>46053.888194444444</v>
      </c>
      <c r="C863" s="2">
        <v>77663.13</v>
      </c>
      <c r="D863" s="43">
        <v>77664.84</v>
      </c>
      <c r="E863" s="43">
        <v>77564.55</v>
      </c>
      <c r="F863" s="2">
        <v>77605.86</v>
      </c>
      <c r="G863" s="1">
        <v>246</v>
      </c>
      <c r="I863" s="39">
        <v>46053.888194444444</v>
      </c>
      <c r="J863" s="36">
        <v>76142.185379999995</v>
      </c>
      <c r="L863" s="2"/>
      <c r="M863" s="2"/>
      <c r="O863" s="37">
        <v>46053.888194444444</v>
      </c>
      <c r="P863" s="36">
        <v>77457.564549999996</v>
      </c>
      <c r="R863" s="2">
        <v>78225.452309999993</v>
      </c>
      <c r="S863" s="2">
        <v>77290.635599999994</v>
      </c>
    </row>
    <row r="864" spans="1:19" x14ac:dyDescent="0.35">
      <c r="A864" s="7">
        <v>861</v>
      </c>
      <c r="B864" s="37">
        <v>46053.888888888891</v>
      </c>
      <c r="C864" s="2">
        <v>77613.53</v>
      </c>
      <c r="D864" s="43">
        <v>77625.06</v>
      </c>
      <c r="E864" s="43">
        <v>77361.47</v>
      </c>
      <c r="F864" s="2">
        <v>77443.149999999994</v>
      </c>
      <c r="G864" s="1">
        <v>294</v>
      </c>
      <c r="I864" s="39">
        <v>46053.888888888891</v>
      </c>
      <c r="J864" s="36">
        <v>76146.040410000001</v>
      </c>
      <c r="L864" s="2"/>
      <c r="M864" s="2"/>
      <c r="O864" s="37">
        <v>46053.888888888891</v>
      </c>
      <c r="P864" s="36">
        <v>77421.395910000007</v>
      </c>
      <c r="R864" s="2">
        <v>78231.944099999993</v>
      </c>
      <c r="S864" s="2">
        <v>77296.199200000003</v>
      </c>
    </row>
    <row r="865" spans="1:19" x14ac:dyDescent="0.35">
      <c r="A865" s="7">
        <v>862</v>
      </c>
      <c r="B865" s="37">
        <v>46053.88958333333</v>
      </c>
      <c r="C865" s="2">
        <v>77450</v>
      </c>
      <c r="D865" s="43">
        <v>77490.41</v>
      </c>
      <c r="E865" s="43">
        <v>77345.460000000006</v>
      </c>
      <c r="F865" s="2">
        <v>77345.7</v>
      </c>
      <c r="G865" s="1">
        <v>260</v>
      </c>
      <c r="I865" s="39">
        <v>46053.88958333333</v>
      </c>
      <c r="J865" s="36">
        <v>76149.895449999996</v>
      </c>
      <c r="L865" s="2"/>
      <c r="M865" s="2"/>
      <c r="O865" s="37">
        <v>46053.88958333333</v>
      </c>
      <c r="P865" s="36">
        <v>77385.227270000003</v>
      </c>
      <c r="R865" s="2">
        <v>78238.435899999997</v>
      </c>
      <c r="S865" s="2">
        <v>77301.762799999997</v>
      </c>
    </row>
    <row r="866" spans="1:19" x14ac:dyDescent="0.35">
      <c r="A866" s="7">
        <v>863</v>
      </c>
      <c r="B866" s="37">
        <v>46053.890277777777</v>
      </c>
      <c r="C866" s="2">
        <v>77345.490000000005</v>
      </c>
      <c r="D866" s="43">
        <v>77452.289999999994</v>
      </c>
      <c r="E866" s="43">
        <v>77330.740000000005</v>
      </c>
      <c r="F866" s="2">
        <v>77333.11</v>
      </c>
      <c r="G866" s="1">
        <v>254</v>
      </c>
      <c r="I866" s="39">
        <v>46053.890277777777</v>
      </c>
      <c r="J866" s="36">
        <v>76153.750480000002</v>
      </c>
      <c r="L866" s="2"/>
      <c r="M866" s="2"/>
      <c r="O866" s="37">
        <v>46053.890277777777</v>
      </c>
      <c r="P866" s="36">
        <v>77349.058640000003</v>
      </c>
      <c r="R866" s="2">
        <v>78244.927689999997</v>
      </c>
      <c r="S866" s="2">
        <v>77307.326400000005</v>
      </c>
    </row>
    <row r="867" spans="1:19" x14ac:dyDescent="0.35">
      <c r="A867" s="7">
        <v>864</v>
      </c>
      <c r="B867" s="37">
        <v>46053.890972222223</v>
      </c>
      <c r="C867" s="2">
        <v>77333.149999999994</v>
      </c>
      <c r="D867" s="43">
        <v>77429.820000000007</v>
      </c>
      <c r="E867" s="43">
        <v>77312.89</v>
      </c>
      <c r="F867" s="2">
        <v>77429.820000000007</v>
      </c>
      <c r="G867" s="1">
        <v>267</v>
      </c>
      <c r="I867" s="39">
        <v>46053.890972222223</v>
      </c>
      <c r="J867" s="36">
        <v>76157.605519999997</v>
      </c>
      <c r="L867" s="2"/>
      <c r="M867" s="2"/>
      <c r="O867" s="37">
        <v>46053.890972222223</v>
      </c>
      <c r="P867" s="36">
        <v>77312.89</v>
      </c>
      <c r="Q867" s="4" t="s">
        <v>15</v>
      </c>
      <c r="R867" s="2">
        <v>78251.41949</v>
      </c>
      <c r="S867" s="2">
        <v>77312.89</v>
      </c>
    </row>
    <row r="868" spans="1:19" x14ac:dyDescent="0.35">
      <c r="A868" s="7">
        <v>865</v>
      </c>
      <c r="B868" s="37">
        <v>46053.89166666667</v>
      </c>
      <c r="C868" s="2">
        <v>77429.81</v>
      </c>
      <c r="D868" s="43">
        <v>77524.789999999994</v>
      </c>
      <c r="E868" s="43">
        <v>77411.69</v>
      </c>
      <c r="F868" s="2">
        <v>77428.31</v>
      </c>
      <c r="G868" s="1">
        <v>284</v>
      </c>
      <c r="I868" s="39">
        <v>46053.89166666667</v>
      </c>
      <c r="J868" s="36">
        <v>76161.460550000003</v>
      </c>
      <c r="L868" s="2"/>
      <c r="M868" s="2"/>
      <c r="O868" s="37">
        <v>46053.89166666667</v>
      </c>
      <c r="P868" s="36">
        <v>77324.806819999998</v>
      </c>
      <c r="R868" s="2">
        <v>78257.91128</v>
      </c>
      <c r="S868" s="2">
        <v>77316.480150000003</v>
      </c>
    </row>
    <row r="869" spans="1:19" x14ac:dyDescent="0.35">
      <c r="A869" s="7">
        <v>866</v>
      </c>
      <c r="B869" s="37">
        <v>46053.892361111109</v>
      </c>
      <c r="C869" s="2">
        <v>77423.02</v>
      </c>
      <c r="D869" s="43">
        <v>77526.570000000007</v>
      </c>
      <c r="E869" s="43">
        <v>77423.02</v>
      </c>
      <c r="F869" s="2">
        <v>77519.990000000005</v>
      </c>
      <c r="G869" s="1">
        <v>267</v>
      </c>
      <c r="I869" s="39">
        <v>46053.892361111109</v>
      </c>
      <c r="J869" s="36">
        <v>76165.315589999998</v>
      </c>
      <c r="L869" s="2"/>
      <c r="M869" s="2"/>
      <c r="O869" s="37">
        <v>46053.892361111109</v>
      </c>
      <c r="P869" s="36">
        <v>77336.723639999997</v>
      </c>
      <c r="R869" s="2">
        <v>78264.403080000004</v>
      </c>
      <c r="S869" s="2">
        <v>77320.070309999996</v>
      </c>
    </row>
    <row r="870" spans="1:19" x14ac:dyDescent="0.35">
      <c r="A870" s="7">
        <v>867</v>
      </c>
      <c r="B870" s="37">
        <v>46053.893055555556</v>
      </c>
      <c r="C870" s="2">
        <v>77528.759999999995</v>
      </c>
      <c r="D870" s="43">
        <v>77685.39</v>
      </c>
      <c r="E870" s="43">
        <v>77518.759999999995</v>
      </c>
      <c r="F870" s="2">
        <v>77681.14</v>
      </c>
      <c r="G870" s="1">
        <v>273</v>
      </c>
      <c r="I870" s="39">
        <v>46053.893055555556</v>
      </c>
      <c r="J870" s="36">
        <v>76169.170620000004</v>
      </c>
      <c r="L870" s="2"/>
      <c r="M870" s="2"/>
      <c r="O870" s="37">
        <v>46053.893055555556</v>
      </c>
      <c r="P870" s="36">
        <v>77348.640459999995</v>
      </c>
      <c r="R870" s="2">
        <v>78270.894870000004</v>
      </c>
      <c r="S870" s="2">
        <v>77323.660459999999</v>
      </c>
    </row>
    <row r="871" spans="1:19" x14ac:dyDescent="0.35">
      <c r="A871" s="7">
        <v>868</v>
      </c>
      <c r="B871" s="37">
        <v>46053.893750000003</v>
      </c>
      <c r="C871" s="2">
        <v>77720.11</v>
      </c>
      <c r="D871" s="43">
        <v>77879.149999999994</v>
      </c>
      <c r="E871" s="43">
        <v>77720.11</v>
      </c>
      <c r="F871" s="2">
        <v>77843.5</v>
      </c>
      <c r="G871" s="1">
        <v>285</v>
      </c>
      <c r="I871" s="39">
        <v>46053.893750000003</v>
      </c>
      <c r="J871" s="36">
        <v>76173.025659999999</v>
      </c>
      <c r="L871" s="2"/>
      <c r="M871" s="2"/>
      <c r="O871" s="37">
        <v>46053.893750000003</v>
      </c>
      <c r="P871" s="36">
        <v>77360.557279999994</v>
      </c>
      <c r="R871" s="2">
        <v>78277.386670000007</v>
      </c>
      <c r="S871" s="2">
        <v>77327.250610000003</v>
      </c>
    </row>
    <row r="872" spans="1:19" x14ac:dyDescent="0.35">
      <c r="A872" s="7">
        <v>869</v>
      </c>
      <c r="B872" s="37">
        <v>46053.894444444442</v>
      </c>
      <c r="C872" s="2">
        <v>77838.75</v>
      </c>
      <c r="D872" s="43">
        <v>77917.83</v>
      </c>
      <c r="E872" s="43">
        <v>77817.789999999994</v>
      </c>
      <c r="F872" s="2">
        <v>77837.899999999994</v>
      </c>
      <c r="G872" s="1">
        <v>250</v>
      </c>
      <c r="I872" s="39">
        <v>46053.894444444442</v>
      </c>
      <c r="J872" s="36">
        <v>76176.880690000005</v>
      </c>
      <c r="L872" s="2"/>
      <c r="M872" s="2"/>
      <c r="O872" s="37">
        <v>46053.894444444442</v>
      </c>
      <c r="P872" s="36">
        <v>77372.474100000007</v>
      </c>
      <c r="R872" s="2">
        <v>78283.878460000007</v>
      </c>
      <c r="S872" s="2">
        <v>77330.840769999995</v>
      </c>
    </row>
    <row r="873" spans="1:19" x14ac:dyDescent="0.35">
      <c r="A873" s="7">
        <v>870</v>
      </c>
      <c r="B873" s="37">
        <v>46053.895138888889</v>
      </c>
      <c r="C873" s="2">
        <v>77837.919999999998</v>
      </c>
      <c r="D873" s="43">
        <v>77838.070000000007</v>
      </c>
      <c r="E873" s="43">
        <v>77748.38</v>
      </c>
      <c r="F873" s="2">
        <v>77782.720000000001</v>
      </c>
      <c r="G873" s="1">
        <v>247</v>
      </c>
      <c r="I873" s="39">
        <v>46053.895138888889</v>
      </c>
      <c r="J873" s="36">
        <v>76180.735719999997</v>
      </c>
      <c r="L873" s="2"/>
      <c r="M873" s="2"/>
      <c r="O873" s="37">
        <v>46053.895138888889</v>
      </c>
      <c r="P873" s="36">
        <v>77384.390920000005</v>
      </c>
      <c r="R873" s="2">
        <v>78290.370259999996</v>
      </c>
      <c r="S873" s="2">
        <v>77334.430919999999</v>
      </c>
    </row>
    <row r="874" spans="1:19" x14ac:dyDescent="0.35">
      <c r="A874" s="7">
        <v>871</v>
      </c>
      <c r="B874" s="37">
        <v>46053.895833333336</v>
      </c>
      <c r="C874" s="2">
        <v>77781.97</v>
      </c>
      <c r="D874" s="43">
        <v>77838.399999999994</v>
      </c>
      <c r="E874" s="43">
        <v>77745.5</v>
      </c>
      <c r="F874" s="2">
        <v>77745.5</v>
      </c>
      <c r="G874" s="1">
        <v>247</v>
      </c>
      <c r="I874" s="39">
        <v>46053.895833333336</v>
      </c>
      <c r="J874" s="36">
        <v>76184.590760000006</v>
      </c>
      <c r="L874" s="2"/>
      <c r="M874" s="2"/>
      <c r="O874" s="37">
        <v>46053.895833333336</v>
      </c>
      <c r="P874" s="36">
        <v>77396.307750000007</v>
      </c>
      <c r="R874" s="2">
        <v>78296.862049999996</v>
      </c>
      <c r="S874" s="2">
        <v>77338.021070000003</v>
      </c>
    </row>
    <row r="875" spans="1:19" x14ac:dyDescent="0.35">
      <c r="A875" s="7">
        <v>872</v>
      </c>
      <c r="B875" s="37">
        <v>46053.896527777775</v>
      </c>
      <c r="C875" s="2">
        <v>77745.5</v>
      </c>
      <c r="D875" s="43">
        <v>77777.98</v>
      </c>
      <c r="E875" s="43">
        <v>77670.86</v>
      </c>
      <c r="F875" s="2">
        <v>77768.89</v>
      </c>
      <c r="G875" s="1">
        <v>257</v>
      </c>
      <c r="I875" s="39">
        <v>46053.896527777775</v>
      </c>
      <c r="J875" s="36">
        <v>76188.445789999998</v>
      </c>
      <c r="L875" s="2"/>
      <c r="M875" s="2"/>
      <c r="O875" s="37">
        <v>46053.896527777775</v>
      </c>
      <c r="P875" s="36">
        <v>77408.224570000006</v>
      </c>
      <c r="R875" s="2">
        <v>78303.35385</v>
      </c>
      <c r="S875" s="2">
        <v>77341.611229999995</v>
      </c>
    </row>
    <row r="876" spans="1:19" x14ac:dyDescent="0.35">
      <c r="A876" s="7">
        <v>873</v>
      </c>
      <c r="B876" s="37">
        <v>46053.897222222222</v>
      </c>
      <c r="C876" s="2">
        <v>77768.88</v>
      </c>
      <c r="D876" s="43">
        <v>77904.55</v>
      </c>
      <c r="E876" s="43">
        <v>77703.69</v>
      </c>
      <c r="F876" s="2">
        <v>77895.509999999995</v>
      </c>
      <c r="G876" s="1">
        <v>206</v>
      </c>
      <c r="I876" s="39">
        <v>46053.897222222222</v>
      </c>
      <c r="J876" s="36">
        <v>76192.300829999993</v>
      </c>
      <c r="L876" s="2"/>
      <c r="M876" s="2"/>
      <c r="O876" s="37">
        <v>46053.897222222222</v>
      </c>
      <c r="P876" s="36">
        <v>77420.141390000004</v>
      </c>
      <c r="R876" s="2">
        <v>78309.84564</v>
      </c>
      <c r="S876" s="2">
        <v>77345.201379999999</v>
      </c>
    </row>
    <row r="877" spans="1:19" x14ac:dyDescent="0.35">
      <c r="A877" s="7">
        <v>874</v>
      </c>
      <c r="B877" s="37">
        <v>46053.897916666669</v>
      </c>
      <c r="C877" s="2">
        <v>77887.210000000006</v>
      </c>
      <c r="D877" s="43">
        <v>77887.210000000006</v>
      </c>
      <c r="E877" s="43">
        <v>77772.53</v>
      </c>
      <c r="F877" s="2">
        <v>77802.600000000006</v>
      </c>
      <c r="G877" s="1">
        <v>253</v>
      </c>
      <c r="I877" s="39">
        <v>46053.897916666669</v>
      </c>
      <c r="J877" s="36">
        <v>76196.155859999999</v>
      </c>
      <c r="L877" s="2"/>
      <c r="M877" s="2"/>
      <c r="O877" s="37">
        <v>46053.897916666669</v>
      </c>
      <c r="P877" s="36">
        <v>77432.058210000003</v>
      </c>
      <c r="R877" s="2">
        <v>78316.337440000003</v>
      </c>
      <c r="S877" s="2">
        <v>77348.791530000002</v>
      </c>
    </row>
    <row r="878" spans="1:19" x14ac:dyDescent="0.35">
      <c r="A878" s="7">
        <v>875</v>
      </c>
      <c r="B878" s="37">
        <v>46053.898611111108</v>
      </c>
      <c r="C878" s="2">
        <v>77802.789999999994</v>
      </c>
      <c r="D878" s="43">
        <v>77930.48</v>
      </c>
      <c r="E878" s="43">
        <v>77797.960000000006</v>
      </c>
      <c r="F878" s="2">
        <v>77923.009999999995</v>
      </c>
      <c r="G878" s="1">
        <v>250</v>
      </c>
      <c r="I878" s="39">
        <v>46053.898611111108</v>
      </c>
      <c r="J878" s="36">
        <v>76200.010899999994</v>
      </c>
      <c r="L878" s="2"/>
      <c r="M878" s="2"/>
      <c r="O878" s="37">
        <v>46053.898611111108</v>
      </c>
      <c r="P878" s="36">
        <v>77443.975030000001</v>
      </c>
      <c r="R878" s="2">
        <v>78322.829230000003</v>
      </c>
      <c r="S878" s="2">
        <v>77352.381689999995</v>
      </c>
    </row>
    <row r="879" spans="1:19" x14ac:dyDescent="0.35">
      <c r="A879" s="7">
        <v>876</v>
      </c>
      <c r="B879" s="37">
        <v>46053.899305555555</v>
      </c>
      <c r="C879" s="2">
        <v>77922.98</v>
      </c>
      <c r="D879" s="43">
        <v>77963.22</v>
      </c>
      <c r="E879" s="43">
        <v>77914.710000000006</v>
      </c>
      <c r="F879" s="2">
        <v>77963.22</v>
      </c>
      <c r="G879" s="1">
        <v>258</v>
      </c>
      <c r="I879" s="39">
        <v>46053.899305555555</v>
      </c>
      <c r="J879" s="36">
        <v>76203.86593</v>
      </c>
      <c r="L879" s="2"/>
      <c r="M879" s="2"/>
      <c r="O879" s="37">
        <v>46053.899305555555</v>
      </c>
      <c r="P879" s="36">
        <v>77455.89185</v>
      </c>
      <c r="R879" s="2">
        <v>78329.321030000006</v>
      </c>
      <c r="S879" s="2">
        <v>77355.971839999998</v>
      </c>
    </row>
    <row r="880" spans="1:19" x14ac:dyDescent="0.35">
      <c r="A880" s="7">
        <v>877</v>
      </c>
      <c r="B880" s="37">
        <v>46053.9</v>
      </c>
      <c r="C880" s="2">
        <v>77962.62</v>
      </c>
      <c r="D880" s="43">
        <v>77990.34</v>
      </c>
      <c r="E880" s="43">
        <v>77958.55</v>
      </c>
      <c r="F880" s="2">
        <v>77989.279999999999</v>
      </c>
      <c r="G880" s="1">
        <v>216</v>
      </c>
      <c r="I880" s="39">
        <v>46053.9</v>
      </c>
      <c r="J880" s="36">
        <v>76207.720969999995</v>
      </c>
      <c r="L880" s="2"/>
      <c r="M880" s="2"/>
      <c r="O880" s="37">
        <v>46053.9</v>
      </c>
      <c r="P880" s="36">
        <v>77467.808669999999</v>
      </c>
      <c r="R880" s="2">
        <v>78335.812820000006</v>
      </c>
      <c r="S880" s="2">
        <v>77359.561990000002</v>
      </c>
    </row>
    <row r="881" spans="1:19" x14ac:dyDescent="0.35">
      <c r="A881" s="7">
        <v>878</v>
      </c>
      <c r="B881" s="37">
        <v>46053.900694444441</v>
      </c>
      <c r="C881" s="2">
        <v>77998.2</v>
      </c>
      <c r="D881" s="43">
        <v>78127.47</v>
      </c>
      <c r="E881" s="43">
        <v>77972.399999999994</v>
      </c>
      <c r="F881" s="2">
        <v>78111.06</v>
      </c>
      <c r="G881" s="1">
        <v>263</v>
      </c>
      <c r="I881" s="39">
        <v>46053.900694444441</v>
      </c>
      <c r="J881" s="36">
        <v>76211.576000000001</v>
      </c>
      <c r="L881" s="2"/>
      <c r="M881" s="2"/>
      <c r="O881" s="37">
        <v>46053.900694444441</v>
      </c>
      <c r="P881" s="36">
        <v>77479.725489999997</v>
      </c>
      <c r="R881" s="2">
        <v>78342.304619999995</v>
      </c>
      <c r="S881" s="2">
        <v>77363.152149999994</v>
      </c>
    </row>
    <row r="882" spans="1:19" x14ac:dyDescent="0.35">
      <c r="A882" s="7">
        <v>879</v>
      </c>
      <c r="B882" s="37">
        <v>46053.901388888888</v>
      </c>
      <c r="C882" s="2">
        <v>78106.100000000006</v>
      </c>
      <c r="D882" s="43">
        <v>78106.100000000006</v>
      </c>
      <c r="E882" s="43">
        <v>77993.23</v>
      </c>
      <c r="F882" s="2">
        <v>78041.259999999995</v>
      </c>
      <c r="G882" s="1">
        <v>284</v>
      </c>
      <c r="I882" s="39">
        <v>46053.901388888888</v>
      </c>
      <c r="J882" s="36">
        <v>76215.431030000007</v>
      </c>
      <c r="L882" s="2"/>
      <c r="M882" s="2"/>
      <c r="O882" s="37">
        <v>46053.901388888888</v>
      </c>
      <c r="P882" s="36">
        <v>77491.642309999996</v>
      </c>
      <c r="R882" s="2">
        <v>78348.796409999995</v>
      </c>
      <c r="S882" s="2">
        <v>77366.742299999998</v>
      </c>
    </row>
    <row r="883" spans="1:19" x14ac:dyDescent="0.35">
      <c r="A883" s="7">
        <v>880</v>
      </c>
      <c r="B883" s="37">
        <v>46053.902083333334</v>
      </c>
      <c r="C883" s="2">
        <v>78040.67</v>
      </c>
      <c r="D883" s="43">
        <v>78165.8</v>
      </c>
      <c r="E883" s="43">
        <v>77996.84</v>
      </c>
      <c r="F883" s="2">
        <v>78097.34</v>
      </c>
      <c r="G883" s="1">
        <v>261</v>
      </c>
      <c r="I883" s="39">
        <v>46053.902083333334</v>
      </c>
      <c r="J883" s="36">
        <v>76219.286070000002</v>
      </c>
      <c r="L883" s="2"/>
      <c r="M883" s="2"/>
      <c r="O883" s="37">
        <v>46053.902083333334</v>
      </c>
      <c r="P883" s="36">
        <v>77503.559129999994</v>
      </c>
      <c r="R883" s="2">
        <v>78355.288209999999</v>
      </c>
      <c r="S883" s="2">
        <v>77370.332450000002</v>
      </c>
    </row>
    <row r="884" spans="1:19" x14ac:dyDescent="0.35">
      <c r="A884" s="7">
        <v>881</v>
      </c>
      <c r="B884" s="37">
        <v>46053.902777777781</v>
      </c>
      <c r="C884" s="2">
        <v>78097.350000000006</v>
      </c>
      <c r="D884" s="43">
        <v>78161.899999999994</v>
      </c>
      <c r="E884" s="43">
        <v>78050.27</v>
      </c>
      <c r="F884" s="2">
        <v>78101.13</v>
      </c>
      <c r="G884" s="1">
        <v>265</v>
      </c>
      <c r="I884" s="39">
        <v>46053.902777777781</v>
      </c>
      <c r="J884" s="36">
        <v>76223.141099999993</v>
      </c>
      <c r="L884" s="2"/>
      <c r="M884" s="2"/>
      <c r="O884" s="37">
        <v>46053.902777777781</v>
      </c>
      <c r="P884" s="36">
        <v>77515.475949999993</v>
      </c>
      <c r="R884" s="2">
        <v>78361.78</v>
      </c>
      <c r="S884" s="2">
        <v>77373.922609999994</v>
      </c>
    </row>
    <row r="885" spans="1:19" x14ac:dyDescent="0.35">
      <c r="A885" s="7">
        <v>882</v>
      </c>
      <c r="B885" s="37">
        <v>46053.90347222222</v>
      </c>
      <c r="C885" s="2">
        <v>78100.73</v>
      </c>
      <c r="D885" s="43">
        <v>78155.22</v>
      </c>
      <c r="E885" s="43">
        <v>78035.399999999994</v>
      </c>
      <c r="F885" s="2">
        <v>78139.3</v>
      </c>
      <c r="G885" s="1">
        <v>262</v>
      </c>
      <c r="I885" s="39">
        <v>46053.90347222222</v>
      </c>
      <c r="J885" s="36">
        <v>76226.996140000003</v>
      </c>
      <c r="L885" s="2"/>
      <c r="M885" s="2"/>
      <c r="O885" s="37">
        <v>46053.90347222222</v>
      </c>
      <c r="P885" s="36">
        <v>77527.392770000006</v>
      </c>
      <c r="R885" s="2">
        <v>78368.271789999999</v>
      </c>
      <c r="S885" s="2">
        <v>77377.512759999998</v>
      </c>
    </row>
    <row r="886" spans="1:19" x14ac:dyDescent="0.35">
      <c r="A886" s="7">
        <v>883</v>
      </c>
      <c r="B886" s="37">
        <v>46053.904166666667</v>
      </c>
      <c r="C886" s="2">
        <v>78138.539999999994</v>
      </c>
      <c r="D886" s="43">
        <v>78204.929999999993</v>
      </c>
      <c r="E886" s="43">
        <v>78080.62</v>
      </c>
      <c r="F886" s="2">
        <v>78084.03</v>
      </c>
      <c r="G886" s="1">
        <v>263</v>
      </c>
      <c r="I886" s="39">
        <v>46053.904166666667</v>
      </c>
      <c r="J886" s="36">
        <v>76230.851169999994</v>
      </c>
      <c r="L886" s="2"/>
      <c r="M886" s="2"/>
      <c r="O886" s="37">
        <v>46053.904166666667</v>
      </c>
      <c r="P886" s="36">
        <v>77539.309599999993</v>
      </c>
      <c r="R886" s="2">
        <v>78374.763590000002</v>
      </c>
      <c r="S886" s="2">
        <v>77381.102910000001</v>
      </c>
    </row>
    <row r="887" spans="1:19" x14ac:dyDescent="0.35">
      <c r="A887" s="7">
        <v>884</v>
      </c>
      <c r="B887" s="37">
        <v>46053.904861111114</v>
      </c>
      <c r="C887" s="2">
        <v>78083.960000000006</v>
      </c>
      <c r="D887" s="43">
        <v>78126.880000000005</v>
      </c>
      <c r="E887" s="43">
        <v>78031.48</v>
      </c>
      <c r="F887" s="2">
        <v>78115.95</v>
      </c>
      <c r="G887" s="1">
        <v>269</v>
      </c>
      <c r="I887" s="39">
        <v>46053.904861111114</v>
      </c>
      <c r="J887" s="36">
        <v>76234.706210000004</v>
      </c>
      <c r="L887" s="2"/>
      <c r="M887" s="2"/>
      <c r="O887" s="37">
        <v>46053.904861111114</v>
      </c>
      <c r="P887" s="36">
        <v>77551.226420000006</v>
      </c>
      <c r="R887" s="2">
        <v>78381.255380000002</v>
      </c>
      <c r="S887" s="2">
        <v>77384.693069999994</v>
      </c>
    </row>
    <row r="888" spans="1:19" x14ac:dyDescent="0.35">
      <c r="A888" s="7">
        <v>885</v>
      </c>
      <c r="B888" s="37">
        <v>46053.905555555553</v>
      </c>
      <c r="C888" s="2">
        <v>78115.37</v>
      </c>
      <c r="D888" s="43">
        <v>78120.03</v>
      </c>
      <c r="E888" s="43">
        <v>78082.78</v>
      </c>
      <c r="F888" s="2">
        <v>78116.539999999994</v>
      </c>
      <c r="G888" s="1">
        <v>216</v>
      </c>
      <c r="I888" s="39">
        <v>46053.905555555553</v>
      </c>
      <c r="J888" s="36">
        <v>76238.561239999995</v>
      </c>
      <c r="L888" s="2"/>
      <c r="M888" s="2"/>
      <c r="O888" s="37">
        <v>46053.905555555553</v>
      </c>
      <c r="P888" s="36">
        <v>77563.143240000005</v>
      </c>
      <c r="R888" s="2">
        <v>78387.747180000006</v>
      </c>
      <c r="S888" s="2">
        <v>77388.283219999998</v>
      </c>
    </row>
    <row r="889" spans="1:19" x14ac:dyDescent="0.35">
      <c r="A889" s="7">
        <v>886</v>
      </c>
      <c r="B889" s="37">
        <v>46053.90625</v>
      </c>
      <c r="C889" s="2">
        <v>78109.100000000006</v>
      </c>
      <c r="D889" s="43">
        <v>78164.58</v>
      </c>
      <c r="E889" s="43">
        <v>78060.02</v>
      </c>
      <c r="F889" s="2">
        <v>78060.02</v>
      </c>
      <c r="G889" s="1">
        <v>254</v>
      </c>
      <c r="I889" s="39">
        <v>46053.90625</v>
      </c>
      <c r="J889" s="36">
        <v>76242.416280000005</v>
      </c>
      <c r="L889" s="2"/>
      <c r="M889" s="2"/>
      <c r="O889" s="37">
        <v>46053.90625</v>
      </c>
      <c r="P889" s="36">
        <v>77575.060060000003</v>
      </c>
      <c r="R889" s="2">
        <v>78394.238970000006</v>
      </c>
      <c r="S889" s="2">
        <v>77391.873370000001</v>
      </c>
    </row>
    <row r="890" spans="1:19" x14ac:dyDescent="0.35">
      <c r="A890" s="7">
        <v>887</v>
      </c>
      <c r="B890" s="37">
        <v>46053.906944444447</v>
      </c>
      <c r="C890" s="2">
        <v>78059.98</v>
      </c>
      <c r="D890" s="43">
        <v>78120.34</v>
      </c>
      <c r="E890" s="43">
        <v>78048.63</v>
      </c>
      <c r="F890" s="2">
        <v>78059.92</v>
      </c>
      <c r="G890" s="1">
        <v>238</v>
      </c>
      <c r="I890" s="39">
        <v>46053.906944444447</v>
      </c>
      <c r="J890" s="36">
        <v>76246.271309999996</v>
      </c>
      <c r="L890" s="2"/>
      <c r="M890" s="2"/>
      <c r="O890" s="37">
        <v>46053.906944444447</v>
      </c>
      <c r="P890" s="36">
        <v>77586.976880000002</v>
      </c>
      <c r="R890" s="2">
        <v>78400.730769999995</v>
      </c>
      <c r="S890" s="2">
        <v>77395.463520000005</v>
      </c>
    </row>
    <row r="891" spans="1:19" x14ac:dyDescent="0.35">
      <c r="A891" s="7">
        <v>888</v>
      </c>
      <c r="B891" s="37">
        <v>46053.907638888886</v>
      </c>
      <c r="C891" s="2">
        <v>78060.02</v>
      </c>
      <c r="D891" s="43">
        <v>78115.33</v>
      </c>
      <c r="E891" s="43">
        <v>78041.72</v>
      </c>
      <c r="F891" s="2">
        <v>78115.320000000007</v>
      </c>
      <c r="G891" s="1">
        <v>226</v>
      </c>
      <c r="I891" s="39">
        <v>46053.907638888886</v>
      </c>
      <c r="J891" s="36">
        <v>76250.126340000003</v>
      </c>
      <c r="L891" s="2"/>
      <c r="M891" s="2"/>
      <c r="O891" s="37">
        <v>46053.907638888886</v>
      </c>
      <c r="P891" s="36">
        <v>77598.893700000001</v>
      </c>
      <c r="R891" s="2">
        <v>78407.222559999995</v>
      </c>
      <c r="S891" s="2">
        <v>77399.053679999997</v>
      </c>
    </row>
    <row r="892" spans="1:19" x14ac:dyDescent="0.35">
      <c r="A892" s="7">
        <v>889</v>
      </c>
      <c r="B892" s="37">
        <v>46053.908333333333</v>
      </c>
      <c r="C892" s="2">
        <v>78115.320000000007</v>
      </c>
      <c r="D892" s="43">
        <v>78158.7</v>
      </c>
      <c r="E892" s="43">
        <v>78071.11</v>
      </c>
      <c r="F892" s="2">
        <v>78116.710000000006</v>
      </c>
      <c r="G892" s="1">
        <v>235</v>
      </c>
      <c r="I892" s="39">
        <v>46053.908333333333</v>
      </c>
      <c r="J892" s="36">
        <v>76253.981379999997</v>
      </c>
      <c r="L892" s="2"/>
      <c r="M892" s="2"/>
      <c r="O892" s="37">
        <v>46053.908333333333</v>
      </c>
      <c r="P892" s="36">
        <v>77610.810519999999</v>
      </c>
      <c r="R892" s="2">
        <v>78413.714359999998</v>
      </c>
      <c r="S892" s="2">
        <v>77402.643830000001</v>
      </c>
    </row>
    <row r="893" spans="1:19" x14ac:dyDescent="0.35">
      <c r="A893" s="7">
        <v>890</v>
      </c>
      <c r="B893" s="37">
        <v>46053.90902777778</v>
      </c>
      <c r="C893" s="2">
        <v>78116.710000000006</v>
      </c>
      <c r="D893" s="43">
        <v>78180.61</v>
      </c>
      <c r="E893" s="43">
        <v>78063.649999999994</v>
      </c>
      <c r="F893" s="2">
        <v>78106.89</v>
      </c>
      <c r="G893" s="1">
        <v>230</v>
      </c>
      <c r="I893" s="39">
        <v>46053.90902777778</v>
      </c>
      <c r="J893" s="36">
        <v>76257.836410000004</v>
      </c>
      <c r="L893" s="2"/>
      <c r="M893" s="2"/>
      <c r="O893" s="37">
        <v>46053.90902777778</v>
      </c>
      <c r="P893" s="36">
        <v>77622.727339999998</v>
      </c>
      <c r="R893" s="2">
        <v>78420.206149999998</v>
      </c>
      <c r="S893" s="2">
        <v>77406.233980000005</v>
      </c>
    </row>
    <row r="894" spans="1:19" x14ac:dyDescent="0.35">
      <c r="A894" s="7">
        <v>891</v>
      </c>
      <c r="B894" s="37">
        <v>46053.909722222219</v>
      </c>
      <c r="C894" s="2">
        <v>78108</v>
      </c>
      <c r="D894" s="43">
        <v>78169.33</v>
      </c>
      <c r="E894" s="43">
        <v>78086.990000000005</v>
      </c>
      <c r="F894" s="2">
        <v>78169.33</v>
      </c>
      <c r="G894" s="1">
        <v>224</v>
      </c>
      <c r="I894" s="39">
        <v>46053.909722222219</v>
      </c>
      <c r="J894" s="36">
        <v>76261.691449999998</v>
      </c>
      <c r="L894" s="2"/>
      <c r="M894" s="2"/>
      <c r="O894" s="37">
        <v>46053.909722222219</v>
      </c>
      <c r="P894" s="36">
        <v>77634.644159999996</v>
      </c>
      <c r="R894" s="2">
        <v>78426.697950000002</v>
      </c>
      <c r="S894" s="2">
        <v>77409.824139999997</v>
      </c>
    </row>
    <row r="895" spans="1:19" x14ac:dyDescent="0.35">
      <c r="A895" s="7">
        <v>892</v>
      </c>
      <c r="B895" s="37">
        <v>46053.910416666666</v>
      </c>
      <c r="C895" s="2">
        <v>78169.320000000007</v>
      </c>
      <c r="D895" s="43">
        <v>78249.62</v>
      </c>
      <c r="E895" s="43">
        <v>78131.539999999994</v>
      </c>
      <c r="F895" s="2">
        <v>78246.350000000006</v>
      </c>
      <c r="G895" s="1">
        <v>259</v>
      </c>
      <c r="I895" s="39">
        <v>46053.910416666666</v>
      </c>
      <c r="J895" s="36">
        <v>76265.546480000005</v>
      </c>
      <c r="L895" s="2"/>
      <c r="M895" s="2"/>
      <c r="O895" s="37">
        <v>46053.910416666666</v>
      </c>
      <c r="P895" s="36">
        <v>77646.560979999995</v>
      </c>
      <c r="R895" s="2">
        <v>78433.189740000002</v>
      </c>
      <c r="S895" s="2">
        <v>77413.414290000001</v>
      </c>
    </row>
    <row r="896" spans="1:19" x14ac:dyDescent="0.35">
      <c r="A896" s="7">
        <v>893</v>
      </c>
      <c r="B896" s="37">
        <v>46053.911111111112</v>
      </c>
      <c r="C896" s="2">
        <v>78242.759999999995</v>
      </c>
      <c r="D896" s="43">
        <v>78242.759999999995</v>
      </c>
      <c r="E896" s="43">
        <v>78126.320000000007</v>
      </c>
      <c r="F896" s="2">
        <v>78140.98</v>
      </c>
      <c r="G896" s="1">
        <v>232</v>
      </c>
      <c r="I896" s="39">
        <v>46053.911111111112</v>
      </c>
      <c r="J896" s="36">
        <v>76269.401519999999</v>
      </c>
      <c r="L896" s="2"/>
      <c r="M896" s="2"/>
      <c r="O896" s="37">
        <v>46053.911111111112</v>
      </c>
      <c r="P896" s="36">
        <v>77658.477799999993</v>
      </c>
      <c r="R896" s="2">
        <v>78439.681540000005</v>
      </c>
      <c r="S896" s="2">
        <v>77417.004440000004</v>
      </c>
    </row>
    <row r="897" spans="1:19" x14ac:dyDescent="0.35">
      <c r="A897" s="7">
        <v>894</v>
      </c>
      <c r="B897" s="37">
        <v>46053.911805555559</v>
      </c>
      <c r="C897" s="2">
        <v>78136.56</v>
      </c>
      <c r="D897" s="43">
        <v>78233.440000000002</v>
      </c>
      <c r="E897" s="43">
        <v>78110.77</v>
      </c>
      <c r="F897" s="2">
        <v>78200.61</v>
      </c>
      <c r="G897" s="1">
        <v>267</v>
      </c>
      <c r="I897" s="39">
        <v>46053.911805555559</v>
      </c>
      <c r="J897" s="36">
        <v>76273.256550000006</v>
      </c>
      <c r="L897" s="2"/>
      <c r="M897" s="2"/>
      <c r="O897" s="37">
        <v>46053.911805555559</v>
      </c>
      <c r="P897" s="36">
        <v>77670.394620000006</v>
      </c>
      <c r="R897" s="2">
        <v>78446.173330000005</v>
      </c>
      <c r="S897" s="2">
        <v>77420.594599999997</v>
      </c>
    </row>
    <row r="898" spans="1:19" x14ac:dyDescent="0.35">
      <c r="A898" s="7">
        <v>895</v>
      </c>
      <c r="B898" s="37">
        <v>46053.912499999999</v>
      </c>
      <c r="C898" s="2">
        <v>78200.600000000006</v>
      </c>
      <c r="D898" s="43">
        <v>78200.710000000006</v>
      </c>
      <c r="E898" s="43">
        <v>78179.929999999993</v>
      </c>
      <c r="F898" s="2">
        <v>78188.509999999995</v>
      </c>
      <c r="G898" s="1">
        <v>180</v>
      </c>
      <c r="I898" s="39">
        <v>46053.912499999999</v>
      </c>
      <c r="J898" s="36">
        <v>76277.11159</v>
      </c>
      <c r="L898" s="2"/>
      <c r="M898" s="2"/>
      <c r="O898" s="37">
        <v>46053.912499999999</v>
      </c>
      <c r="P898" s="36">
        <v>77682.311449999994</v>
      </c>
      <c r="R898" s="2">
        <v>78452.665129999994</v>
      </c>
      <c r="S898" s="2">
        <v>77424.18475</v>
      </c>
    </row>
    <row r="899" spans="1:19" x14ac:dyDescent="0.35">
      <c r="A899" s="7">
        <v>896</v>
      </c>
      <c r="B899" s="37">
        <v>46053.913194444445</v>
      </c>
      <c r="C899" s="2">
        <v>78188.509999999995</v>
      </c>
      <c r="D899" s="43">
        <v>78200.800000000003</v>
      </c>
      <c r="E899" s="43">
        <v>78162.350000000006</v>
      </c>
      <c r="F899" s="2">
        <v>78183.399999999994</v>
      </c>
      <c r="G899" s="1">
        <v>200</v>
      </c>
      <c r="I899" s="39">
        <v>46053.913194444445</v>
      </c>
      <c r="J899" s="36">
        <v>76280.966620000007</v>
      </c>
      <c r="L899" s="2"/>
      <c r="M899" s="2"/>
      <c r="O899" s="37">
        <v>46053.913194444445</v>
      </c>
      <c r="P899" s="36">
        <v>77694.228270000007</v>
      </c>
      <c r="R899" s="2">
        <v>78459.156919999994</v>
      </c>
      <c r="S899" s="2">
        <v>77427.774900000004</v>
      </c>
    </row>
    <row r="900" spans="1:19" x14ac:dyDescent="0.35">
      <c r="A900" s="7">
        <v>897</v>
      </c>
      <c r="B900" s="37">
        <v>46053.913888888892</v>
      </c>
      <c r="C900" s="2">
        <v>78183.38</v>
      </c>
      <c r="D900" s="43">
        <v>78209.13</v>
      </c>
      <c r="E900" s="43">
        <v>78159.08</v>
      </c>
      <c r="F900" s="2">
        <v>78187.86</v>
      </c>
      <c r="G900" s="1">
        <v>193</v>
      </c>
      <c r="I900" s="39">
        <v>46053.913888888892</v>
      </c>
      <c r="J900" s="36">
        <v>76284.821660000001</v>
      </c>
      <c r="L900" s="2"/>
      <c r="M900" s="2"/>
      <c r="O900" s="37">
        <v>46053.913888888892</v>
      </c>
      <c r="P900" s="36">
        <v>77706.145090000005</v>
      </c>
      <c r="R900" s="2">
        <v>78465.648719999997</v>
      </c>
      <c r="S900" s="2">
        <v>77431.365059999996</v>
      </c>
    </row>
    <row r="901" spans="1:19" x14ac:dyDescent="0.35">
      <c r="A901" s="7">
        <v>898</v>
      </c>
      <c r="B901" s="37">
        <v>46053.914583333331</v>
      </c>
      <c r="C901" s="2">
        <v>78187.86</v>
      </c>
      <c r="D901" s="43">
        <v>78230.710000000006</v>
      </c>
      <c r="E901" s="43">
        <v>78151.75</v>
      </c>
      <c r="F901" s="2">
        <v>78151.75</v>
      </c>
      <c r="G901" s="1">
        <v>195</v>
      </c>
      <c r="I901" s="39">
        <v>46053.914583333331</v>
      </c>
      <c r="J901" s="36">
        <v>76288.676689999993</v>
      </c>
      <c r="L901" s="2"/>
      <c r="M901" s="2"/>
      <c r="O901" s="37">
        <v>46053.914583333331</v>
      </c>
      <c r="P901" s="36">
        <v>77718.061910000004</v>
      </c>
      <c r="R901" s="2">
        <v>78472.140509999997</v>
      </c>
      <c r="S901" s="2">
        <v>77434.95521</v>
      </c>
    </row>
    <row r="902" spans="1:19" x14ac:dyDescent="0.35">
      <c r="A902" s="7">
        <v>899</v>
      </c>
      <c r="B902" s="37">
        <v>46053.915277777778</v>
      </c>
      <c r="C902" s="2">
        <v>78159.28</v>
      </c>
      <c r="D902" s="43">
        <v>78312.97</v>
      </c>
      <c r="E902" s="43">
        <v>78159.27</v>
      </c>
      <c r="F902" s="2">
        <v>78306.710000000006</v>
      </c>
      <c r="G902" s="1">
        <v>208</v>
      </c>
      <c r="I902" s="39">
        <v>46053.915277777778</v>
      </c>
      <c r="J902" s="36">
        <v>76292.531719999999</v>
      </c>
      <c r="L902" s="2"/>
      <c r="M902" s="2"/>
      <c r="O902" s="37">
        <v>46053.915277777778</v>
      </c>
      <c r="P902" s="36">
        <v>77729.978730000003</v>
      </c>
      <c r="R902" s="2">
        <v>78478.632310000001</v>
      </c>
      <c r="S902" s="2">
        <v>77438.545360000004</v>
      </c>
    </row>
    <row r="903" spans="1:19" x14ac:dyDescent="0.35">
      <c r="A903" s="7">
        <v>900</v>
      </c>
      <c r="B903" s="37">
        <v>46053.915972222225</v>
      </c>
      <c r="C903" s="2">
        <v>78306.69</v>
      </c>
      <c r="D903" s="43">
        <v>78306.69</v>
      </c>
      <c r="E903" s="43">
        <v>78097.23</v>
      </c>
      <c r="F903" s="2">
        <v>78213.23</v>
      </c>
      <c r="G903" s="1">
        <v>240</v>
      </c>
      <c r="I903" s="39">
        <v>46053.915972222225</v>
      </c>
      <c r="J903" s="36">
        <v>76296.386759999994</v>
      </c>
      <c r="L903" s="2"/>
      <c r="M903" s="2"/>
      <c r="O903" s="37">
        <v>46053.915972222225</v>
      </c>
      <c r="P903" s="36">
        <v>77741.895550000001</v>
      </c>
      <c r="R903" s="2">
        <v>78485.124100000001</v>
      </c>
      <c r="S903" s="2">
        <v>77442.135519999996</v>
      </c>
    </row>
    <row r="904" spans="1:19" x14ac:dyDescent="0.35">
      <c r="A904" s="7">
        <v>901</v>
      </c>
      <c r="B904" s="37">
        <v>46053.916666666664</v>
      </c>
      <c r="C904" s="2">
        <v>78260.320000000007</v>
      </c>
      <c r="D904" s="43">
        <v>78300.5</v>
      </c>
      <c r="E904" s="43">
        <v>78238.149999999994</v>
      </c>
      <c r="F904" s="2">
        <v>78250.7</v>
      </c>
      <c r="G904" s="1">
        <v>243</v>
      </c>
      <c r="I904" s="39">
        <v>46053.916666666664</v>
      </c>
      <c r="J904" s="36">
        <v>76300.24179</v>
      </c>
      <c r="L904" s="2"/>
      <c r="M904" s="2"/>
      <c r="O904" s="37">
        <v>46053.916666666664</v>
      </c>
      <c r="P904" s="36">
        <v>77753.81237</v>
      </c>
      <c r="R904" s="2">
        <v>78491.615900000004</v>
      </c>
      <c r="S904" s="2">
        <v>77445.72567</v>
      </c>
    </row>
    <row r="905" spans="1:19" x14ac:dyDescent="0.35">
      <c r="A905" s="7">
        <v>902</v>
      </c>
      <c r="B905" s="37">
        <v>46053.917361111111</v>
      </c>
      <c r="C905" s="2">
        <v>78254.960000000006</v>
      </c>
      <c r="D905" s="43">
        <v>78330.399999999994</v>
      </c>
      <c r="E905" s="43">
        <v>78205.84</v>
      </c>
      <c r="F905" s="2">
        <v>78330.399999999994</v>
      </c>
      <c r="G905" s="1">
        <v>256</v>
      </c>
      <c r="I905" s="39">
        <v>46053.917361111111</v>
      </c>
      <c r="J905" s="36">
        <v>76304.096829999995</v>
      </c>
      <c r="L905" s="2"/>
      <c r="M905" s="2"/>
      <c r="O905" s="37">
        <v>46053.917361111111</v>
      </c>
      <c r="P905" s="36">
        <v>77765.729189999998</v>
      </c>
      <c r="R905" s="2">
        <v>78498.107690000004</v>
      </c>
      <c r="S905" s="2">
        <v>77449.315820000003</v>
      </c>
    </row>
    <row r="906" spans="1:19" x14ac:dyDescent="0.35">
      <c r="A906" s="7">
        <v>903</v>
      </c>
      <c r="B906" s="37">
        <v>46053.918055555558</v>
      </c>
      <c r="C906" s="2">
        <v>78323.289999999994</v>
      </c>
      <c r="D906" s="43">
        <v>78335.34</v>
      </c>
      <c r="E906" s="43">
        <v>78309.240000000005</v>
      </c>
      <c r="F906" s="2">
        <v>78331.56</v>
      </c>
      <c r="G906" s="1">
        <v>207</v>
      </c>
      <c r="I906" s="39">
        <v>46053.918055555558</v>
      </c>
      <c r="J906" s="36">
        <v>76307.951860000001</v>
      </c>
      <c r="L906" s="2"/>
      <c r="M906" s="2"/>
      <c r="O906" s="37">
        <v>46053.918055555558</v>
      </c>
      <c r="P906" s="36">
        <v>77777.646009999997</v>
      </c>
      <c r="R906" s="2">
        <v>78504.599489999993</v>
      </c>
      <c r="S906" s="2">
        <v>77452.905979999996</v>
      </c>
    </row>
    <row r="907" spans="1:19" x14ac:dyDescent="0.35">
      <c r="A907" s="7">
        <v>904</v>
      </c>
      <c r="B907" s="37">
        <v>46053.918749999997</v>
      </c>
      <c r="C907" s="2">
        <v>78331.460000000006</v>
      </c>
      <c r="D907" s="43">
        <v>78369.899999999994</v>
      </c>
      <c r="E907" s="43">
        <v>78272.63</v>
      </c>
      <c r="F907" s="2">
        <v>78349.100000000006</v>
      </c>
      <c r="G907" s="1">
        <v>253</v>
      </c>
      <c r="I907" s="39">
        <v>46053.918749999997</v>
      </c>
      <c r="J907" s="36">
        <v>76311.806899999996</v>
      </c>
      <c r="L907" s="2"/>
      <c r="M907" s="2"/>
      <c r="O907" s="37">
        <v>46053.918749999997</v>
      </c>
      <c r="P907" s="36">
        <v>77789.562829999995</v>
      </c>
      <c r="R907" s="2">
        <v>78511.091279999993</v>
      </c>
      <c r="S907" s="2">
        <v>77456.49613</v>
      </c>
    </row>
    <row r="908" spans="1:19" x14ac:dyDescent="0.35">
      <c r="A908" s="7">
        <v>905</v>
      </c>
      <c r="B908" s="37">
        <v>46053.919444444444</v>
      </c>
      <c r="C908" s="2">
        <v>78348.92</v>
      </c>
      <c r="D908" s="43">
        <v>78428.36</v>
      </c>
      <c r="E908" s="43">
        <v>78341.95</v>
      </c>
      <c r="F908" s="2">
        <v>78416.13</v>
      </c>
      <c r="G908" s="1">
        <v>237</v>
      </c>
      <c r="I908" s="39">
        <v>46053.919444444444</v>
      </c>
      <c r="J908" s="36">
        <v>76315.661930000002</v>
      </c>
      <c r="L908" s="2"/>
      <c r="M908" s="2"/>
      <c r="O908" s="37">
        <v>46053.919444444444</v>
      </c>
      <c r="P908" s="36">
        <v>77801.479649999994</v>
      </c>
      <c r="R908" s="2">
        <v>78517.583079999997</v>
      </c>
      <c r="S908" s="2">
        <v>77460.086280000003</v>
      </c>
    </row>
    <row r="909" spans="1:19" x14ac:dyDescent="0.35">
      <c r="A909" s="7">
        <v>906</v>
      </c>
      <c r="B909" s="37">
        <v>46053.920138888891</v>
      </c>
      <c r="C909" s="2">
        <v>78416.14</v>
      </c>
      <c r="D909" s="43">
        <v>78433.31</v>
      </c>
      <c r="E909" s="43">
        <v>78335.87</v>
      </c>
      <c r="F909" s="2">
        <v>78369.02</v>
      </c>
      <c r="G909" s="1">
        <v>235</v>
      </c>
      <c r="I909" s="39">
        <v>46053.920138888891</v>
      </c>
      <c r="J909" s="36">
        <v>76319.516969999997</v>
      </c>
      <c r="L909" s="2"/>
      <c r="M909" s="2"/>
      <c r="O909" s="37">
        <v>46053.920138888891</v>
      </c>
      <c r="P909" s="36">
        <v>77813.396470000007</v>
      </c>
      <c r="R909" s="2">
        <v>78524.074869999997</v>
      </c>
      <c r="S909" s="2">
        <v>77463.676439999996</v>
      </c>
    </row>
    <row r="910" spans="1:19" x14ac:dyDescent="0.35">
      <c r="A910" s="7">
        <v>907</v>
      </c>
      <c r="B910" s="37">
        <v>46053.92083333333</v>
      </c>
      <c r="C910" s="2">
        <v>78369</v>
      </c>
      <c r="D910" s="43">
        <v>78369.02</v>
      </c>
      <c r="E910" s="43">
        <v>78258.990000000005</v>
      </c>
      <c r="F910" s="2">
        <v>78287.509999999995</v>
      </c>
      <c r="G910" s="1">
        <v>137</v>
      </c>
      <c r="I910" s="39">
        <v>46053.92083333333</v>
      </c>
      <c r="J910" s="36">
        <v>76323.372000000003</v>
      </c>
      <c r="L910" s="2"/>
      <c r="M910" s="2"/>
      <c r="O910" s="37">
        <v>46053.92083333333</v>
      </c>
      <c r="P910" s="36">
        <v>77825.313290000006</v>
      </c>
      <c r="R910" s="2">
        <v>78530.56667</v>
      </c>
      <c r="S910" s="2">
        <v>77467.266589999999</v>
      </c>
    </row>
    <row r="911" spans="1:19" x14ac:dyDescent="0.35">
      <c r="A911" s="7">
        <v>908</v>
      </c>
      <c r="B911" s="37">
        <v>46053.921527777777</v>
      </c>
      <c r="C911" s="2">
        <v>78340.899999999994</v>
      </c>
      <c r="D911" s="43">
        <v>78352.009999999995</v>
      </c>
      <c r="E911" s="43">
        <v>78300.429999999993</v>
      </c>
      <c r="F911" s="2">
        <v>78300.460000000006</v>
      </c>
      <c r="G911" s="1">
        <v>62</v>
      </c>
      <c r="I911" s="39">
        <v>46053.921527777777</v>
      </c>
      <c r="J911" s="36">
        <v>76327.227029999995</v>
      </c>
      <c r="L911" s="2"/>
      <c r="M911" s="2"/>
      <c r="O911" s="37">
        <v>46053.921527777777</v>
      </c>
      <c r="P911" s="36">
        <v>77837.230119999993</v>
      </c>
      <c r="R911" s="2">
        <v>78537.05846</v>
      </c>
      <c r="S911" s="2">
        <v>77470.856740000003</v>
      </c>
    </row>
    <row r="912" spans="1:19" x14ac:dyDescent="0.35">
      <c r="A912" s="7">
        <v>909</v>
      </c>
      <c r="B912" s="37">
        <v>46053.922222222223</v>
      </c>
      <c r="C912" s="2">
        <v>78300.460000000006</v>
      </c>
      <c r="D912" s="43">
        <v>78324.77</v>
      </c>
      <c r="E912" s="43">
        <v>78207.28</v>
      </c>
      <c r="F912" s="2">
        <v>78252.13</v>
      </c>
      <c r="G912" s="1">
        <v>217</v>
      </c>
      <c r="I912" s="39">
        <v>46053.922222222223</v>
      </c>
      <c r="J912" s="36">
        <v>76331.082070000004</v>
      </c>
      <c r="L912" s="2"/>
      <c r="M912" s="2"/>
      <c r="O912" s="37">
        <v>46053.922222222223</v>
      </c>
      <c r="P912" s="36">
        <v>77849.146940000006</v>
      </c>
      <c r="R912" s="2">
        <v>78543.550260000004</v>
      </c>
      <c r="S912" s="2">
        <v>77474.446899999995</v>
      </c>
    </row>
    <row r="913" spans="1:19" x14ac:dyDescent="0.35">
      <c r="A913" s="7">
        <v>910</v>
      </c>
      <c r="B913" s="37">
        <v>46053.92291666667</v>
      </c>
      <c r="C913" s="2">
        <v>78252.160000000003</v>
      </c>
      <c r="D913" s="43">
        <v>78268.009999999995</v>
      </c>
      <c r="E913" s="43">
        <v>78213.58</v>
      </c>
      <c r="F913" s="2">
        <v>78221.649999999994</v>
      </c>
      <c r="G913" s="1">
        <v>225</v>
      </c>
      <c r="I913" s="39">
        <v>46053.92291666667</v>
      </c>
      <c r="J913" s="36">
        <v>76334.937099999996</v>
      </c>
      <c r="L913" s="2"/>
      <c r="M913" s="2"/>
      <c r="O913" s="37">
        <v>46053.92291666667</v>
      </c>
      <c r="P913" s="36">
        <v>77861.063760000005</v>
      </c>
      <c r="R913" s="2">
        <v>78550.042050000004</v>
      </c>
      <c r="S913" s="2">
        <v>77478.037049999999</v>
      </c>
    </row>
    <row r="914" spans="1:19" x14ac:dyDescent="0.35">
      <c r="A914" s="7">
        <v>911</v>
      </c>
      <c r="B914" s="37">
        <v>46053.923611111109</v>
      </c>
      <c r="C914" s="2">
        <v>78221.649999999994</v>
      </c>
      <c r="D914" s="43">
        <v>78239.490000000005</v>
      </c>
      <c r="E914" s="43">
        <v>78186.960000000006</v>
      </c>
      <c r="F914" s="2">
        <v>78197.31</v>
      </c>
      <c r="G914" s="1">
        <v>190</v>
      </c>
      <c r="I914" s="39">
        <v>46053.923611111109</v>
      </c>
      <c r="J914" s="36">
        <v>76338.792140000005</v>
      </c>
      <c r="L914" s="2"/>
      <c r="M914" s="2"/>
      <c r="O914" s="37">
        <v>46053.923611111109</v>
      </c>
      <c r="P914" s="36">
        <v>77872.980580000003</v>
      </c>
      <c r="R914" s="2">
        <v>78556.533850000007</v>
      </c>
      <c r="S914" s="2">
        <v>77481.627200000003</v>
      </c>
    </row>
    <row r="915" spans="1:19" x14ac:dyDescent="0.35">
      <c r="A915" s="7">
        <v>912</v>
      </c>
      <c r="B915" s="37">
        <v>46053.924305555556</v>
      </c>
      <c r="C915" s="2">
        <v>78197.289999999994</v>
      </c>
      <c r="D915" s="43">
        <v>78197.289999999994</v>
      </c>
      <c r="E915" s="43">
        <v>78095.539999999994</v>
      </c>
      <c r="F915" s="2">
        <v>78113.61</v>
      </c>
      <c r="G915" s="1">
        <v>221</v>
      </c>
      <c r="I915" s="39">
        <v>46053.924305555556</v>
      </c>
      <c r="J915" s="36">
        <v>76342.647169999997</v>
      </c>
      <c r="L915" s="2"/>
      <c r="M915" s="2"/>
      <c r="O915" s="37">
        <v>46053.924305555556</v>
      </c>
      <c r="P915" s="36">
        <v>77884.897400000002</v>
      </c>
      <c r="R915" s="2">
        <v>78563.025640000007</v>
      </c>
      <c r="S915" s="2">
        <v>77485.217359999995</v>
      </c>
    </row>
    <row r="916" spans="1:19" x14ac:dyDescent="0.35">
      <c r="A916" s="7">
        <v>913</v>
      </c>
      <c r="B916" s="37">
        <v>46053.925000000003</v>
      </c>
      <c r="C916" s="2">
        <v>78113.61</v>
      </c>
      <c r="D916" s="43">
        <v>78167.45</v>
      </c>
      <c r="E916" s="43">
        <v>78102.3</v>
      </c>
      <c r="F916" s="2">
        <v>78120.91</v>
      </c>
      <c r="G916" s="1">
        <v>215</v>
      </c>
      <c r="I916" s="39">
        <v>46053.925000000003</v>
      </c>
      <c r="J916" s="36">
        <v>76346.502210000006</v>
      </c>
      <c r="L916" s="2"/>
      <c r="M916" s="2"/>
      <c r="O916" s="37">
        <v>46053.925000000003</v>
      </c>
      <c r="P916" s="36">
        <v>77896.81422</v>
      </c>
      <c r="R916" s="2">
        <v>78569.517439999996</v>
      </c>
      <c r="S916" s="2">
        <v>77488.807509999999</v>
      </c>
    </row>
    <row r="917" spans="1:19" x14ac:dyDescent="0.35">
      <c r="A917" s="7">
        <v>914</v>
      </c>
      <c r="B917" s="37">
        <v>46053.925694444442</v>
      </c>
      <c r="C917" s="2">
        <v>78105.81</v>
      </c>
      <c r="D917" s="43">
        <v>78141.72</v>
      </c>
      <c r="E917" s="43">
        <v>78099.83</v>
      </c>
      <c r="F917" s="2">
        <v>78131.34</v>
      </c>
      <c r="G917" s="1">
        <v>198</v>
      </c>
      <c r="I917" s="39">
        <v>46053.925694444442</v>
      </c>
      <c r="J917" s="36">
        <v>76350.357239999998</v>
      </c>
      <c r="L917" s="2"/>
      <c r="M917" s="2"/>
      <c r="O917" s="37">
        <v>46053.925694444442</v>
      </c>
      <c r="P917" s="36">
        <v>77908.731039999999</v>
      </c>
      <c r="R917" s="2">
        <v>78576.009229999996</v>
      </c>
      <c r="S917" s="2">
        <v>77492.397660000002</v>
      </c>
    </row>
    <row r="918" spans="1:19" x14ac:dyDescent="0.35">
      <c r="A918" s="7">
        <v>915</v>
      </c>
      <c r="B918" s="37">
        <v>46053.926388888889</v>
      </c>
      <c r="C918" s="2">
        <v>78124.960000000006</v>
      </c>
      <c r="D918" s="43">
        <v>78198.55</v>
      </c>
      <c r="E918" s="43">
        <v>78122.92</v>
      </c>
      <c r="F918" s="2">
        <v>78131.02</v>
      </c>
      <c r="G918" s="1">
        <v>202</v>
      </c>
      <c r="I918" s="39">
        <v>46053.926388888889</v>
      </c>
      <c r="J918" s="36">
        <v>76354.212280000007</v>
      </c>
      <c r="L918" s="2"/>
      <c r="M918" s="2"/>
      <c r="O918" s="37">
        <v>46053.926388888889</v>
      </c>
      <c r="P918" s="36">
        <v>77920.647859999997</v>
      </c>
      <c r="R918" s="2">
        <v>78582.501029999999</v>
      </c>
      <c r="S918" s="2">
        <v>77495.987819999995</v>
      </c>
    </row>
    <row r="919" spans="1:19" x14ac:dyDescent="0.35">
      <c r="A919" s="7">
        <v>916</v>
      </c>
      <c r="B919" s="37">
        <v>46053.927083333336</v>
      </c>
      <c r="C919" s="2">
        <v>78133.73</v>
      </c>
      <c r="D919" s="43">
        <v>78219.45</v>
      </c>
      <c r="E919" s="43">
        <v>78108.070000000007</v>
      </c>
      <c r="F919" s="2">
        <v>78188.37</v>
      </c>
      <c r="G919" s="1">
        <v>201</v>
      </c>
      <c r="I919" s="39">
        <v>46053.927083333336</v>
      </c>
      <c r="J919" s="36">
        <v>76358.067309999999</v>
      </c>
      <c r="L919" s="2"/>
      <c r="M919" s="2"/>
      <c r="O919" s="37">
        <v>46053.927083333336</v>
      </c>
      <c r="P919" s="36">
        <v>77932.564679999996</v>
      </c>
      <c r="R919" s="2">
        <v>78588.992819999999</v>
      </c>
      <c r="S919" s="2">
        <v>77499.577969999998</v>
      </c>
    </row>
    <row r="920" spans="1:19" x14ac:dyDescent="0.35">
      <c r="A920" s="7">
        <v>917</v>
      </c>
      <c r="B920" s="37">
        <v>46053.927777777775</v>
      </c>
      <c r="C920" s="2">
        <v>78181.440000000002</v>
      </c>
      <c r="D920" s="43">
        <v>78194.73</v>
      </c>
      <c r="E920" s="43">
        <v>78153.52</v>
      </c>
      <c r="F920" s="2">
        <v>78159.509999999995</v>
      </c>
      <c r="G920" s="1">
        <v>176</v>
      </c>
      <c r="I920" s="39">
        <v>46053.927777777775</v>
      </c>
      <c r="J920" s="36">
        <v>76361.922340000005</v>
      </c>
      <c r="L920" s="2"/>
      <c r="M920" s="2"/>
      <c r="O920" s="37">
        <v>46053.927777777775</v>
      </c>
      <c r="P920" s="36">
        <v>77944.481499999994</v>
      </c>
      <c r="R920" s="2">
        <v>78595.484620000003</v>
      </c>
      <c r="S920" s="2">
        <v>77503.168120000002</v>
      </c>
    </row>
    <row r="921" spans="1:19" x14ac:dyDescent="0.35">
      <c r="A921" s="7">
        <v>918</v>
      </c>
      <c r="B921" s="37">
        <v>46053.928472222222</v>
      </c>
      <c r="C921" s="2">
        <v>78159.509999999995</v>
      </c>
      <c r="D921" s="43">
        <v>78216.72</v>
      </c>
      <c r="E921" s="43">
        <v>78159.509999999995</v>
      </c>
      <c r="F921" s="2">
        <v>78178.36</v>
      </c>
      <c r="G921" s="1">
        <v>202</v>
      </c>
      <c r="I921" s="39">
        <v>46053.928472222222</v>
      </c>
      <c r="J921" s="36">
        <v>76365.77738</v>
      </c>
      <c r="L921" s="2"/>
      <c r="M921" s="2"/>
      <c r="O921" s="37">
        <v>46053.928472222222</v>
      </c>
      <c r="P921" s="36">
        <v>77956.398319999993</v>
      </c>
      <c r="R921" s="2">
        <v>78601.976410000003</v>
      </c>
      <c r="S921" s="2">
        <v>77506.758279999995</v>
      </c>
    </row>
    <row r="922" spans="1:19" x14ac:dyDescent="0.35">
      <c r="A922" s="7">
        <v>919</v>
      </c>
      <c r="B922" s="37">
        <v>46053.929166666669</v>
      </c>
      <c r="C922" s="2">
        <v>78178.36</v>
      </c>
      <c r="D922" s="43">
        <v>78178.53</v>
      </c>
      <c r="E922" s="43">
        <v>78123.58</v>
      </c>
      <c r="F922" s="2">
        <v>78130.06</v>
      </c>
      <c r="G922" s="1">
        <v>196</v>
      </c>
      <c r="I922" s="39">
        <v>46053.929166666669</v>
      </c>
      <c r="J922" s="36">
        <v>76369.632410000006</v>
      </c>
      <c r="L922" s="2"/>
      <c r="M922" s="2"/>
      <c r="O922" s="37">
        <v>46053.929166666669</v>
      </c>
      <c r="P922" s="36">
        <v>77968.315140000006</v>
      </c>
      <c r="R922" s="2">
        <v>78608.468210000006</v>
      </c>
      <c r="S922" s="2">
        <v>77510.348429999998</v>
      </c>
    </row>
    <row r="923" spans="1:19" x14ac:dyDescent="0.35">
      <c r="A923" s="7">
        <v>920</v>
      </c>
      <c r="B923" s="37">
        <v>46053.929861111108</v>
      </c>
      <c r="C923" s="2">
        <v>78130.03</v>
      </c>
      <c r="D923" s="43">
        <v>78137.149999999994</v>
      </c>
      <c r="E923" s="43">
        <v>78018.64</v>
      </c>
      <c r="F923" s="2">
        <v>78051.210000000006</v>
      </c>
      <c r="G923" s="1">
        <v>221</v>
      </c>
      <c r="I923" s="39">
        <v>46053.929861111108</v>
      </c>
      <c r="J923" s="36">
        <v>76373.487450000001</v>
      </c>
      <c r="L923" s="2"/>
      <c r="M923" s="2"/>
      <c r="O923" s="37">
        <v>46053.929861111108</v>
      </c>
      <c r="P923" s="36">
        <v>77980.231969999993</v>
      </c>
      <c r="R923" s="2">
        <v>78614.960000000006</v>
      </c>
      <c r="S923" s="2">
        <v>77513.938580000002</v>
      </c>
    </row>
    <row r="924" spans="1:19" x14ac:dyDescent="0.35">
      <c r="A924" s="7">
        <v>921</v>
      </c>
      <c r="B924" s="37">
        <v>46053.930555555555</v>
      </c>
      <c r="C924" s="2">
        <v>78048.03</v>
      </c>
      <c r="D924" s="43">
        <v>78106.559999999998</v>
      </c>
      <c r="E924" s="43">
        <v>78044</v>
      </c>
      <c r="F924" s="2">
        <v>78060.5</v>
      </c>
      <c r="G924" s="1">
        <v>195</v>
      </c>
      <c r="I924" s="39">
        <v>46053.930555555555</v>
      </c>
      <c r="J924" s="36">
        <v>76377.342480000007</v>
      </c>
      <c r="L924" s="2"/>
      <c r="M924" s="2"/>
      <c r="O924" s="37">
        <v>46053.930555555555</v>
      </c>
      <c r="P924" s="36">
        <v>77992.148790000007</v>
      </c>
      <c r="R924" s="2">
        <v>78621.451790000006</v>
      </c>
      <c r="S924" s="2">
        <v>77517.528739999994</v>
      </c>
    </row>
    <row r="925" spans="1:19" x14ac:dyDescent="0.35">
      <c r="A925" s="7">
        <v>922</v>
      </c>
      <c r="B925" s="37">
        <v>46053.931250000001</v>
      </c>
      <c r="C925" s="2">
        <v>78059.77</v>
      </c>
      <c r="D925" s="43">
        <v>78180.38</v>
      </c>
      <c r="E925" s="43">
        <v>78055.23</v>
      </c>
      <c r="F925" s="2">
        <v>78180.28</v>
      </c>
      <c r="G925" s="1">
        <v>204</v>
      </c>
      <c r="I925" s="39">
        <v>46053.931250000001</v>
      </c>
      <c r="J925" s="36">
        <v>76381.197520000002</v>
      </c>
      <c r="L925" s="2"/>
      <c r="M925" s="2"/>
      <c r="O925" s="37">
        <v>46053.931250000001</v>
      </c>
      <c r="P925" s="36">
        <v>78004.065610000005</v>
      </c>
      <c r="R925" s="2">
        <v>78627.943589999995</v>
      </c>
      <c r="S925" s="2">
        <v>77521.118889999998</v>
      </c>
    </row>
    <row r="926" spans="1:19" x14ac:dyDescent="0.35">
      <c r="A926" s="7">
        <v>923</v>
      </c>
      <c r="B926" s="37">
        <v>46053.931944444441</v>
      </c>
      <c r="C926" s="2">
        <v>78180.27</v>
      </c>
      <c r="D926" s="43">
        <v>78181.600000000006</v>
      </c>
      <c r="E926" s="43">
        <v>78061.13</v>
      </c>
      <c r="F926" s="2">
        <v>78076.710000000006</v>
      </c>
      <c r="G926" s="1">
        <v>204</v>
      </c>
      <c r="I926" s="39">
        <v>46053.931944444441</v>
      </c>
      <c r="J926" s="36">
        <v>76385.052549999993</v>
      </c>
      <c r="L926" s="2"/>
      <c r="M926" s="2"/>
      <c r="O926" s="37">
        <v>46053.931944444441</v>
      </c>
      <c r="P926" s="36">
        <v>78015.982430000004</v>
      </c>
      <c r="R926" s="2">
        <v>78634.435379999995</v>
      </c>
      <c r="S926" s="2">
        <v>77524.709040000002</v>
      </c>
    </row>
    <row r="927" spans="1:19" x14ac:dyDescent="0.35">
      <c r="A927" s="7">
        <v>924</v>
      </c>
      <c r="B927" s="37">
        <v>46053.932638888888</v>
      </c>
      <c r="C927" s="2">
        <v>78076.710000000006</v>
      </c>
      <c r="D927" s="43">
        <v>78140.259999999995</v>
      </c>
      <c r="E927" s="43">
        <v>78076.44</v>
      </c>
      <c r="F927" s="2">
        <v>78109.509999999995</v>
      </c>
      <c r="G927" s="1">
        <v>199</v>
      </c>
      <c r="I927" s="39">
        <v>46053.932638888888</v>
      </c>
      <c r="J927" s="36">
        <v>76388.907590000003</v>
      </c>
      <c r="L927" s="2"/>
      <c r="M927" s="2"/>
      <c r="O927" s="37">
        <v>46053.932638888888</v>
      </c>
      <c r="P927" s="36">
        <v>78027.899250000002</v>
      </c>
      <c r="R927" s="2">
        <v>78640.927179999999</v>
      </c>
      <c r="S927" s="2">
        <v>77528.299199999994</v>
      </c>
    </row>
    <row r="928" spans="1:19" x14ac:dyDescent="0.35">
      <c r="A928" s="7">
        <v>925</v>
      </c>
      <c r="B928" s="37">
        <v>46053.933333333334</v>
      </c>
      <c r="C928" s="2">
        <v>78110.12</v>
      </c>
      <c r="D928" s="43">
        <v>78192.509999999995</v>
      </c>
      <c r="E928" s="43">
        <v>78110.09</v>
      </c>
      <c r="F928" s="2">
        <v>78150.78</v>
      </c>
      <c r="G928" s="1">
        <v>198</v>
      </c>
      <c r="I928" s="39">
        <v>46053.933333333334</v>
      </c>
      <c r="J928" s="36">
        <v>76392.762619999994</v>
      </c>
      <c r="L928" s="2"/>
      <c r="M928" s="2"/>
      <c r="O928" s="37">
        <v>46053.933333333334</v>
      </c>
      <c r="P928" s="36">
        <v>78039.816070000001</v>
      </c>
      <c r="R928" s="2">
        <v>78647.418969999999</v>
      </c>
      <c r="S928" s="2">
        <v>77531.889349999998</v>
      </c>
    </row>
    <row r="929" spans="1:19" x14ac:dyDescent="0.35">
      <c r="A929" s="7">
        <v>926</v>
      </c>
      <c r="B929" s="37">
        <v>46053.934027777781</v>
      </c>
      <c r="C929" s="2">
        <v>78152.03</v>
      </c>
      <c r="D929" s="43">
        <v>78229.850000000006</v>
      </c>
      <c r="E929" s="43">
        <v>78149.87</v>
      </c>
      <c r="F929" s="2">
        <v>78217.88</v>
      </c>
      <c r="G929" s="1">
        <v>209</v>
      </c>
      <c r="I929" s="39">
        <v>46053.934027777781</v>
      </c>
      <c r="J929" s="36">
        <v>76396.617660000004</v>
      </c>
      <c r="L929" s="2"/>
      <c r="M929" s="2"/>
      <c r="O929" s="37">
        <v>46053.934027777781</v>
      </c>
      <c r="P929" s="36">
        <v>78051.732889999999</v>
      </c>
      <c r="R929" s="2">
        <v>78653.910770000002</v>
      </c>
      <c r="S929" s="2">
        <v>77535.479500000001</v>
      </c>
    </row>
    <row r="930" spans="1:19" x14ac:dyDescent="0.35">
      <c r="A930" s="7">
        <v>927</v>
      </c>
      <c r="B930" s="37">
        <v>46053.93472222222</v>
      </c>
      <c r="C930" s="2">
        <v>78217.850000000006</v>
      </c>
      <c r="D930" s="43">
        <v>78222.350000000006</v>
      </c>
      <c r="E930" s="43">
        <v>78108.05</v>
      </c>
      <c r="F930" s="2">
        <v>78117.77</v>
      </c>
      <c r="G930" s="1">
        <v>186</v>
      </c>
      <c r="I930" s="39">
        <v>46053.93472222222</v>
      </c>
      <c r="J930" s="36">
        <v>76400.472689999995</v>
      </c>
      <c r="L930" s="2"/>
      <c r="M930" s="2"/>
      <c r="O930" s="37">
        <v>46053.93472222222</v>
      </c>
      <c r="P930" s="36">
        <v>78063.649709999998</v>
      </c>
      <c r="R930" s="2">
        <v>78660.402560000002</v>
      </c>
      <c r="S930" s="2">
        <v>77539.069659999994</v>
      </c>
    </row>
    <row r="931" spans="1:19" x14ac:dyDescent="0.35">
      <c r="A931" s="7">
        <v>928</v>
      </c>
      <c r="B931" s="37">
        <v>46053.935416666667</v>
      </c>
      <c r="C931" s="2">
        <v>78117.75</v>
      </c>
      <c r="D931" s="43">
        <v>78159.740000000005</v>
      </c>
      <c r="E931" s="43">
        <v>78103.62</v>
      </c>
      <c r="F931" s="2">
        <v>78159.73</v>
      </c>
      <c r="G931" s="1">
        <v>212</v>
      </c>
      <c r="I931" s="39">
        <v>46053.935416666667</v>
      </c>
      <c r="J931" s="36">
        <v>76404.327720000001</v>
      </c>
      <c r="L931" s="2"/>
      <c r="M931" s="2"/>
      <c r="O931" s="37">
        <v>46053.935416666667</v>
      </c>
      <c r="P931" s="36">
        <v>78075.566529999996</v>
      </c>
      <c r="R931" s="2">
        <v>78666.894360000006</v>
      </c>
      <c r="S931" s="2">
        <v>77542.659809999997</v>
      </c>
    </row>
    <row r="932" spans="1:19" x14ac:dyDescent="0.35">
      <c r="A932" s="7">
        <v>929</v>
      </c>
      <c r="B932" s="37">
        <v>46053.936111111114</v>
      </c>
      <c r="C932" s="2">
        <v>78159.740000000005</v>
      </c>
      <c r="D932" s="43">
        <v>78266.899999999994</v>
      </c>
      <c r="E932" s="43">
        <v>78159.740000000005</v>
      </c>
      <c r="F932" s="2">
        <v>78266.899999999994</v>
      </c>
      <c r="G932" s="1">
        <v>164</v>
      </c>
      <c r="I932" s="39">
        <v>46053.936111111114</v>
      </c>
      <c r="J932" s="36">
        <v>76408.182759999996</v>
      </c>
      <c r="L932" s="2"/>
      <c r="M932" s="2"/>
      <c r="O932" s="37">
        <v>46053.936111111114</v>
      </c>
      <c r="P932" s="36">
        <v>78087.483349999995</v>
      </c>
      <c r="R932" s="2">
        <v>78673.386150000006</v>
      </c>
      <c r="S932" s="2">
        <v>77546.249960000001</v>
      </c>
    </row>
    <row r="933" spans="1:19" x14ac:dyDescent="0.35">
      <c r="A933" s="7">
        <v>930</v>
      </c>
      <c r="B933" s="37">
        <v>46053.936805555553</v>
      </c>
      <c r="C933" s="2">
        <v>78266.899999999994</v>
      </c>
      <c r="D933" s="43">
        <v>78310.559999999998</v>
      </c>
      <c r="E933" s="43">
        <v>78237.8</v>
      </c>
      <c r="F933" s="2">
        <v>78282.600000000006</v>
      </c>
      <c r="G933" s="1">
        <v>197</v>
      </c>
      <c r="I933" s="39">
        <v>46053.936805555553</v>
      </c>
      <c r="J933" s="36">
        <v>76412.037790000002</v>
      </c>
      <c r="L933" s="2"/>
      <c r="M933" s="2"/>
      <c r="O933" s="37">
        <v>46053.936805555553</v>
      </c>
      <c r="P933" s="36">
        <v>78099.400169999994</v>
      </c>
      <c r="R933" s="2">
        <v>78679.877949999995</v>
      </c>
      <c r="S933" s="2">
        <v>77549.840110000005</v>
      </c>
    </row>
    <row r="934" spans="1:19" x14ac:dyDescent="0.35">
      <c r="A934" s="7">
        <v>931</v>
      </c>
      <c r="B934" s="37">
        <v>46053.9375</v>
      </c>
      <c r="C934" s="2">
        <v>78282.570000000007</v>
      </c>
      <c r="D934" s="43">
        <v>78374.850000000006</v>
      </c>
      <c r="E934" s="43">
        <v>78274.02</v>
      </c>
      <c r="F934" s="2">
        <v>78276.58</v>
      </c>
      <c r="G934" s="1">
        <v>253</v>
      </c>
      <c r="I934" s="39">
        <v>46053.9375</v>
      </c>
      <c r="J934" s="36">
        <v>76415.892829999997</v>
      </c>
      <c r="L934" s="2"/>
      <c r="M934" s="2"/>
      <c r="O934" s="37">
        <v>46053.9375</v>
      </c>
      <c r="P934" s="36">
        <v>78111.316990000007</v>
      </c>
      <c r="R934" s="2">
        <v>78686.369739999995</v>
      </c>
      <c r="S934" s="2">
        <v>77553.430269999997</v>
      </c>
    </row>
    <row r="935" spans="1:19" x14ac:dyDescent="0.35">
      <c r="A935" s="7">
        <v>932</v>
      </c>
      <c r="B935" s="37">
        <v>46053.938194444447</v>
      </c>
      <c r="C935" s="2">
        <v>78278.22</v>
      </c>
      <c r="D935" s="43">
        <v>78278.92</v>
      </c>
      <c r="E935" s="43">
        <v>78185.62</v>
      </c>
      <c r="F935" s="2">
        <v>78214.78</v>
      </c>
      <c r="G935" s="1">
        <v>193</v>
      </c>
      <c r="I935" s="39">
        <v>46053.938194444447</v>
      </c>
      <c r="J935" s="36">
        <v>76419.747860000003</v>
      </c>
      <c r="L935" s="2"/>
      <c r="M935" s="2"/>
      <c r="O935" s="37">
        <v>46053.938194444447</v>
      </c>
      <c r="P935" s="36">
        <v>78123.233819999994</v>
      </c>
      <c r="R935" s="2">
        <v>78692.861539999998</v>
      </c>
      <c r="S935" s="2">
        <v>77557.020420000001</v>
      </c>
    </row>
    <row r="936" spans="1:19" x14ac:dyDescent="0.35">
      <c r="A936" s="7">
        <v>933</v>
      </c>
      <c r="B936" s="37">
        <v>46053.938888888886</v>
      </c>
      <c r="C936" s="2">
        <v>78215.240000000005</v>
      </c>
      <c r="D936" s="43">
        <v>78244.94</v>
      </c>
      <c r="E936" s="43">
        <v>78183.94</v>
      </c>
      <c r="F936" s="2">
        <v>78221.16</v>
      </c>
      <c r="G936" s="1">
        <v>221</v>
      </c>
      <c r="I936" s="39">
        <v>46053.938888888886</v>
      </c>
      <c r="J936" s="36">
        <v>76423.602899999998</v>
      </c>
      <c r="L936" s="2"/>
      <c r="M936" s="2"/>
      <c r="O936" s="37">
        <v>46053.938888888886</v>
      </c>
      <c r="P936" s="36">
        <v>78135.150640000007</v>
      </c>
      <c r="R936" s="2">
        <v>78699.353329999998</v>
      </c>
      <c r="S936" s="2">
        <v>77560.610570000004</v>
      </c>
    </row>
    <row r="937" spans="1:19" x14ac:dyDescent="0.35">
      <c r="A937" s="7">
        <v>934</v>
      </c>
      <c r="B937" s="37">
        <v>46053.939583333333</v>
      </c>
      <c r="C937" s="2">
        <v>78220.740000000005</v>
      </c>
      <c r="D937" s="43">
        <v>78316.72</v>
      </c>
      <c r="E937" s="43">
        <v>78220.740000000005</v>
      </c>
      <c r="F937" s="2">
        <v>78288.37</v>
      </c>
      <c r="G937" s="1">
        <v>167</v>
      </c>
      <c r="I937" s="39">
        <v>46053.939583333333</v>
      </c>
      <c r="J937" s="36">
        <v>76427.457930000004</v>
      </c>
      <c r="L937" s="2"/>
      <c r="M937" s="2"/>
      <c r="O937" s="37">
        <v>46053.939583333333</v>
      </c>
      <c r="P937" s="36">
        <v>78147.067460000006</v>
      </c>
      <c r="R937" s="2">
        <v>78705.845130000002</v>
      </c>
      <c r="S937" s="2">
        <v>77564.200729999997</v>
      </c>
    </row>
    <row r="938" spans="1:19" x14ac:dyDescent="0.35">
      <c r="A938" s="7">
        <v>935</v>
      </c>
      <c r="B938" s="37">
        <v>46053.94027777778</v>
      </c>
      <c r="C938" s="2">
        <v>78288.37</v>
      </c>
      <c r="D938" s="43">
        <v>78310.31</v>
      </c>
      <c r="E938" s="43">
        <v>78263.37</v>
      </c>
      <c r="F938" s="2">
        <v>78267.34</v>
      </c>
      <c r="G938" s="1">
        <v>179</v>
      </c>
      <c r="I938" s="39">
        <v>46053.94027777778</v>
      </c>
      <c r="J938" s="36">
        <v>76431.312969999999</v>
      </c>
      <c r="L938" s="2"/>
      <c r="M938" s="2"/>
      <c r="O938" s="37">
        <v>46053.94027777778</v>
      </c>
      <c r="P938" s="36">
        <v>78158.984280000004</v>
      </c>
      <c r="R938" s="2">
        <v>78712.336920000002</v>
      </c>
      <c r="S938" s="2">
        <v>77567.79088</v>
      </c>
    </row>
    <row r="939" spans="1:19" x14ac:dyDescent="0.35">
      <c r="A939" s="7">
        <v>936</v>
      </c>
      <c r="B939" s="37">
        <v>46053.940972222219</v>
      </c>
      <c r="C939" s="2">
        <v>78249.94</v>
      </c>
      <c r="D939" s="43">
        <v>78249.94</v>
      </c>
      <c r="E939" s="43">
        <v>78189.61</v>
      </c>
      <c r="F939" s="2">
        <v>78190.5</v>
      </c>
      <c r="G939" s="1">
        <v>143</v>
      </c>
      <c r="I939" s="39">
        <v>46053.940972222219</v>
      </c>
      <c r="J939" s="36">
        <v>76435.168000000005</v>
      </c>
      <c r="L939" s="2"/>
      <c r="M939" s="2"/>
      <c r="O939" s="37">
        <v>46053.940972222219</v>
      </c>
      <c r="P939" s="36">
        <v>78170.901100000003</v>
      </c>
      <c r="R939" s="2">
        <v>78718.828720000005</v>
      </c>
      <c r="S939" s="2">
        <v>77571.381030000004</v>
      </c>
    </row>
    <row r="940" spans="1:19" x14ac:dyDescent="0.35">
      <c r="A940" s="7">
        <v>937</v>
      </c>
      <c r="B940" s="37">
        <v>46053.941666666666</v>
      </c>
      <c r="C940" s="2">
        <v>78190.5</v>
      </c>
      <c r="D940" s="43">
        <v>78190.509999999995</v>
      </c>
      <c r="E940" s="43">
        <v>78133.3</v>
      </c>
      <c r="F940" s="2">
        <v>78133.320000000007</v>
      </c>
      <c r="G940" s="1">
        <v>159</v>
      </c>
      <c r="I940" s="39">
        <v>46053.941666666666</v>
      </c>
      <c r="J940" s="36">
        <v>76439.023029999997</v>
      </c>
      <c r="L940" s="2"/>
      <c r="M940" s="2"/>
      <c r="O940" s="37">
        <v>46053.941666666666</v>
      </c>
      <c r="P940" s="36">
        <v>78182.817920000001</v>
      </c>
      <c r="R940" s="2">
        <v>78725.320510000005</v>
      </c>
      <c r="S940" s="2">
        <v>77574.971189999997</v>
      </c>
    </row>
    <row r="941" spans="1:19" x14ac:dyDescent="0.35">
      <c r="A941" s="7">
        <v>938</v>
      </c>
      <c r="B941" s="37">
        <v>46053.942361111112</v>
      </c>
      <c r="C941" s="2">
        <v>78133.31</v>
      </c>
      <c r="D941" s="43">
        <v>78182.320000000007</v>
      </c>
      <c r="E941" s="43">
        <v>78038.210000000006</v>
      </c>
      <c r="F941" s="2">
        <v>78057.460000000006</v>
      </c>
      <c r="G941" s="1">
        <v>225</v>
      </c>
      <c r="I941" s="39">
        <v>46053.942361111112</v>
      </c>
      <c r="J941" s="36">
        <v>76442.878070000006</v>
      </c>
      <c r="L941" s="2"/>
      <c r="M941" s="2"/>
      <c r="O941" s="37">
        <v>46053.942361111112</v>
      </c>
      <c r="P941" s="36">
        <v>78194.73474</v>
      </c>
      <c r="R941" s="2">
        <v>78731.812309999994</v>
      </c>
      <c r="S941" s="2">
        <v>77578.56134</v>
      </c>
    </row>
    <row r="942" spans="1:19" x14ac:dyDescent="0.35">
      <c r="A942" s="7">
        <v>939</v>
      </c>
      <c r="B942" s="37">
        <v>46053.943055555559</v>
      </c>
      <c r="C942" s="2">
        <v>78056.100000000006</v>
      </c>
      <c r="D942" s="43">
        <v>78116.490000000005</v>
      </c>
      <c r="E942" s="43">
        <v>78041.509999999995</v>
      </c>
      <c r="F942" s="2">
        <v>78103.62</v>
      </c>
      <c r="G942" s="1">
        <v>234</v>
      </c>
      <c r="I942" s="39">
        <v>46053.943055555559</v>
      </c>
      <c r="J942" s="36">
        <v>76446.733099999998</v>
      </c>
      <c r="L942" s="2"/>
      <c r="M942" s="2"/>
      <c r="O942" s="37">
        <v>46053.943055555559</v>
      </c>
      <c r="P942" s="36">
        <v>78206.651559999998</v>
      </c>
      <c r="R942" s="2">
        <v>78738.304099999994</v>
      </c>
      <c r="S942" s="2">
        <v>77582.151490000004</v>
      </c>
    </row>
    <row r="943" spans="1:19" x14ac:dyDescent="0.35">
      <c r="A943" s="7">
        <v>940</v>
      </c>
      <c r="B943" s="37">
        <v>46053.943749999999</v>
      </c>
      <c r="C943" s="2">
        <v>78103.62</v>
      </c>
      <c r="D943" s="43">
        <v>78145.33</v>
      </c>
      <c r="E943" s="43">
        <v>78077.55</v>
      </c>
      <c r="F943" s="2">
        <v>78145.33</v>
      </c>
      <c r="G943" s="1">
        <v>213</v>
      </c>
      <c r="I943" s="39">
        <v>46053.943749999999</v>
      </c>
      <c r="J943" s="36">
        <v>76450.588140000007</v>
      </c>
      <c r="L943" s="2"/>
      <c r="M943" s="2"/>
      <c r="O943" s="37">
        <v>46053.943749999999</v>
      </c>
      <c r="P943" s="36">
        <v>78218.568379999997</v>
      </c>
      <c r="R943" s="2">
        <v>78744.795899999997</v>
      </c>
      <c r="S943" s="2">
        <v>77585.741649999996</v>
      </c>
    </row>
    <row r="944" spans="1:19" x14ac:dyDescent="0.35">
      <c r="A944" s="7">
        <v>941</v>
      </c>
      <c r="B944" s="37">
        <v>46053.944444444445</v>
      </c>
      <c r="C944" s="2">
        <v>78151.62</v>
      </c>
      <c r="D944" s="43">
        <v>78153.23</v>
      </c>
      <c r="E944" s="43">
        <v>78102.78</v>
      </c>
      <c r="F944" s="2">
        <v>78132.86</v>
      </c>
      <c r="G944" s="1">
        <v>163</v>
      </c>
      <c r="I944" s="39">
        <v>46053.944444444445</v>
      </c>
      <c r="J944" s="36">
        <v>76454.443169999999</v>
      </c>
      <c r="L944" s="2"/>
      <c r="M944" s="2"/>
      <c r="O944" s="37">
        <v>46053.944444444445</v>
      </c>
      <c r="P944" s="36">
        <v>78230.485199999996</v>
      </c>
      <c r="R944" s="2">
        <v>78751.287689999997</v>
      </c>
      <c r="S944" s="2">
        <v>77589.3318</v>
      </c>
    </row>
    <row r="945" spans="1:19" x14ac:dyDescent="0.35">
      <c r="A945" s="7">
        <v>942</v>
      </c>
      <c r="B945" s="37">
        <v>46053.945138888892</v>
      </c>
      <c r="C945" s="2">
        <v>78132.86</v>
      </c>
      <c r="D945" s="43">
        <v>78132.86</v>
      </c>
      <c r="E945" s="43">
        <v>77996.5</v>
      </c>
      <c r="F945" s="2">
        <v>78088.42</v>
      </c>
      <c r="G945" s="1">
        <v>178</v>
      </c>
      <c r="I945" s="39">
        <v>46053.945138888892</v>
      </c>
      <c r="J945" s="36">
        <v>76458.298209999994</v>
      </c>
      <c r="L945" s="2"/>
      <c r="M945" s="2"/>
      <c r="O945" s="37">
        <v>46053.945138888892</v>
      </c>
      <c r="P945" s="36">
        <v>78242.402019999994</v>
      </c>
      <c r="R945" s="2">
        <v>78757.779490000001</v>
      </c>
      <c r="S945" s="2">
        <v>77592.921950000004</v>
      </c>
    </row>
    <row r="946" spans="1:19" x14ac:dyDescent="0.35">
      <c r="A946" s="7">
        <v>943</v>
      </c>
      <c r="B946" s="37">
        <v>46053.945833333331</v>
      </c>
      <c r="C946" s="2">
        <v>78090.320000000007</v>
      </c>
      <c r="D946" s="43">
        <v>78274.3</v>
      </c>
      <c r="E946" s="43">
        <v>78051.55</v>
      </c>
      <c r="F946" s="2">
        <v>78052.28</v>
      </c>
      <c r="G946" s="1">
        <v>204</v>
      </c>
      <c r="I946" s="39">
        <v>46053.945833333331</v>
      </c>
      <c r="J946" s="36">
        <v>76462.15324</v>
      </c>
      <c r="L946" s="2"/>
      <c r="M946" s="2"/>
      <c r="O946" s="37">
        <v>46053.945833333331</v>
      </c>
      <c r="P946" s="36">
        <v>78254.318840000007</v>
      </c>
      <c r="R946" s="2">
        <v>78764.271280000001</v>
      </c>
      <c r="S946" s="2">
        <v>77596.512109999996</v>
      </c>
    </row>
    <row r="947" spans="1:19" x14ac:dyDescent="0.35">
      <c r="A947" s="7">
        <v>944</v>
      </c>
      <c r="B947" s="37">
        <v>46053.946527777778</v>
      </c>
      <c r="C947" s="2">
        <v>78052.41</v>
      </c>
      <c r="D947" s="43">
        <v>78153.72</v>
      </c>
      <c r="E947" s="43">
        <v>78052.350000000006</v>
      </c>
      <c r="F947" s="2">
        <v>78112.62</v>
      </c>
      <c r="G947" s="1">
        <v>174</v>
      </c>
      <c r="I947" s="39">
        <v>46053.946527777778</v>
      </c>
      <c r="J947" s="36">
        <v>76466.008279999995</v>
      </c>
      <c r="L947" s="2"/>
      <c r="M947" s="2"/>
      <c r="O947" s="37">
        <v>46053.946527777778</v>
      </c>
      <c r="P947" s="36">
        <v>78266.235660000006</v>
      </c>
      <c r="R947" s="2">
        <v>78770.763080000004</v>
      </c>
      <c r="S947" s="2">
        <v>77600.10226</v>
      </c>
    </row>
    <row r="948" spans="1:19" x14ac:dyDescent="0.35">
      <c r="A948" s="7">
        <v>945</v>
      </c>
      <c r="B948" s="37">
        <v>46053.947222222225</v>
      </c>
      <c r="C948" s="2">
        <v>78120.62</v>
      </c>
      <c r="D948" s="43">
        <v>78120.740000000005</v>
      </c>
      <c r="E948" s="43">
        <v>78008.7</v>
      </c>
      <c r="F948" s="2">
        <v>78043.520000000004</v>
      </c>
      <c r="G948" s="1">
        <v>162</v>
      </c>
      <c r="I948" s="39">
        <v>46053.947222222225</v>
      </c>
      <c r="J948" s="36">
        <v>76469.863310000001</v>
      </c>
      <c r="L948" s="2"/>
      <c r="M948" s="2"/>
      <c r="O948" s="37">
        <v>46053.947222222225</v>
      </c>
      <c r="P948" s="36">
        <v>78278.152489999993</v>
      </c>
      <c r="R948" s="2">
        <v>78777.254870000004</v>
      </c>
      <c r="S948" s="2">
        <v>77603.692410000003</v>
      </c>
    </row>
    <row r="949" spans="1:19" x14ac:dyDescent="0.35">
      <c r="A949" s="7">
        <v>946</v>
      </c>
      <c r="B949" s="37">
        <v>46053.947916666664</v>
      </c>
      <c r="C949" s="2">
        <v>78043.509999999995</v>
      </c>
      <c r="D949" s="43">
        <v>78043.53</v>
      </c>
      <c r="E949" s="43">
        <v>77931.02</v>
      </c>
      <c r="F949" s="2">
        <v>77978.350000000006</v>
      </c>
      <c r="G949" s="1">
        <v>201</v>
      </c>
      <c r="I949" s="39">
        <v>46053.947916666664</v>
      </c>
      <c r="J949" s="36">
        <v>76473.718340000007</v>
      </c>
      <c r="L949" s="2"/>
      <c r="M949" s="2"/>
      <c r="O949" s="37">
        <v>46053.947916666664</v>
      </c>
      <c r="P949" s="36">
        <v>78290.069310000006</v>
      </c>
      <c r="R949" s="2">
        <v>78783.746669999993</v>
      </c>
      <c r="S949" s="2">
        <v>77607.282569999996</v>
      </c>
    </row>
    <row r="950" spans="1:19" x14ac:dyDescent="0.35">
      <c r="A950" s="7">
        <v>947</v>
      </c>
      <c r="B950" s="37">
        <v>46053.948611111111</v>
      </c>
      <c r="C950" s="2">
        <v>77978.350000000006</v>
      </c>
      <c r="D950" s="43">
        <v>77985.11</v>
      </c>
      <c r="E950" s="43">
        <v>77941.87</v>
      </c>
      <c r="F950" s="2">
        <v>77957.22</v>
      </c>
      <c r="G950" s="1">
        <v>187</v>
      </c>
      <c r="I950" s="39">
        <v>46053.948611111111</v>
      </c>
      <c r="J950" s="36">
        <v>76477.573380000002</v>
      </c>
      <c r="L950" s="2"/>
      <c r="M950" s="2"/>
      <c r="O950" s="37">
        <v>46053.948611111111</v>
      </c>
      <c r="P950" s="36">
        <v>78301.986130000005</v>
      </c>
      <c r="R950" s="2">
        <v>78790.238459999993</v>
      </c>
      <c r="S950" s="2">
        <v>77610.872719999999</v>
      </c>
    </row>
    <row r="951" spans="1:19" x14ac:dyDescent="0.35">
      <c r="A951" s="7">
        <v>948</v>
      </c>
      <c r="B951" s="37">
        <v>46053.949305555558</v>
      </c>
      <c r="C951" s="2">
        <v>77957.23</v>
      </c>
      <c r="D951" s="43">
        <v>78060.87</v>
      </c>
      <c r="E951" s="43">
        <v>77957.23</v>
      </c>
      <c r="F951" s="2">
        <v>78002.210000000006</v>
      </c>
      <c r="G951" s="1">
        <v>218</v>
      </c>
      <c r="I951" s="39">
        <v>46053.949305555558</v>
      </c>
      <c r="J951" s="36">
        <v>76481.428409999993</v>
      </c>
      <c r="L951" s="2"/>
      <c r="M951" s="2"/>
      <c r="O951" s="37">
        <v>46053.949305555558</v>
      </c>
      <c r="P951" s="36">
        <v>78313.902950000003</v>
      </c>
      <c r="R951" s="2">
        <v>78796.730259999997</v>
      </c>
      <c r="S951" s="2">
        <v>77614.462870000003</v>
      </c>
    </row>
    <row r="952" spans="1:19" x14ac:dyDescent="0.35">
      <c r="A952" s="7">
        <v>949</v>
      </c>
      <c r="B952" s="37">
        <v>46053.95</v>
      </c>
      <c r="C952" s="2">
        <v>78002.210000000006</v>
      </c>
      <c r="D952" s="43">
        <v>78042.539999999994</v>
      </c>
      <c r="E952" s="43">
        <v>77962.86</v>
      </c>
      <c r="F952" s="2">
        <v>78042.539999999994</v>
      </c>
      <c r="G952" s="1">
        <v>154</v>
      </c>
      <c r="I952" s="39">
        <v>46053.95</v>
      </c>
      <c r="J952" s="36">
        <v>76485.283450000003</v>
      </c>
      <c r="L952" s="2"/>
      <c r="M952" s="2"/>
      <c r="O952" s="37">
        <v>46053.95</v>
      </c>
      <c r="P952" s="36">
        <v>78325.819770000002</v>
      </c>
      <c r="R952" s="2">
        <v>78803.222049999997</v>
      </c>
      <c r="S952" s="2">
        <v>77618.053029999995</v>
      </c>
    </row>
    <row r="953" spans="1:19" x14ac:dyDescent="0.35">
      <c r="A953" s="7">
        <v>950</v>
      </c>
      <c r="B953" s="37">
        <v>46053.950694444444</v>
      </c>
      <c r="C953" s="2">
        <v>78042.59</v>
      </c>
      <c r="D953" s="43">
        <v>78065.91</v>
      </c>
      <c r="E953" s="43">
        <v>77957.66</v>
      </c>
      <c r="F953" s="2">
        <v>77957.75</v>
      </c>
      <c r="G953" s="1">
        <v>179</v>
      </c>
      <c r="I953" s="39">
        <v>46053.950694444444</v>
      </c>
      <c r="J953" s="36">
        <v>76489.138479999994</v>
      </c>
      <c r="L953" s="2"/>
      <c r="M953" s="2"/>
      <c r="O953" s="37">
        <v>46053.950694444444</v>
      </c>
      <c r="P953" s="36">
        <v>78337.73659</v>
      </c>
      <c r="R953" s="2">
        <v>78809.71385</v>
      </c>
      <c r="S953" s="2">
        <v>77621.643179999999</v>
      </c>
    </row>
    <row r="954" spans="1:19" x14ac:dyDescent="0.35">
      <c r="A954" s="7">
        <v>951</v>
      </c>
      <c r="B954" s="37">
        <v>46053.951388888891</v>
      </c>
      <c r="C954" s="2">
        <v>77957.740000000005</v>
      </c>
      <c r="D954" s="43">
        <v>78078</v>
      </c>
      <c r="E954" s="43">
        <v>77957.740000000005</v>
      </c>
      <c r="F954" s="2">
        <v>78059.16</v>
      </c>
      <c r="G954" s="1">
        <v>214</v>
      </c>
      <c r="I954" s="39">
        <v>46053.951388888891</v>
      </c>
      <c r="J954" s="36">
        <v>76492.993520000004</v>
      </c>
      <c r="L954" s="2"/>
      <c r="M954" s="2"/>
      <c r="O954" s="37">
        <v>46053.951388888891</v>
      </c>
      <c r="P954" s="36">
        <v>78349.653409999999</v>
      </c>
      <c r="R954" s="2">
        <v>78816.20564</v>
      </c>
      <c r="S954" s="2">
        <v>77625.233330000003</v>
      </c>
    </row>
    <row r="955" spans="1:19" x14ac:dyDescent="0.35">
      <c r="A955" s="7">
        <v>952</v>
      </c>
      <c r="B955" s="37">
        <v>46053.95208333333</v>
      </c>
      <c r="C955" s="2">
        <v>78061.399999999994</v>
      </c>
      <c r="D955" s="43">
        <v>78061.399999999994</v>
      </c>
      <c r="E955" s="43">
        <v>78006.11</v>
      </c>
      <c r="F955" s="2">
        <v>78011.86</v>
      </c>
      <c r="G955" s="1">
        <v>152</v>
      </c>
      <c r="I955" s="39">
        <v>46053.95208333333</v>
      </c>
      <c r="J955" s="36">
        <v>76496.848549999995</v>
      </c>
      <c r="L955" s="2"/>
      <c r="M955" s="2"/>
      <c r="O955" s="37">
        <v>46053.95208333333</v>
      </c>
      <c r="P955" s="36">
        <v>78361.570229999998</v>
      </c>
      <c r="R955" s="2">
        <v>78822.697440000004</v>
      </c>
      <c r="S955" s="2">
        <v>77628.823489999995</v>
      </c>
    </row>
    <row r="956" spans="1:19" x14ac:dyDescent="0.35">
      <c r="A956" s="7">
        <v>953</v>
      </c>
      <c r="B956" s="37">
        <v>46053.952777777777</v>
      </c>
      <c r="C956" s="2">
        <v>78012.08</v>
      </c>
      <c r="D956" s="43">
        <v>78027.740000000005</v>
      </c>
      <c r="E956" s="43">
        <v>77987.53</v>
      </c>
      <c r="F956" s="2">
        <v>77989.53</v>
      </c>
      <c r="G956" s="1">
        <v>146</v>
      </c>
      <c r="I956" s="39">
        <v>46053.952777777777</v>
      </c>
      <c r="J956" s="36">
        <v>76500.703590000005</v>
      </c>
      <c r="L956" s="2"/>
      <c r="M956" s="2"/>
      <c r="O956" s="37">
        <v>46053.952777777777</v>
      </c>
      <c r="P956" s="36">
        <v>78373.487049999996</v>
      </c>
      <c r="R956" s="2">
        <v>78829.189230000004</v>
      </c>
      <c r="S956" s="2">
        <v>77632.413639999999</v>
      </c>
    </row>
    <row r="957" spans="1:19" x14ac:dyDescent="0.35">
      <c r="A957" s="7">
        <v>954</v>
      </c>
      <c r="B957" s="37">
        <v>46053.953472222223</v>
      </c>
      <c r="C957" s="2">
        <v>78002.53</v>
      </c>
      <c r="D957" s="43">
        <v>78013.73</v>
      </c>
      <c r="E957" s="43">
        <v>78002.53</v>
      </c>
      <c r="F957" s="2">
        <v>78013.73</v>
      </c>
      <c r="G957" s="1">
        <v>8</v>
      </c>
      <c r="I957" s="39">
        <v>46053.953472222223</v>
      </c>
      <c r="J957" s="36">
        <v>76504.558619999996</v>
      </c>
      <c r="L957" s="2"/>
      <c r="M957" s="2"/>
      <c r="O957" s="37">
        <v>46053.953472222223</v>
      </c>
      <c r="P957" s="36">
        <v>78385.403869999995</v>
      </c>
      <c r="R957" s="2">
        <v>78835.681030000007</v>
      </c>
      <c r="S957" s="2">
        <v>77636.003790000002</v>
      </c>
    </row>
    <row r="958" spans="1:19" x14ac:dyDescent="0.35">
      <c r="A958" s="7">
        <v>955</v>
      </c>
      <c r="B958" s="37">
        <v>46053.95416666667</v>
      </c>
      <c r="C958" s="2">
        <v>78012.83</v>
      </c>
      <c r="D958" s="43">
        <v>78066.33</v>
      </c>
      <c r="E958" s="43">
        <v>78012.83</v>
      </c>
      <c r="F958" s="2">
        <v>78066.33</v>
      </c>
      <c r="G958" s="1">
        <v>115</v>
      </c>
      <c r="I958" s="39">
        <v>46053.95416666667</v>
      </c>
      <c r="J958" s="36">
        <v>76508.413660000006</v>
      </c>
      <c r="L958" s="2"/>
      <c r="M958" s="2"/>
      <c r="O958" s="37">
        <v>46053.95416666667</v>
      </c>
      <c r="P958" s="36">
        <v>78397.320689999993</v>
      </c>
      <c r="R958" s="2">
        <v>78842.172820000007</v>
      </c>
      <c r="S958" s="2">
        <v>77639.593949999995</v>
      </c>
    </row>
    <row r="959" spans="1:19" x14ac:dyDescent="0.35">
      <c r="A959" s="7">
        <v>956</v>
      </c>
      <c r="B959" s="37">
        <v>46053.954861111109</v>
      </c>
      <c r="C959" s="2">
        <v>78066.33</v>
      </c>
      <c r="D959" s="43">
        <v>78173.02</v>
      </c>
      <c r="E959" s="43">
        <v>78066.320000000007</v>
      </c>
      <c r="F959" s="2">
        <v>78155.520000000004</v>
      </c>
      <c r="G959" s="1">
        <v>205</v>
      </c>
      <c r="I959" s="39">
        <v>46053.954861111109</v>
      </c>
      <c r="J959" s="36">
        <v>76512.268689999997</v>
      </c>
      <c r="L959" s="2"/>
      <c r="M959" s="2"/>
      <c r="O959" s="37">
        <v>46053.954861111109</v>
      </c>
      <c r="P959" s="36">
        <v>78409.237510000006</v>
      </c>
      <c r="R959" s="2">
        <v>78848.664619999996</v>
      </c>
      <c r="S959" s="2">
        <v>77643.184099999999</v>
      </c>
    </row>
    <row r="960" spans="1:19" x14ac:dyDescent="0.35">
      <c r="A960" s="7">
        <v>957</v>
      </c>
      <c r="B960" s="37">
        <v>46053.955555555556</v>
      </c>
      <c r="C960" s="2">
        <v>78155.520000000004</v>
      </c>
      <c r="D960" s="43">
        <v>78158.69</v>
      </c>
      <c r="E960" s="43">
        <v>78093.77</v>
      </c>
      <c r="F960" s="2">
        <v>78158.2</v>
      </c>
      <c r="G960" s="1">
        <v>212</v>
      </c>
      <c r="I960" s="39">
        <v>46053.955555555556</v>
      </c>
      <c r="J960" s="36">
        <v>76516.123720000003</v>
      </c>
      <c r="L960" s="2"/>
      <c r="M960" s="2"/>
      <c r="O960" s="37">
        <v>46053.955555555556</v>
      </c>
      <c r="P960" s="36">
        <v>78421.154339999994</v>
      </c>
      <c r="R960" s="2">
        <v>78855.156409999996</v>
      </c>
      <c r="S960" s="2">
        <v>77646.774250000002</v>
      </c>
    </row>
    <row r="961" spans="1:19" x14ac:dyDescent="0.35">
      <c r="A961" s="7">
        <v>958</v>
      </c>
      <c r="B961" s="37">
        <v>46053.956250000003</v>
      </c>
      <c r="C961" s="2">
        <v>78157.919999999998</v>
      </c>
      <c r="D961" s="43">
        <v>78215.41</v>
      </c>
      <c r="E961" s="43">
        <v>78154.080000000002</v>
      </c>
      <c r="F961" s="2">
        <v>78205.600000000006</v>
      </c>
      <c r="G961" s="1">
        <v>191</v>
      </c>
      <c r="I961" s="39">
        <v>46053.956250000003</v>
      </c>
      <c r="J961" s="36">
        <v>76519.978759999998</v>
      </c>
      <c r="L961" s="2"/>
      <c r="M961" s="2"/>
      <c r="O961" s="37">
        <v>46053.956250000003</v>
      </c>
      <c r="P961" s="36">
        <v>78433.071160000007</v>
      </c>
      <c r="R961" s="2">
        <v>78861.648209999999</v>
      </c>
      <c r="S961" s="2">
        <v>77650.364409999995</v>
      </c>
    </row>
    <row r="962" spans="1:19" x14ac:dyDescent="0.35">
      <c r="A962" s="7">
        <v>959</v>
      </c>
      <c r="B962" s="37">
        <v>46053.956944444442</v>
      </c>
      <c r="C962" s="2">
        <v>78205.7</v>
      </c>
      <c r="D962" s="43">
        <v>78217.33</v>
      </c>
      <c r="E962" s="43">
        <v>78117.98</v>
      </c>
      <c r="F962" s="2">
        <v>78126.94</v>
      </c>
      <c r="G962" s="1">
        <v>192</v>
      </c>
      <c r="I962" s="39">
        <v>46053.956944444442</v>
      </c>
      <c r="J962" s="36">
        <v>76523.833790000004</v>
      </c>
      <c r="L962" s="2"/>
      <c r="M962" s="2"/>
      <c r="O962" s="37">
        <v>46053.956944444442</v>
      </c>
      <c r="P962" s="36">
        <v>78444.987980000005</v>
      </c>
      <c r="R962" s="2">
        <v>78868.14</v>
      </c>
      <c r="S962" s="2">
        <v>77653.954559999998</v>
      </c>
    </row>
    <row r="963" spans="1:19" x14ac:dyDescent="0.35">
      <c r="A963" s="7">
        <v>960</v>
      </c>
      <c r="B963" s="37">
        <v>46053.957638888889</v>
      </c>
      <c r="C963" s="2">
        <v>78126.94</v>
      </c>
      <c r="D963" s="43">
        <v>78153.02</v>
      </c>
      <c r="E963" s="43">
        <v>78044.679999999993</v>
      </c>
      <c r="F963" s="2">
        <v>78102.61</v>
      </c>
      <c r="G963" s="1">
        <v>209</v>
      </c>
      <c r="I963" s="39">
        <v>46053.957638888889</v>
      </c>
      <c r="J963" s="36">
        <v>76527.688829999999</v>
      </c>
      <c r="L963" s="2"/>
      <c r="M963" s="2"/>
      <c r="O963" s="37">
        <v>46053.957638888889</v>
      </c>
      <c r="P963" s="36">
        <v>78456.904800000004</v>
      </c>
      <c r="R963" s="2">
        <v>78874.631789999999</v>
      </c>
      <c r="S963" s="2">
        <v>77657.544710000002</v>
      </c>
    </row>
    <row r="964" spans="1:19" x14ac:dyDescent="0.35">
      <c r="A964" s="7">
        <v>961</v>
      </c>
      <c r="B964" s="37">
        <v>46053.958333333336</v>
      </c>
      <c r="C964" s="2">
        <v>78103.460000000006</v>
      </c>
      <c r="D964" s="43">
        <v>78184.210000000006</v>
      </c>
      <c r="E964" s="43">
        <v>78081.77</v>
      </c>
      <c r="F964" s="2">
        <v>78106.55</v>
      </c>
      <c r="G964" s="1">
        <v>213</v>
      </c>
      <c r="I964" s="39">
        <v>46053.958333333336</v>
      </c>
      <c r="J964" s="36">
        <v>76531.543860000005</v>
      </c>
      <c r="L964" s="2"/>
      <c r="M964" s="2"/>
      <c r="O964" s="37">
        <v>46053.958333333336</v>
      </c>
      <c r="P964" s="36">
        <v>78468.821620000002</v>
      </c>
      <c r="R964" s="2">
        <v>78881.123590000003</v>
      </c>
      <c r="S964" s="2">
        <v>77661.134869999994</v>
      </c>
    </row>
    <row r="965" spans="1:19" x14ac:dyDescent="0.35">
      <c r="A965" s="7">
        <v>962</v>
      </c>
      <c r="B965" s="37">
        <v>46053.959027777775</v>
      </c>
      <c r="C965" s="2">
        <v>78106.52</v>
      </c>
      <c r="D965" s="43">
        <v>78134.53</v>
      </c>
      <c r="E965" s="43">
        <v>78048.800000000003</v>
      </c>
      <c r="F965" s="2">
        <v>78134.53</v>
      </c>
      <c r="G965" s="1">
        <v>191</v>
      </c>
      <c r="I965" s="39">
        <v>46053.959027777775</v>
      </c>
      <c r="J965" s="36">
        <v>76535.3989</v>
      </c>
      <c r="L965" s="2"/>
      <c r="M965" s="2"/>
      <c r="O965" s="37">
        <v>46053.959027777775</v>
      </c>
      <c r="P965" s="36">
        <v>78480.738440000001</v>
      </c>
      <c r="R965" s="2">
        <v>78887.615380000003</v>
      </c>
      <c r="S965" s="2">
        <v>77664.725019999998</v>
      </c>
    </row>
    <row r="966" spans="1:19" x14ac:dyDescent="0.35">
      <c r="A966" s="7">
        <v>963</v>
      </c>
      <c r="B966" s="37">
        <v>46053.959722222222</v>
      </c>
      <c r="C966" s="2">
        <v>78150.3</v>
      </c>
      <c r="D966" s="43">
        <v>78155.33</v>
      </c>
      <c r="E966" s="43">
        <v>78099.64</v>
      </c>
      <c r="F966" s="2">
        <v>78105.850000000006</v>
      </c>
      <c r="G966" s="1">
        <v>165</v>
      </c>
      <c r="I966" s="39">
        <v>46053.959722222222</v>
      </c>
      <c r="J966" s="36">
        <v>76539.253930000006</v>
      </c>
      <c r="L966" s="2"/>
      <c r="M966" s="2"/>
      <c r="O966" s="37">
        <v>46053.959722222222</v>
      </c>
      <c r="P966" s="36">
        <v>78492.65526</v>
      </c>
      <c r="R966" s="2">
        <v>78894.107180000006</v>
      </c>
      <c r="S966" s="2">
        <v>77668.315170000002</v>
      </c>
    </row>
    <row r="967" spans="1:19" x14ac:dyDescent="0.35">
      <c r="A967" s="7">
        <v>964</v>
      </c>
      <c r="B967" s="37">
        <v>46053.960416666669</v>
      </c>
      <c r="C967" s="2">
        <v>78106.52</v>
      </c>
      <c r="D967" s="43">
        <v>78181.009999999995</v>
      </c>
      <c r="E967" s="43">
        <v>78017.42</v>
      </c>
      <c r="F967" s="2">
        <v>78181.009999999995</v>
      </c>
      <c r="G967" s="1">
        <v>197</v>
      </c>
      <c r="I967" s="39">
        <v>46053.960416666669</v>
      </c>
      <c r="J967" s="36">
        <v>76543.108970000001</v>
      </c>
      <c r="L967" s="2"/>
      <c r="M967" s="2"/>
      <c r="O967" s="37">
        <v>46053.960416666669</v>
      </c>
      <c r="P967" s="36">
        <v>78504.572079999998</v>
      </c>
      <c r="R967" s="2">
        <v>78900.598970000006</v>
      </c>
      <c r="S967" s="2">
        <v>77671.905329999994</v>
      </c>
    </row>
    <row r="968" spans="1:19" x14ac:dyDescent="0.35">
      <c r="A968" s="7">
        <v>965</v>
      </c>
      <c r="B968" s="37">
        <v>46053.961111111108</v>
      </c>
      <c r="C968" s="2">
        <v>78169.039999999994</v>
      </c>
      <c r="D968" s="43">
        <v>78183.31</v>
      </c>
      <c r="E968" s="43">
        <v>78085.61</v>
      </c>
      <c r="F968" s="2">
        <v>78171.89</v>
      </c>
      <c r="G968" s="1">
        <v>198</v>
      </c>
      <c r="I968" s="39">
        <v>46053.961111111108</v>
      </c>
      <c r="J968" s="36">
        <v>76546.964000000007</v>
      </c>
      <c r="L968" s="2"/>
      <c r="M968" s="2"/>
      <c r="O968" s="37">
        <v>46053.961111111108</v>
      </c>
      <c r="P968" s="36">
        <v>78516.488899999997</v>
      </c>
      <c r="R968" s="2">
        <v>78907.090769999995</v>
      </c>
      <c r="S968" s="2">
        <v>77675.495479999998</v>
      </c>
    </row>
    <row r="969" spans="1:19" x14ac:dyDescent="0.35">
      <c r="A969" s="7">
        <v>966</v>
      </c>
      <c r="B969" s="37">
        <v>46053.961805555555</v>
      </c>
      <c r="C969" s="2">
        <v>78174.25</v>
      </c>
      <c r="D969" s="43">
        <v>78218.399999999994</v>
      </c>
      <c r="E969" s="43">
        <v>78134.600000000006</v>
      </c>
      <c r="F969" s="2">
        <v>78191.899999999994</v>
      </c>
      <c r="G969" s="1">
        <v>196</v>
      </c>
      <c r="I969" s="39">
        <v>46053.961805555555</v>
      </c>
      <c r="J969" s="36">
        <v>76550.819029999999</v>
      </c>
      <c r="L969" s="2"/>
      <c r="M969" s="2"/>
      <c r="O969" s="37">
        <v>46053.961805555555</v>
      </c>
      <c r="P969" s="36">
        <v>78528.405719999995</v>
      </c>
      <c r="R969" s="2">
        <v>78913.582559999995</v>
      </c>
      <c r="S969" s="2">
        <v>77679.085630000001</v>
      </c>
    </row>
    <row r="970" spans="1:19" x14ac:dyDescent="0.35">
      <c r="A970" s="7">
        <v>967</v>
      </c>
      <c r="B970" s="37">
        <v>46053.962500000001</v>
      </c>
      <c r="C970" s="2">
        <v>78191.899999999994</v>
      </c>
      <c r="D970" s="43">
        <v>78251.16</v>
      </c>
      <c r="E970" s="43">
        <v>78176.7</v>
      </c>
      <c r="F970" s="2">
        <v>78233.94</v>
      </c>
      <c r="G970" s="1">
        <v>222</v>
      </c>
      <c r="I970" s="39">
        <v>46053.962500000001</v>
      </c>
      <c r="J970" s="36">
        <v>76554.674069999994</v>
      </c>
      <c r="L970" s="2"/>
      <c r="M970" s="2"/>
      <c r="O970" s="37">
        <v>46053.962500000001</v>
      </c>
      <c r="P970" s="36">
        <v>78540.322539999994</v>
      </c>
      <c r="R970" s="2">
        <v>78920.074359999999</v>
      </c>
      <c r="S970" s="2">
        <v>77682.675789999994</v>
      </c>
    </row>
    <row r="971" spans="1:19" x14ac:dyDescent="0.35">
      <c r="A971" s="7">
        <v>968</v>
      </c>
      <c r="B971" s="37">
        <v>46053.963194444441</v>
      </c>
      <c r="C971" s="2">
        <v>78234.34</v>
      </c>
      <c r="D971" s="43">
        <v>78262.03</v>
      </c>
      <c r="E971" s="43">
        <v>78188.13</v>
      </c>
      <c r="F971" s="2">
        <v>78261.98</v>
      </c>
      <c r="G971" s="1">
        <v>176</v>
      </c>
      <c r="I971" s="39">
        <v>46053.963194444441</v>
      </c>
      <c r="J971" s="36">
        <v>76558.5291</v>
      </c>
      <c r="L971" s="2"/>
      <c r="M971" s="2"/>
      <c r="O971" s="37">
        <v>46053.963194444441</v>
      </c>
      <c r="P971" s="36">
        <v>78552.239360000007</v>
      </c>
      <c r="R971" s="2">
        <v>78926.566149999999</v>
      </c>
      <c r="S971" s="2">
        <v>77686.265939999997</v>
      </c>
    </row>
    <row r="972" spans="1:19" x14ac:dyDescent="0.35">
      <c r="A972" s="7">
        <v>969</v>
      </c>
      <c r="B972" s="37">
        <v>46053.963888888888</v>
      </c>
      <c r="C972" s="2">
        <v>78261.820000000007</v>
      </c>
      <c r="D972" s="43">
        <v>78293.3</v>
      </c>
      <c r="E972" s="43">
        <v>78168.759999999995</v>
      </c>
      <c r="F972" s="2">
        <v>78241.05</v>
      </c>
      <c r="G972" s="1">
        <v>210</v>
      </c>
      <c r="I972" s="39">
        <v>46053.963888888888</v>
      </c>
      <c r="J972" s="36">
        <v>76562.384139999995</v>
      </c>
      <c r="L972" s="2"/>
      <c r="M972" s="2"/>
      <c r="O972" s="37">
        <v>46053.963888888888</v>
      </c>
      <c r="P972" s="36">
        <v>78564.156180000005</v>
      </c>
      <c r="R972" s="2">
        <v>78933.057950000002</v>
      </c>
      <c r="S972" s="2">
        <v>77689.856090000001</v>
      </c>
    </row>
    <row r="973" spans="1:19" x14ac:dyDescent="0.35">
      <c r="A973" s="7">
        <v>970</v>
      </c>
      <c r="B973" s="37">
        <v>46053.964583333334</v>
      </c>
      <c r="C973" s="2">
        <v>78241.740000000005</v>
      </c>
      <c r="D973" s="43">
        <v>78302.33</v>
      </c>
      <c r="E973" s="43">
        <v>78241.740000000005</v>
      </c>
      <c r="F973" s="2">
        <v>78288.149999999994</v>
      </c>
      <c r="G973" s="1">
        <v>178</v>
      </c>
      <c r="I973" s="39">
        <v>46053.964583333334</v>
      </c>
      <c r="J973" s="36">
        <v>76566.239170000001</v>
      </c>
      <c r="L973" s="2"/>
      <c r="M973" s="2"/>
      <c r="O973" s="37">
        <v>46053.964583333334</v>
      </c>
      <c r="P973" s="36">
        <v>78576.073009999993</v>
      </c>
      <c r="R973" s="2">
        <v>78939.549740000002</v>
      </c>
      <c r="S973" s="2">
        <v>77693.446249999994</v>
      </c>
    </row>
    <row r="974" spans="1:19" x14ac:dyDescent="0.35">
      <c r="A974" s="7">
        <v>971</v>
      </c>
      <c r="B974" s="37">
        <v>46053.965277777781</v>
      </c>
      <c r="C974" s="2">
        <v>78286.84</v>
      </c>
      <c r="D974" s="43">
        <v>78290.399999999994</v>
      </c>
      <c r="E974" s="43">
        <v>78240.800000000003</v>
      </c>
      <c r="F974" s="2">
        <v>78266.11</v>
      </c>
      <c r="G974" s="1">
        <v>214</v>
      </c>
      <c r="I974" s="39">
        <v>46053.965277777781</v>
      </c>
      <c r="J974" s="36">
        <v>76570.094209999996</v>
      </c>
      <c r="L974" s="2"/>
      <c r="M974" s="2"/>
      <c r="O974" s="37">
        <v>46053.965277777781</v>
      </c>
      <c r="P974" s="36">
        <v>78587.989830000006</v>
      </c>
      <c r="R974" s="2">
        <v>78946.041540000006</v>
      </c>
      <c r="S974" s="2">
        <v>77697.036399999997</v>
      </c>
    </row>
    <row r="975" spans="1:19" x14ac:dyDescent="0.35">
      <c r="A975" s="7">
        <v>972</v>
      </c>
      <c r="B975" s="37">
        <v>46053.96597222222</v>
      </c>
      <c r="C975" s="2">
        <v>78266.11</v>
      </c>
      <c r="D975" s="43">
        <v>78272.399999999994</v>
      </c>
      <c r="E975" s="43">
        <v>78190.52</v>
      </c>
      <c r="F975" s="2">
        <v>78194.649999999994</v>
      </c>
      <c r="G975" s="1">
        <v>219</v>
      </c>
      <c r="I975" s="39">
        <v>46053.96597222222</v>
      </c>
      <c r="J975" s="36">
        <v>76573.949240000002</v>
      </c>
      <c r="L975" s="2"/>
      <c r="M975" s="2"/>
      <c r="O975" s="37">
        <v>46053.96597222222</v>
      </c>
      <c r="P975" s="36">
        <v>78599.906650000004</v>
      </c>
      <c r="R975" s="2">
        <v>78952.533330000006</v>
      </c>
      <c r="S975" s="2">
        <v>77700.626550000001</v>
      </c>
    </row>
    <row r="976" spans="1:19" x14ac:dyDescent="0.35">
      <c r="A976" s="7">
        <v>973</v>
      </c>
      <c r="B976" s="37">
        <v>46053.966666666667</v>
      </c>
      <c r="C976" s="2">
        <v>78194.710000000006</v>
      </c>
      <c r="D976" s="43">
        <v>78194.710000000006</v>
      </c>
      <c r="E976" s="43">
        <v>78113</v>
      </c>
      <c r="F976" s="2">
        <v>78160.350000000006</v>
      </c>
      <c r="G976" s="1">
        <v>238</v>
      </c>
      <c r="I976" s="39">
        <v>46053.966666666667</v>
      </c>
      <c r="J976" s="36">
        <v>76577.804279999997</v>
      </c>
      <c r="L976" s="2"/>
      <c r="M976" s="2"/>
      <c r="O976" s="37">
        <v>46053.966666666667</v>
      </c>
      <c r="P976" s="36">
        <v>78611.823470000003</v>
      </c>
      <c r="R976" s="2">
        <v>78959.025129999995</v>
      </c>
      <c r="S976" s="2">
        <v>77704.216700000004</v>
      </c>
    </row>
    <row r="977" spans="1:19" x14ac:dyDescent="0.35">
      <c r="A977" s="7">
        <v>974</v>
      </c>
      <c r="B977" s="37">
        <v>46053.967361111114</v>
      </c>
      <c r="C977" s="2">
        <v>78168</v>
      </c>
      <c r="D977" s="43">
        <v>78217.13</v>
      </c>
      <c r="E977" s="43">
        <v>78126.62</v>
      </c>
      <c r="F977" s="2">
        <v>78207.37</v>
      </c>
      <c r="G977" s="1">
        <v>236</v>
      </c>
      <c r="I977" s="39">
        <v>46053.967361111114</v>
      </c>
      <c r="J977" s="36">
        <v>76581.659310000003</v>
      </c>
      <c r="L977" s="2"/>
      <c r="M977" s="2"/>
      <c r="O977" s="37">
        <v>46053.967361111114</v>
      </c>
      <c r="P977" s="36">
        <v>78623.740290000002</v>
      </c>
      <c r="R977" s="2">
        <v>78965.516919999995</v>
      </c>
      <c r="S977" s="2">
        <v>77707.806859999997</v>
      </c>
    </row>
    <row r="978" spans="1:19" x14ac:dyDescent="0.35">
      <c r="A978" s="7">
        <v>975</v>
      </c>
      <c r="B978" s="37">
        <v>46053.968055555553</v>
      </c>
      <c r="C978" s="2">
        <v>78207.210000000006</v>
      </c>
      <c r="D978" s="43">
        <v>78208.12</v>
      </c>
      <c r="E978" s="43">
        <v>78173.34</v>
      </c>
      <c r="F978" s="2">
        <v>78179.350000000006</v>
      </c>
      <c r="G978" s="1">
        <v>230</v>
      </c>
      <c r="I978" s="39">
        <v>46053.968055555553</v>
      </c>
      <c r="J978" s="36">
        <v>76585.514339999994</v>
      </c>
      <c r="L978" s="2"/>
      <c r="M978" s="2"/>
      <c r="O978" s="37">
        <v>46053.968055555553</v>
      </c>
      <c r="P978" s="36">
        <v>78635.65711</v>
      </c>
      <c r="R978" s="2">
        <v>78972.008719999998</v>
      </c>
      <c r="S978" s="2">
        <v>77711.397010000001</v>
      </c>
    </row>
    <row r="979" spans="1:19" x14ac:dyDescent="0.35">
      <c r="A979" s="7">
        <v>976</v>
      </c>
      <c r="B979" s="37">
        <v>46053.96875</v>
      </c>
      <c r="C979" s="2">
        <v>78179.44</v>
      </c>
      <c r="D979" s="43">
        <v>78213</v>
      </c>
      <c r="E979" s="43">
        <v>78091.77</v>
      </c>
      <c r="F979" s="2">
        <v>78212.990000000005</v>
      </c>
      <c r="G979" s="1">
        <v>230</v>
      </c>
      <c r="I979" s="39">
        <v>46053.96875</v>
      </c>
      <c r="J979" s="36">
        <v>76589.369380000004</v>
      </c>
      <c r="L979" s="2"/>
      <c r="M979" s="2"/>
      <c r="O979" s="37">
        <v>46053.96875</v>
      </c>
      <c r="P979" s="36">
        <v>78647.573929999999</v>
      </c>
      <c r="R979" s="2">
        <v>78978.500509999998</v>
      </c>
      <c r="S979" s="2">
        <v>77714.987160000004</v>
      </c>
    </row>
    <row r="980" spans="1:19" x14ac:dyDescent="0.35">
      <c r="A980" s="7">
        <v>977</v>
      </c>
      <c r="B980" s="37">
        <v>46053.969444444447</v>
      </c>
      <c r="C980" s="2">
        <v>78212.990000000005</v>
      </c>
      <c r="D980" s="43">
        <v>78256.61</v>
      </c>
      <c r="E980" s="43">
        <v>78184.399999999994</v>
      </c>
      <c r="F980" s="2">
        <v>78232.55</v>
      </c>
      <c r="G980" s="1">
        <v>239</v>
      </c>
      <c r="I980" s="39">
        <v>46053.969444444447</v>
      </c>
      <c r="J980" s="36">
        <v>76593.224409999995</v>
      </c>
      <c r="L980" s="2"/>
      <c r="M980" s="2"/>
      <c r="O980" s="37">
        <v>46053.969444444447</v>
      </c>
      <c r="P980" s="36">
        <v>78659.490749999997</v>
      </c>
      <c r="R980" s="2">
        <v>78984.992310000001</v>
      </c>
      <c r="S980" s="2">
        <v>77718.577319999997</v>
      </c>
    </row>
    <row r="981" spans="1:19" x14ac:dyDescent="0.35">
      <c r="A981" s="7">
        <v>978</v>
      </c>
      <c r="B981" s="37">
        <v>46053.970138888886</v>
      </c>
      <c r="C981" s="2">
        <v>78232.53</v>
      </c>
      <c r="D981" s="43">
        <v>78359.199999999997</v>
      </c>
      <c r="E981" s="43">
        <v>78232.210000000006</v>
      </c>
      <c r="F981" s="2">
        <v>78359.13</v>
      </c>
      <c r="G981" s="1">
        <v>219</v>
      </c>
      <c r="I981" s="39">
        <v>46053.970138888886</v>
      </c>
      <c r="J981" s="36">
        <v>76597.079450000005</v>
      </c>
      <c r="L981" s="2"/>
      <c r="M981" s="2"/>
      <c r="O981" s="37">
        <v>46053.970138888886</v>
      </c>
      <c r="P981" s="36">
        <v>78671.407569999996</v>
      </c>
      <c r="R981" s="2">
        <v>78991.484100000001</v>
      </c>
      <c r="S981" s="2">
        <v>77722.16747</v>
      </c>
    </row>
    <row r="982" spans="1:19" x14ac:dyDescent="0.35">
      <c r="A982" s="7">
        <v>979</v>
      </c>
      <c r="B982" s="37">
        <v>46053.970833333333</v>
      </c>
      <c r="C982" s="2">
        <v>78352.789999999994</v>
      </c>
      <c r="D982" s="43">
        <v>78374.399999999994</v>
      </c>
      <c r="E982" s="43">
        <v>78290.97</v>
      </c>
      <c r="F982" s="2">
        <v>78364.509999999995</v>
      </c>
      <c r="G982" s="1">
        <v>229</v>
      </c>
      <c r="I982" s="39">
        <v>46053.970833333333</v>
      </c>
      <c r="J982" s="36">
        <v>76600.934479999996</v>
      </c>
      <c r="L982" s="2"/>
      <c r="M982" s="2"/>
      <c r="O982" s="37">
        <v>46053.970833333333</v>
      </c>
      <c r="P982" s="36">
        <v>78683.324389999994</v>
      </c>
      <c r="R982" s="2">
        <v>78997.975900000005</v>
      </c>
      <c r="S982" s="2">
        <v>77725.757620000004</v>
      </c>
    </row>
    <row r="983" spans="1:19" x14ac:dyDescent="0.35">
      <c r="A983" s="7">
        <v>980</v>
      </c>
      <c r="B983" s="37">
        <v>46053.97152777778</v>
      </c>
      <c r="C983" s="2">
        <v>78364.5</v>
      </c>
      <c r="D983" s="43">
        <v>78513</v>
      </c>
      <c r="E983" s="43">
        <v>78346.100000000006</v>
      </c>
      <c r="F983" s="2">
        <v>78513</v>
      </c>
      <c r="G983" s="1">
        <v>204</v>
      </c>
      <c r="I983" s="39">
        <v>46053.97152777778</v>
      </c>
      <c r="J983" s="36">
        <v>76604.789520000006</v>
      </c>
      <c r="L983" s="2"/>
      <c r="M983" s="2"/>
      <c r="O983" s="37">
        <v>46053.97152777778</v>
      </c>
      <c r="P983" s="36">
        <v>78695.241209999993</v>
      </c>
      <c r="R983" s="2">
        <v>79004.467690000005</v>
      </c>
      <c r="S983" s="2">
        <v>77729.347779999996</v>
      </c>
    </row>
    <row r="984" spans="1:19" x14ac:dyDescent="0.35">
      <c r="A984" s="7">
        <v>981</v>
      </c>
      <c r="B984" s="37">
        <v>46053.972222222219</v>
      </c>
      <c r="C984" s="2">
        <v>78537.3</v>
      </c>
      <c r="D984" s="43">
        <v>78612.91</v>
      </c>
      <c r="E984" s="43">
        <v>78461.2</v>
      </c>
      <c r="F984" s="2">
        <v>78508.990000000005</v>
      </c>
      <c r="G984" s="1">
        <v>295</v>
      </c>
      <c r="I984" s="39">
        <v>46053.972222222219</v>
      </c>
      <c r="J984" s="36">
        <v>76608.644549999997</v>
      </c>
      <c r="L984" s="2"/>
      <c r="M984" s="2"/>
      <c r="O984" s="37">
        <v>46053.972222222219</v>
      </c>
      <c r="P984" s="36">
        <v>78707.158030000006</v>
      </c>
      <c r="R984" s="2">
        <v>79010.959489999994</v>
      </c>
      <c r="S984" s="2">
        <v>77732.93793</v>
      </c>
    </row>
    <row r="985" spans="1:19" x14ac:dyDescent="0.35">
      <c r="A985" s="7">
        <v>982</v>
      </c>
      <c r="B985" s="37">
        <v>46053.972916666666</v>
      </c>
      <c r="C985" s="2">
        <v>78506.39</v>
      </c>
      <c r="D985" s="43">
        <v>78762.81</v>
      </c>
      <c r="E985" s="43">
        <v>78470.53</v>
      </c>
      <c r="F985" s="2">
        <v>78717.070000000007</v>
      </c>
      <c r="G985" s="1">
        <v>286</v>
      </c>
      <c r="I985" s="39">
        <v>46053.972916666666</v>
      </c>
      <c r="J985" s="36">
        <v>76612.499590000007</v>
      </c>
      <c r="L985" s="2"/>
      <c r="M985" s="2"/>
      <c r="O985" s="37">
        <v>46053.972916666666</v>
      </c>
      <c r="P985" s="36">
        <v>78719.074859999993</v>
      </c>
      <c r="R985" s="2">
        <v>79017.451279999994</v>
      </c>
      <c r="S985" s="2">
        <v>77736.528080000004</v>
      </c>
    </row>
    <row r="986" spans="1:19" x14ac:dyDescent="0.35">
      <c r="A986" s="7">
        <v>983</v>
      </c>
      <c r="B986" s="37">
        <v>46053.973611111112</v>
      </c>
      <c r="C986" s="2">
        <v>78731</v>
      </c>
      <c r="D986" s="43">
        <v>78856.31</v>
      </c>
      <c r="E986" s="43">
        <v>78667.289999999994</v>
      </c>
      <c r="F986" s="2">
        <v>78731.83</v>
      </c>
      <c r="G986" s="1">
        <v>293</v>
      </c>
      <c r="I986" s="39">
        <v>46053.973611111112</v>
      </c>
      <c r="J986" s="36">
        <v>76616.354619999998</v>
      </c>
      <c r="L986" s="2"/>
      <c r="M986" s="2"/>
      <c r="O986" s="37">
        <v>46053.973611111112</v>
      </c>
      <c r="P986" s="36">
        <v>78730.991680000006</v>
      </c>
      <c r="R986" s="2">
        <v>79023.943079999997</v>
      </c>
      <c r="S986" s="2">
        <v>77740.118239999996</v>
      </c>
    </row>
    <row r="987" spans="1:19" x14ac:dyDescent="0.35">
      <c r="A987" s="7">
        <v>984</v>
      </c>
      <c r="B987" s="37">
        <v>46053.974305555559</v>
      </c>
      <c r="C987" s="2">
        <v>78737.350000000006</v>
      </c>
      <c r="D987" s="43">
        <v>79132.009999999995</v>
      </c>
      <c r="E987" s="43">
        <v>78737.33</v>
      </c>
      <c r="F987" s="2">
        <v>79054.91</v>
      </c>
      <c r="G987" s="1">
        <v>305</v>
      </c>
      <c r="I987" s="39">
        <v>46053.974305555559</v>
      </c>
      <c r="J987" s="36">
        <v>76620.209659999993</v>
      </c>
      <c r="L987" s="2"/>
      <c r="M987" s="2"/>
      <c r="O987" s="37">
        <v>46053.974305555559</v>
      </c>
      <c r="P987" s="36">
        <v>78742.908500000005</v>
      </c>
      <c r="R987" s="2">
        <v>79030.434869999997</v>
      </c>
      <c r="S987" s="2">
        <v>77743.70839</v>
      </c>
    </row>
    <row r="988" spans="1:19" x14ac:dyDescent="0.35">
      <c r="A988" s="7">
        <v>985</v>
      </c>
      <c r="B988" s="37">
        <v>46053.974999999999</v>
      </c>
      <c r="C988" s="2">
        <v>79049.55</v>
      </c>
      <c r="D988" s="43">
        <v>79187.11</v>
      </c>
      <c r="E988" s="43">
        <v>79010.5</v>
      </c>
      <c r="F988" s="2">
        <v>79156.740000000005</v>
      </c>
      <c r="G988" s="1">
        <v>300</v>
      </c>
      <c r="I988" s="39">
        <v>46053.974999999999</v>
      </c>
      <c r="J988" s="36">
        <v>76624.064689999999</v>
      </c>
      <c r="L988" s="2"/>
      <c r="M988" s="2"/>
      <c r="O988" s="37">
        <v>46053.974999999999</v>
      </c>
      <c r="P988" s="36">
        <v>78754.825320000004</v>
      </c>
      <c r="R988" s="2">
        <v>79036.926670000001</v>
      </c>
      <c r="S988" s="2">
        <v>77747.298540000003</v>
      </c>
    </row>
    <row r="989" spans="1:19" x14ac:dyDescent="0.35">
      <c r="A989" s="7">
        <v>986</v>
      </c>
      <c r="B989" s="37">
        <v>46053.975694444445</v>
      </c>
      <c r="C989" s="2">
        <v>79155.12</v>
      </c>
      <c r="D989" s="43">
        <v>79155.98</v>
      </c>
      <c r="E989" s="43">
        <v>79013.5</v>
      </c>
      <c r="F989" s="2">
        <v>79013.5</v>
      </c>
      <c r="G989" s="1">
        <v>288</v>
      </c>
      <c r="I989" s="39">
        <v>46053.975694444445</v>
      </c>
      <c r="J989" s="36">
        <v>76627.919720000005</v>
      </c>
      <c r="L989" s="2"/>
      <c r="M989" s="2"/>
      <c r="O989" s="37">
        <v>46053.975694444445</v>
      </c>
      <c r="P989" s="36">
        <v>78766.742140000002</v>
      </c>
      <c r="R989" s="2">
        <v>79043.418460000001</v>
      </c>
      <c r="S989" s="2">
        <v>77750.888699999996</v>
      </c>
    </row>
    <row r="990" spans="1:19" x14ac:dyDescent="0.35">
      <c r="A990" s="7">
        <v>987</v>
      </c>
      <c r="B990" s="37">
        <v>46053.976388888892</v>
      </c>
      <c r="C990" s="2">
        <v>79011.570000000007</v>
      </c>
      <c r="D990" s="43">
        <v>79032.25</v>
      </c>
      <c r="E990" s="43">
        <v>78860.28</v>
      </c>
      <c r="F990" s="2">
        <v>78869.440000000002</v>
      </c>
      <c r="G990" s="1">
        <v>288</v>
      </c>
      <c r="I990" s="39">
        <v>46053.976388888892</v>
      </c>
      <c r="J990" s="36">
        <v>76631.77476</v>
      </c>
      <c r="L990" s="2"/>
      <c r="M990" s="2"/>
      <c r="O990" s="37">
        <v>46053.976388888892</v>
      </c>
      <c r="P990" s="36">
        <v>78778.658960000001</v>
      </c>
      <c r="R990" s="2">
        <v>79049.910260000004</v>
      </c>
      <c r="S990" s="2">
        <v>77754.47885</v>
      </c>
    </row>
    <row r="991" spans="1:19" x14ac:dyDescent="0.35">
      <c r="A991" s="7">
        <v>988</v>
      </c>
      <c r="B991" s="37">
        <v>46053.977083333331</v>
      </c>
      <c r="C991" s="2">
        <v>78869.45</v>
      </c>
      <c r="D991" s="43">
        <v>78965.429999999993</v>
      </c>
      <c r="E991" s="43">
        <v>78860.17</v>
      </c>
      <c r="F991" s="2">
        <v>78907.88</v>
      </c>
      <c r="G991" s="1">
        <v>270</v>
      </c>
      <c r="I991" s="39">
        <v>46053.977083333331</v>
      </c>
      <c r="J991" s="36">
        <v>76635.629790000006</v>
      </c>
      <c r="L991" s="2"/>
      <c r="M991" s="2"/>
      <c r="O991" s="37">
        <v>46053.977083333331</v>
      </c>
      <c r="P991" s="36">
        <v>78790.575779999999</v>
      </c>
      <c r="R991" s="2">
        <v>79056.402050000004</v>
      </c>
      <c r="S991" s="2">
        <v>77758.069000000003</v>
      </c>
    </row>
    <row r="992" spans="1:19" x14ac:dyDescent="0.35">
      <c r="A992" s="7">
        <v>989</v>
      </c>
      <c r="B992" s="37">
        <v>46053.977777777778</v>
      </c>
      <c r="C992" s="2">
        <v>78904.929999999993</v>
      </c>
      <c r="D992" s="43">
        <v>78914.64</v>
      </c>
      <c r="E992" s="43">
        <v>78839.350000000006</v>
      </c>
      <c r="F992" s="2">
        <v>78872.95</v>
      </c>
      <c r="G992" s="1">
        <v>261</v>
      </c>
      <c r="I992" s="39">
        <v>46053.977777777778</v>
      </c>
      <c r="J992" s="36">
        <v>76639.484830000001</v>
      </c>
      <c r="L992" s="2"/>
      <c r="M992" s="2"/>
      <c r="O992" s="37">
        <v>46053.977777777778</v>
      </c>
      <c r="P992" s="36">
        <v>78802.492599999998</v>
      </c>
      <c r="R992" s="2">
        <v>79062.893849999993</v>
      </c>
      <c r="S992" s="2">
        <v>77761.659159999996</v>
      </c>
    </row>
    <row r="993" spans="1:19" x14ac:dyDescent="0.35">
      <c r="A993" s="7">
        <v>990</v>
      </c>
      <c r="B993" s="37">
        <v>46053.978472222225</v>
      </c>
      <c r="C993" s="2">
        <v>78867.460000000006</v>
      </c>
      <c r="D993" s="43">
        <v>78954.960000000006</v>
      </c>
      <c r="E993" s="43">
        <v>78811.360000000001</v>
      </c>
      <c r="F993" s="2">
        <v>78922.45</v>
      </c>
      <c r="G993" s="1">
        <v>275</v>
      </c>
      <c r="I993" s="39">
        <v>46053.978472222225</v>
      </c>
      <c r="J993" s="36">
        <v>76643.339859999993</v>
      </c>
      <c r="L993" s="2"/>
      <c r="M993" s="2"/>
      <c r="O993" s="37">
        <v>46053.978472222225</v>
      </c>
      <c r="P993" s="36">
        <v>78814.409419999996</v>
      </c>
      <c r="R993" s="2">
        <v>79069.385639999993</v>
      </c>
      <c r="S993" s="2">
        <v>77765.249309999999</v>
      </c>
    </row>
    <row r="994" spans="1:19" x14ac:dyDescent="0.35">
      <c r="A994" s="7">
        <v>991</v>
      </c>
      <c r="B994" s="37">
        <v>46053.979166666664</v>
      </c>
      <c r="C994" s="2">
        <v>78918.97</v>
      </c>
      <c r="D994" s="43">
        <v>78938.03</v>
      </c>
      <c r="E994" s="43">
        <v>78856.73</v>
      </c>
      <c r="F994" s="2">
        <v>78899.05</v>
      </c>
      <c r="G994" s="1">
        <v>268</v>
      </c>
      <c r="I994" s="39">
        <v>46053.979166666664</v>
      </c>
      <c r="J994" s="36">
        <v>76647.194900000002</v>
      </c>
      <c r="L994" s="2"/>
      <c r="M994" s="2"/>
      <c r="O994" s="37">
        <v>46053.979166666664</v>
      </c>
      <c r="P994" s="36">
        <v>78826.326239999995</v>
      </c>
      <c r="R994" s="2">
        <v>79075.877439999997</v>
      </c>
      <c r="S994" s="2">
        <v>77768.839460000003</v>
      </c>
    </row>
    <row r="995" spans="1:19" x14ac:dyDescent="0.35">
      <c r="A995" s="7">
        <v>992</v>
      </c>
      <c r="B995" s="37">
        <v>46053.979861111111</v>
      </c>
      <c r="C995" s="2">
        <v>78889.34</v>
      </c>
      <c r="D995" s="43">
        <v>78889.34</v>
      </c>
      <c r="E995" s="43">
        <v>78783.33</v>
      </c>
      <c r="F995" s="2">
        <v>78812.28</v>
      </c>
      <c r="G995" s="1">
        <v>270</v>
      </c>
      <c r="I995" s="39">
        <v>46053.979861111111</v>
      </c>
      <c r="J995" s="36">
        <v>76651.049929999994</v>
      </c>
      <c r="L995" s="2"/>
      <c r="M995" s="2"/>
      <c r="O995" s="37">
        <v>46053.979861111111</v>
      </c>
      <c r="P995" s="36">
        <v>78838.243059999993</v>
      </c>
      <c r="R995" s="2">
        <v>79082.369229999997</v>
      </c>
      <c r="S995" s="2">
        <v>77772.429619999995</v>
      </c>
    </row>
    <row r="996" spans="1:19" x14ac:dyDescent="0.35">
      <c r="A996" s="7">
        <v>993</v>
      </c>
      <c r="B996" s="37">
        <v>46053.980555555558</v>
      </c>
      <c r="C996" s="2">
        <v>78813.91</v>
      </c>
      <c r="D996" s="43">
        <v>78882.7</v>
      </c>
      <c r="E996" s="43">
        <v>78811.740000000005</v>
      </c>
      <c r="F996" s="2">
        <v>78873.31</v>
      </c>
      <c r="G996" s="1">
        <v>201</v>
      </c>
      <c r="I996" s="39">
        <v>46053.980555555558</v>
      </c>
      <c r="J996" s="36">
        <v>76654.904970000003</v>
      </c>
      <c r="L996" s="2"/>
      <c r="M996" s="2"/>
      <c r="O996" s="37">
        <v>46053.980555555558</v>
      </c>
      <c r="P996" s="36">
        <v>78850.159880000007</v>
      </c>
      <c r="R996" s="2">
        <v>79088.86103</v>
      </c>
      <c r="S996" s="2">
        <v>77776.019769999999</v>
      </c>
    </row>
    <row r="997" spans="1:19" x14ac:dyDescent="0.35">
      <c r="A997" s="7">
        <v>994</v>
      </c>
      <c r="B997" s="37">
        <v>46053.981249999997</v>
      </c>
      <c r="C997" s="2">
        <v>78873.31</v>
      </c>
      <c r="D997" s="43">
        <v>79011.45</v>
      </c>
      <c r="E997" s="43">
        <v>78839.61</v>
      </c>
      <c r="F997" s="2">
        <v>78993.14</v>
      </c>
      <c r="G997" s="1">
        <v>242</v>
      </c>
      <c r="I997" s="39">
        <v>46053.981249999997</v>
      </c>
      <c r="J997" s="36">
        <v>76658.759999999995</v>
      </c>
      <c r="L997" s="2"/>
      <c r="M997" s="2"/>
      <c r="O997" s="37">
        <v>46053.981249999997</v>
      </c>
      <c r="P997" s="36">
        <v>78862.076709999994</v>
      </c>
      <c r="R997" s="2">
        <v>79095.35282</v>
      </c>
      <c r="S997" s="2">
        <v>77779.609920000003</v>
      </c>
    </row>
    <row r="998" spans="1:19" x14ac:dyDescent="0.35">
      <c r="A998" s="7">
        <v>995</v>
      </c>
      <c r="B998" s="37">
        <v>46053.981944444444</v>
      </c>
      <c r="C998" s="2">
        <v>78993.61</v>
      </c>
      <c r="D998" s="43">
        <v>79069.72</v>
      </c>
      <c r="E998" s="43">
        <v>78969.539999999994</v>
      </c>
      <c r="F998" s="2">
        <v>79069.72</v>
      </c>
      <c r="G998" s="1">
        <v>232</v>
      </c>
      <c r="I998" s="39">
        <v>46053.981944444444</v>
      </c>
      <c r="J998" s="36">
        <v>76662.615030000001</v>
      </c>
      <c r="L998" s="2"/>
      <c r="M998" s="2"/>
      <c r="O998" s="37">
        <v>46053.981944444444</v>
      </c>
      <c r="P998" s="36">
        <v>78873.993530000007</v>
      </c>
      <c r="R998" s="2">
        <v>79101.844620000003</v>
      </c>
      <c r="S998" s="2">
        <v>77783.200079999995</v>
      </c>
    </row>
    <row r="999" spans="1:19" x14ac:dyDescent="0.35">
      <c r="A999" s="7">
        <v>996</v>
      </c>
      <c r="B999" s="37">
        <v>46053.982638888891</v>
      </c>
      <c r="C999" s="2">
        <v>79092.399999999994</v>
      </c>
      <c r="D999" s="43">
        <v>79133.75</v>
      </c>
      <c r="E999" s="43">
        <v>79076.509999999995</v>
      </c>
      <c r="F999" s="2">
        <v>79116.149999999994</v>
      </c>
      <c r="G999" s="1">
        <v>265</v>
      </c>
      <c r="I999" s="39">
        <v>46053.982638888891</v>
      </c>
      <c r="J999" s="36">
        <v>76666.470069999996</v>
      </c>
      <c r="L999" s="2"/>
      <c r="M999" s="2"/>
      <c r="O999" s="37">
        <v>46053.982638888891</v>
      </c>
      <c r="P999" s="36">
        <v>78885.910350000006</v>
      </c>
      <c r="R999" s="2">
        <v>79108.336410000004</v>
      </c>
      <c r="S999" s="2">
        <v>77786.790229999999</v>
      </c>
    </row>
    <row r="1000" spans="1:19" x14ac:dyDescent="0.35">
      <c r="A1000" s="7">
        <v>997</v>
      </c>
      <c r="B1000" s="37">
        <v>46053.98333333333</v>
      </c>
      <c r="C1000" s="2">
        <v>79116.009999999995</v>
      </c>
      <c r="D1000" s="43">
        <v>79120.45</v>
      </c>
      <c r="E1000" s="43">
        <v>79040.5</v>
      </c>
      <c r="F1000" s="2">
        <v>79040.5</v>
      </c>
      <c r="G1000" s="1">
        <v>251</v>
      </c>
      <c r="I1000" s="39">
        <v>46053.98333333333</v>
      </c>
      <c r="J1000" s="36">
        <v>76670.325100000002</v>
      </c>
      <c r="L1000" s="2"/>
      <c r="M1000" s="2"/>
      <c r="O1000" s="37">
        <v>46053.98333333333</v>
      </c>
      <c r="P1000" s="36">
        <v>78897.827170000004</v>
      </c>
      <c r="R1000" s="2">
        <v>79114.828210000007</v>
      </c>
      <c r="S1000" s="2">
        <v>77790.380380000002</v>
      </c>
    </row>
    <row r="1001" spans="1:19" x14ac:dyDescent="0.35">
      <c r="A1001" s="7">
        <v>998</v>
      </c>
      <c r="B1001" s="37">
        <v>46053.984027777777</v>
      </c>
      <c r="C1001" s="2">
        <v>79040.5</v>
      </c>
      <c r="D1001" s="43">
        <v>79047.67</v>
      </c>
      <c r="E1001" s="43">
        <v>78982.14</v>
      </c>
      <c r="F1001" s="2">
        <v>79039.149999999994</v>
      </c>
      <c r="G1001" s="1">
        <v>262</v>
      </c>
      <c r="I1001" s="39">
        <v>46053.984027777777</v>
      </c>
      <c r="J1001" s="36">
        <v>76674.180139999997</v>
      </c>
      <c r="L1001" s="2"/>
      <c r="M1001" s="2"/>
      <c r="O1001" s="37">
        <v>46053.984027777777</v>
      </c>
      <c r="P1001" s="36">
        <v>78909.743990000003</v>
      </c>
      <c r="R1001" s="2">
        <v>79121.320000000007</v>
      </c>
      <c r="S1001" s="2">
        <v>77793.970539999995</v>
      </c>
    </row>
    <row r="1002" spans="1:19" x14ac:dyDescent="0.35">
      <c r="A1002" s="7">
        <v>999</v>
      </c>
      <c r="B1002" s="37">
        <v>46053.984722222223</v>
      </c>
      <c r="C1002" s="2">
        <v>79039.360000000001</v>
      </c>
      <c r="D1002" s="43">
        <v>79039.360000000001</v>
      </c>
      <c r="E1002" s="43">
        <v>78820.75</v>
      </c>
      <c r="F1002" s="2">
        <v>78845.100000000006</v>
      </c>
      <c r="G1002" s="1">
        <v>267</v>
      </c>
      <c r="I1002" s="39">
        <v>46053.984722222223</v>
      </c>
      <c r="J1002" s="36">
        <v>76678.035170000003</v>
      </c>
      <c r="L1002" s="2"/>
      <c r="M1002" s="2"/>
      <c r="O1002" s="37">
        <v>46053.984722222223</v>
      </c>
      <c r="P1002" s="36">
        <v>78921.660810000001</v>
      </c>
      <c r="R1002" s="2">
        <v>79127.811790000007</v>
      </c>
      <c r="S1002" s="2">
        <v>77797.560689999998</v>
      </c>
    </row>
    <row r="1003" spans="1:19" x14ac:dyDescent="0.35">
      <c r="A1003" s="7">
        <v>1000</v>
      </c>
      <c r="B1003" s="37">
        <v>46053.98541666667</v>
      </c>
      <c r="C1003" s="2">
        <v>78845.539999999994</v>
      </c>
      <c r="D1003" s="43">
        <v>78903.97</v>
      </c>
      <c r="E1003" s="43">
        <v>78845.52</v>
      </c>
      <c r="F1003" s="2">
        <v>78861.490000000005</v>
      </c>
      <c r="G1003" s="1">
        <v>252</v>
      </c>
      <c r="I1003" s="39">
        <v>46053.98541666667</v>
      </c>
      <c r="J1003" s="36">
        <v>76681.890209999998</v>
      </c>
      <c r="L1003" s="2"/>
      <c r="M1003" s="2"/>
      <c r="O1003" s="37">
        <v>46053.98541666667</v>
      </c>
      <c r="P1003" s="36">
        <v>78933.57763</v>
      </c>
      <c r="R1003" s="2">
        <v>79134.303589999996</v>
      </c>
      <c r="S1003" s="2">
        <v>77801.150840000002</v>
      </c>
    </row>
    <row r="1004" spans="1:19" x14ac:dyDescent="0.35">
      <c r="A1004" s="7">
        <v>1001</v>
      </c>
      <c r="B1004" s="37">
        <v>46053.986111111109</v>
      </c>
      <c r="C1004" s="2">
        <v>78860.649999999994</v>
      </c>
      <c r="D1004" s="43">
        <v>78963.820000000007</v>
      </c>
      <c r="E1004" s="43">
        <v>78857.45</v>
      </c>
      <c r="F1004" s="2">
        <v>78963.820000000007</v>
      </c>
      <c r="G1004" s="1">
        <v>229</v>
      </c>
      <c r="I1004" s="39">
        <v>46053.986111111109</v>
      </c>
      <c r="J1004" s="36">
        <v>76685.745240000004</v>
      </c>
      <c r="L1004" s="2"/>
      <c r="M1004" s="2"/>
      <c r="O1004" s="37">
        <v>46053.986111111109</v>
      </c>
      <c r="P1004" s="36">
        <v>78945.494449999998</v>
      </c>
      <c r="R1004" s="2">
        <v>79140.795379999996</v>
      </c>
      <c r="S1004" s="2">
        <v>77804.740999999995</v>
      </c>
    </row>
    <row r="1005" spans="1:19" x14ac:dyDescent="0.35">
      <c r="A1005" s="7">
        <v>1002</v>
      </c>
      <c r="B1005" s="37">
        <v>46053.986805555556</v>
      </c>
      <c r="C1005" s="2">
        <v>78968.97</v>
      </c>
      <c r="D1005" s="43">
        <v>78977.27</v>
      </c>
      <c r="E1005" s="43">
        <v>78870.94</v>
      </c>
      <c r="F1005" s="2">
        <v>78870.94</v>
      </c>
      <c r="G1005" s="1">
        <v>237</v>
      </c>
      <c r="I1005" s="39">
        <v>46053.986805555556</v>
      </c>
      <c r="J1005" s="36">
        <v>76689.600279999999</v>
      </c>
      <c r="L1005" s="2"/>
      <c r="M1005" s="2"/>
      <c r="O1005" s="37">
        <v>46053.986805555556</v>
      </c>
      <c r="P1005" s="36">
        <v>78957.411269999997</v>
      </c>
      <c r="R1005" s="2">
        <v>79147.287179999999</v>
      </c>
      <c r="S1005" s="2">
        <v>77808.331149999998</v>
      </c>
    </row>
    <row r="1006" spans="1:19" x14ac:dyDescent="0.35">
      <c r="A1006" s="7">
        <v>1003</v>
      </c>
      <c r="B1006" s="37">
        <v>46053.987500000003</v>
      </c>
      <c r="C1006" s="2">
        <v>78870.89</v>
      </c>
      <c r="D1006" s="43">
        <v>78870.89</v>
      </c>
      <c r="E1006" s="43">
        <v>78798</v>
      </c>
      <c r="F1006" s="2">
        <v>78853.7</v>
      </c>
      <c r="G1006" s="1">
        <v>218</v>
      </c>
      <c r="I1006" s="39">
        <v>46053.987500000003</v>
      </c>
      <c r="J1006" s="36">
        <v>76693.455310000005</v>
      </c>
      <c r="L1006" s="2"/>
      <c r="M1006" s="2"/>
      <c r="O1006" s="37">
        <v>46053.987500000003</v>
      </c>
      <c r="P1006" s="36">
        <v>78969.328089999995</v>
      </c>
      <c r="R1006" s="2">
        <v>79153.778969999999</v>
      </c>
      <c r="S1006" s="2">
        <v>77811.921300000002</v>
      </c>
    </row>
    <row r="1007" spans="1:19" x14ac:dyDescent="0.35">
      <c r="A1007" s="7">
        <v>1004</v>
      </c>
      <c r="B1007" s="37">
        <v>46053.988194444442</v>
      </c>
      <c r="C1007" s="2">
        <v>78853.710000000006</v>
      </c>
      <c r="D1007" s="43">
        <v>78854.73</v>
      </c>
      <c r="E1007" s="43">
        <v>78714.11</v>
      </c>
      <c r="F1007" s="2">
        <v>78724.84</v>
      </c>
      <c r="G1007" s="1">
        <v>251</v>
      </c>
      <c r="I1007" s="39">
        <v>46053.988194444442</v>
      </c>
      <c r="J1007" s="36">
        <v>76697.310339999996</v>
      </c>
      <c r="L1007" s="2"/>
      <c r="M1007" s="2"/>
      <c r="O1007" s="37">
        <v>46053.988194444442</v>
      </c>
      <c r="P1007" s="36">
        <v>78981.244909999994</v>
      </c>
      <c r="R1007" s="2">
        <v>79160.270770000003</v>
      </c>
      <c r="S1007" s="2">
        <v>77815.511459999994</v>
      </c>
    </row>
    <row r="1008" spans="1:19" x14ac:dyDescent="0.35">
      <c r="A1008" s="7">
        <v>1005</v>
      </c>
      <c r="B1008" s="37">
        <v>46053.988888888889</v>
      </c>
      <c r="C1008" s="2">
        <v>78725.350000000006</v>
      </c>
      <c r="D1008" s="43">
        <v>78798.25</v>
      </c>
      <c r="E1008" s="43">
        <v>78725.33</v>
      </c>
      <c r="F1008" s="2">
        <v>78786.11</v>
      </c>
      <c r="G1008" s="1">
        <v>215</v>
      </c>
      <c r="I1008" s="39">
        <v>46053.988888888889</v>
      </c>
      <c r="J1008" s="36">
        <v>76701.165380000006</v>
      </c>
      <c r="L1008" s="2"/>
      <c r="M1008" s="2"/>
      <c r="O1008" s="37">
        <v>46053.988888888889</v>
      </c>
      <c r="P1008" s="36">
        <v>78993.161730000007</v>
      </c>
      <c r="R1008" s="2">
        <v>79166.762560000003</v>
      </c>
      <c r="S1008" s="2">
        <v>77819.101609999998</v>
      </c>
    </row>
    <row r="1009" spans="1:19" x14ac:dyDescent="0.35">
      <c r="A1009" s="7">
        <v>1006</v>
      </c>
      <c r="B1009" s="37">
        <v>46053.989583333336</v>
      </c>
      <c r="C1009" s="2">
        <v>78792</v>
      </c>
      <c r="D1009" s="43">
        <v>78818.149999999994</v>
      </c>
      <c r="E1009" s="43">
        <v>78656.62</v>
      </c>
      <c r="F1009" s="2">
        <v>78656.62</v>
      </c>
      <c r="G1009" s="1">
        <v>238</v>
      </c>
      <c r="I1009" s="39">
        <v>46053.989583333336</v>
      </c>
      <c r="J1009" s="36">
        <v>76705.020409999997</v>
      </c>
      <c r="L1009" s="2"/>
      <c r="M1009" s="2"/>
      <c r="O1009" s="37">
        <v>46053.989583333336</v>
      </c>
      <c r="P1009" s="36">
        <v>79005.078550000006</v>
      </c>
      <c r="R1009" s="2">
        <v>79173.254360000006</v>
      </c>
      <c r="S1009" s="2">
        <v>77822.691760000002</v>
      </c>
    </row>
    <row r="1010" spans="1:19" x14ac:dyDescent="0.35">
      <c r="A1010" s="7">
        <v>1007</v>
      </c>
      <c r="B1010" s="37">
        <v>46053.990277777775</v>
      </c>
      <c r="C1010" s="2">
        <v>78659.92</v>
      </c>
      <c r="D1010" s="43">
        <v>78758.12</v>
      </c>
      <c r="E1010" s="43">
        <v>78592.429999999993</v>
      </c>
      <c r="F1010" s="2">
        <v>78747.13</v>
      </c>
      <c r="G1010" s="1">
        <v>279</v>
      </c>
      <c r="I1010" s="39">
        <v>46053.990277777775</v>
      </c>
      <c r="J1010" s="36">
        <v>76708.875450000007</v>
      </c>
      <c r="L1010" s="2"/>
      <c r="M1010" s="2"/>
      <c r="O1010" s="37">
        <v>46053.990277777775</v>
      </c>
      <c r="P1010" s="36">
        <v>79016.995379999993</v>
      </c>
      <c r="R1010" s="2">
        <v>79179.746150000006</v>
      </c>
      <c r="S1010" s="2">
        <v>77826.281919999994</v>
      </c>
    </row>
    <row r="1011" spans="1:19" x14ac:dyDescent="0.35">
      <c r="A1011" s="7">
        <v>1008</v>
      </c>
      <c r="B1011" s="37">
        <v>46053.990972222222</v>
      </c>
      <c r="C1011" s="2">
        <v>78738.850000000006</v>
      </c>
      <c r="D1011" s="43">
        <v>78739.56</v>
      </c>
      <c r="E1011" s="43">
        <v>78634.320000000007</v>
      </c>
      <c r="F1011" s="2">
        <v>78634.320000000007</v>
      </c>
      <c r="G1011" s="1">
        <v>257</v>
      </c>
      <c r="I1011" s="39">
        <v>46053.990972222222</v>
      </c>
      <c r="J1011" s="36">
        <v>76712.730479999998</v>
      </c>
      <c r="L1011" s="2"/>
      <c r="M1011" s="2"/>
      <c r="O1011" s="37">
        <v>46053.990972222222</v>
      </c>
      <c r="P1011" s="36">
        <v>79028.912200000006</v>
      </c>
      <c r="R1011" s="2">
        <v>79186.237949999995</v>
      </c>
      <c r="S1011" s="2">
        <v>77829.872069999998</v>
      </c>
    </row>
    <row r="1012" spans="1:19" x14ac:dyDescent="0.35">
      <c r="A1012" s="7">
        <v>1009</v>
      </c>
      <c r="B1012" s="37">
        <v>46053.991666666669</v>
      </c>
      <c r="C1012" s="2">
        <v>78634.320000000007</v>
      </c>
      <c r="D1012" s="43">
        <v>78696.69</v>
      </c>
      <c r="E1012" s="43">
        <v>78634.320000000007</v>
      </c>
      <c r="F1012" s="2">
        <v>78688.92</v>
      </c>
      <c r="G1012" s="1">
        <v>218</v>
      </c>
      <c r="I1012" s="39">
        <v>46053.991666666669</v>
      </c>
      <c r="J1012" s="36">
        <v>76716.585519999993</v>
      </c>
      <c r="L1012" s="2"/>
      <c r="M1012" s="2"/>
      <c r="O1012" s="37">
        <v>46053.991666666669</v>
      </c>
      <c r="P1012" s="36">
        <v>79040.829020000005</v>
      </c>
      <c r="R1012" s="2">
        <v>79192.729739999995</v>
      </c>
      <c r="S1012" s="2">
        <v>77833.462220000001</v>
      </c>
    </row>
    <row r="1013" spans="1:19" x14ac:dyDescent="0.35">
      <c r="A1013" s="7">
        <v>1010</v>
      </c>
      <c r="B1013" s="37">
        <v>46053.992361111108</v>
      </c>
      <c r="C1013" s="2">
        <v>78691.149999999994</v>
      </c>
      <c r="D1013" s="43">
        <v>78745.33</v>
      </c>
      <c r="E1013" s="43">
        <v>78667.06</v>
      </c>
      <c r="F1013" s="2">
        <v>78696.28</v>
      </c>
      <c r="G1013" s="1">
        <v>213</v>
      </c>
      <c r="I1013" s="39">
        <v>46053.992361111108</v>
      </c>
      <c r="J1013" s="36">
        <v>76720.440549999999</v>
      </c>
      <c r="L1013" s="2"/>
      <c r="M1013" s="2"/>
      <c r="O1013" s="37">
        <v>46053.992361111108</v>
      </c>
      <c r="P1013" s="36">
        <v>79052.745840000003</v>
      </c>
      <c r="R1013" s="2">
        <v>79199.221539999999</v>
      </c>
      <c r="S1013" s="2">
        <v>77837.052379999994</v>
      </c>
    </row>
    <row r="1014" spans="1:19" x14ac:dyDescent="0.35">
      <c r="A1014" s="7">
        <v>1011</v>
      </c>
      <c r="B1014" s="37">
        <v>46053.993055555555</v>
      </c>
      <c r="C1014" s="2">
        <v>78685</v>
      </c>
      <c r="D1014" s="43">
        <v>78772.13</v>
      </c>
      <c r="E1014" s="43">
        <v>78685</v>
      </c>
      <c r="F1014" s="2">
        <v>78772.13</v>
      </c>
      <c r="G1014" s="1">
        <v>213</v>
      </c>
      <c r="I1014" s="39">
        <v>46053.993055555555</v>
      </c>
      <c r="J1014" s="36">
        <v>76724.295589999994</v>
      </c>
      <c r="L1014" s="2"/>
      <c r="M1014" s="2"/>
      <c r="O1014" s="37">
        <v>46053.993055555555</v>
      </c>
      <c r="P1014" s="36">
        <v>79064.662660000002</v>
      </c>
      <c r="R1014" s="2">
        <v>79205.713329999999</v>
      </c>
      <c r="S1014" s="2">
        <v>77840.642529999997</v>
      </c>
    </row>
    <row r="1015" spans="1:19" x14ac:dyDescent="0.35">
      <c r="A1015" s="7">
        <v>1012</v>
      </c>
      <c r="B1015" s="37">
        <v>46053.993750000001</v>
      </c>
      <c r="C1015" s="2">
        <v>78772.13</v>
      </c>
      <c r="D1015" s="43">
        <v>78826.44</v>
      </c>
      <c r="E1015" s="43">
        <v>78751.320000000007</v>
      </c>
      <c r="F1015" s="2">
        <v>78813.149999999994</v>
      </c>
      <c r="G1015" s="1">
        <v>197</v>
      </c>
      <c r="I1015" s="39">
        <v>46053.993750000001</v>
      </c>
      <c r="J1015" s="36">
        <v>76728.15062</v>
      </c>
      <c r="L1015" s="2"/>
      <c r="M1015" s="2"/>
      <c r="O1015" s="37">
        <v>46053.993750000001</v>
      </c>
      <c r="P1015" s="36">
        <v>79076.57948</v>
      </c>
      <c r="R1015" s="2">
        <v>79212.205130000002</v>
      </c>
      <c r="S1015" s="2">
        <v>77844.232680000001</v>
      </c>
    </row>
    <row r="1016" spans="1:19" x14ac:dyDescent="0.35">
      <c r="A1016" s="7">
        <v>1013</v>
      </c>
      <c r="B1016" s="37">
        <v>46053.994444444441</v>
      </c>
      <c r="C1016" s="2">
        <v>78813.14</v>
      </c>
      <c r="D1016" s="43">
        <v>78854.429999999993</v>
      </c>
      <c r="E1016" s="43">
        <v>78787.44</v>
      </c>
      <c r="F1016" s="2">
        <v>78849.42</v>
      </c>
      <c r="G1016" s="1">
        <v>225</v>
      </c>
      <c r="I1016" s="39">
        <v>46053.994444444441</v>
      </c>
      <c r="J1016" s="36">
        <v>76732.005659999995</v>
      </c>
      <c r="L1016" s="2"/>
      <c r="M1016" s="2"/>
      <c r="O1016" s="37">
        <v>46053.994444444441</v>
      </c>
      <c r="P1016" s="36">
        <v>79088.496299999999</v>
      </c>
      <c r="R1016" s="2">
        <v>79218.696920000002</v>
      </c>
      <c r="S1016" s="2">
        <v>77847.822839999993</v>
      </c>
    </row>
    <row r="1017" spans="1:19" x14ac:dyDescent="0.35">
      <c r="A1017" s="7">
        <v>1014</v>
      </c>
      <c r="B1017" s="37">
        <v>46053.995138888888</v>
      </c>
      <c r="C1017" s="2">
        <v>78849.42</v>
      </c>
      <c r="D1017" s="43">
        <v>78899.62</v>
      </c>
      <c r="E1017" s="43">
        <v>78828.509999999995</v>
      </c>
      <c r="F1017" s="2">
        <v>78849.919999999998</v>
      </c>
      <c r="G1017" s="1">
        <v>233</v>
      </c>
      <c r="I1017" s="39">
        <v>46053.995138888888</v>
      </c>
      <c r="J1017" s="36">
        <v>76735.860690000001</v>
      </c>
      <c r="L1017" s="2"/>
      <c r="M1017" s="2"/>
      <c r="O1017" s="37">
        <v>46053.995138888888</v>
      </c>
      <c r="P1017" s="36">
        <v>79100.413119999997</v>
      </c>
      <c r="R1017" s="2">
        <v>79225.188720000006</v>
      </c>
      <c r="S1017" s="2">
        <v>77851.412989999997</v>
      </c>
    </row>
    <row r="1018" spans="1:19" x14ac:dyDescent="0.35">
      <c r="A1018" s="7">
        <v>1015</v>
      </c>
      <c r="B1018" s="37">
        <v>46053.995833333334</v>
      </c>
      <c r="C1018" s="2">
        <v>78849.929999999993</v>
      </c>
      <c r="D1018" s="43">
        <v>78855.320000000007</v>
      </c>
      <c r="E1018" s="43">
        <v>78699.11</v>
      </c>
      <c r="F1018" s="2">
        <v>78717.5</v>
      </c>
      <c r="G1018" s="1">
        <v>228</v>
      </c>
      <c r="I1018" s="39">
        <v>46053.995833333334</v>
      </c>
      <c r="J1018" s="36">
        <v>76739.715719999993</v>
      </c>
      <c r="L1018" s="2"/>
      <c r="M1018" s="2"/>
      <c r="O1018" s="37">
        <v>46053.995833333334</v>
      </c>
      <c r="P1018" s="36">
        <v>79112.329939999996</v>
      </c>
      <c r="R1018" s="2">
        <v>79231.680510000006</v>
      </c>
      <c r="S1018" s="2">
        <v>77855.003140000001</v>
      </c>
    </row>
    <row r="1019" spans="1:19" x14ac:dyDescent="0.35">
      <c r="A1019" s="7">
        <v>1016</v>
      </c>
      <c r="B1019" s="37">
        <v>46053.996527777781</v>
      </c>
      <c r="C1019" s="2">
        <v>78716.58</v>
      </c>
      <c r="D1019" s="43">
        <v>78744.27</v>
      </c>
      <c r="E1019" s="43">
        <v>78642.509999999995</v>
      </c>
      <c r="F1019" s="2">
        <v>78642.509999999995</v>
      </c>
      <c r="G1019" s="1">
        <v>244</v>
      </c>
      <c r="I1019" s="39">
        <v>46053.996527777781</v>
      </c>
      <c r="J1019" s="36">
        <v>76743.570760000002</v>
      </c>
      <c r="L1019" s="2"/>
      <c r="M1019" s="2"/>
      <c r="O1019" s="37">
        <v>46053.996527777781</v>
      </c>
      <c r="P1019" s="36">
        <v>79124.246759999995</v>
      </c>
      <c r="R1019" s="2">
        <v>79238.172309999994</v>
      </c>
      <c r="S1019" s="2">
        <v>77858.593299999993</v>
      </c>
    </row>
    <row r="1020" spans="1:19" x14ac:dyDescent="0.35">
      <c r="A1020" s="7">
        <v>1017</v>
      </c>
      <c r="B1020" s="37">
        <v>46053.99722222222</v>
      </c>
      <c r="C1020" s="2">
        <v>78669.02</v>
      </c>
      <c r="D1020" s="43">
        <v>78747.11</v>
      </c>
      <c r="E1020" s="43">
        <v>78669.02</v>
      </c>
      <c r="F1020" s="2">
        <v>78717.960000000006</v>
      </c>
      <c r="G1020" s="1">
        <v>213</v>
      </c>
      <c r="I1020" s="39">
        <v>46053.99722222222</v>
      </c>
      <c r="J1020" s="36">
        <v>76747.425789999994</v>
      </c>
      <c r="L1020" s="2"/>
      <c r="M1020" s="2"/>
      <c r="O1020" s="37">
        <v>46053.99722222222</v>
      </c>
      <c r="P1020" s="36">
        <v>79136.163579999993</v>
      </c>
      <c r="R1020" s="2">
        <v>79244.664099999995</v>
      </c>
      <c r="S1020" s="2">
        <v>77862.183449999997</v>
      </c>
    </row>
    <row r="1021" spans="1:19" x14ac:dyDescent="0.35">
      <c r="A1021" s="7">
        <v>1018</v>
      </c>
      <c r="B1021" s="37">
        <v>46053.997916666667</v>
      </c>
      <c r="C1021" s="2">
        <v>78721.42</v>
      </c>
      <c r="D1021" s="43">
        <v>78770.100000000006</v>
      </c>
      <c r="E1021" s="43">
        <v>78694.429999999993</v>
      </c>
      <c r="F1021" s="2">
        <v>78700.399999999994</v>
      </c>
      <c r="G1021" s="1">
        <v>221</v>
      </c>
      <c r="I1021" s="39">
        <v>46053.997916666667</v>
      </c>
      <c r="J1021" s="36">
        <v>76751.280830000003</v>
      </c>
      <c r="L1021" s="2"/>
      <c r="M1021" s="2"/>
      <c r="O1021" s="37">
        <v>46053.997916666667</v>
      </c>
      <c r="P1021" s="36">
        <v>79148.080400000006</v>
      </c>
      <c r="R1021" s="2">
        <v>79251.155899999998</v>
      </c>
      <c r="S1021" s="2">
        <v>77865.7736</v>
      </c>
    </row>
    <row r="1022" spans="1:19" x14ac:dyDescent="0.35">
      <c r="A1022" s="7">
        <v>1019</v>
      </c>
      <c r="B1022" s="37">
        <v>46053.998611111114</v>
      </c>
      <c r="C1022" s="2">
        <v>78694.84</v>
      </c>
      <c r="D1022" s="43">
        <v>78694.84</v>
      </c>
      <c r="E1022" s="43">
        <v>78646.16</v>
      </c>
      <c r="F1022" s="2">
        <v>78670.41</v>
      </c>
      <c r="G1022" s="1">
        <v>231</v>
      </c>
      <c r="I1022" s="39">
        <v>46053.998611111114</v>
      </c>
      <c r="J1022" s="36">
        <v>76755.135859999995</v>
      </c>
      <c r="L1022" s="2"/>
      <c r="M1022" s="2"/>
      <c r="O1022" s="37">
        <v>46053.998611111114</v>
      </c>
      <c r="P1022" s="36">
        <v>79159.997229999994</v>
      </c>
      <c r="R1022" s="2">
        <v>79257.647689999998</v>
      </c>
      <c r="S1022" s="2">
        <v>77869.363750000004</v>
      </c>
    </row>
    <row r="1023" spans="1:19" x14ac:dyDescent="0.35">
      <c r="A1023" s="7">
        <v>1020</v>
      </c>
      <c r="B1023" s="37">
        <v>46053.999305555553</v>
      </c>
      <c r="C1023" s="2">
        <v>78670.41</v>
      </c>
      <c r="D1023" s="43">
        <v>78740.02</v>
      </c>
      <c r="E1023" s="43">
        <v>78598.73</v>
      </c>
      <c r="F1023" s="2">
        <v>78684.160000000003</v>
      </c>
      <c r="G1023" s="1">
        <v>230</v>
      </c>
      <c r="I1023" s="39">
        <v>46053.999305555553</v>
      </c>
      <c r="J1023" s="36">
        <v>76758.990900000004</v>
      </c>
      <c r="L1023" s="2"/>
      <c r="M1023" s="2"/>
      <c r="O1023" s="37">
        <v>46053.999305555553</v>
      </c>
      <c r="P1023" s="36">
        <v>79171.914050000007</v>
      </c>
      <c r="R1023" s="2">
        <v>79264.139490000001</v>
      </c>
      <c r="S1023" s="2">
        <v>77872.953909999997</v>
      </c>
    </row>
    <row r="1024" spans="1:19" x14ac:dyDescent="0.35">
      <c r="A1024" s="7">
        <v>1021</v>
      </c>
      <c r="B1024" s="37">
        <v>46054</v>
      </c>
      <c r="C1024" s="2">
        <v>78705.509999999995</v>
      </c>
      <c r="D1024" s="43">
        <v>78730.600000000006</v>
      </c>
      <c r="E1024" s="43">
        <v>78633.67</v>
      </c>
      <c r="F1024" s="2">
        <v>78637.98</v>
      </c>
      <c r="G1024" s="1">
        <v>223</v>
      </c>
      <c r="I1024" s="39">
        <v>46054</v>
      </c>
      <c r="J1024" s="36">
        <v>76762.845929999996</v>
      </c>
      <c r="L1024" s="2"/>
      <c r="M1024" s="2"/>
      <c r="O1024" s="37">
        <v>46054</v>
      </c>
      <c r="P1024" s="36">
        <v>79183.830870000005</v>
      </c>
      <c r="R1024" s="2">
        <v>79270.631280000001</v>
      </c>
      <c r="S1024" s="2">
        <v>77876.54406</v>
      </c>
    </row>
    <row r="1025" spans="1:19" x14ac:dyDescent="0.35">
      <c r="A1025" s="7">
        <v>1022</v>
      </c>
      <c r="B1025" s="37">
        <v>46054.000694444447</v>
      </c>
      <c r="C1025" s="2">
        <v>78637.59</v>
      </c>
      <c r="D1025" s="43">
        <v>78637.59</v>
      </c>
      <c r="E1025" s="43">
        <v>78599.960000000006</v>
      </c>
      <c r="F1025" s="2">
        <v>78631.710000000006</v>
      </c>
      <c r="G1025" s="1">
        <v>245</v>
      </c>
      <c r="I1025" s="39">
        <v>46054.000694444447</v>
      </c>
      <c r="J1025" s="36">
        <v>76766.700970000005</v>
      </c>
      <c r="L1025" s="2"/>
      <c r="M1025" s="2"/>
      <c r="O1025" s="37">
        <v>46054.000694444447</v>
      </c>
      <c r="P1025" s="36">
        <v>79195.747690000004</v>
      </c>
      <c r="R1025" s="2">
        <v>79277.123080000005</v>
      </c>
      <c r="S1025" s="2">
        <v>77880.134210000004</v>
      </c>
    </row>
    <row r="1026" spans="1:19" x14ac:dyDescent="0.35">
      <c r="A1026" s="7">
        <v>1023</v>
      </c>
      <c r="B1026" s="37">
        <v>46054.001388888886</v>
      </c>
      <c r="C1026" s="2">
        <v>78631.64</v>
      </c>
      <c r="D1026" s="43">
        <v>78779.34</v>
      </c>
      <c r="E1026" s="43">
        <v>78623.360000000001</v>
      </c>
      <c r="F1026" s="2">
        <v>78779.33</v>
      </c>
      <c r="G1026" s="1">
        <v>250</v>
      </c>
      <c r="I1026" s="39">
        <v>46054.001388888886</v>
      </c>
      <c r="J1026" s="36">
        <v>76770.555999999997</v>
      </c>
      <c r="L1026" s="2"/>
      <c r="M1026" s="2"/>
      <c r="O1026" s="37">
        <v>46054.001388888886</v>
      </c>
      <c r="P1026" s="36">
        <v>79207.664510000002</v>
      </c>
      <c r="R1026" s="2">
        <v>79283.614870000005</v>
      </c>
      <c r="S1026" s="2">
        <v>77883.724369999996</v>
      </c>
    </row>
    <row r="1027" spans="1:19" x14ac:dyDescent="0.35">
      <c r="A1027" s="7">
        <v>1024</v>
      </c>
      <c r="B1027" s="37">
        <v>46054.002083333333</v>
      </c>
      <c r="C1027" s="2">
        <v>78772.31</v>
      </c>
      <c r="D1027" s="43">
        <v>78856.55</v>
      </c>
      <c r="E1027" s="43">
        <v>78752.2</v>
      </c>
      <c r="F1027" s="2">
        <v>78842.78</v>
      </c>
      <c r="G1027" s="1">
        <v>277</v>
      </c>
      <c r="I1027" s="39">
        <v>46054.002083333333</v>
      </c>
      <c r="J1027" s="36">
        <v>76774.411030000003</v>
      </c>
      <c r="L1027" s="2"/>
      <c r="M1027" s="2"/>
      <c r="O1027" s="37">
        <v>46054.002083333333</v>
      </c>
      <c r="P1027" s="36">
        <v>79219.581330000001</v>
      </c>
      <c r="R1027" s="2">
        <v>79290.106669999994</v>
      </c>
      <c r="S1027" s="2">
        <v>77887.31452</v>
      </c>
    </row>
    <row r="1028" spans="1:19" x14ac:dyDescent="0.35">
      <c r="A1028" s="7">
        <v>1025</v>
      </c>
      <c r="B1028" s="37">
        <v>46054.00277777778</v>
      </c>
      <c r="C1028" s="2">
        <v>78821.62</v>
      </c>
      <c r="D1028" s="43">
        <v>78892.14</v>
      </c>
      <c r="E1028" s="43">
        <v>78802.2</v>
      </c>
      <c r="F1028" s="2">
        <v>78882.59</v>
      </c>
      <c r="G1028" s="1">
        <v>278</v>
      </c>
      <c r="I1028" s="39">
        <v>46054.00277777778</v>
      </c>
      <c r="J1028" s="36">
        <v>76778.266069999998</v>
      </c>
      <c r="L1028" s="2"/>
      <c r="M1028" s="2"/>
      <c r="O1028" s="37">
        <v>46054.00277777778</v>
      </c>
      <c r="P1028" s="36">
        <v>79231.498149999999</v>
      </c>
      <c r="R1028" s="2">
        <v>79296.598459999994</v>
      </c>
      <c r="S1028" s="2">
        <v>77890.904670000004</v>
      </c>
    </row>
    <row r="1029" spans="1:19" x14ac:dyDescent="0.35">
      <c r="A1029" s="7">
        <v>1026</v>
      </c>
      <c r="B1029" s="37">
        <v>46054.003472222219</v>
      </c>
      <c r="C1029" s="2">
        <v>78882.490000000005</v>
      </c>
      <c r="D1029" s="43">
        <v>78899.899999999994</v>
      </c>
      <c r="E1029" s="43">
        <v>78850.5</v>
      </c>
      <c r="F1029" s="2">
        <v>78864.38</v>
      </c>
      <c r="G1029" s="1">
        <v>254</v>
      </c>
      <c r="I1029" s="39">
        <v>46054.003472222219</v>
      </c>
      <c r="J1029" s="36">
        <v>76782.121100000004</v>
      </c>
      <c r="L1029" s="2"/>
      <c r="M1029" s="2"/>
      <c r="O1029" s="37">
        <v>46054.003472222219</v>
      </c>
      <c r="P1029" s="36">
        <v>79243.414969999998</v>
      </c>
      <c r="R1029" s="2">
        <v>79303.090259999997</v>
      </c>
      <c r="S1029" s="2">
        <v>77894.494829999996</v>
      </c>
    </row>
    <row r="1030" spans="1:19" x14ac:dyDescent="0.35">
      <c r="A1030" s="7">
        <v>1027</v>
      </c>
      <c r="B1030" s="37">
        <v>46054.004166666666</v>
      </c>
      <c r="C1030" s="2">
        <v>78864.37</v>
      </c>
      <c r="D1030" s="43">
        <v>78949.7</v>
      </c>
      <c r="E1030" s="43">
        <v>78854.09</v>
      </c>
      <c r="F1030" s="2">
        <v>78927.89</v>
      </c>
      <c r="G1030" s="1">
        <v>213</v>
      </c>
      <c r="I1030" s="39">
        <v>46054.004166666666</v>
      </c>
      <c r="J1030" s="36">
        <v>76785.976139999999</v>
      </c>
      <c r="L1030" s="2"/>
      <c r="M1030" s="2"/>
      <c r="O1030" s="37">
        <v>46054.004166666666</v>
      </c>
      <c r="P1030" s="36">
        <v>79255.331789999997</v>
      </c>
      <c r="R1030" s="2">
        <v>79309.582049999997</v>
      </c>
      <c r="S1030" s="2">
        <v>77898.08498</v>
      </c>
    </row>
    <row r="1031" spans="1:19" x14ac:dyDescent="0.35">
      <c r="A1031" s="7">
        <v>1028</v>
      </c>
      <c r="B1031" s="37">
        <v>46054.004861111112</v>
      </c>
      <c r="C1031" s="2">
        <v>78925.759999999995</v>
      </c>
      <c r="D1031" s="43">
        <v>78982.100000000006</v>
      </c>
      <c r="E1031" s="43">
        <v>78872.95</v>
      </c>
      <c r="F1031" s="2">
        <v>78980.88</v>
      </c>
      <c r="G1031" s="1">
        <v>237</v>
      </c>
      <c r="I1031" s="39">
        <v>46054.004861111112</v>
      </c>
      <c r="J1031" s="36">
        <v>76789.831170000005</v>
      </c>
      <c r="L1031" s="2"/>
      <c r="M1031" s="2"/>
      <c r="O1031" s="37">
        <v>46054.004861111112</v>
      </c>
      <c r="P1031" s="36">
        <v>79267.248609999995</v>
      </c>
      <c r="R1031" s="2">
        <v>79316.073850000001</v>
      </c>
      <c r="S1031" s="2">
        <v>77901.675130000003</v>
      </c>
    </row>
    <row r="1032" spans="1:19" x14ac:dyDescent="0.35">
      <c r="A1032" s="7">
        <v>1029</v>
      </c>
      <c r="B1032" s="37">
        <v>46054.005555555559</v>
      </c>
      <c r="C1032" s="2">
        <v>78980.66</v>
      </c>
      <c r="D1032" s="43">
        <v>79041.240000000005</v>
      </c>
      <c r="E1032" s="43">
        <v>78971.41</v>
      </c>
      <c r="F1032" s="2">
        <v>79041.22</v>
      </c>
      <c r="G1032" s="1">
        <v>189</v>
      </c>
      <c r="I1032" s="39">
        <v>46054.005555555559</v>
      </c>
      <c r="J1032" s="36">
        <v>76793.68621</v>
      </c>
      <c r="L1032" s="2"/>
      <c r="M1032" s="2"/>
      <c r="O1032" s="37">
        <v>46054.005555555559</v>
      </c>
      <c r="P1032" s="36">
        <v>79279.165429999994</v>
      </c>
      <c r="R1032" s="2">
        <v>79322.565640000001</v>
      </c>
      <c r="S1032" s="2">
        <v>77905.265289999996</v>
      </c>
    </row>
    <row r="1033" spans="1:19" x14ac:dyDescent="0.35">
      <c r="A1033" s="7">
        <v>1030</v>
      </c>
      <c r="B1033" s="37">
        <v>46054.006249999999</v>
      </c>
      <c r="C1033" s="2">
        <v>79041.22</v>
      </c>
      <c r="D1033" s="43">
        <v>79113.2</v>
      </c>
      <c r="E1033" s="43">
        <v>78972.78</v>
      </c>
      <c r="F1033" s="2">
        <v>79113.2</v>
      </c>
      <c r="G1033" s="1">
        <v>221</v>
      </c>
      <c r="I1033" s="39">
        <v>46054.006249999999</v>
      </c>
      <c r="J1033" s="36">
        <v>76797.541240000006</v>
      </c>
      <c r="L1033" s="2"/>
      <c r="M1033" s="2"/>
      <c r="O1033" s="37">
        <v>46054.006249999999</v>
      </c>
      <c r="P1033" s="36">
        <v>79291.082250000007</v>
      </c>
      <c r="R1033" s="2">
        <v>79329.057440000004</v>
      </c>
      <c r="S1033" s="2">
        <v>77908.855439999999</v>
      </c>
    </row>
    <row r="1034" spans="1:19" x14ac:dyDescent="0.35">
      <c r="A1034" s="7">
        <v>1031</v>
      </c>
      <c r="B1034" s="37">
        <v>46054.006944444445</v>
      </c>
      <c r="C1034" s="2">
        <v>79125</v>
      </c>
      <c r="D1034" s="43">
        <v>79218.37</v>
      </c>
      <c r="E1034" s="43">
        <v>79125</v>
      </c>
      <c r="F1034" s="2">
        <v>79171.14</v>
      </c>
      <c r="G1034" s="1">
        <v>271</v>
      </c>
      <c r="I1034" s="39">
        <v>46054.006944444445</v>
      </c>
      <c r="J1034" s="36">
        <v>76801.396280000001</v>
      </c>
      <c r="L1034" s="2"/>
      <c r="M1034" s="2"/>
      <c r="O1034" s="37">
        <v>46054.006944444445</v>
      </c>
      <c r="P1034" s="36">
        <v>79302.999079999994</v>
      </c>
      <c r="R1034" s="2">
        <v>79335.549230000004</v>
      </c>
      <c r="S1034" s="2">
        <v>77912.445590000003</v>
      </c>
    </row>
    <row r="1035" spans="1:19" x14ac:dyDescent="0.35">
      <c r="A1035" s="7">
        <v>1032</v>
      </c>
      <c r="B1035" s="37">
        <v>46054.007638888892</v>
      </c>
      <c r="C1035" s="2">
        <v>79178.61</v>
      </c>
      <c r="D1035" s="43">
        <v>79288.52</v>
      </c>
      <c r="E1035" s="43">
        <v>79054.84</v>
      </c>
      <c r="F1035" s="2">
        <v>79280.350000000006</v>
      </c>
      <c r="G1035" s="1">
        <v>276</v>
      </c>
      <c r="I1035" s="39">
        <v>46054.007638888892</v>
      </c>
      <c r="J1035" s="36">
        <v>76805.251310000007</v>
      </c>
      <c r="L1035" s="2"/>
      <c r="M1035" s="2"/>
      <c r="O1035" s="37">
        <v>46054.007638888892</v>
      </c>
      <c r="P1035" s="36">
        <v>79314.915900000007</v>
      </c>
      <c r="R1035" s="2">
        <v>79342.041029999993</v>
      </c>
      <c r="S1035" s="2">
        <v>77916.035749999995</v>
      </c>
    </row>
    <row r="1036" spans="1:19" x14ac:dyDescent="0.35">
      <c r="A1036" s="7">
        <v>1033</v>
      </c>
      <c r="B1036" s="37">
        <v>46054.008333333331</v>
      </c>
      <c r="C1036" s="2">
        <v>79266.39</v>
      </c>
      <c r="D1036" s="43">
        <v>79305.06</v>
      </c>
      <c r="E1036" s="43">
        <v>79196.7</v>
      </c>
      <c r="F1036" s="2">
        <v>79196.7</v>
      </c>
      <c r="G1036" s="1">
        <v>267</v>
      </c>
      <c r="I1036" s="39">
        <v>46054.008333333331</v>
      </c>
      <c r="J1036" s="36">
        <v>76809.106339999998</v>
      </c>
      <c r="L1036" s="2"/>
      <c r="M1036" s="2"/>
      <c r="O1036" s="37">
        <v>46054.008333333331</v>
      </c>
      <c r="P1036" s="36">
        <v>79326.832720000006</v>
      </c>
      <c r="R1036" s="2">
        <v>79348.532819999993</v>
      </c>
      <c r="S1036" s="2">
        <v>77919.625899999999</v>
      </c>
    </row>
    <row r="1037" spans="1:19" x14ac:dyDescent="0.35">
      <c r="A1037" s="7">
        <v>1034</v>
      </c>
      <c r="B1037" s="37">
        <v>46054.009027777778</v>
      </c>
      <c r="C1037" s="2">
        <v>79194.02</v>
      </c>
      <c r="D1037" s="43">
        <v>79253.039999999994</v>
      </c>
      <c r="E1037" s="43">
        <v>79074</v>
      </c>
      <c r="F1037" s="2">
        <v>79217.11</v>
      </c>
      <c r="G1037" s="1">
        <v>273</v>
      </c>
      <c r="I1037" s="39">
        <v>46054.009027777778</v>
      </c>
      <c r="J1037" s="36">
        <v>76812.961379999993</v>
      </c>
      <c r="L1037" s="2"/>
      <c r="M1037" s="2"/>
      <c r="O1037" s="37">
        <v>46054.009027777778</v>
      </c>
      <c r="P1037" s="36">
        <v>79338.749540000004</v>
      </c>
      <c r="R1037" s="2">
        <v>79355.024619999997</v>
      </c>
      <c r="S1037" s="2">
        <v>77923.216050000003</v>
      </c>
    </row>
    <row r="1038" spans="1:19" x14ac:dyDescent="0.35">
      <c r="A1038" s="7">
        <v>1035</v>
      </c>
      <c r="B1038" s="37">
        <v>46054.009722222225</v>
      </c>
      <c r="C1038" s="2">
        <v>79217.11</v>
      </c>
      <c r="D1038" s="43">
        <v>79346.78</v>
      </c>
      <c r="E1038" s="43">
        <v>79217.11</v>
      </c>
      <c r="F1038" s="2">
        <v>79295.02</v>
      </c>
      <c r="G1038" s="1">
        <v>263</v>
      </c>
      <c r="I1038" s="39">
        <v>46054.009722222225</v>
      </c>
      <c r="J1038" s="36">
        <v>76816.816409999999</v>
      </c>
      <c r="L1038" s="2"/>
      <c r="M1038" s="2"/>
      <c r="O1038" s="37">
        <v>46054.009722222225</v>
      </c>
      <c r="P1038" s="36">
        <v>79350.666360000003</v>
      </c>
      <c r="R1038" s="2">
        <v>79361.516409999997</v>
      </c>
      <c r="S1038" s="2">
        <v>77926.806209999995</v>
      </c>
    </row>
    <row r="1039" spans="1:19" x14ac:dyDescent="0.35">
      <c r="A1039" s="7">
        <v>1036</v>
      </c>
      <c r="B1039" s="37">
        <v>46054.010416666664</v>
      </c>
      <c r="C1039" s="2">
        <v>79294.98</v>
      </c>
      <c r="D1039" s="43">
        <v>79300.240000000005</v>
      </c>
      <c r="E1039" s="43">
        <v>79218.149999999994</v>
      </c>
      <c r="F1039" s="2">
        <v>79274.33</v>
      </c>
      <c r="G1039" s="1">
        <v>246</v>
      </c>
      <c r="I1039" s="39">
        <v>46054.010416666664</v>
      </c>
      <c r="J1039" s="36">
        <v>76820.671449999994</v>
      </c>
      <c r="L1039" s="2"/>
      <c r="M1039" s="2"/>
      <c r="O1039" s="37">
        <v>46054.010416666664</v>
      </c>
      <c r="P1039" s="36">
        <v>79362.583180000001</v>
      </c>
      <c r="R1039" s="2">
        <v>79368.00821</v>
      </c>
      <c r="S1039" s="2">
        <v>77930.396359999999</v>
      </c>
    </row>
    <row r="1040" spans="1:19" x14ac:dyDescent="0.35">
      <c r="A1040" s="7">
        <v>1037</v>
      </c>
      <c r="B1040" s="37">
        <v>46054.011111111111</v>
      </c>
      <c r="C1040" s="2">
        <v>79268.5</v>
      </c>
      <c r="D1040" s="43">
        <v>79374.5</v>
      </c>
      <c r="E1040" s="43">
        <v>79235.61</v>
      </c>
      <c r="F1040" s="2">
        <v>79249.759999999995</v>
      </c>
      <c r="G1040" s="1">
        <v>277</v>
      </c>
      <c r="I1040" s="39">
        <v>46054.011111111111</v>
      </c>
      <c r="J1040" s="36">
        <v>76824.52648</v>
      </c>
      <c r="L1040" s="2"/>
      <c r="M1040" s="2"/>
      <c r="O1040" s="37">
        <v>46054.011111111111</v>
      </c>
      <c r="P1040" s="36">
        <v>79374.5</v>
      </c>
      <c r="Q1040" s="4" t="s">
        <v>14</v>
      </c>
      <c r="R1040" s="2">
        <v>79374.5</v>
      </c>
      <c r="S1040" s="2">
        <v>77933.986510000002</v>
      </c>
    </row>
    <row r="1041" spans="1:19" x14ac:dyDescent="0.35">
      <c r="A1041" s="7">
        <v>1038</v>
      </c>
      <c r="B1041" s="37">
        <v>46054.011805555558</v>
      </c>
      <c r="C1041" s="2">
        <v>79242.820000000007</v>
      </c>
      <c r="D1041" s="43">
        <v>79268.23</v>
      </c>
      <c r="E1041" s="43">
        <v>79204.88</v>
      </c>
      <c r="F1041" s="2">
        <v>79213.539999999994</v>
      </c>
      <c r="G1041" s="1">
        <v>264</v>
      </c>
      <c r="I1041" s="39">
        <v>46054.011805555558</v>
      </c>
      <c r="J1041" s="36">
        <v>76828.381519999995</v>
      </c>
      <c r="L1041" s="2"/>
      <c r="M1041" s="2"/>
      <c r="O1041" s="37">
        <v>46054.011805555558</v>
      </c>
      <c r="P1041" s="36">
        <v>79361.720679999999</v>
      </c>
      <c r="R1041" s="2">
        <v>79373.248479999995</v>
      </c>
      <c r="S1041" s="2">
        <v>77937.576669999995</v>
      </c>
    </row>
    <row r="1042" spans="1:19" x14ac:dyDescent="0.35">
      <c r="A1042" s="7">
        <v>1039</v>
      </c>
      <c r="B1042" s="37">
        <v>46054.012499999997</v>
      </c>
      <c r="C1042" s="2">
        <v>79213.539999999994</v>
      </c>
      <c r="D1042" s="43">
        <v>79237.41</v>
      </c>
      <c r="E1042" s="43">
        <v>79146.45</v>
      </c>
      <c r="F1042" s="2">
        <v>79186.960000000006</v>
      </c>
      <c r="G1042" s="1">
        <v>271</v>
      </c>
      <c r="I1042" s="39">
        <v>46054.012499999997</v>
      </c>
      <c r="J1042" s="36">
        <v>76832.236550000001</v>
      </c>
      <c r="L1042" s="2"/>
      <c r="M1042" s="2"/>
      <c r="O1042" s="37">
        <v>46054.012499999997</v>
      </c>
      <c r="P1042" s="36">
        <v>79348.941359999997</v>
      </c>
      <c r="R1042" s="2">
        <v>79371.996969999993</v>
      </c>
      <c r="S1042" s="2">
        <v>77941.166819999999</v>
      </c>
    </row>
    <row r="1043" spans="1:19" x14ac:dyDescent="0.35">
      <c r="A1043" s="7">
        <v>1040</v>
      </c>
      <c r="B1043" s="37">
        <v>46054.013194444444</v>
      </c>
      <c r="C1043" s="2">
        <v>79202.399999999994</v>
      </c>
      <c r="D1043" s="43">
        <v>79298.03</v>
      </c>
      <c r="E1043" s="43">
        <v>79202.399999999994</v>
      </c>
      <c r="F1043" s="2">
        <v>79258.36</v>
      </c>
      <c r="G1043" s="1">
        <v>264</v>
      </c>
      <c r="I1043" s="39">
        <v>46054.013194444444</v>
      </c>
      <c r="J1043" s="36">
        <v>76836.091589999996</v>
      </c>
      <c r="L1043" s="2"/>
      <c r="M1043" s="2"/>
      <c r="O1043" s="37">
        <v>46054.013194444444</v>
      </c>
      <c r="P1043" s="36">
        <v>79336.162049999999</v>
      </c>
      <c r="R1043" s="2">
        <v>79370.745450000002</v>
      </c>
      <c r="S1043" s="2">
        <v>77944.756970000002</v>
      </c>
    </row>
    <row r="1044" spans="1:19" x14ac:dyDescent="0.35">
      <c r="A1044" s="7">
        <v>1041</v>
      </c>
      <c r="B1044" s="37">
        <v>46054.013888888891</v>
      </c>
      <c r="C1044" s="2">
        <v>79264.7</v>
      </c>
      <c r="D1044" s="43">
        <v>79264.7</v>
      </c>
      <c r="E1044" s="43">
        <v>79188.84</v>
      </c>
      <c r="F1044" s="2">
        <v>79212.679999999993</v>
      </c>
      <c r="G1044" s="1">
        <v>254</v>
      </c>
      <c r="I1044" s="39">
        <v>46054.013888888891</v>
      </c>
      <c r="J1044" s="36">
        <v>76839.946620000002</v>
      </c>
      <c r="L1044" s="2"/>
      <c r="M1044" s="2"/>
      <c r="O1044" s="37">
        <v>46054.013888888891</v>
      </c>
      <c r="P1044" s="36">
        <v>79323.382729999998</v>
      </c>
      <c r="R1044" s="2">
        <v>79369.493929999997</v>
      </c>
      <c r="S1044" s="2">
        <v>77948.347129999995</v>
      </c>
    </row>
    <row r="1045" spans="1:19" x14ac:dyDescent="0.35">
      <c r="A1045" s="7">
        <v>1042</v>
      </c>
      <c r="B1045" s="37">
        <v>46054.01458333333</v>
      </c>
      <c r="C1045" s="2">
        <v>79212.679999999993</v>
      </c>
      <c r="D1045" s="43">
        <v>79212.679999999993</v>
      </c>
      <c r="E1045" s="43">
        <v>79141.03</v>
      </c>
      <c r="F1045" s="2">
        <v>79174.48</v>
      </c>
      <c r="G1045" s="1">
        <v>248</v>
      </c>
      <c r="I1045" s="39">
        <v>46054.01458333333</v>
      </c>
      <c r="J1045" s="36">
        <v>76843.801659999997</v>
      </c>
      <c r="L1045" s="2"/>
      <c r="M1045" s="2"/>
      <c r="O1045" s="37">
        <v>46054.01458333333</v>
      </c>
      <c r="P1045" s="36">
        <v>79310.603409999996</v>
      </c>
      <c r="R1045" s="2">
        <v>79368.242419999995</v>
      </c>
      <c r="S1045" s="2">
        <v>77951.937279999998</v>
      </c>
    </row>
    <row r="1046" spans="1:19" x14ac:dyDescent="0.35">
      <c r="A1046" s="7">
        <v>1043</v>
      </c>
      <c r="B1046" s="37">
        <v>46054.015277777777</v>
      </c>
      <c r="C1046" s="2">
        <v>79174.45</v>
      </c>
      <c r="D1046" s="43">
        <v>79197.72</v>
      </c>
      <c r="E1046" s="43">
        <v>79015.31</v>
      </c>
      <c r="F1046" s="2">
        <v>79022.41</v>
      </c>
      <c r="G1046" s="1">
        <v>246</v>
      </c>
      <c r="I1046" s="39">
        <v>46054.015277777777</v>
      </c>
      <c r="J1046" s="36">
        <v>76847.656690000003</v>
      </c>
      <c r="L1046" s="2"/>
      <c r="M1046" s="2"/>
      <c r="O1046" s="37">
        <v>46054.015277777777</v>
      </c>
      <c r="P1046" s="36">
        <v>79297.824089999995</v>
      </c>
      <c r="R1046" s="2">
        <v>79366.990900000004</v>
      </c>
      <c r="S1046" s="2">
        <v>77955.527430000002</v>
      </c>
    </row>
    <row r="1047" spans="1:19" x14ac:dyDescent="0.35">
      <c r="A1047" s="7">
        <v>1044</v>
      </c>
      <c r="B1047" s="37">
        <v>46054.015972222223</v>
      </c>
      <c r="C1047" s="2">
        <v>79004.160000000003</v>
      </c>
      <c r="D1047" s="43">
        <v>79023.19</v>
      </c>
      <c r="E1047" s="43">
        <v>78931.899999999994</v>
      </c>
      <c r="F1047" s="2">
        <v>78937.62</v>
      </c>
      <c r="G1047" s="1">
        <v>241</v>
      </c>
      <c r="I1047" s="39">
        <v>46054.015972222223</v>
      </c>
      <c r="J1047" s="36">
        <v>76851.511719999995</v>
      </c>
      <c r="L1047" s="2"/>
      <c r="M1047" s="2"/>
      <c r="O1047" s="37">
        <v>46054.015972222223</v>
      </c>
      <c r="P1047" s="36">
        <v>79285.044769999993</v>
      </c>
      <c r="R1047" s="2">
        <v>79365.739390000002</v>
      </c>
      <c r="S1047" s="2">
        <v>77959.117589999994</v>
      </c>
    </row>
    <row r="1048" spans="1:19" x14ac:dyDescent="0.35">
      <c r="A1048" s="7">
        <v>1045</v>
      </c>
      <c r="B1048" s="37">
        <v>46054.01666666667</v>
      </c>
      <c r="C1048" s="2">
        <v>78937.710000000006</v>
      </c>
      <c r="D1048" s="43">
        <v>78970.34</v>
      </c>
      <c r="E1048" s="43">
        <v>78923.289999999994</v>
      </c>
      <c r="F1048" s="2">
        <v>78938.28</v>
      </c>
      <c r="G1048" s="1">
        <v>224</v>
      </c>
      <c r="I1048" s="39">
        <v>46054.01666666667</v>
      </c>
      <c r="J1048" s="36">
        <v>76855.366760000004</v>
      </c>
      <c r="L1048" s="2"/>
      <c r="M1048" s="2"/>
      <c r="O1048" s="37">
        <v>46054.01666666667</v>
      </c>
      <c r="P1048" s="36">
        <v>79272.265450000006</v>
      </c>
      <c r="R1048" s="2">
        <v>79364.487869999997</v>
      </c>
      <c r="S1048" s="2">
        <v>77962.707739999998</v>
      </c>
    </row>
    <row r="1049" spans="1:19" x14ac:dyDescent="0.35">
      <c r="A1049" s="7">
        <v>1046</v>
      </c>
      <c r="B1049" s="37">
        <v>46054.017361111109</v>
      </c>
      <c r="C1049" s="2">
        <v>78939.759999999995</v>
      </c>
      <c r="D1049" s="43">
        <v>78953.740000000005</v>
      </c>
      <c r="E1049" s="43">
        <v>78920.53</v>
      </c>
      <c r="F1049" s="2">
        <v>78935.47</v>
      </c>
      <c r="G1049" s="1">
        <v>216</v>
      </c>
      <c r="I1049" s="39">
        <v>46054.017361111109</v>
      </c>
      <c r="J1049" s="36">
        <v>76859.221789999996</v>
      </c>
      <c r="L1049" s="2"/>
      <c r="M1049" s="2"/>
      <c r="O1049" s="37">
        <v>46054.017361111109</v>
      </c>
      <c r="P1049" s="36">
        <v>79259.486139999994</v>
      </c>
      <c r="R1049" s="2">
        <v>79363.236350000006</v>
      </c>
      <c r="S1049" s="2">
        <v>77966.297890000002</v>
      </c>
    </row>
    <row r="1050" spans="1:19" x14ac:dyDescent="0.35">
      <c r="A1050" s="7">
        <v>1047</v>
      </c>
      <c r="B1050" s="37">
        <v>46054.018055555556</v>
      </c>
      <c r="C1050" s="2">
        <v>78933.67</v>
      </c>
      <c r="D1050" s="43">
        <v>79095.520000000004</v>
      </c>
      <c r="E1050" s="43">
        <v>78922.429999999993</v>
      </c>
      <c r="F1050" s="2">
        <v>79008.759999999995</v>
      </c>
      <c r="G1050" s="1">
        <v>264</v>
      </c>
      <c r="I1050" s="39">
        <v>46054.018055555556</v>
      </c>
      <c r="J1050" s="36">
        <v>76863.076830000005</v>
      </c>
      <c r="L1050" s="2"/>
      <c r="M1050" s="2"/>
      <c r="O1050" s="37">
        <v>46054.018055555556</v>
      </c>
      <c r="P1050" s="36">
        <v>79246.706820000007</v>
      </c>
      <c r="R1050" s="2">
        <v>79361.984840000005</v>
      </c>
      <c r="S1050" s="2">
        <v>77969.888049999994</v>
      </c>
    </row>
    <row r="1051" spans="1:19" x14ac:dyDescent="0.35">
      <c r="A1051" s="7">
        <v>1048</v>
      </c>
      <c r="B1051" s="37">
        <v>46054.018750000003</v>
      </c>
      <c r="C1051" s="2">
        <v>79009.3</v>
      </c>
      <c r="D1051" s="43">
        <v>79063.839999999997</v>
      </c>
      <c r="E1051" s="43">
        <v>79002.64</v>
      </c>
      <c r="F1051" s="2">
        <v>79018.720000000001</v>
      </c>
      <c r="G1051" s="1">
        <v>243</v>
      </c>
      <c r="I1051" s="39">
        <v>46054.018750000003</v>
      </c>
      <c r="J1051" s="36">
        <v>76866.931859999997</v>
      </c>
      <c r="L1051" s="2"/>
      <c r="M1051" s="2"/>
      <c r="O1051" s="37">
        <v>46054.018750000003</v>
      </c>
      <c r="P1051" s="36">
        <v>79233.927500000005</v>
      </c>
      <c r="R1051" s="2">
        <v>79360.733319999999</v>
      </c>
      <c r="S1051" s="2">
        <v>77973.478199999998</v>
      </c>
    </row>
    <row r="1052" spans="1:19" x14ac:dyDescent="0.35">
      <c r="A1052" s="7">
        <v>1049</v>
      </c>
      <c r="B1052" s="37">
        <v>46054.019444444442</v>
      </c>
      <c r="C1052" s="2">
        <v>79025.5</v>
      </c>
      <c r="D1052" s="43">
        <v>79102.06</v>
      </c>
      <c r="E1052" s="43">
        <v>79003.77</v>
      </c>
      <c r="F1052" s="2">
        <v>79080.84</v>
      </c>
      <c r="G1052" s="1">
        <v>242</v>
      </c>
      <c r="I1052" s="39">
        <v>46054.019444444442</v>
      </c>
      <c r="J1052" s="36">
        <v>76870.786900000006</v>
      </c>
      <c r="L1052" s="2"/>
      <c r="M1052" s="2"/>
      <c r="O1052" s="37">
        <v>46054.019444444442</v>
      </c>
      <c r="P1052" s="36">
        <v>79221.148180000004</v>
      </c>
      <c r="R1052" s="2">
        <v>79359.481799999994</v>
      </c>
      <c r="S1052" s="2">
        <v>77977.068350000001</v>
      </c>
    </row>
    <row r="1053" spans="1:19" x14ac:dyDescent="0.35">
      <c r="A1053" s="7">
        <v>1050</v>
      </c>
      <c r="B1053" s="37">
        <v>46054.020138888889</v>
      </c>
      <c r="C1053" s="2">
        <v>79082.8</v>
      </c>
      <c r="D1053" s="43">
        <v>79107.12</v>
      </c>
      <c r="E1053" s="43">
        <v>79023.17</v>
      </c>
      <c r="F1053" s="2">
        <v>79046.09</v>
      </c>
      <c r="G1053" s="1">
        <v>256</v>
      </c>
      <c r="I1053" s="39">
        <v>46054.020138888889</v>
      </c>
      <c r="J1053" s="36">
        <v>76874.641929999998</v>
      </c>
      <c r="L1053" s="2"/>
      <c r="M1053" s="2"/>
      <c r="O1053" s="37">
        <v>46054.020138888889</v>
      </c>
      <c r="P1053" s="36">
        <v>79208.368860000002</v>
      </c>
      <c r="R1053" s="2">
        <v>79358.230290000007</v>
      </c>
      <c r="S1053" s="2">
        <v>77980.658509999994</v>
      </c>
    </row>
    <row r="1054" spans="1:19" x14ac:dyDescent="0.35">
      <c r="A1054" s="7">
        <v>1051</v>
      </c>
      <c r="B1054" s="37">
        <v>46054.020833333336</v>
      </c>
      <c r="C1054" s="2">
        <v>79046.05</v>
      </c>
      <c r="D1054" s="43">
        <v>79178.100000000006</v>
      </c>
      <c r="E1054" s="43">
        <v>79039.61</v>
      </c>
      <c r="F1054" s="2">
        <v>79102.77</v>
      </c>
      <c r="G1054" s="1">
        <v>215</v>
      </c>
      <c r="I1054" s="39">
        <v>46054.020833333336</v>
      </c>
      <c r="J1054" s="36">
        <v>76878.496969999993</v>
      </c>
      <c r="L1054" s="2"/>
      <c r="M1054" s="2"/>
      <c r="O1054" s="37">
        <v>46054.020833333336</v>
      </c>
      <c r="P1054" s="36">
        <v>79195.589550000004</v>
      </c>
      <c r="R1054" s="2">
        <v>79356.978770000002</v>
      </c>
      <c r="S1054" s="2">
        <v>77984.248659999997</v>
      </c>
    </row>
    <row r="1055" spans="1:19" x14ac:dyDescent="0.35">
      <c r="A1055" s="7">
        <v>1052</v>
      </c>
      <c r="B1055" s="37">
        <v>46054.021527777775</v>
      </c>
      <c r="C1055" s="2">
        <v>79101.36</v>
      </c>
      <c r="D1055" s="43">
        <v>79103.45</v>
      </c>
      <c r="E1055" s="43">
        <v>78980.41</v>
      </c>
      <c r="F1055" s="2">
        <v>78980.66</v>
      </c>
      <c r="G1055" s="1">
        <v>250</v>
      </c>
      <c r="I1055" s="39">
        <v>46054.021527777775</v>
      </c>
      <c r="J1055" s="36">
        <v>76882.351999999999</v>
      </c>
      <c r="L1055" s="2"/>
      <c r="M1055" s="2"/>
      <c r="O1055" s="37">
        <v>46054.021527777775</v>
      </c>
      <c r="P1055" s="36">
        <v>79182.810230000003</v>
      </c>
      <c r="R1055" s="2">
        <v>79355.727249999996</v>
      </c>
      <c r="S1055" s="2">
        <v>77987.838810000001</v>
      </c>
    </row>
    <row r="1056" spans="1:19" x14ac:dyDescent="0.35">
      <c r="A1056" s="7">
        <v>1053</v>
      </c>
      <c r="B1056" s="37">
        <v>46054.022222222222</v>
      </c>
      <c r="C1056" s="2">
        <v>78977.84</v>
      </c>
      <c r="D1056" s="43">
        <v>79012.03</v>
      </c>
      <c r="E1056" s="43">
        <v>78927.429999999993</v>
      </c>
      <c r="F1056" s="2">
        <v>78960.72</v>
      </c>
      <c r="G1056" s="1">
        <v>239</v>
      </c>
      <c r="I1056" s="39">
        <v>46054.022222222222</v>
      </c>
      <c r="J1056" s="36">
        <v>76886.207030000005</v>
      </c>
      <c r="L1056" s="2"/>
      <c r="M1056" s="2"/>
      <c r="O1056" s="37">
        <v>46054.022222222222</v>
      </c>
      <c r="P1056" s="36">
        <v>79170.030910000001</v>
      </c>
      <c r="R1056" s="2">
        <v>79354.475739999994</v>
      </c>
      <c r="S1056" s="2">
        <v>77991.428969999994</v>
      </c>
    </row>
    <row r="1057" spans="1:19" x14ac:dyDescent="0.35">
      <c r="A1057" s="7">
        <v>1054</v>
      </c>
      <c r="B1057" s="37">
        <v>46054.022916666669</v>
      </c>
      <c r="C1057" s="2">
        <v>78963.62</v>
      </c>
      <c r="D1057" s="43">
        <v>79091.520000000004</v>
      </c>
      <c r="E1057" s="43">
        <v>78941.8</v>
      </c>
      <c r="F1057" s="2">
        <v>79002.89</v>
      </c>
      <c r="G1057" s="1">
        <v>253</v>
      </c>
      <c r="I1057" s="39">
        <v>46054.022916666669</v>
      </c>
      <c r="J1057" s="36">
        <v>76890.06207</v>
      </c>
      <c r="L1057" s="2"/>
      <c r="M1057" s="2"/>
      <c r="O1057" s="37">
        <v>46054.022916666669</v>
      </c>
      <c r="P1057" s="36">
        <v>79157.25159</v>
      </c>
      <c r="R1057" s="2">
        <v>79353.224220000004</v>
      </c>
      <c r="S1057" s="2">
        <v>77995.019119999997</v>
      </c>
    </row>
    <row r="1058" spans="1:19" x14ac:dyDescent="0.35">
      <c r="A1058" s="7">
        <v>1055</v>
      </c>
      <c r="B1058" s="37">
        <v>46054.023611111108</v>
      </c>
      <c r="C1058" s="2">
        <v>79002.929999999993</v>
      </c>
      <c r="D1058" s="43">
        <v>79008.899999999994</v>
      </c>
      <c r="E1058" s="43">
        <v>78925.73</v>
      </c>
      <c r="F1058" s="2">
        <v>78954.3</v>
      </c>
      <c r="G1058" s="1">
        <v>256</v>
      </c>
      <c r="I1058" s="39">
        <v>46054.023611111108</v>
      </c>
      <c r="J1058" s="36">
        <v>76893.917100000006</v>
      </c>
      <c r="L1058" s="2"/>
      <c r="M1058" s="2"/>
      <c r="O1058" s="37">
        <v>46054.023611111108</v>
      </c>
      <c r="P1058" s="36">
        <v>79144.472269999998</v>
      </c>
      <c r="R1058" s="2">
        <v>79351.972699999998</v>
      </c>
      <c r="S1058" s="2">
        <v>77998.609270000001</v>
      </c>
    </row>
    <row r="1059" spans="1:19" x14ac:dyDescent="0.35">
      <c r="A1059" s="7">
        <v>1056</v>
      </c>
      <c r="B1059" s="37">
        <v>46054.024305555555</v>
      </c>
      <c r="C1059" s="2">
        <v>78957.899999999994</v>
      </c>
      <c r="D1059" s="43">
        <v>79015.460000000006</v>
      </c>
      <c r="E1059" s="43">
        <v>78931.039999999994</v>
      </c>
      <c r="F1059" s="2">
        <v>78948.41</v>
      </c>
      <c r="G1059" s="1">
        <v>236</v>
      </c>
      <c r="I1059" s="39">
        <v>46054.024305555555</v>
      </c>
      <c r="J1059" s="36">
        <v>76897.772140000001</v>
      </c>
      <c r="L1059" s="2"/>
      <c r="M1059" s="2"/>
      <c r="O1059" s="37">
        <v>46054.024305555555</v>
      </c>
      <c r="P1059" s="36">
        <v>79131.692949999997</v>
      </c>
      <c r="R1059" s="2">
        <v>79350.721189999997</v>
      </c>
      <c r="S1059" s="2">
        <v>78002.199429999993</v>
      </c>
    </row>
    <row r="1060" spans="1:19" x14ac:dyDescent="0.35">
      <c r="A1060" s="7">
        <v>1057</v>
      </c>
      <c r="B1060" s="37">
        <v>46054.025000000001</v>
      </c>
      <c r="C1060" s="2">
        <v>78948.42</v>
      </c>
      <c r="D1060" s="43">
        <v>78951.13</v>
      </c>
      <c r="E1060" s="43">
        <v>78797.789999999994</v>
      </c>
      <c r="F1060" s="2">
        <v>78867.42</v>
      </c>
      <c r="G1060" s="1">
        <v>277</v>
      </c>
      <c r="I1060" s="39">
        <v>46054.025000000001</v>
      </c>
      <c r="J1060" s="36">
        <v>76901.627170000007</v>
      </c>
      <c r="L1060" s="2"/>
      <c r="M1060" s="2"/>
      <c r="O1060" s="37">
        <v>46054.025000000001</v>
      </c>
      <c r="P1060" s="36">
        <v>79118.913639999999</v>
      </c>
      <c r="R1060" s="2">
        <v>79349.469670000006</v>
      </c>
      <c r="S1060" s="2">
        <v>78005.789579999997</v>
      </c>
    </row>
    <row r="1061" spans="1:19" x14ac:dyDescent="0.35">
      <c r="A1061" s="7">
        <v>1058</v>
      </c>
      <c r="B1061" s="37">
        <v>46054.025694444441</v>
      </c>
      <c r="C1061" s="2">
        <v>78867.41</v>
      </c>
      <c r="D1061" s="43">
        <v>78871.83</v>
      </c>
      <c r="E1061" s="43">
        <v>78794.22</v>
      </c>
      <c r="F1061" s="2">
        <v>78813.429999999993</v>
      </c>
      <c r="G1061" s="1">
        <v>246</v>
      </c>
      <c r="I1061" s="39">
        <v>46054.025694444441</v>
      </c>
      <c r="J1061" s="36">
        <v>76905.482210000002</v>
      </c>
      <c r="L1061" s="2"/>
      <c r="M1061" s="2"/>
      <c r="O1061" s="37">
        <v>46054.025694444441</v>
      </c>
      <c r="P1061" s="36">
        <v>79106.134319999997</v>
      </c>
      <c r="R1061" s="2">
        <v>79348.218160000004</v>
      </c>
      <c r="S1061" s="2">
        <v>78009.379730000001</v>
      </c>
    </row>
    <row r="1062" spans="1:19" x14ac:dyDescent="0.35">
      <c r="A1062" s="7">
        <v>1059</v>
      </c>
      <c r="B1062" s="37">
        <v>46054.026388888888</v>
      </c>
      <c r="C1062" s="2">
        <v>78813.429999999993</v>
      </c>
      <c r="D1062" s="43">
        <v>78832.11</v>
      </c>
      <c r="E1062" s="43">
        <v>78775.539999999994</v>
      </c>
      <c r="F1062" s="2">
        <v>78808.95</v>
      </c>
      <c r="G1062" s="1">
        <v>273</v>
      </c>
      <c r="I1062" s="39">
        <v>46054.026388888888</v>
      </c>
      <c r="J1062" s="36">
        <v>76909.337239999993</v>
      </c>
      <c r="L1062" s="2"/>
      <c r="M1062" s="2"/>
      <c r="O1062" s="37">
        <v>46054.026388888888</v>
      </c>
      <c r="P1062" s="36">
        <v>79093.354999999996</v>
      </c>
      <c r="R1062" s="2">
        <v>79346.966639999999</v>
      </c>
      <c r="S1062" s="2">
        <v>78012.969889999993</v>
      </c>
    </row>
    <row r="1063" spans="1:19" x14ac:dyDescent="0.35">
      <c r="A1063" s="7">
        <v>1060</v>
      </c>
      <c r="B1063" s="37">
        <v>46054.027083333334</v>
      </c>
      <c r="C1063" s="2">
        <v>78809.47</v>
      </c>
      <c r="D1063" s="43">
        <v>78809.509999999995</v>
      </c>
      <c r="E1063" s="43">
        <v>78724.149999999994</v>
      </c>
      <c r="F1063" s="2">
        <v>78732.710000000006</v>
      </c>
      <c r="G1063" s="1">
        <v>215</v>
      </c>
      <c r="I1063" s="39">
        <v>46054.027083333334</v>
      </c>
      <c r="J1063" s="36">
        <v>76913.192280000003</v>
      </c>
      <c r="L1063" s="2"/>
      <c r="M1063" s="2"/>
      <c r="O1063" s="37">
        <v>46054.027083333334</v>
      </c>
      <c r="P1063" s="36">
        <v>79080.575679999994</v>
      </c>
      <c r="R1063" s="2">
        <v>79345.715119999993</v>
      </c>
      <c r="S1063" s="2">
        <v>78016.560039999997</v>
      </c>
    </row>
    <row r="1064" spans="1:19" x14ac:dyDescent="0.35">
      <c r="A1064" s="7">
        <v>1061</v>
      </c>
      <c r="B1064" s="37">
        <v>46054.027777777781</v>
      </c>
      <c r="C1064" s="2">
        <v>78741.240000000005</v>
      </c>
      <c r="D1064" s="43">
        <v>78774.13</v>
      </c>
      <c r="E1064" s="43">
        <v>78706.7</v>
      </c>
      <c r="F1064" s="2">
        <v>78708.289999999994</v>
      </c>
      <c r="G1064" s="1">
        <v>182</v>
      </c>
      <c r="I1064" s="39">
        <v>46054.027777777781</v>
      </c>
      <c r="J1064" s="36">
        <v>76917.047309999994</v>
      </c>
      <c r="L1064" s="2"/>
      <c r="M1064" s="2"/>
      <c r="O1064" s="37">
        <v>46054.027777777781</v>
      </c>
      <c r="P1064" s="36">
        <v>79067.796359999993</v>
      </c>
      <c r="R1064" s="2">
        <v>79344.463610000006</v>
      </c>
      <c r="S1064" s="2">
        <v>78020.15019</v>
      </c>
    </row>
    <row r="1065" spans="1:19" x14ac:dyDescent="0.35">
      <c r="A1065" s="7">
        <v>1062</v>
      </c>
      <c r="B1065" s="37">
        <v>46054.02847222222</v>
      </c>
      <c r="C1065" s="2">
        <v>78708.33</v>
      </c>
      <c r="D1065" s="43">
        <v>78777.399999999994</v>
      </c>
      <c r="E1065" s="43">
        <v>78708.27</v>
      </c>
      <c r="F1065" s="2">
        <v>78773.490000000005</v>
      </c>
      <c r="G1065" s="1">
        <v>246</v>
      </c>
      <c r="I1065" s="39">
        <v>46054.02847222222</v>
      </c>
      <c r="J1065" s="36">
        <v>76920.902340000001</v>
      </c>
      <c r="L1065" s="2"/>
      <c r="M1065" s="2"/>
      <c r="O1065" s="37">
        <v>46054.02847222222</v>
      </c>
      <c r="P1065" s="36">
        <v>79055.017049999995</v>
      </c>
      <c r="R1065" s="2">
        <v>79343.212090000001</v>
      </c>
      <c r="S1065" s="2">
        <v>78023.740340000004</v>
      </c>
    </row>
    <row r="1066" spans="1:19" x14ac:dyDescent="0.35">
      <c r="A1066" s="7">
        <v>1063</v>
      </c>
      <c r="B1066" s="37">
        <v>46054.029166666667</v>
      </c>
      <c r="C1066" s="2">
        <v>78768.11</v>
      </c>
      <c r="D1066" s="43">
        <v>78831.820000000007</v>
      </c>
      <c r="E1066" s="43">
        <v>78762.5</v>
      </c>
      <c r="F1066" s="2">
        <v>78803.48</v>
      </c>
      <c r="G1066" s="1">
        <v>234</v>
      </c>
      <c r="I1066" s="39">
        <v>46054.029166666667</v>
      </c>
      <c r="J1066" s="36">
        <v>76924.757379999995</v>
      </c>
      <c r="L1066" s="2"/>
      <c r="M1066" s="2"/>
      <c r="O1066" s="37">
        <v>46054.029166666667</v>
      </c>
      <c r="P1066" s="36">
        <v>79042.237729999993</v>
      </c>
      <c r="R1066" s="2">
        <v>79341.960569999996</v>
      </c>
      <c r="S1066" s="2">
        <v>78027.330499999996</v>
      </c>
    </row>
    <row r="1067" spans="1:19" x14ac:dyDescent="0.35">
      <c r="A1067" s="7">
        <v>1064</v>
      </c>
      <c r="B1067" s="37">
        <v>46054.029861111114</v>
      </c>
      <c r="C1067" s="2">
        <v>78803.67</v>
      </c>
      <c r="D1067" s="43">
        <v>78804.92</v>
      </c>
      <c r="E1067" s="43">
        <v>78760.600000000006</v>
      </c>
      <c r="F1067" s="2">
        <v>78794.070000000007</v>
      </c>
      <c r="G1067" s="1">
        <v>223</v>
      </c>
      <c r="I1067" s="39">
        <v>46054.029861111114</v>
      </c>
      <c r="J1067" s="36">
        <v>76928.612410000002</v>
      </c>
      <c r="L1067" s="2"/>
      <c r="M1067" s="2"/>
      <c r="O1067" s="37">
        <v>46054.029861111114</v>
      </c>
      <c r="P1067" s="36">
        <v>79029.458410000007</v>
      </c>
      <c r="R1067" s="2">
        <v>79340.709059999994</v>
      </c>
      <c r="S1067" s="2">
        <v>78030.92065</v>
      </c>
    </row>
    <row r="1068" spans="1:19" x14ac:dyDescent="0.35">
      <c r="A1068" s="7">
        <v>1065</v>
      </c>
      <c r="B1068" s="37">
        <v>46054.030555555553</v>
      </c>
      <c r="C1068" s="2">
        <v>78794.06</v>
      </c>
      <c r="D1068" s="43">
        <v>78797.710000000006</v>
      </c>
      <c r="E1068" s="43">
        <v>78705.899999999994</v>
      </c>
      <c r="F1068" s="2">
        <v>78711.360000000001</v>
      </c>
      <c r="G1068" s="1">
        <v>229</v>
      </c>
      <c r="I1068" s="39">
        <v>46054.030555555553</v>
      </c>
      <c r="J1068" s="36">
        <v>76932.467449999996</v>
      </c>
      <c r="L1068" s="2"/>
      <c r="M1068" s="2"/>
      <c r="O1068" s="37">
        <v>46054.030555555553</v>
      </c>
      <c r="P1068" s="36">
        <v>79016.679090000005</v>
      </c>
      <c r="R1068" s="2">
        <v>79339.457540000003</v>
      </c>
      <c r="S1068" s="2">
        <v>78034.510800000004</v>
      </c>
    </row>
    <row r="1069" spans="1:19" x14ac:dyDescent="0.35">
      <c r="A1069" s="7">
        <v>1066</v>
      </c>
      <c r="B1069" s="37">
        <v>46054.03125</v>
      </c>
      <c r="C1069" s="2">
        <v>78711.38</v>
      </c>
      <c r="D1069" s="43">
        <v>78800.350000000006</v>
      </c>
      <c r="E1069" s="43">
        <v>78695.61</v>
      </c>
      <c r="F1069" s="2">
        <v>78781.72</v>
      </c>
      <c r="G1069" s="1">
        <v>231</v>
      </c>
      <c r="I1069" s="39">
        <v>46054.03125</v>
      </c>
      <c r="J1069" s="36">
        <v>76936.322480000003</v>
      </c>
      <c r="L1069" s="2"/>
      <c r="M1069" s="2"/>
      <c r="O1069" s="37">
        <v>46054.03125</v>
      </c>
      <c r="P1069" s="36">
        <v>79003.899770000004</v>
      </c>
      <c r="R1069" s="2">
        <v>79338.206019999998</v>
      </c>
      <c r="S1069" s="2">
        <v>78038.100959999996</v>
      </c>
    </row>
    <row r="1070" spans="1:19" x14ac:dyDescent="0.35">
      <c r="A1070" s="7">
        <v>1067</v>
      </c>
      <c r="B1070" s="37">
        <v>46054.031944444447</v>
      </c>
      <c r="C1070" s="2">
        <v>78777.8</v>
      </c>
      <c r="D1070" s="43">
        <v>78845.56</v>
      </c>
      <c r="E1070" s="43">
        <v>78756.850000000006</v>
      </c>
      <c r="F1070" s="2">
        <v>78811.11</v>
      </c>
      <c r="G1070" s="1">
        <v>248</v>
      </c>
      <c r="I1070" s="39">
        <v>46054.031944444447</v>
      </c>
      <c r="J1070" s="36">
        <v>76940.177519999997</v>
      </c>
      <c r="L1070" s="2"/>
      <c r="M1070" s="2"/>
      <c r="O1070" s="37">
        <v>46054.031944444447</v>
      </c>
      <c r="P1070" s="36">
        <v>78991.120450000002</v>
      </c>
      <c r="R1070" s="2">
        <v>79336.954509999996</v>
      </c>
      <c r="S1070" s="2">
        <v>78041.69111</v>
      </c>
    </row>
    <row r="1071" spans="1:19" x14ac:dyDescent="0.35">
      <c r="A1071" s="7">
        <v>1068</v>
      </c>
      <c r="B1071" s="37">
        <v>46054.032638888886</v>
      </c>
      <c r="C1071" s="2">
        <v>78811.11</v>
      </c>
      <c r="D1071" s="43">
        <v>78930.92</v>
      </c>
      <c r="E1071" s="43">
        <v>78782.080000000002</v>
      </c>
      <c r="F1071" s="2">
        <v>78908.83</v>
      </c>
      <c r="G1071" s="1">
        <v>252</v>
      </c>
      <c r="I1071" s="39">
        <v>46054.032638888886</v>
      </c>
      <c r="J1071" s="36">
        <v>76944.032550000004</v>
      </c>
      <c r="L1071" s="2"/>
      <c r="M1071" s="2"/>
      <c r="O1071" s="37">
        <v>46054.032638888886</v>
      </c>
      <c r="P1071" s="36">
        <v>78978.341140000004</v>
      </c>
      <c r="R1071" s="2">
        <v>79335.702990000005</v>
      </c>
      <c r="S1071" s="2">
        <v>78045.281260000003</v>
      </c>
    </row>
    <row r="1072" spans="1:19" x14ac:dyDescent="0.35">
      <c r="A1072" s="7">
        <v>1069</v>
      </c>
      <c r="B1072" s="37">
        <v>46054.033333333333</v>
      </c>
      <c r="C1072" s="2">
        <v>78909.009999999995</v>
      </c>
      <c r="D1072" s="43">
        <v>78941.710000000006</v>
      </c>
      <c r="E1072" s="43">
        <v>78881.53</v>
      </c>
      <c r="F1072" s="2">
        <v>78882.8</v>
      </c>
      <c r="G1072" s="1">
        <v>219</v>
      </c>
      <c r="I1072" s="39">
        <v>46054.033333333333</v>
      </c>
      <c r="J1072" s="36">
        <v>76947.887589999998</v>
      </c>
      <c r="L1072" s="2"/>
      <c r="M1072" s="2"/>
      <c r="O1072" s="37">
        <v>46054.033333333333</v>
      </c>
      <c r="P1072" s="36">
        <v>78965.561820000003</v>
      </c>
      <c r="R1072" s="2">
        <v>79334.451480000003</v>
      </c>
      <c r="S1072" s="2">
        <v>78048.871419999996</v>
      </c>
    </row>
    <row r="1073" spans="1:19" x14ac:dyDescent="0.35">
      <c r="A1073" s="7">
        <v>1070</v>
      </c>
      <c r="B1073" s="37">
        <v>46054.03402777778</v>
      </c>
      <c r="C1073" s="2">
        <v>78883.350000000006</v>
      </c>
      <c r="D1073" s="43">
        <v>78934.820000000007</v>
      </c>
      <c r="E1073" s="43">
        <v>78876.92</v>
      </c>
      <c r="F1073" s="2">
        <v>78908.59</v>
      </c>
      <c r="G1073" s="1">
        <v>186</v>
      </c>
      <c r="I1073" s="39">
        <v>46054.03402777778</v>
      </c>
      <c r="J1073" s="36">
        <v>76951.742620000005</v>
      </c>
      <c r="L1073" s="2"/>
      <c r="M1073" s="2"/>
      <c r="O1073" s="37">
        <v>46054.03402777778</v>
      </c>
      <c r="P1073" s="36">
        <v>78952.782500000001</v>
      </c>
      <c r="R1073" s="2">
        <v>79333.199959999998</v>
      </c>
      <c r="S1073" s="2">
        <v>78052.461569999999</v>
      </c>
    </row>
    <row r="1074" spans="1:19" x14ac:dyDescent="0.35">
      <c r="A1074" s="7">
        <v>1071</v>
      </c>
      <c r="B1074" s="37">
        <v>46054.034722222219</v>
      </c>
      <c r="C1074" s="2">
        <v>78908.58</v>
      </c>
      <c r="D1074" s="43">
        <v>78970.33</v>
      </c>
      <c r="E1074" s="43">
        <v>78886.429999999993</v>
      </c>
      <c r="F1074" s="2">
        <v>78937.62</v>
      </c>
      <c r="G1074" s="1">
        <v>197</v>
      </c>
      <c r="I1074" s="39">
        <v>46054.034722222219</v>
      </c>
      <c r="J1074" s="36">
        <v>76955.597659999999</v>
      </c>
      <c r="L1074" s="2"/>
      <c r="M1074" s="2"/>
      <c r="O1074" s="37">
        <v>46054.034722222219</v>
      </c>
      <c r="P1074" s="36">
        <v>78940.00318</v>
      </c>
      <c r="R1074" s="2">
        <v>79331.948439999993</v>
      </c>
      <c r="S1074" s="2">
        <v>78056.051720000003</v>
      </c>
    </row>
    <row r="1075" spans="1:19" x14ac:dyDescent="0.35">
      <c r="A1075" s="7">
        <v>1072</v>
      </c>
      <c r="B1075" s="37">
        <v>46054.035416666666</v>
      </c>
      <c r="C1075" s="2">
        <v>78948.100000000006</v>
      </c>
      <c r="D1075" s="43">
        <v>79067.92</v>
      </c>
      <c r="E1075" s="43">
        <v>78948.100000000006</v>
      </c>
      <c r="F1075" s="2">
        <v>79062.75</v>
      </c>
      <c r="G1075" s="1">
        <v>241</v>
      </c>
      <c r="I1075" s="39">
        <v>46054.035416666666</v>
      </c>
      <c r="J1075" s="36">
        <v>76959.452690000006</v>
      </c>
      <c r="L1075" s="2"/>
      <c r="M1075" s="2"/>
      <c r="O1075" s="37">
        <v>46054.035416666666</v>
      </c>
      <c r="P1075" s="36">
        <v>78927.223859999998</v>
      </c>
      <c r="R1075" s="2">
        <v>79330.696930000006</v>
      </c>
      <c r="S1075" s="2">
        <v>78059.641879999996</v>
      </c>
    </row>
    <row r="1076" spans="1:19" x14ac:dyDescent="0.35">
      <c r="A1076" s="7">
        <v>1073</v>
      </c>
      <c r="B1076" s="37">
        <v>46054.036111111112</v>
      </c>
      <c r="C1076" s="2">
        <v>79062.75</v>
      </c>
      <c r="D1076" s="43">
        <v>79062.75</v>
      </c>
      <c r="E1076" s="43">
        <v>78909.42</v>
      </c>
      <c r="F1076" s="2">
        <v>78909.97</v>
      </c>
      <c r="G1076" s="1">
        <v>233</v>
      </c>
      <c r="I1076" s="39">
        <v>46054.036111111112</v>
      </c>
      <c r="J1076" s="36">
        <v>76963.307719999997</v>
      </c>
      <c r="L1076" s="2"/>
      <c r="M1076" s="2"/>
      <c r="O1076" s="37">
        <v>46054.036111111112</v>
      </c>
      <c r="P1076" s="36">
        <v>78914.44455</v>
      </c>
      <c r="R1076" s="2">
        <v>79329.44541</v>
      </c>
      <c r="S1076" s="2">
        <v>78063.232029999999</v>
      </c>
    </row>
    <row r="1077" spans="1:19" x14ac:dyDescent="0.35">
      <c r="A1077" s="7">
        <v>1074</v>
      </c>
      <c r="B1077" s="37">
        <v>46054.036805555559</v>
      </c>
      <c r="C1077" s="2">
        <v>78918.240000000005</v>
      </c>
      <c r="D1077" s="43">
        <v>78974.34</v>
      </c>
      <c r="E1077" s="43">
        <v>78909.72</v>
      </c>
      <c r="F1077" s="2">
        <v>78974.070000000007</v>
      </c>
      <c r="G1077" s="1">
        <v>189</v>
      </c>
      <c r="I1077" s="39">
        <v>46054.036805555559</v>
      </c>
      <c r="J1077" s="36">
        <v>76967.162760000007</v>
      </c>
      <c r="L1077" s="2"/>
      <c r="M1077" s="2"/>
      <c r="O1077" s="37">
        <v>46054.036805555559</v>
      </c>
      <c r="P1077" s="36">
        <v>78901.665229999999</v>
      </c>
      <c r="R1077" s="2">
        <v>79328.193889999995</v>
      </c>
      <c r="S1077" s="2">
        <v>78066.822180000003</v>
      </c>
    </row>
    <row r="1078" spans="1:19" x14ac:dyDescent="0.35">
      <c r="A1078" s="7">
        <v>1075</v>
      </c>
      <c r="B1078" s="37">
        <v>46054.037499999999</v>
      </c>
      <c r="C1078" s="2">
        <v>78974.31</v>
      </c>
      <c r="D1078" s="43">
        <v>79001.83</v>
      </c>
      <c r="E1078" s="43">
        <v>78916.929999999993</v>
      </c>
      <c r="F1078" s="2">
        <v>78960.67</v>
      </c>
      <c r="G1078" s="1">
        <v>222</v>
      </c>
      <c r="I1078" s="39">
        <v>46054.037499999999</v>
      </c>
      <c r="J1078" s="36">
        <v>76971.017789999998</v>
      </c>
      <c r="L1078" s="2"/>
      <c r="M1078" s="2"/>
      <c r="O1078" s="37">
        <v>46054.037499999999</v>
      </c>
      <c r="P1078" s="36">
        <v>78888.885909999997</v>
      </c>
      <c r="R1078" s="2">
        <v>79326.942379999993</v>
      </c>
      <c r="S1078" s="2">
        <v>78070.412339999995</v>
      </c>
    </row>
    <row r="1079" spans="1:19" x14ac:dyDescent="0.35">
      <c r="A1079" s="7">
        <v>1076</v>
      </c>
      <c r="B1079" s="37">
        <v>46054.038194444445</v>
      </c>
      <c r="C1079" s="2">
        <v>78959.039999999994</v>
      </c>
      <c r="D1079" s="43">
        <v>78982.23</v>
      </c>
      <c r="E1079" s="43">
        <v>78944.56</v>
      </c>
      <c r="F1079" s="2">
        <v>78979.17</v>
      </c>
      <c r="G1079" s="1">
        <v>221</v>
      </c>
      <c r="I1079" s="39">
        <v>46054.038194444445</v>
      </c>
      <c r="J1079" s="36">
        <v>76974.872829999993</v>
      </c>
      <c r="L1079" s="2"/>
      <c r="M1079" s="2"/>
      <c r="O1079" s="37">
        <v>46054.038194444445</v>
      </c>
      <c r="P1079" s="36">
        <v>78876.106589999996</v>
      </c>
      <c r="R1079" s="2">
        <v>79325.690860000002</v>
      </c>
      <c r="S1079" s="2">
        <v>78074.002489999999</v>
      </c>
    </row>
    <row r="1080" spans="1:19" x14ac:dyDescent="0.35">
      <c r="A1080" s="7">
        <v>1077</v>
      </c>
      <c r="B1080" s="37">
        <v>46054.038888888892</v>
      </c>
      <c r="C1080" s="2">
        <v>78979.509999999995</v>
      </c>
      <c r="D1080" s="43">
        <v>78983.820000000007</v>
      </c>
      <c r="E1080" s="43">
        <v>78940.56</v>
      </c>
      <c r="F1080" s="2">
        <v>78950.53</v>
      </c>
      <c r="G1080" s="1">
        <v>202</v>
      </c>
      <c r="I1080" s="39">
        <v>46054.038888888892</v>
      </c>
      <c r="J1080" s="36">
        <v>76978.727859999999</v>
      </c>
      <c r="L1080" s="2"/>
      <c r="M1080" s="2"/>
      <c r="O1080" s="37">
        <v>46054.038888888892</v>
      </c>
      <c r="P1080" s="36">
        <v>78863.327269999994</v>
      </c>
      <c r="R1080" s="2">
        <v>79324.439339999997</v>
      </c>
      <c r="S1080" s="2">
        <v>78077.592640000003</v>
      </c>
    </row>
    <row r="1081" spans="1:19" x14ac:dyDescent="0.35">
      <c r="A1081" s="7">
        <v>1078</v>
      </c>
      <c r="B1081" s="37">
        <v>46054.039583333331</v>
      </c>
      <c r="C1081" s="2">
        <v>78950.45</v>
      </c>
      <c r="D1081" s="43">
        <v>78987.45</v>
      </c>
      <c r="E1081" s="43">
        <v>78950.45</v>
      </c>
      <c r="F1081" s="2">
        <v>78979.19</v>
      </c>
      <c r="G1081" s="1">
        <v>175</v>
      </c>
      <c r="I1081" s="39">
        <v>46054.039583333331</v>
      </c>
      <c r="J1081" s="36">
        <v>76982.582899999994</v>
      </c>
      <c r="L1081" s="2"/>
      <c r="M1081" s="2"/>
      <c r="O1081" s="37">
        <v>46054.039583333331</v>
      </c>
      <c r="P1081" s="36">
        <v>78850.547949999993</v>
      </c>
      <c r="R1081" s="2">
        <v>79323.187829999995</v>
      </c>
      <c r="S1081" s="2">
        <v>78081.182799999995</v>
      </c>
    </row>
    <row r="1082" spans="1:19" x14ac:dyDescent="0.35">
      <c r="A1082" s="7">
        <v>1079</v>
      </c>
      <c r="B1082" s="37">
        <v>46054.040277777778</v>
      </c>
      <c r="C1082" s="2">
        <v>78980.350000000006</v>
      </c>
      <c r="D1082" s="43">
        <v>78980.350000000006</v>
      </c>
      <c r="E1082" s="43">
        <v>78827</v>
      </c>
      <c r="F1082" s="2">
        <v>78830.44</v>
      </c>
      <c r="G1082" s="1">
        <v>232</v>
      </c>
      <c r="I1082" s="39">
        <v>46054.040277777778</v>
      </c>
      <c r="J1082" s="36">
        <v>76986.43793</v>
      </c>
      <c r="L1082" s="2"/>
      <c r="M1082" s="2"/>
      <c r="O1082" s="37">
        <v>46054.040277777778</v>
      </c>
      <c r="P1082" s="36">
        <v>78837.768639999995</v>
      </c>
      <c r="R1082" s="2">
        <v>79321.936310000005</v>
      </c>
      <c r="S1082" s="2">
        <v>78084.772949999999</v>
      </c>
    </row>
    <row r="1083" spans="1:19" x14ac:dyDescent="0.35">
      <c r="A1083" s="7">
        <v>1080</v>
      </c>
      <c r="B1083" s="37">
        <v>46054.040972222225</v>
      </c>
      <c r="C1083" s="2">
        <v>78844.44</v>
      </c>
      <c r="D1083" s="43">
        <v>78891.149999999994</v>
      </c>
      <c r="E1083" s="43">
        <v>78842.070000000007</v>
      </c>
      <c r="F1083" s="2">
        <v>78850.06</v>
      </c>
      <c r="G1083" s="1">
        <v>235</v>
      </c>
      <c r="I1083" s="39">
        <v>46054.040972222225</v>
      </c>
      <c r="J1083" s="36">
        <v>76990.292969999995</v>
      </c>
      <c r="L1083" s="2"/>
      <c r="M1083" s="2"/>
      <c r="O1083" s="37">
        <v>46054.040972222225</v>
      </c>
      <c r="P1083" s="36">
        <v>78824.989319999993</v>
      </c>
      <c r="R1083" s="2">
        <v>79320.684800000003</v>
      </c>
      <c r="S1083" s="2">
        <v>78088.363100000002</v>
      </c>
    </row>
    <row r="1084" spans="1:19" x14ac:dyDescent="0.35">
      <c r="A1084" s="7">
        <v>1081</v>
      </c>
      <c r="B1084" s="37">
        <v>46054.041666666664</v>
      </c>
      <c r="C1084" s="2">
        <v>78850.070000000007</v>
      </c>
      <c r="D1084" s="43">
        <v>78896.62</v>
      </c>
      <c r="E1084" s="43">
        <v>78830.73</v>
      </c>
      <c r="F1084" s="2">
        <v>78878.259999999995</v>
      </c>
      <c r="G1084" s="1">
        <v>225</v>
      </c>
      <c r="I1084" s="39">
        <v>46054.041666666664</v>
      </c>
      <c r="J1084" s="36">
        <v>76994.148000000001</v>
      </c>
      <c r="L1084" s="2"/>
      <c r="M1084" s="2"/>
      <c r="O1084" s="37">
        <v>46054.041666666664</v>
      </c>
      <c r="P1084" s="36">
        <v>78812.210000000006</v>
      </c>
      <c r="R1084" s="2">
        <v>79319.433279999997</v>
      </c>
      <c r="S1084" s="2">
        <v>78091.953259999995</v>
      </c>
    </row>
    <row r="1085" spans="1:19" x14ac:dyDescent="0.35">
      <c r="A1085" s="7">
        <v>1082</v>
      </c>
      <c r="B1085" s="37">
        <v>46054.042361111111</v>
      </c>
      <c r="C1085" s="2">
        <v>78878.259999999995</v>
      </c>
      <c r="D1085" s="43">
        <v>78878.37</v>
      </c>
      <c r="E1085" s="43">
        <v>78727.11</v>
      </c>
      <c r="F1085" s="2">
        <v>78743.14</v>
      </c>
      <c r="G1085" s="1">
        <v>224</v>
      </c>
      <c r="I1085" s="39">
        <v>46054.042361111111</v>
      </c>
      <c r="J1085" s="36">
        <v>76998.003030000007</v>
      </c>
      <c r="L1085" s="2"/>
      <c r="M1085" s="2"/>
      <c r="O1085" s="37">
        <v>46054.042361111111</v>
      </c>
      <c r="P1085" s="36">
        <v>78799.430680000005</v>
      </c>
      <c r="R1085" s="2">
        <v>79318.181760000007</v>
      </c>
      <c r="S1085" s="2">
        <v>78095.543409999998</v>
      </c>
    </row>
    <row r="1086" spans="1:19" x14ac:dyDescent="0.35">
      <c r="A1086" s="7">
        <v>1083</v>
      </c>
      <c r="B1086" s="37">
        <v>46054.043055555558</v>
      </c>
      <c r="C1086" s="2">
        <v>78748.03</v>
      </c>
      <c r="D1086" s="43">
        <v>78842.92</v>
      </c>
      <c r="E1086" s="43">
        <v>78734.740000000005</v>
      </c>
      <c r="F1086" s="2">
        <v>78763.48</v>
      </c>
      <c r="G1086" s="1">
        <v>231</v>
      </c>
      <c r="I1086" s="39">
        <v>46054.043055555558</v>
      </c>
      <c r="J1086" s="36">
        <v>77001.858070000002</v>
      </c>
      <c r="L1086" s="2"/>
      <c r="M1086" s="2"/>
      <c r="O1086" s="37">
        <v>46054.043055555558</v>
      </c>
      <c r="P1086" s="36">
        <v>78786.651360000003</v>
      </c>
      <c r="R1086" s="2">
        <v>79316.930250000005</v>
      </c>
      <c r="S1086" s="2">
        <v>78099.133560000002</v>
      </c>
    </row>
    <row r="1087" spans="1:19" x14ac:dyDescent="0.35">
      <c r="A1087" s="7">
        <v>1084</v>
      </c>
      <c r="B1087" s="37">
        <v>46054.043749999997</v>
      </c>
      <c r="C1087" s="2">
        <v>78763.48</v>
      </c>
      <c r="D1087" s="43">
        <v>78798.73</v>
      </c>
      <c r="E1087" s="43">
        <v>78738.37</v>
      </c>
      <c r="F1087" s="2">
        <v>78759.69</v>
      </c>
      <c r="G1087" s="1">
        <v>212</v>
      </c>
      <c r="I1087" s="39">
        <v>46054.043749999997</v>
      </c>
      <c r="J1087" s="36">
        <v>77005.713099999994</v>
      </c>
      <c r="L1087" s="2"/>
      <c r="M1087" s="2"/>
      <c r="O1087" s="37">
        <v>46054.043749999997</v>
      </c>
      <c r="P1087" s="36">
        <v>78773.872050000005</v>
      </c>
      <c r="R1087" s="2">
        <v>79315.67873</v>
      </c>
      <c r="S1087" s="2">
        <v>78102.723719999995</v>
      </c>
    </row>
    <row r="1088" spans="1:19" x14ac:dyDescent="0.35">
      <c r="A1088" s="7">
        <v>1085</v>
      </c>
      <c r="B1088" s="37">
        <v>46054.044444444444</v>
      </c>
      <c r="C1088" s="2">
        <v>78759.69</v>
      </c>
      <c r="D1088" s="43">
        <v>78759.78</v>
      </c>
      <c r="E1088" s="43">
        <v>78652.710000000006</v>
      </c>
      <c r="F1088" s="2">
        <v>78724.009999999995</v>
      </c>
      <c r="G1088" s="1">
        <v>235</v>
      </c>
      <c r="I1088" s="39">
        <v>46054.044444444444</v>
      </c>
      <c r="J1088" s="36">
        <v>77009.568140000003</v>
      </c>
      <c r="L1088" s="2"/>
      <c r="M1088" s="2"/>
      <c r="O1088" s="37">
        <v>46054.044444444444</v>
      </c>
      <c r="P1088" s="36">
        <v>78761.092730000004</v>
      </c>
      <c r="R1088" s="2">
        <v>79314.427209999994</v>
      </c>
      <c r="S1088" s="2">
        <v>78106.313869999998</v>
      </c>
    </row>
    <row r="1089" spans="1:19" x14ac:dyDescent="0.35">
      <c r="A1089" s="7">
        <v>1086</v>
      </c>
      <c r="B1089" s="37">
        <v>46054.045138888891</v>
      </c>
      <c r="C1089" s="2">
        <v>78724.009999999995</v>
      </c>
      <c r="D1089" s="43">
        <v>78746.64</v>
      </c>
      <c r="E1089" s="43">
        <v>78614.11</v>
      </c>
      <c r="F1089" s="2">
        <v>78621.179999999993</v>
      </c>
      <c r="G1089" s="1">
        <v>256</v>
      </c>
      <c r="I1089" s="39">
        <v>46054.045138888891</v>
      </c>
      <c r="J1089" s="36">
        <v>77013.423169999995</v>
      </c>
      <c r="L1089" s="2"/>
      <c r="M1089" s="2"/>
      <c r="O1089" s="37">
        <v>46054.045138888891</v>
      </c>
      <c r="P1089" s="36">
        <v>78748.313410000002</v>
      </c>
      <c r="R1089" s="2">
        <v>79313.175700000007</v>
      </c>
      <c r="S1089" s="2">
        <v>78109.904020000002</v>
      </c>
    </row>
    <row r="1090" spans="1:19" x14ac:dyDescent="0.35">
      <c r="A1090" s="7">
        <v>1087</v>
      </c>
      <c r="B1090" s="37">
        <v>46054.04583333333</v>
      </c>
      <c r="C1090" s="2">
        <v>78629.5</v>
      </c>
      <c r="D1090" s="43">
        <v>78701.81</v>
      </c>
      <c r="E1090" s="43">
        <v>78611.63</v>
      </c>
      <c r="F1090" s="2">
        <v>78637.429999999993</v>
      </c>
      <c r="G1090" s="1">
        <v>260</v>
      </c>
      <c r="I1090" s="39">
        <v>46054.04583333333</v>
      </c>
      <c r="J1090" s="36">
        <v>77017.278210000004</v>
      </c>
      <c r="L1090" s="2"/>
      <c r="M1090" s="2"/>
      <c r="O1090" s="37">
        <v>46054.04583333333</v>
      </c>
      <c r="P1090" s="36">
        <v>78735.534090000001</v>
      </c>
      <c r="R1090" s="2">
        <v>79311.924180000002</v>
      </c>
      <c r="S1090" s="2">
        <v>78113.494179999994</v>
      </c>
    </row>
    <row r="1091" spans="1:19" x14ac:dyDescent="0.35">
      <c r="A1091" s="7">
        <v>1088</v>
      </c>
      <c r="B1091" s="37">
        <v>46054.046527777777</v>
      </c>
      <c r="C1091" s="2">
        <v>78638.649999999994</v>
      </c>
      <c r="D1091" s="43">
        <v>78638.649999999994</v>
      </c>
      <c r="E1091" s="43">
        <v>78546.009999999995</v>
      </c>
      <c r="F1091" s="2">
        <v>78592.94</v>
      </c>
      <c r="G1091" s="1">
        <v>258</v>
      </c>
      <c r="I1091" s="39">
        <v>46054.046527777777</v>
      </c>
      <c r="J1091" s="36">
        <v>77021.133239999996</v>
      </c>
      <c r="L1091" s="2"/>
      <c r="M1091" s="2"/>
      <c r="O1091" s="37">
        <v>46054.046527777777</v>
      </c>
      <c r="P1091" s="36">
        <v>78722.75477</v>
      </c>
      <c r="R1091" s="2">
        <v>79310.672659999997</v>
      </c>
      <c r="S1091" s="2">
        <v>78117.084329999998</v>
      </c>
    </row>
    <row r="1092" spans="1:19" x14ac:dyDescent="0.35">
      <c r="A1092" s="7">
        <v>1089</v>
      </c>
      <c r="B1092" s="37">
        <v>46054.047222222223</v>
      </c>
      <c r="C1092" s="2">
        <v>78593.2</v>
      </c>
      <c r="D1092" s="43">
        <v>78652.479999999996</v>
      </c>
      <c r="E1092" s="43">
        <v>78561.34</v>
      </c>
      <c r="F1092" s="2">
        <v>78647.350000000006</v>
      </c>
      <c r="G1092" s="1">
        <v>267</v>
      </c>
      <c r="I1092" s="39">
        <v>46054.047222222223</v>
      </c>
      <c r="J1092" s="36">
        <v>77024.988280000005</v>
      </c>
      <c r="L1092" s="2"/>
      <c r="M1092" s="2"/>
      <c r="O1092" s="37">
        <v>46054.047222222223</v>
      </c>
      <c r="P1092" s="36">
        <v>78709.975449999998</v>
      </c>
      <c r="R1092" s="2">
        <v>79309.421149999995</v>
      </c>
      <c r="S1092" s="2">
        <v>78120.674480000001</v>
      </c>
    </row>
    <row r="1093" spans="1:19" x14ac:dyDescent="0.35">
      <c r="A1093" s="7">
        <v>1090</v>
      </c>
      <c r="B1093" s="37">
        <v>46054.04791666667</v>
      </c>
      <c r="C1093" s="2">
        <v>78647.350000000006</v>
      </c>
      <c r="D1093" s="43">
        <v>78654.179999999993</v>
      </c>
      <c r="E1093" s="43">
        <v>78594.2</v>
      </c>
      <c r="F1093" s="2">
        <v>78594.240000000005</v>
      </c>
      <c r="G1093" s="1">
        <v>191</v>
      </c>
      <c r="I1093" s="39">
        <v>46054.04791666667</v>
      </c>
      <c r="J1093" s="36">
        <v>77028.843309999997</v>
      </c>
      <c r="L1093" s="2"/>
      <c r="M1093" s="2"/>
      <c r="O1093" s="37">
        <v>46054.04791666667</v>
      </c>
      <c r="P1093" s="36">
        <v>78697.19614</v>
      </c>
      <c r="R1093" s="2">
        <v>79308.169630000004</v>
      </c>
      <c r="S1093" s="2">
        <v>78124.264639999994</v>
      </c>
    </row>
    <row r="1094" spans="1:19" x14ac:dyDescent="0.35">
      <c r="A1094" s="7">
        <v>1091</v>
      </c>
      <c r="B1094" s="37">
        <v>46054.048611111109</v>
      </c>
      <c r="C1094" s="2">
        <v>78588.95</v>
      </c>
      <c r="D1094" s="43">
        <v>78618.3</v>
      </c>
      <c r="E1094" s="43">
        <v>78526.59</v>
      </c>
      <c r="F1094" s="2">
        <v>78528.179999999993</v>
      </c>
      <c r="G1094" s="1">
        <v>253</v>
      </c>
      <c r="I1094" s="39">
        <v>46054.048611111109</v>
      </c>
      <c r="J1094" s="36">
        <v>77032.698340000003</v>
      </c>
      <c r="L1094" s="2"/>
      <c r="M1094" s="2"/>
      <c r="O1094" s="37">
        <v>46054.048611111109</v>
      </c>
      <c r="P1094" s="36">
        <v>78684.416819999999</v>
      </c>
      <c r="R1094" s="2">
        <v>79306.918109999999</v>
      </c>
      <c r="S1094" s="2">
        <v>78127.854789999998</v>
      </c>
    </row>
    <row r="1095" spans="1:19" x14ac:dyDescent="0.35">
      <c r="A1095" s="7">
        <v>1092</v>
      </c>
      <c r="B1095" s="37">
        <v>46054.049305555556</v>
      </c>
      <c r="C1095" s="2">
        <v>78529.11</v>
      </c>
      <c r="D1095" s="43">
        <v>78589.600000000006</v>
      </c>
      <c r="E1095" s="43">
        <v>78421.350000000006</v>
      </c>
      <c r="F1095" s="2">
        <v>78548.990000000005</v>
      </c>
      <c r="G1095" s="1">
        <v>266</v>
      </c>
      <c r="I1095" s="39">
        <v>46054.049305555556</v>
      </c>
      <c r="J1095" s="36">
        <v>77036.553379999998</v>
      </c>
      <c r="L1095" s="2"/>
      <c r="M1095" s="2"/>
      <c r="O1095" s="37">
        <v>46054.049305555556</v>
      </c>
      <c r="P1095" s="36">
        <v>78671.637499999997</v>
      </c>
      <c r="R1095" s="2">
        <v>79305.666599999997</v>
      </c>
      <c r="S1095" s="2">
        <v>78131.444940000001</v>
      </c>
    </row>
    <row r="1096" spans="1:19" x14ac:dyDescent="0.35">
      <c r="A1096" s="7">
        <v>1093</v>
      </c>
      <c r="B1096" s="37">
        <v>46054.05</v>
      </c>
      <c r="C1096" s="2">
        <v>78549</v>
      </c>
      <c r="D1096" s="43">
        <v>78601.649999999994</v>
      </c>
      <c r="E1096" s="43">
        <v>78516.679999999993</v>
      </c>
      <c r="F1096" s="2">
        <v>78601.63</v>
      </c>
      <c r="G1096" s="1">
        <v>221</v>
      </c>
      <c r="I1096" s="39">
        <v>46054.05</v>
      </c>
      <c r="J1096" s="36">
        <v>77040.408410000004</v>
      </c>
      <c r="L1096" s="2"/>
      <c r="M1096" s="2"/>
      <c r="O1096" s="37">
        <v>46054.05</v>
      </c>
      <c r="P1096" s="36">
        <v>78658.858179999996</v>
      </c>
      <c r="R1096" s="2">
        <v>79304.415080000006</v>
      </c>
      <c r="S1096" s="2">
        <v>78135.035099999994</v>
      </c>
    </row>
    <row r="1097" spans="1:19" x14ac:dyDescent="0.35">
      <c r="A1097" s="7">
        <v>1094</v>
      </c>
      <c r="B1097" s="37">
        <v>46054.050694444442</v>
      </c>
      <c r="C1097" s="2">
        <v>78604.570000000007</v>
      </c>
      <c r="D1097" s="43">
        <v>78673.320000000007</v>
      </c>
      <c r="E1097" s="43">
        <v>78604.570000000007</v>
      </c>
      <c r="F1097" s="2">
        <v>78648.149999999994</v>
      </c>
      <c r="G1097" s="1">
        <v>230</v>
      </c>
      <c r="I1097" s="39">
        <v>46054.050694444442</v>
      </c>
      <c r="J1097" s="36">
        <v>77044.263449999999</v>
      </c>
      <c r="L1097" s="2"/>
      <c r="M1097" s="2"/>
      <c r="O1097" s="37">
        <v>46054.050694444442</v>
      </c>
      <c r="P1097" s="36">
        <v>78646.078859999994</v>
      </c>
      <c r="R1097" s="2">
        <v>79303.163570000004</v>
      </c>
      <c r="S1097" s="2">
        <v>78138.625249999997</v>
      </c>
    </row>
    <row r="1098" spans="1:19" x14ac:dyDescent="0.35">
      <c r="A1098" s="7">
        <v>1095</v>
      </c>
      <c r="B1098" s="37">
        <v>46054.051388888889</v>
      </c>
      <c r="C1098" s="2">
        <v>78648.160000000003</v>
      </c>
      <c r="D1098" s="43">
        <v>78666.41</v>
      </c>
      <c r="E1098" s="43">
        <v>78621.2</v>
      </c>
      <c r="F1098" s="2">
        <v>78655.740000000005</v>
      </c>
      <c r="G1098" s="1">
        <v>222</v>
      </c>
      <c r="I1098" s="39">
        <v>46054.051388888889</v>
      </c>
      <c r="J1098" s="36">
        <v>77048.118480000005</v>
      </c>
      <c r="L1098" s="2"/>
      <c r="M1098" s="2"/>
      <c r="O1098" s="37">
        <v>46054.051388888889</v>
      </c>
      <c r="P1098" s="36">
        <v>78633.299549999996</v>
      </c>
      <c r="R1098" s="2">
        <v>79301.912049999999</v>
      </c>
      <c r="S1098" s="2">
        <v>78142.215400000001</v>
      </c>
    </row>
    <row r="1099" spans="1:19" x14ac:dyDescent="0.35">
      <c r="A1099" s="7">
        <v>1096</v>
      </c>
      <c r="B1099" s="37">
        <v>46054.052083333336</v>
      </c>
      <c r="C1099" s="2">
        <v>78656.289999999994</v>
      </c>
      <c r="D1099" s="43">
        <v>78656.289999999994</v>
      </c>
      <c r="E1099" s="43">
        <v>78500.56</v>
      </c>
      <c r="F1099" s="2">
        <v>78546.009999999995</v>
      </c>
      <c r="G1099" s="1">
        <v>233</v>
      </c>
      <c r="I1099" s="39">
        <v>46054.052083333336</v>
      </c>
      <c r="J1099" s="36">
        <v>77051.97352</v>
      </c>
      <c r="L1099" s="2"/>
      <c r="M1099" s="2"/>
      <c r="O1099" s="37">
        <v>46054.052083333336</v>
      </c>
      <c r="P1099" s="36">
        <v>78620.520229999995</v>
      </c>
      <c r="R1099" s="2">
        <v>79300.660529999994</v>
      </c>
      <c r="S1099" s="2">
        <v>78145.805559999993</v>
      </c>
    </row>
    <row r="1100" spans="1:19" x14ac:dyDescent="0.35">
      <c r="A1100" s="7">
        <v>1097</v>
      </c>
      <c r="B1100" s="37">
        <v>46054.052777777775</v>
      </c>
      <c r="C1100" s="2">
        <v>78545.039999999994</v>
      </c>
      <c r="D1100" s="43">
        <v>78566.11</v>
      </c>
      <c r="E1100" s="43">
        <v>78391.72</v>
      </c>
      <c r="F1100" s="2">
        <v>78426.100000000006</v>
      </c>
      <c r="G1100" s="1">
        <v>262</v>
      </c>
      <c r="I1100" s="39">
        <v>46054.052777777775</v>
      </c>
      <c r="J1100" s="36">
        <v>77055.828550000006</v>
      </c>
      <c r="L1100" s="2"/>
      <c r="M1100" s="2"/>
      <c r="O1100" s="37">
        <v>46054.052777777775</v>
      </c>
      <c r="P1100" s="36">
        <v>78607.740909999993</v>
      </c>
      <c r="R1100" s="2">
        <v>79299.409020000006</v>
      </c>
      <c r="S1100" s="2">
        <v>78149.395709999997</v>
      </c>
    </row>
    <row r="1101" spans="1:19" x14ac:dyDescent="0.35">
      <c r="A1101" s="7">
        <v>1098</v>
      </c>
      <c r="B1101" s="37">
        <v>46054.053472222222</v>
      </c>
      <c r="C1101" s="2">
        <v>78426.09</v>
      </c>
      <c r="D1101" s="43">
        <v>78454.05</v>
      </c>
      <c r="E1101" s="43">
        <v>78402.070000000007</v>
      </c>
      <c r="F1101" s="2">
        <v>78428.28</v>
      </c>
      <c r="G1101" s="1">
        <v>196</v>
      </c>
      <c r="I1101" s="39">
        <v>46054.053472222222</v>
      </c>
      <c r="J1101" s="36">
        <v>77059.683590000001</v>
      </c>
      <c r="L1101" s="2"/>
      <c r="M1101" s="2"/>
      <c r="O1101" s="37">
        <v>46054.053472222222</v>
      </c>
      <c r="P1101" s="36">
        <v>78594.961590000006</v>
      </c>
      <c r="R1101" s="2">
        <v>79298.157500000001</v>
      </c>
      <c r="S1101" s="2">
        <v>78152.985860000001</v>
      </c>
    </row>
    <row r="1102" spans="1:19" x14ac:dyDescent="0.35">
      <c r="A1102" s="7">
        <v>1099</v>
      </c>
      <c r="B1102" s="37">
        <v>46054.054166666669</v>
      </c>
      <c r="C1102" s="2">
        <v>78428.72</v>
      </c>
      <c r="D1102" s="43">
        <v>78466.649999999994</v>
      </c>
      <c r="E1102" s="43">
        <v>78369.600000000006</v>
      </c>
      <c r="F1102" s="2">
        <v>78409.210000000006</v>
      </c>
      <c r="G1102" s="1">
        <v>189</v>
      </c>
      <c r="I1102" s="39">
        <v>46054.054166666669</v>
      </c>
      <c r="J1102" s="36">
        <v>77063.538620000007</v>
      </c>
      <c r="L1102" s="2"/>
      <c r="M1102" s="2"/>
      <c r="O1102" s="37">
        <v>46054.054166666669</v>
      </c>
      <c r="P1102" s="36">
        <v>78582.182270000005</v>
      </c>
      <c r="R1102" s="2">
        <v>79296.905979999996</v>
      </c>
      <c r="S1102" s="2">
        <v>78156.576019999993</v>
      </c>
    </row>
    <row r="1103" spans="1:19" x14ac:dyDescent="0.35">
      <c r="A1103" s="7">
        <v>1100</v>
      </c>
      <c r="B1103" s="37">
        <v>46054.054861111108</v>
      </c>
      <c r="C1103" s="2">
        <v>78412.11</v>
      </c>
      <c r="D1103" s="43">
        <v>78413.98</v>
      </c>
      <c r="E1103" s="43">
        <v>78341.850000000006</v>
      </c>
      <c r="F1103" s="2">
        <v>78351.22</v>
      </c>
      <c r="G1103" s="1">
        <v>215</v>
      </c>
      <c r="I1103" s="39">
        <v>46054.054861111108</v>
      </c>
      <c r="J1103" s="36">
        <v>77067.393660000002</v>
      </c>
      <c r="L1103" s="2"/>
      <c r="M1103" s="2"/>
      <c r="O1103" s="37">
        <v>46054.054861111108</v>
      </c>
      <c r="P1103" s="36">
        <v>78569.402950000003</v>
      </c>
      <c r="R1103" s="2">
        <v>79295.654469999994</v>
      </c>
      <c r="S1103" s="2">
        <v>78160.166169999997</v>
      </c>
    </row>
    <row r="1104" spans="1:19" x14ac:dyDescent="0.35">
      <c r="A1104" s="7">
        <v>1101</v>
      </c>
      <c r="B1104" s="37">
        <v>46054.055555555555</v>
      </c>
      <c r="C1104" s="2">
        <v>78365.16</v>
      </c>
      <c r="D1104" s="43">
        <v>78407.22</v>
      </c>
      <c r="E1104" s="43">
        <v>78346.899999999994</v>
      </c>
      <c r="F1104" s="2">
        <v>78391.850000000006</v>
      </c>
      <c r="G1104" s="1">
        <v>238</v>
      </c>
      <c r="I1104" s="39">
        <v>46054.055555555555</v>
      </c>
      <c r="J1104" s="36">
        <v>77071.248689999993</v>
      </c>
      <c r="L1104" s="2"/>
      <c r="M1104" s="2"/>
      <c r="O1104" s="37">
        <v>46054.055555555555</v>
      </c>
      <c r="P1104" s="36">
        <v>78556.623640000005</v>
      </c>
      <c r="R1104" s="2">
        <v>79294.402950000003</v>
      </c>
      <c r="S1104" s="2">
        <v>78163.75632</v>
      </c>
    </row>
    <row r="1105" spans="1:19" x14ac:dyDescent="0.35">
      <c r="A1105" s="7">
        <v>1102</v>
      </c>
      <c r="B1105" s="37">
        <v>46054.056250000001</v>
      </c>
      <c r="C1105" s="2">
        <v>78391.850000000006</v>
      </c>
      <c r="D1105" s="43">
        <v>78484.05</v>
      </c>
      <c r="E1105" s="43">
        <v>78374.490000000005</v>
      </c>
      <c r="F1105" s="2">
        <v>78459.929999999993</v>
      </c>
      <c r="G1105" s="1">
        <v>203</v>
      </c>
      <c r="I1105" s="39">
        <v>46054.056250000001</v>
      </c>
      <c r="J1105" s="36">
        <v>77075.103719999999</v>
      </c>
      <c r="L1105" s="2"/>
      <c r="M1105" s="2"/>
      <c r="O1105" s="37">
        <v>46054.056250000001</v>
      </c>
      <c r="P1105" s="36">
        <v>78543.844320000004</v>
      </c>
      <c r="R1105" s="2">
        <v>79293.151429999998</v>
      </c>
      <c r="S1105" s="2">
        <v>78167.346479999993</v>
      </c>
    </row>
    <row r="1106" spans="1:19" x14ac:dyDescent="0.35">
      <c r="A1106" s="7">
        <v>1103</v>
      </c>
      <c r="B1106" s="37">
        <v>46054.056944444441</v>
      </c>
      <c r="C1106" s="2">
        <v>78459.929999999993</v>
      </c>
      <c r="D1106" s="43">
        <v>78506.23</v>
      </c>
      <c r="E1106" s="43">
        <v>78448.27</v>
      </c>
      <c r="F1106" s="2">
        <v>78503.100000000006</v>
      </c>
      <c r="G1106" s="1">
        <v>232</v>
      </c>
      <c r="I1106" s="39">
        <v>46054.056944444441</v>
      </c>
      <c r="J1106" s="36">
        <v>77078.958759999994</v>
      </c>
      <c r="L1106" s="2"/>
      <c r="M1106" s="2"/>
      <c r="O1106" s="37">
        <v>46054.056944444441</v>
      </c>
      <c r="P1106" s="36">
        <v>78531.065000000002</v>
      </c>
      <c r="R1106" s="2">
        <v>79291.899919999996</v>
      </c>
      <c r="S1106" s="2">
        <v>78170.936629999997</v>
      </c>
    </row>
    <row r="1107" spans="1:19" x14ac:dyDescent="0.35">
      <c r="A1107" s="7">
        <v>1104</v>
      </c>
      <c r="B1107" s="37">
        <v>46054.057638888888</v>
      </c>
      <c r="C1107" s="2">
        <v>78510.960000000006</v>
      </c>
      <c r="D1107" s="43">
        <v>78565.34</v>
      </c>
      <c r="E1107" s="43">
        <v>78510.92</v>
      </c>
      <c r="F1107" s="2">
        <v>78560.929999999993</v>
      </c>
      <c r="G1107" s="1">
        <v>218</v>
      </c>
      <c r="I1107" s="39">
        <v>46054.057638888888</v>
      </c>
      <c r="J1107" s="36">
        <v>77082.81379</v>
      </c>
      <c r="L1107" s="2"/>
      <c r="M1107" s="2"/>
      <c r="O1107" s="37">
        <v>46054.057638888888</v>
      </c>
      <c r="P1107" s="36">
        <v>78518.285680000001</v>
      </c>
      <c r="R1107" s="2">
        <v>79290.648400000005</v>
      </c>
      <c r="S1107" s="2">
        <v>78174.52678</v>
      </c>
    </row>
    <row r="1108" spans="1:19" x14ac:dyDescent="0.35">
      <c r="A1108" s="7">
        <v>1105</v>
      </c>
      <c r="B1108" s="37">
        <v>46054.058333333334</v>
      </c>
      <c r="C1108" s="2">
        <v>78560.820000000007</v>
      </c>
      <c r="D1108" s="43">
        <v>78576.429999999993</v>
      </c>
      <c r="E1108" s="43">
        <v>78534.179999999993</v>
      </c>
      <c r="F1108" s="2">
        <v>78575.61</v>
      </c>
      <c r="G1108" s="1">
        <v>221</v>
      </c>
      <c r="I1108" s="39">
        <v>46054.058333333334</v>
      </c>
      <c r="J1108" s="36">
        <v>77086.668829999995</v>
      </c>
      <c r="L1108" s="2"/>
      <c r="M1108" s="2"/>
      <c r="O1108" s="37">
        <v>46054.058333333334</v>
      </c>
      <c r="P1108" s="36">
        <v>78505.506359999999</v>
      </c>
      <c r="R1108" s="2">
        <v>79289.396890000004</v>
      </c>
      <c r="S1108" s="2">
        <v>78178.116930000004</v>
      </c>
    </row>
    <row r="1109" spans="1:19" x14ac:dyDescent="0.35">
      <c r="A1109" s="7">
        <v>1106</v>
      </c>
      <c r="B1109" s="37">
        <v>46054.059027777781</v>
      </c>
      <c r="C1109" s="2">
        <v>78575.63</v>
      </c>
      <c r="D1109" s="43">
        <v>78575.63</v>
      </c>
      <c r="E1109" s="43">
        <v>78537.100000000006</v>
      </c>
      <c r="F1109" s="2">
        <v>78556.53</v>
      </c>
      <c r="G1109" s="1">
        <v>207</v>
      </c>
      <c r="I1109" s="39">
        <v>46054.059027777781</v>
      </c>
      <c r="J1109" s="36">
        <v>77090.523860000001</v>
      </c>
      <c r="L1109" s="2"/>
      <c r="M1109" s="2"/>
      <c r="O1109" s="37">
        <v>46054.059027777781</v>
      </c>
      <c r="P1109" s="36">
        <v>78492.727050000001</v>
      </c>
      <c r="R1109" s="2">
        <v>79288.145369999998</v>
      </c>
      <c r="S1109" s="2">
        <v>78181.707089999996</v>
      </c>
    </row>
    <row r="1110" spans="1:19" x14ac:dyDescent="0.35">
      <c r="A1110" s="7">
        <v>1107</v>
      </c>
      <c r="B1110" s="37">
        <v>46054.05972222222</v>
      </c>
      <c r="C1110" s="2">
        <v>78555.78</v>
      </c>
      <c r="D1110" s="43">
        <v>78563.899999999994</v>
      </c>
      <c r="E1110" s="43">
        <v>78537.2</v>
      </c>
      <c r="F1110" s="2">
        <v>78555.259999999995</v>
      </c>
      <c r="G1110" s="1">
        <v>196</v>
      </c>
      <c r="I1110" s="39">
        <v>46054.05972222222</v>
      </c>
      <c r="J1110" s="36">
        <v>77094.378899999996</v>
      </c>
      <c r="L1110" s="2"/>
      <c r="M1110" s="2"/>
      <c r="O1110" s="37">
        <v>46054.05972222222</v>
      </c>
      <c r="P1110" s="36">
        <v>78479.94773</v>
      </c>
      <c r="R1110" s="2">
        <v>79286.893849999993</v>
      </c>
      <c r="S1110" s="2">
        <v>78185.29724</v>
      </c>
    </row>
    <row r="1111" spans="1:19" x14ac:dyDescent="0.35">
      <c r="A1111" s="7">
        <v>1108</v>
      </c>
      <c r="B1111" s="37">
        <v>46054.060416666667</v>
      </c>
      <c r="C1111" s="2">
        <v>78554.02</v>
      </c>
      <c r="D1111" s="43">
        <v>78747.55</v>
      </c>
      <c r="E1111" s="43">
        <v>78554.02</v>
      </c>
      <c r="F1111" s="2">
        <v>78727.63</v>
      </c>
      <c r="G1111" s="1">
        <v>192</v>
      </c>
      <c r="I1111" s="39">
        <v>46054.060416666667</v>
      </c>
      <c r="J1111" s="36">
        <v>77098.233930000002</v>
      </c>
      <c r="L1111" s="2"/>
      <c r="M1111" s="2"/>
      <c r="O1111" s="37">
        <v>46054.060416666667</v>
      </c>
      <c r="P1111" s="36">
        <v>78467.168409999998</v>
      </c>
      <c r="R1111" s="2">
        <v>79285.642340000006</v>
      </c>
      <c r="S1111" s="2">
        <v>78188.887390000004</v>
      </c>
    </row>
    <row r="1112" spans="1:19" x14ac:dyDescent="0.35">
      <c r="A1112" s="7">
        <v>1109</v>
      </c>
      <c r="B1112" s="37">
        <v>46054.061111111114</v>
      </c>
      <c r="C1112" s="2">
        <v>78735.320000000007</v>
      </c>
      <c r="D1112" s="43">
        <v>78766.399999999994</v>
      </c>
      <c r="E1112" s="43">
        <v>78730.789999999994</v>
      </c>
      <c r="F1112" s="2">
        <v>78766.399999999994</v>
      </c>
      <c r="G1112" s="1">
        <v>216</v>
      </c>
      <c r="I1112" s="39">
        <v>46054.061111111114</v>
      </c>
      <c r="J1112" s="36">
        <v>77102.088969999997</v>
      </c>
      <c r="L1112" s="2"/>
      <c r="M1112" s="2"/>
      <c r="O1112" s="37">
        <v>46054.061111111114</v>
      </c>
      <c r="P1112" s="36">
        <v>78454.389089999997</v>
      </c>
      <c r="R1112" s="2">
        <v>79284.390820000001</v>
      </c>
      <c r="S1112" s="2">
        <v>78192.477549999996</v>
      </c>
    </row>
    <row r="1113" spans="1:19" x14ac:dyDescent="0.35">
      <c r="A1113" s="7">
        <v>1110</v>
      </c>
      <c r="B1113" s="37">
        <v>46054.061805555553</v>
      </c>
      <c r="C1113" s="2">
        <v>78767.199999999997</v>
      </c>
      <c r="D1113" s="43">
        <v>78835.64</v>
      </c>
      <c r="E1113" s="43">
        <v>78755.33</v>
      </c>
      <c r="F1113" s="2">
        <v>78790.5</v>
      </c>
      <c r="G1113" s="1">
        <v>238</v>
      </c>
      <c r="I1113" s="39">
        <v>46054.061805555553</v>
      </c>
      <c r="J1113" s="36">
        <v>77105.944000000003</v>
      </c>
      <c r="L1113" s="2"/>
      <c r="M1113" s="2"/>
      <c r="O1113" s="37">
        <v>46054.061805555553</v>
      </c>
      <c r="P1113" s="36">
        <v>78441.609769999995</v>
      </c>
      <c r="R1113" s="2">
        <v>79283.139299999995</v>
      </c>
      <c r="S1113" s="2">
        <v>78196.0677</v>
      </c>
    </row>
    <row r="1114" spans="1:19" x14ac:dyDescent="0.35">
      <c r="A1114" s="7">
        <v>1111</v>
      </c>
      <c r="B1114" s="37">
        <v>46054.0625</v>
      </c>
      <c r="C1114" s="2">
        <v>78780.850000000006</v>
      </c>
      <c r="D1114" s="43">
        <v>78810.77</v>
      </c>
      <c r="E1114" s="43">
        <v>78757.62</v>
      </c>
      <c r="F1114" s="2">
        <v>78761.62</v>
      </c>
      <c r="G1114" s="1">
        <v>247</v>
      </c>
      <c r="I1114" s="39">
        <v>46054.0625</v>
      </c>
      <c r="J1114" s="36">
        <v>77109.799029999995</v>
      </c>
      <c r="L1114" s="2"/>
      <c r="M1114" s="2"/>
      <c r="O1114" s="37">
        <v>46054.0625</v>
      </c>
      <c r="P1114" s="36">
        <v>78428.830449999994</v>
      </c>
      <c r="R1114" s="2">
        <v>79281.887789999993</v>
      </c>
      <c r="S1114" s="2">
        <v>78199.657850000003</v>
      </c>
    </row>
    <row r="1115" spans="1:19" x14ac:dyDescent="0.35">
      <c r="A1115" s="7">
        <v>1112</v>
      </c>
      <c r="B1115" s="37">
        <v>46054.063194444447</v>
      </c>
      <c r="C1115" s="2">
        <v>78761.53</v>
      </c>
      <c r="D1115" s="43">
        <v>78828.25</v>
      </c>
      <c r="E1115" s="43">
        <v>78734.47</v>
      </c>
      <c r="F1115" s="2">
        <v>78753.52</v>
      </c>
      <c r="G1115" s="1">
        <v>239</v>
      </c>
      <c r="I1115" s="39">
        <v>46054.063194444447</v>
      </c>
      <c r="J1115" s="36">
        <v>77113.654070000004</v>
      </c>
      <c r="L1115" s="2"/>
      <c r="M1115" s="2"/>
      <c r="O1115" s="37">
        <v>46054.063194444447</v>
      </c>
      <c r="P1115" s="36">
        <v>78416.051139999996</v>
      </c>
      <c r="R1115" s="2">
        <v>79280.636270000003</v>
      </c>
      <c r="S1115" s="2">
        <v>78203.248009999996</v>
      </c>
    </row>
    <row r="1116" spans="1:19" x14ac:dyDescent="0.35">
      <c r="A1116" s="7">
        <v>1113</v>
      </c>
      <c r="B1116" s="37">
        <v>46054.063888888886</v>
      </c>
      <c r="C1116" s="2">
        <v>78754.429999999993</v>
      </c>
      <c r="D1116" s="43">
        <v>78755.570000000007</v>
      </c>
      <c r="E1116" s="43">
        <v>78621.960000000006</v>
      </c>
      <c r="F1116" s="2">
        <v>78622.8</v>
      </c>
      <c r="G1116" s="1">
        <v>250</v>
      </c>
      <c r="I1116" s="39">
        <v>46054.063888888886</v>
      </c>
      <c r="J1116" s="36">
        <v>77117.509099999996</v>
      </c>
      <c r="L1116" s="2"/>
      <c r="M1116" s="2"/>
      <c r="O1116" s="37">
        <v>46054.063888888886</v>
      </c>
      <c r="P1116" s="36">
        <v>78403.271819999994</v>
      </c>
      <c r="R1116" s="2">
        <v>79279.384749999997</v>
      </c>
      <c r="S1116" s="2">
        <v>78206.838159999999</v>
      </c>
    </row>
    <row r="1117" spans="1:19" x14ac:dyDescent="0.35">
      <c r="A1117" s="7">
        <v>1114</v>
      </c>
      <c r="B1117" s="37">
        <v>46054.064583333333</v>
      </c>
      <c r="C1117" s="2">
        <v>78622.8</v>
      </c>
      <c r="D1117" s="43">
        <v>78652.929999999993</v>
      </c>
      <c r="E1117" s="43">
        <v>78544.41</v>
      </c>
      <c r="F1117" s="2">
        <v>78561.460000000006</v>
      </c>
      <c r="G1117" s="1">
        <v>227</v>
      </c>
      <c r="I1117" s="39">
        <v>46054.064583333333</v>
      </c>
      <c r="J1117" s="36">
        <v>77121.364140000005</v>
      </c>
      <c r="L1117" s="2"/>
      <c r="M1117" s="2"/>
      <c r="O1117" s="37">
        <v>46054.064583333333</v>
      </c>
      <c r="P1117" s="36">
        <v>78390.492499999993</v>
      </c>
      <c r="R1117" s="2">
        <v>79278.133239999996</v>
      </c>
      <c r="S1117" s="2">
        <v>78210.428310000003</v>
      </c>
    </row>
    <row r="1118" spans="1:19" x14ac:dyDescent="0.35">
      <c r="A1118" s="7">
        <v>1115</v>
      </c>
      <c r="B1118" s="37">
        <v>46054.06527777778</v>
      </c>
      <c r="C1118" s="2">
        <v>78554.97</v>
      </c>
      <c r="D1118" s="43">
        <v>78638.53</v>
      </c>
      <c r="E1118" s="43">
        <v>78554.97</v>
      </c>
      <c r="F1118" s="2">
        <v>78638.53</v>
      </c>
      <c r="G1118" s="1">
        <v>234</v>
      </c>
      <c r="I1118" s="39">
        <v>46054.06527777778</v>
      </c>
      <c r="J1118" s="36">
        <v>77125.219169999997</v>
      </c>
      <c r="L1118" s="2"/>
      <c r="M1118" s="2"/>
      <c r="O1118" s="37">
        <v>46054.06527777778</v>
      </c>
      <c r="P1118" s="36">
        <v>78377.713180000006</v>
      </c>
      <c r="R1118" s="2">
        <v>79276.881720000005</v>
      </c>
      <c r="S1118" s="2">
        <v>78214.018469999995</v>
      </c>
    </row>
    <row r="1119" spans="1:19" x14ac:dyDescent="0.35">
      <c r="A1119" s="7">
        <v>1116</v>
      </c>
      <c r="B1119" s="37">
        <v>46054.065972222219</v>
      </c>
      <c r="C1119" s="2">
        <v>78642.75</v>
      </c>
      <c r="D1119" s="43">
        <v>78673.73</v>
      </c>
      <c r="E1119" s="43">
        <v>78558.399999999994</v>
      </c>
      <c r="F1119" s="2">
        <v>78558.399999999994</v>
      </c>
      <c r="G1119" s="1">
        <v>206</v>
      </c>
      <c r="I1119" s="39">
        <v>46054.065972222219</v>
      </c>
      <c r="J1119" s="36">
        <v>77129.074210000006</v>
      </c>
      <c r="L1119" s="2"/>
      <c r="M1119" s="2"/>
      <c r="O1119" s="37">
        <v>46054.065972222219</v>
      </c>
      <c r="P1119" s="36">
        <v>78364.933860000005</v>
      </c>
      <c r="R1119" s="2">
        <v>79275.6302</v>
      </c>
      <c r="S1119" s="2">
        <v>78217.608619999999</v>
      </c>
    </row>
    <row r="1120" spans="1:19" x14ac:dyDescent="0.35">
      <c r="A1120" s="7">
        <v>1117</v>
      </c>
      <c r="B1120" s="37">
        <v>46054.066666666666</v>
      </c>
      <c r="C1120" s="2">
        <v>78564.600000000006</v>
      </c>
      <c r="D1120" s="43">
        <v>78580.160000000003</v>
      </c>
      <c r="E1120" s="43">
        <v>78554.600000000006</v>
      </c>
      <c r="F1120" s="2">
        <v>78557.62</v>
      </c>
      <c r="G1120" s="1">
        <v>207</v>
      </c>
      <c r="I1120" s="39">
        <v>46054.066666666666</v>
      </c>
      <c r="J1120" s="36">
        <v>77132.929239999998</v>
      </c>
      <c r="L1120" s="2"/>
      <c r="M1120" s="2"/>
      <c r="O1120" s="37">
        <v>46054.066666666666</v>
      </c>
      <c r="P1120" s="36">
        <v>78352.154550000007</v>
      </c>
      <c r="R1120" s="2">
        <v>79274.378689999998</v>
      </c>
      <c r="S1120" s="2">
        <v>78221.198770000003</v>
      </c>
    </row>
    <row r="1121" spans="1:19" x14ac:dyDescent="0.35">
      <c r="A1121" s="7">
        <v>1118</v>
      </c>
      <c r="B1121" s="37">
        <v>46054.067361111112</v>
      </c>
      <c r="C1121" s="2">
        <v>78557.63</v>
      </c>
      <c r="D1121" s="43">
        <v>78593.06</v>
      </c>
      <c r="E1121" s="43">
        <v>78541.3</v>
      </c>
      <c r="F1121" s="2">
        <v>78541.3</v>
      </c>
      <c r="G1121" s="1">
        <v>203</v>
      </c>
      <c r="I1121" s="39">
        <v>46054.067361111112</v>
      </c>
      <c r="J1121" s="36">
        <v>77136.784280000007</v>
      </c>
      <c r="L1121" s="2"/>
      <c r="M1121" s="2"/>
      <c r="O1121" s="37">
        <v>46054.067361111112</v>
      </c>
      <c r="P1121" s="36">
        <v>78339.375230000005</v>
      </c>
      <c r="R1121" s="2">
        <v>79273.127170000007</v>
      </c>
      <c r="S1121" s="2">
        <v>78224.788929999995</v>
      </c>
    </row>
    <row r="1122" spans="1:19" x14ac:dyDescent="0.35">
      <c r="A1122" s="7">
        <v>1119</v>
      </c>
      <c r="B1122" s="37">
        <v>46054.068055555559</v>
      </c>
      <c r="C1122" s="2">
        <v>78536.97</v>
      </c>
      <c r="D1122" s="43">
        <v>78575.520000000004</v>
      </c>
      <c r="E1122" s="43">
        <v>78497.78</v>
      </c>
      <c r="F1122" s="2">
        <v>78499.17</v>
      </c>
      <c r="G1122" s="1">
        <v>186</v>
      </c>
      <c r="I1122" s="39">
        <v>46054.068055555559</v>
      </c>
      <c r="J1122" s="36">
        <v>77140.639309999999</v>
      </c>
      <c r="L1122" s="2"/>
      <c r="M1122" s="2"/>
      <c r="O1122" s="37">
        <v>46054.068055555559</v>
      </c>
      <c r="P1122" s="36">
        <v>78326.595910000004</v>
      </c>
      <c r="R1122" s="2">
        <v>79271.875660000005</v>
      </c>
      <c r="S1122" s="2">
        <v>78228.379079999999</v>
      </c>
    </row>
    <row r="1123" spans="1:19" x14ac:dyDescent="0.35">
      <c r="A1123" s="7">
        <v>1120</v>
      </c>
      <c r="B1123" s="37">
        <v>46054.068749999999</v>
      </c>
      <c r="C1123" s="2">
        <v>78506</v>
      </c>
      <c r="D1123" s="43">
        <v>78516.5</v>
      </c>
      <c r="E1123" s="43">
        <v>78452.05</v>
      </c>
      <c r="F1123" s="2">
        <v>78453.36</v>
      </c>
      <c r="G1123" s="1">
        <v>250</v>
      </c>
      <c r="I1123" s="39">
        <v>46054.068749999999</v>
      </c>
      <c r="J1123" s="36">
        <v>77144.494340000005</v>
      </c>
      <c r="L1123" s="2"/>
      <c r="M1123" s="2"/>
      <c r="O1123" s="37">
        <v>46054.068749999999</v>
      </c>
      <c r="P1123" s="36">
        <v>78313.816590000002</v>
      </c>
      <c r="R1123" s="2">
        <v>79270.62414</v>
      </c>
      <c r="S1123" s="2">
        <v>78231.969230000002</v>
      </c>
    </row>
    <row r="1124" spans="1:19" x14ac:dyDescent="0.35">
      <c r="A1124" s="7">
        <v>1121</v>
      </c>
      <c r="B1124" s="37">
        <v>46054.069444444445</v>
      </c>
      <c r="C1124" s="2">
        <v>78453.320000000007</v>
      </c>
      <c r="D1124" s="43">
        <v>78490.350000000006</v>
      </c>
      <c r="E1124" s="43">
        <v>78450.539999999994</v>
      </c>
      <c r="F1124" s="2">
        <v>78479.58</v>
      </c>
      <c r="G1124" s="1">
        <v>207</v>
      </c>
      <c r="I1124" s="39">
        <v>46054.069444444445</v>
      </c>
      <c r="J1124" s="36">
        <v>77148.34938</v>
      </c>
      <c r="L1124" s="2"/>
      <c r="M1124" s="2"/>
      <c r="O1124" s="37">
        <v>46054.069444444445</v>
      </c>
      <c r="P1124" s="36">
        <v>78301.037270000001</v>
      </c>
      <c r="R1124" s="2">
        <v>79269.372619999995</v>
      </c>
      <c r="S1124" s="2">
        <v>78235.559389999995</v>
      </c>
    </row>
    <row r="1125" spans="1:19" x14ac:dyDescent="0.35">
      <c r="A1125" s="7">
        <v>1122</v>
      </c>
      <c r="B1125" s="37">
        <v>46054.070138888892</v>
      </c>
      <c r="C1125" s="2">
        <v>78481</v>
      </c>
      <c r="D1125" s="43">
        <v>78488.3</v>
      </c>
      <c r="E1125" s="43">
        <v>78335.61</v>
      </c>
      <c r="F1125" s="2">
        <v>78347.58</v>
      </c>
      <c r="G1125" s="1">
        <v>238</v>
      </c>
      <c r="I1125" s="39">
        <v>46054.070138888892</v>
      </c>
      <c r="J1125" s="36">
        <v>77152.204410000006</v>
      </c>
      <c r="L1125" s="2"/>
      <c r="M1125" s="2"/>
      <c r="O1125" s="37">
        <v>46054.070138888892</v>
      </c>
      <c r="P1125" s="36">
        <v>78288.257949999999</v>
      </c>
      <c r="R1125" s="2">
        <v>79268.121109999993</v>
      </c>
      <c r="S1125" s="2">
        <v>78239.149539999999</v>
      </c>
    </row>
    <row r="1126" spans="1:19" x14ac:dyDescent="0.35">
      <c r="A1126" s="7">
        <v>1123</v>
      </c>
      <c r="B1126" s="37">
        <v>46054.070833333331</v>
      </c>
      <c r="C1126" s="2">
        <v>78346.78</v>
      </c>
      <c r="D1126" s="43">
        <v>78407.8</v>
      </c>
      <c r="E1126" s="43">
        <v>78339.22</v>
      </c>
      <c r="F1126" s="2">
        <v>78340.17</v>
      </c>
      <c r="G1126" s="1">
        <v>243</v>
      </c>
      <c r="I1126" s="39">
        <v>46054.070833333331</v>
      </c>
      <c r="J1126" s="36">
        <v>77156.059450000001</v>
      </c>
      <c r="L1126" s="2"/>
      <c r="M1126" s="2"/>
      <c r="O1126" s="37">
        <v>46054.070833333331</v>
      </c>
      <c r="P1126" s="36">
        <v>78275.478640000001</v>
      </c>
      <c r="R1126" s="2">
        <v>79266.869590000002</v>
      </c>
      <c r="S1126" s="2">
        <v>78242.739690000002</v>
      </c>
    </row>
    <row r="1127" spans="1:19" x14ac:dyDescent="0.35">
      <c r="A1127" s="7">
        <v>1124</v>
      </c>
      <c r="B1127" s="37">
        <v>46054.071527777778</v>
      </c>
      <c r="C1127" s="2">
        <v>78339.23</v>
      </c>
      <c r="D1127" s="43">
        <v>78387.33</v>
      </c>
      <c r="E1127" s="43">
        <v>78323.320000000007</v>
      </c>
      <c r="F1127" s="2">
        <v>78335.27</v>
      </c>
      <c r="G1127" s="1">
        <v>240</v>
      </c>
      <c r="I1127" s="39">
        <v>46054.071527777778</v>
      </c>
      <c r="J1127" s="36">
        <v>77159.914480000007</v>
      </c>
      <c r="L1127" s="2"/>
      <c r="M1127" s="2"/>
      <c r="O1127" s="37">
        <v>46054.071527777778</v>
      </c>
      <c r="P1127" s="36">
        <v>78262.69932</v>
      </c>
      <c r="R1127" s="2">
        <v>79265.618069999997</v>
      </c>
      <c r="S1127" s="2">
        <v>78246.329849999995</v>
      </c>
    </row>
    <row r="1128" spans="1:19" x14ac:dyDescent="0.35">
      <c r="A1128" s="7">
        <v>1125</v>
      </c>
      <c r="B1128" s="37">
        <v>46054.072222222225</v>
      </c>
      <c r="C1128" s="2">
        <v>78335.22</v>
      </c>
      <c r="D1128" s="43">
        <v>78361.84</v>
      </c>
      <c r="E1128" s="43">
        <v>78249.919999999998</v>
      </c>
      <c r="F1128" s="2">
        <v>78300.990000000005</v>
      </c>
      <c r="G1128" s="1">
        <v>218</v>
      </c>
      <c r="I1128" s="39">
        <v>46054.072222222225</v>
      </c>
      <c r="J1128" s="36">
        <v>77163.769520000002</v>
      </c>
      <c r="L1128" s="2"/>
      <c r="M1128" s="2"/>
      <c r="O1128" s="37">
        <v>46054.072222222225</v>
      </c>
      <c r="P1128" s="36">
        <v>78249.919999999998</v>
      </c>
      <c r="Q1128" s="4" t="s">
        <v>15</v>
      </c>
      <c r="R1128" s="2">
        <v>79264.366559999995</v>
      </c>
      <c r="S1128" s="2">
        <v>78249.919999999998</v>
      </c>
    </row>
    <row r="1129" spans="1:19" x14ac:dyDescent="0.35">
      <c r="A1129" s="7">
        <v>1126</v>
      </c>
      <c r="B1129" s="37">
        <v>46054.072916666664</v>
      </c>
      <c r="C1129" s="2">
        <v>78301.31</v>
      </c>
      <c r="D1129" s="43">
        <v>78321.539999999994</v>
      </c>
      <c r="E1129" s="43">
        <v>78289.67</v>
      </c>
      <c r="F1129" s="2">
        <v>78319.820000000007</v>
      </c>
      <c r="G1129" s="1">
        <v>200</v>
      </c>
      <c r="I1129" s="39">
        <v>46054.072916666664</v>
      </c>
      <c r="J1129" s="36">
        <v>77167.624549999993</v>
      </c>
      <c r="L1129" s="2"/>
      <c r="M1129" s="2"/>
      <c r="O1129" s="37">
        <v>46054.072916666664</v>
      </c>
      <c r="P1129" s="36">
        <v>78255.171350000004</v>
      </c>
      <c r="R1129" s="2">
        <v>79263.115040000004</v>
      </c>
      <c r="S1129" s="2">
        <v>78249.987469999993</v>
      </c>
    </row>
    <row r="1130" spans="1:19" x14ac:dyDescent="0.35">
      <c r="A1130" s="7">
        <v>1127</v>
      </c>
      <c r="B1130" s="37">
        <v>46054.073611111111</v>
      </c>
      <c r="C1130" s="2">
        <v>78320.039999999994</v>
      </c>
      <c r="D1130" s="43">
        <v>78327.360000000001</v>
      </c>
      <c r="E1130" s="43">
        <v>78251.12</v>
      </c>
      <c r="F1130" s="2">
        <v>78280.539999999994</v>
      </c>
      <c r="G1130" s="1">
        <v>220</v>
      </c>
      <c r="I1130" s="39">
        <v>46054.073611111111</v>
      </c>
      <c r="J1130" s="36">
        <v>77171.479590000003</v>
      </c>
      <c r="L1130" s="2"/>
      <c r="M1130" s="2"/>
      <c r="O1130" s="37">
        <v>46054.073611111111</v>
      </c>
      <c r="P1130" s="36">
        <v>78260.422690000007</v>
      </c>
      <c r="R1130" s="2">
        <v>79261.863519999999</v>
      </c>
      <c r="S1130" s="2">
        <v>78250.054929999998</v>
      </c>
    </row>
    <row r="1131" spans="1:19" x14ac:dyDescent="0.35">
      <c r="A1131" s="7">
        <v>1128</v>
      </c>
      <c r="B1131" s="37">
        <v>46054.074305555558</v>
      </c>
      <c r="C1131" s="2">
        <v>78280.539999999994</v>
      </c>
      <c r="D1131" s="43">
        <v>78352.83</v>
      </c>
      <c r="E1131" s="43">
        <v>78280.5</v>
      </c>
      <c r="F1131" s="2">
        <v>78315.03</v>
      </c>
      <c r="G1131" s="1">
        <v>228</v>
      </c>
      <c r="I1131" s="39">
        <v>46054.074305555558</v>
      </c>
      <c r="J1131" s="36">
        <v>77175.334619999994</v>
      </c>
      <c r="L1131" s="2"/>
      <c r="M1131" s="2"/>
      <c r="O1131" s="37">
        <v>46054.074305555558</v>
      </c>
      <c r="P1131" s="36">
        <v>78265.674039999998</v>
      </c>
      <c r="R1131" s="2">
        <v>79260.612009999997</v>
      </c>
      <c r="S1131" s="2">
        <v>78250.122399999993</v>
      </c>
    </row>
    <row r="1132" spans="1:19" x14ac:dyDescent="0.35">
      <c r="A1132" s="7">
        <v>1129</v>
      </c>
      <c r="B1132" s="37">
        <v>46054.074999999997</v>
      </c>
      <c r="C1132" s="2">
        <v>78315.5</v>
      </c>
      <c r="D1132" s="43">
        <v>78358.91</v>
      </c>
      <c r="E1132" s="43">
        <v>78312.77</v>
      </c>
      <c r="F1132" s="2">
        <v>78351.320000000007</v>
      </c>
      <c r="G1132" s="1">
        <v>176</v>
      </c>
      <c r="I1132" s="39">
        <v>46054.074999999997</v>
      </c>
      <c r="J1132" s="36">
        <v>77179.189660000004</v>
      </c>
      <c r="L1132" s="2"/>
      <c r="M1132" s="2"/>
      <c r="O1132" s="37">
        <v>46054.074999999997</v>
      </c>
      <c r="P1132" s="36">
        <v>78270.925380000001</v>
      </c>
      <c r="R1132" s="2">
        <v>79259.360490000006</v>
      </c>
      <c r="S1132" s="2">
        <v>78250.189870000002</v>
      </c>
    </row>
    <row r="1133" spans="1:19" x14ac:dyDescent="0.35">
      <c r="A1133" s="7">
        <v>1130</v>
      </c>
      <c r="B1133" s="37">
        <v>46054.075694444444</v>
      </c>
      <c r="C1133" s="2">
        <v>78351.320000000007</v>
      </c>
      <c r="D1133" s="43">
        <v>78441.119999999995</v>
      </c>
      <c r="E1133" s="43">
        <v>78351.320000000007</v>
      </c>
      <c r="F1133" s="2">
        <v>78436.22</v>
      </c>
      <c r="G1133" s="1">
        <v>239</v>
      </c>
      <c r="I1133" s="39">
        <v>46054.075694444444</v>
      </c>
      <c r="J1133" s="36">
        <v>77183.044689999995</v>
      </c>
      <c r="L1133" s="2"/>
      <c r="M1133" s="2"/>
      <c r="O1133" s="37">
        <v>46054.075694444444</v>
      </c>
      <c r="P1133" s="36">
        <v>78276.176730000007</v>
      </c>
      <c r="R1133" s="2">
        <v>79258.108980000005</v>
      </c>
      <c r="S1133" s="2">
        <v>78250.257339999996</v>
      </c>
    </row>
    <row r="1134" spans="1:19" x14ac:dyDescent="0.35">
      <c r="A1134" s="7">
        <v>1131</v>
      </c>
      <c r="B1134" s="37">
        <v>46054.076388888891</v>
      </c>
      <c r="C1134" s="2">
        <v>78436.52</v>
      </c>
      <c r="D1134" s="43">
        <v>78446.73</v>
      </c>
      <c r="E1134" s="43">
        <v>78390.98</v>
      </c>
      <c r="F1134" s="2">
        <v>78428.45</v>
      </c>
      <c r="G1134" s="1">
        <v>213</v>
      </c>
      <c r="I1134" s="39">
        <v>46054.076388888891</v>
      </c>
      <c r="J1134" s="36">
        <v>77186.899720000001</v>
      </c>
      <c r="L1134" s="2"/>
      <c r="M1134" s="2"/>
      <c r="O1134" s="37">
        <v>46054.076388888891</v>
      </c>
      <c r="P1134" s="36">
        <v>78281.428079999998</v>
      </c>
      <c r="R1134" s="2">
        <v>79256.857459999999</v>
      </c>
      <c r="S1134" s="2">
        <v>78250.324800000002</v>
      </c>
    </row>
    <row r="1135" spans="1:19" x14ac:dyDescent="0.35">
      <c r="A1135" s="7">
        <v>1132</v>
      </c>
      <c r="B1135" s="37">
        <v>46054.07708333333</v>
      </c>
      <c r="C1135" s="2">
        <v>78428.600000000006</v>
      </c>
      <c r="D1135" s="43">
        <v>78470.350000000006</v>
      </c>
      <c r="E1135" s="43">
        <v>78416.02</v>
      </c>
      <c r="F1135" s="2">
        <v>78470.34</v>
      </c>
      <c r="G1135" s="1">
        <v>185</v>
      </c>
      <c r="I1135" s="39">
        <v>46054.07708333333</v>
      </c>
      <c r="J1135" s="36">
        <v>77190.754759999996</v>
      </c>
      <c r="L1135" s="2"/>
      <c r="M1135" s="2"/>
      <c r="O1135" s="37">
        <v>46054.07708333333</v>
      </c>
      <c r="P1135" s="36">
        <v>78286.67942</v>
      </c>
      <c r="R1135" s="2">
        <v>79255.605939999994</v>
      </c>
      <c r="S1135" s="2">
        <v>78250.392269999997</v>
      </c>
    </row>
    <row r="1136" spans="1:19" x14ac:dyDescent="0.35">
      <c r="A1136" s="7">
        <v>1133</v>
      </c>
      <c r="B1136" s="37">
        <v>46054.077777777777</v>
      </c>
      <c r="C1136" s="2">
        <v>78469.45</v>
      </c>
      <c r="D1136" s="43">
        <v>78484.289999999994</v>
      </c>
      <c r="E1136" s="43">
        <v>78425.98</v>
      </c>
      <c r="F1136" s="2">
        <v>78435.17</v>
      </c>
      <c r="G1136" s="1">
        <v>229</v>
      </c>
      <c r="I1136" s="39">
        <v>46054.077777777777</v>
      </c>
      <c r="J1136" s="36">
        <v>77194.609790000002</v>
      </c>
      <c r="L1136" s="2"/>
      <c r="M1136" s="2"/>
      <c r="O1136" s="37">
        <v>46054.077777777777</v>
      </c>
      <c r="P1136" s="36">
        <v>78291.930770000006</v>
      </c>
      <c r="R1136" s="2">
        <v>79254.354430000007</v>
      </c>
      <c r="S1136" s="2">
        <v>78250.459740000006</v>
      </c>
    </row>
    <row r="1137" spans="1:19" x14ac:dyDescent="0.35">
      <c r="A1137" s="7">
        <v>1134</v>
      </c>
      <c r="B1137" s="37">
        <v>46054.078472222223</v>
      </c>
      <c r="C1137" s="2">
        <v>78435.179999999993</v>
      </c>
      <c r="D1137" s="43">
        <v>78475.039999999994</v>
      </c>
      <c r="E1137" s="43">
        <v>78435.070000000007</v>
      </c>
      <c r="F1137" s="2">
        <v>78458.94</v>
      </c>
      <c r="G1137" s="1">
        <v>204</v>
      </c>
      <c r="I1137" s="39">
        <v>46054.078472222223</v>
      </c>
      <c r="J1137" s="36">
        <v>77198.464829999997</v>
      </c>
      <c r="L1137" s="2"/>
      <c r="M1137" s="2"/>
      <c r="O1137" s="37">
        <v>46054.078472222223</v>
      </c>
      <c r="P1137" s="36">
        <v>78297.182119999998</v>
      </c>
      <c r="R1137" s="2">
        <v>79253.102910000001</v>
      </c>
      <c r="S1137" s="2">
        <v>78250.527199999997</v>
      </c>
    </row>
    <row r="1138" spans="1:19" x14ac:dyDescent="0.35">
      <c r="A1138" s="7">
        <v>1135</v>
      </c>
      <c r="B1138" s="37">
        <v>46054.07916666667</v>
      </c>
      <c r="C1138" s="2">
        <v>78459.13</v>
      </c>
      <c r="D1138" s="43">
        <v>78475.429999999993</v>
      </c>
      <c r="E1138" s="43">
        <v>78440.5</v>
      </c>
      <c r="F1138" s="2">
        <v>78440.5</v>
      </c>
      <c r="G1138" s="1">
        <v>119</v>
      </c>
      <c r="I1138" s="39">
        <v>46054.07916666667</v>
      </c>
      <c r="J1138" s="36">
        <v>77202.319860000003</v>
      </c>
      <c r="L1138" s="2"/>
      <c r="M1138" s="2"/>
      <c r="O1138" s="37">
        <v>46054.07916666667</v>
      </c>
      <c r="P1138" s="36">
        <v>78302.43346</v>
      </c>
      <c r="R1138" s="2">
        <v>79251.851389999996</v>
      </c>
      <c r="S1138" s="2">
        <v>78250.594670000006</v>
      </c>
    </row>
    <row r="1139" spans="1:19" x14ac:dyDescent="0.35">
      <c r="A1139" s="7">
        <v>1136</v>
      </c>
      <c r="B1139" s="37">
        <v>46054.079861111109</v>
      </c>
      <c r="C1139" s="2">
        <v>78440.5</v>
      </c>
      <c r="D1139" s="43">
        <v>78490.33</v>
      </c>
      <c r="E1139" s="43">
        <v>78440.5</v>
      </c>
      <c r="F1139" s="2">
        <v>78450.25</v>
      </c>
      <c r="G1139" s="1">
        <v>199</v>
      </c>
      <c r="I1139" s="39">
        <v>46054.079861111109</v>
      </c>
      <c r="J1139" s="36">
        <v>77206.174899999998</v>
      </c>
      <c r="L1139" s="2"/>
      <c r="M1139" s="2"/>
      <c r="O1139" s="37">
        <v>46054.079861111109</v>
      </c>
      <c r="P1139" s="36">
        <v>78307.684810000006</v>
      </c>
      <c r="R1139" s="2">
        <v>79250.599879999994</v>
      </c>
      <c r="S1139" s="2">
        <v>78250.66214</v>
      </c>
    </row>
    <row r="1140" spans="1:19" x14ac:dyDescent="0.35">
      <c r="A1140" s="7">
        <v>1137</v>
      </c>
      <c r="B1140" s="37">
        <v>46054.080555555556</v>
      </c>
      <c r="C1140" s="2">
        <v>78450.259999999995</v>
      </c>
      <c r="D1140" s="43">
        <v>78502.53</v>
      </c>
      <c r="E1140" s="43">
        <v>78450.02</v>
      </c>
      <c r="F1140" s="2">
        <v>78502.52</v>
      </c>
      <c r="G1140" s="1">
        <v>131</v>
      </c>
      <c r="I1140" s="39">
        <v>46054.080555555556</v>
      </c>
      <c r="J1140" s="36">
        <v>77210.029930000004</v>
      </c>
      <c r="L1140" s="2"/>
      <c r="M1140" s="2"/>
      <c r="O1140" s="37">
        <v>46054.080555555556</v>
      </c>
      <c r="P1140" s="36">
        <v>78312.936149999994</v>
      </c>
      <c r="R1140" s="2">
        <v>79249.348360000004</v>
      </c>
      <c r="S1140" s="2">
        <v>78250.729609999995</v>
      </c>
    </row>
    <row r="1141" spans="1:19" x14ac:dyDescent="0.35">
      <c r="A1141" s="7">
        <v>1138</v>
      </c>
      <c r="B1141" s="37">
        <v>46054.081250000003</v>
      </c>
      <c r="C1141" s="2">
        <v>78502.52</v>
      </c>
      <c r="D1141" s="43">
        <v>78512</v>
      </c>
      <c r="E1141" s="43">
        <v>78441.36</v>
      </c>
      <c r="F1141" s="2">
        <v>78456.710000000006</v>
      </c>
      <c r="G1141" s="1">
        <v>158</v>
      </c>
      <c r="I1141" s="39">
        <v>46054.081250000003</v>
      </c>
      <c r="J1141" s="36">
        <v>77213.884969999999</v>
      </c>
      <c r="L1141" s="2"/>
      <c r="M1141" s="2"/>
      <c r="O1141" s="37">
        <v>46054.081250000003</v>
      </c>
      <c r="P1141" s="36">
        <v>78318.1875</v>
      </c>
      <c r="R1141" s="2">
        <v>79248.096839999998</v>
      </c>
      <c r="S1141" s="2">
        <v>78250.797070000001</v>
      </c>
    </row>
    <row r="1142" spans="1:19" x14ac:dyDescent="0.35">
      <c r="A1142" s="7">
        <v>1139</v>
      </c>
      <c r="B1142" s="37">
        <v>46054.081944444442</v>
      </c>
      <c r="C1142" s="2">
        <v>78456.7</v>
      </c>
      <c r="D1142" s="43">
        <v>78480.759999999995</v>
      </c>
      <c r="E1142" s="43">
        <v>78452.240000000005</v>
      </c>
      <c r="F1142" s="2">
        <v>78463.44</v>
      </c>
      <c r="G1142" s="1">
        <v>152</v>
      </c>
      <c r="I1142" s="39">
        <v>46054.081944444442</v>
      </c>
      <c r="J1142" s="36">
        <v>77217.740000000005</v>
      </c>
      <c r="L1142" s="2"/>
      <c r="M1142" s="2"/>
      <c r="O1142" s="37">
        <v>46054.081944444442</v>
      </c>
      <c r="P1142" s="36">
        <v>78323.438850000006</v>
      </c>
      <c r="R1142" s="2">
        <v>79246.845329999996</v>
      </c>
      <c r="S1142" s="2">
        <v>78250.864539999995</v>
      </c>
    </row>
    <row r="1143" spans="1:19" x14ac:dyDescent="0.35">
      <c r="A1143" s="7">
        <v>1140</v>
      </c>
      <c r="B1143" s="37">
        <v>46054.082638888889</v>
      </c>
      <c r="C1143" s="2">
        <v>78463.44</v>
      </c>
      <c r="D1143" s="43">
        <v>78498.42</v>
      </c>
      <c r="E1143" s="43">
        <v>78456.88</v>
      </c>
      <c r="F1143" s="2">
        <v>78484.210000000006</v>
      </c>
      <c r="G1143" s="1">
        <v>141</v>
      </c>
      <c r="I1143" s="39">
        <v>46054.082638888889</v>
      </c>
      <c r="J1143" s="36">
        <v>77221.595029999997</v>
      </c>
      <c r="L1143" s="2"/>
      <c r="M1143" s="2"/>
      <c r="O1143" s="37">
        <v>46054.082638888889</v>
      </c>
      <c r="P1143" s="36">
        <v>78328.690189999994</v>
      </c>
      <c r="R1143" s="2">
        <v>79245.593810000006</v>
      </c>
      <c r="S1143" s="2">
        <v>78250.932010000004</v>
      </c>
    </row>
    <row r="1144" spans="1:19" x14ac:dyDescent="0.35">
      <c r="A1144" s="7">
        <v>1141</v>
      </c>
      <c r="B1144" s="37">
        <v>46054.083333333336</v>
      </c>
      <c r="C1144" s="2">
        <v>78494.960000000006</v>
      </c>
      <c r="D1144" s="43">
        <v>78580.509999999995</v>
      </c>
      <c r="E1144" s="43">
        <v>78494.960000000006</v>
      </c>
      <c r="F1144" s="2">
        <v>78570.570000000007</v>
      </c>
      <c r="G1144" s="1">
        <v>217</v>
      </c>
      <c r="I1144" s="39">
        <v>46054.083333333336</v>
      </c>
      <c r="J1144" s="36">
        <v>77225.450070000006</v>
      </c>
      <c r="L1144" s="2"/>
      <c r="M1144" s="2"/>
      <c r="O1144" s="37">
        <v>46054.083333333336</v>
      </c>
      <c r="P1144" s="36">
        <v>78333.94154</v>
      </c>
      <c r="R1144" s="2">
        <v>79244.342300000004</v>
      </c>
      <c r="S1144" s="2">
        <v>78250.999469999995</v>
      </c>
    </row>
    <row r="1145" spans="1:19" x14ac:dyDescent="0.35">
      <c r="A1145" s="7">
        <v>1142</v>
      </c>
      <c r="B1145" s="37">
        <v>46054.084027777775</v>
      </c>
      <c r="C1145" s="2">
        <v>78570.61</v>
      </c>
      <c r="D1145" s="43">
        <v>78570.61</v>
      </c>
      <c r="E1145" s="43">
        <v>78393.86</v>
      </c>
      <c r="F1145" s="2">
        <v>78393.86</v>
      </c>
      <c r="G1145" s="1">
        <v>233</v>
      </c>
      <c r="I1145" s="39">
        <v>46054.084027777775</v>
      </c>
      <c r="J1145" s="36">
        <v>77229.305099999998</v>
      </c>
      <c r="L1145" s="2"/>
      <c r="M1145" s="2"/>
      <c r="O1145" s="37">
        <v>46054.084027777775</v>
      </c>
      <c r="P1145" s="36">
        <v>78339.192880000002</v>
      </c>
      <c r="R1145" s="2">
        <v>79243.090779999999</v>
      </c>
      <c r="S1145" s="2">
        <v>78251.066940000004</v>
      </c>
    </row>
    <row r="1146" spans="1:19" x14ac:dyDescent="0.35">
      <c r="A1146" s="7">
        <v>1143</v>
      </c>
      <c r="B1146" s="37">
        <v>46054.084722222222</v>
      </c>
      <c r="C1146" s="2">
        <v>78395.3</v>
      </c>
      <c r="D1146" s="43">
        <v>78439.839999999997</v>
      </c>
      <c r="E1146" s="43">
        <v>78390.25</v>
      </c>
      <c r="F1146" s="2">
        <v>78393.539999999994</v>
      </c>
      <c r="G1146" s="1">
        <v>201</v>
      </c>
      <c r="I1146" s="39">
        <v>46054.084722222222</v>
      </c>
      <c r="J1146" s="36">
        <v>77233.160140000007</v>
      </c>
      <c r="L1146" s="2"/>
      <c r="M1146" s="2"/>
      <c r="O1146" s="37">
        <v>46054.084722222222</v>
      </c>
      <c r="P1146" s="36">
        <v>78344.444229999994</v>
      </c>
      <c r="R1146" s="2">
        <v>79241.839259999993</v>
      </c>
      <c r="S1146" s="2">
        <v>78251.134409999999</v>
      </c>
    </row>
    <row r="1147" spans="1:19" x14ac:dyDescent="0.35">
      <c r="A1147" s="7">
        <v>1144</v>
      </c>
      <c r="B1147" s="37">
        <v>46054.085416666669</v>
      </c>
      <c r="C1147" s="2">
        <v>78393.600000000006</v>
      </c>
      <c r="D1147" s="43">
        <v>78393.600000000006</v>
      </c>
      <c r="E1147" s="43">
        <v>78345.61</v>
      </c>
      <c r="F1147" s="2">
        <v>78354.3</v>
      </c>
      <c r="G1147" s="1">
        <v>178</v>
      </c>
      <c r="I1147" s="39">
        <v>46054.085416666669</v>
      </c>
      <c r="J1147" s="36">
        <v>77237.015169999999</v>
      </c>
      <c r="L1147" s="2"/>
      <c r="M1147" s="2"/>
      <c r="O1147" s="37">
        <v>46054.085416666669</v>
      </c>
      <c r="P1147" s="36">
        <v>78349.69558</v>
      </c>
      <c r="R1147" s="2">
        <v>79240.587750000006</v>
      </c>
      <c r="S1147" s="2">
        <v>78251.201879999993</v>
      </c>
    </row>
    <row r="1148" spans="1:19" x14ac:dyDescent="0.35">
      <c r="A1148" s="7">
        <v>1145</v>
      </c>
      <c r="B1148" s="37">
        <v>46054.086111111108</v>
      </c>
      <c r="C1148" s="2">
        <v>78354.44</v>
      </c>
      <c r="D1148" s="43">
        <v>78364.639999999999</v>
      </c>
      <c r="E1148" s="43">
        <v>78333.62</v>
      </c>
      <c r="F1148" s="2">
        <v>78349.289999999994</v>
      </c>
      <c r="G1148" s="1">
        <v>181</v>
      </c>
      <c r="I1148" s="39">
        <v>46054.086111111108</v>
      </c>
      <c r="J1148" s="36">
        <v>77240.870209999994</v>
      </c>
      <c r="L1148" s="2"/>
      <c r="M1148" s="2"/>
      <c r="O1148" s="37">
        <v>46054.086111111108</v>
      </c>
      <c r="P1148" s="36">
        <v>78354.946920000002</v>
      </c>
      <c r="R1148" s="2">
        <v>79239.336230000001</v>
      </c>
      <c r="S1148" s="2">
        <v>78251.269339999999</v>
      </c>
    </row>
    <row r="1149" spans="1:19" x14ac:dyDescent="0.35">
      <c r="A1149" s="7">
        <v>1146</v>
      </c>
      <c r="B1149" s="37">
        <v>46054.086805555555</v>
      </c>
      <c r="C1149" s="2">
        <v>78349.36</v>
      </c>
      <c r="D1149" s="43">
        <v>78408.69</v>
      </c>
      <c r="E1149" s="43">
        <v>78349.27</v>
      </c>
      <c r="F1149" s="2">
        <v>78408.69</v>
      </c>
      <c r="G1149" s="1">
        <v>214</v>
      </c>
      <c r="I1149" s="39">
        <v>46054.086805555555</v>
      </c>
      <c r="J1149" s="36">
        <v>77244.72524</v>
      </c>
      <c r="L1149" s="2"/>
      <c r="M1149" s="2"/>
      <c r="O1149" s="37">
        <v>46054.086805555555</v>
      </c>
      <c r="P1149" s="36">
        <v>78360.198269999993</v>
      </c>
      <c r="R1149" s="2">
        <v>79238.084709999996</v>
      </c>
      <c r="S1149" s="2">
        <v>78251.336809999993</v>
      </c>
    </row>
    <row r="1150" spans="1:19" x14ac:dyDescent="0.35">
      <c r="A1150" s="7">
        <v>1147</v>
      </c>
      <c r="B1150" s="37">
        <v>46054.087500000001</v>
      </c>
      <c r="C1150" s="2">
        <v>78408.7</v>
      </c>
      <c r="D1150" s="43">
        <v>78427.539999999994</v>
      </c>
      <c r="E1150" s="43">
        <v>78364.22</v>
      </c>
      <c r="F1150" s="2">
        <v>78380.23</v>
      </c>
      <c r="G1150" s="1">
        <v>205</v>
      </c>
      <c r="I1150" s="39">
        <v>46054.087500000001</v>
      </c>
      <c r="J1150" s="36">
        <v>77248.580279999995</v>
      </c>
      <c r="L1150" s="2"/>
      <c r="M1150" s="2"/>
      <c r="O1150" s="37">
        <v>46054.087500000001</v>
      </c>
      <c r="P1150" s="36">
        <v>78365.449619999999</v>
      </c>
      <c r="R1150" s="2">
        <v>79236.833199999994</v>
      </c>
      <c r="S1150" s="2">
        <v>78251.404280000002</v>
      </c>
    </row>
    <row r="1151" spans="1:19" x14ac:dyDescent="0.35">
      <c r="A1151" s="7">
        <v>1148</v>
      </c>
      <c r="B1151" s="37">
        <v>46054.088194444441</v>
      </c>
      <c r="C1151" s="2">
        <v>78380.23</v>
      </c>
      <c r="D1151" s="43">
        <v>78387.19</v>
      </c>
      <c r="E1151" s="43">
        <v>78341.83</v>
      </c>
      <c r="F1151" s="2">
        <v>78372.160000000003</v>
      </c>
      <c r="G1151" s="1">
        <v>193</v>
      </c>
      <c r="I1151" s="39">
        <v>46054.088194444441</v>
      </c>
      <c r="J1151" s="36">
        <v>77252.435310000001</v>
      </c>
      <c r="L1151" s="2"/>
      <c r="M1151" s="2"/>
      <c r="O1151" s="37">
        <v>46054.088194444441</v>
      </c>
      <c r="P1151" s="36">
        <v>78370.700960000002</v>
      </c>
      <c r="R1151" s="2">
        <v>79235.581680000003</v>
      </c>
      <c r="S1151" s="2">
        <v>78251.471739999994</v>
      </c>
    </row>
    <row r="1152" spans="1:19" x14ac:dyDescent="0.35">
      <c r="A1152" s="7">
        <v>1149</v>
      </c>
      <c r="B1152" s="37">
        <v>46054.088888888888</v>
      </c>
      <c r="C1152" s="2">
        <v>78372.399999999994</v>
      </c>
      <c r="D1152" s="43">
        <v>78492.820000000007</v>
      </c>
      <c r="E1152" s="43">
        <v>78372.399999999994</v>
      </c>
      <c r="F1152" s="2">
        <v>78486.09</v>
      </c>
      <c r="G1152" s="1">
        <v>196</v>
      </c>
      <c r="I1152" s="39">
        <v>46054.088888888888</v>
      </c>
      <c r="J1152" s="36">
        <v>77256.290340000007</v>
      </c>
      <c r="L1152" s="2"/>
      <c r="M1152" s="2"/>
      <c r="O1152" s="37">
        <v>46054.088888888888</v>
      </c>
      <c r="P1152" s="36">
        <v>78375.952309999993</v>
      </c>
      <c r="R1152" s="2">
        <v>79234.330159999998</v>
      </c>
      <c r="S1152" s="2">
        <v>78251.539210000003</v>
      </c>
    </row>
    <row r="1153" spans="1:19" x14ac:dyDescent="0.35">
      <c r="A1153" s="7">
        <v>1150</v>
      </c>
      <c r="B1153" s="37">
        <v>46054.089583333334</v>
      </c>
      <c r="C1153" s="2">
        <v>78486.22</v>
      </c>
      <c r="D1153" s="43">
        <v>78543.19</v>
      </c>
      <c r="E1153" s="43">
        <v>78470.61</v>
      </c>
      <c r="F1153" s="2">
        <v>78543.179999999993</v>
      </c>
      <c r="G1153" s="1">
        <v>246</v>
      </c>
      <c r="I1153" s="39">
        <v>46054.089583333334</v>
      </c>
      <c r="J1153" s="36">
        <v>77260.145380000002</v>
      </c>
      <c r="L1153" s="2"/>
      <c r="M1153" s="2"/>
      <c r="O1153" s="37">
        <v>46054.089583333334</v>
      </c>
      <c r="P1153" s="36">
        <v>78381.203649999996</v>
      </c>
      <c r="R1153" s="2">
        <v>79233.078649999996</v>
      </c>
      <c r="S1153" s="2">
        <v>78251.606679999997</v>
      </c>
    </row>
    <row r="1154" spans="1:19" x14ac:dyDescent="0.35">
      <c r="A1154" s="7">
        <v>1151</v>
      </c>
      <c r="B1154" s="37">
        <v>46054.090277777781</v>
      </c>
      <c r="C1154" s="2">
        <v>78543.179999999993</v>
      </c>
      <c r="D1154" s="43">
        <v>78733.7</v>
      </c>
      <c r="E1154" s="43">
        <v>78543.179999999993</v>
      </c>
      <c r="F1154" s="2">
        <v>78651.429999999993</v>
      </c>
      <c r="G1154" s="1">
        <v>268</v>
      </c>
      <c r="I1154" s="39">
        <v>46054.090277777781</v>
      </c>
      <c r="J1154" s="36">
        <v>77264.000409999993</v>
      </c>
      <c r="L1154" s="2"/>
      <c r="M1154" s="2"/>
      <c r="O1154" s="37">
        <v>46054.090277777781</v>
      </c>
      <c r="P1154" s="36">
        <v>78386.455000000002</v>
      </c>
      <c r="R1154" s="2">
        <v>79231.827130000005</v>
      </c>
      <c r="S1154" s="2">
        <v>78251.674140000003</v>
      </c>
    </row>
    <row r="1155" spans="1:19" x14ac:dyDescent="0.35">
      <c r="A1155" s="7">
        <v>1152</v>
      </c>
      <c r="B1155" s="37">
        <v>46054.09097222222</v>
      </c>
      <c r="C1155" s="2">
        <v>78652.490000000005</v>
      </c>
      <c r="D1155" s="43">
        <v>78709.61</v>
      </c>
      <c r="E1155" s="43">
        <v>78649.98</v>
      </c>
      <c r="F1155" s="2">
        <v>78679.399999999994</v>
      </c>
      <c r="G1155" s="1">
        <v>183</v>
      </c>
      <c r="I1155" s="39">
        <v>46054.09097222222</v>
      </c>
      <c r="J1155" s="36">
        <v>77267.855450000003</v>
      </c>
      <c r="L1155" s="2"/>
      <c r="M1155" s="2"/>
      <c r="O1155" s="37">
        <v>46054.09097222222</v>
      </c>
      <c r="P1155" s="36">
        <v>78391.706349999993</v>
      </c>
      <c r="R1155" s="2">
        <v>79230.57561</v>
      </c>
      <c r="S1155" s="2">
        <v>78251.741609999997</v>
      </c>
    </row>
    <row r="1156" spans="1:19" x14ac:dyDescent="0.35">
      <c r="A1156" s="7">
        <v>1153</v>
      </c>
      <c r="B1156" s="37">
        <v>46054.091666666667</v>
      </c>
      <c r="C1156" s="2">
        <v>78679.399999999994</v>
      </c>
      <c r="D1156" s="43">
        <v>78723.62</v>
      </c>
      <c r="E1156" s="43">
        <v>78677.45</v>
      </c>
      <c r="F1156" s="2">
        <v>78723.62</v>
      </c>
      <c r="G1156" s="1">
        <v>218</v>
      </c>
      <c r="I1156" s="39">
        <v>46054.091666666667</v>
      </c>
      <c r="J1156" s="36">
        <v>77271.710479999994</v>
      </c>
      <c r="L1156" s="2"/>
      <c r="M1156" s="2"/>
      <c r="O1156" s="37">
        <v>46054.091666666667</v>
      </c>
      <c r="P1156" s="36">
        <v>78396.957689999996</v>
      </c>
      <c r="R1156" s="2">
        <v>79229.324099999998</v>
      </c>
      <c r="S1156" s="2">
        <v>78251.809080000006</v>
      </c>
    </row>
    <row r="1157" spans="1:19" x14ac:dyDescent="0.35">
      <c r="A1157" s="7">
        <v>1154</v>
      </c>
      <c r="B1157" s="37">
        <v>46054.092361111114</v>
      </c>
      <c r="C1157" s="2">
        <v>78723.7</v>
      </c>
      <c r="D1157" s="43">
        <v>78748.33</v>
      </c>
      <c r="E1157" s="43">
        <v>78697.37</v>
      </c>
      <c r="F1157" s="2">
        <v>78716.240000000005</v>
      </c>
      <c r="G1157" s="1">
        <v>223</v>
      </c>
      <c r="I1157" s="39">
        <v>46054.092361111114</v>
      </c>
      <c r="J1157" s="36">
        <v>77275.565520000004</v>
      </c>
      <c r="L1157" s="2"/>
      <c r="M1157" s="2"/>
      <c r="O1157" s="37">
        <v>46054.092361111114</v>
      </c>
      <c r="P1157" s="36">
        <v>78402.209040000002</v>
      </c>
      <c r="R1157" s="2">
        <v>79228.072579999993</v>
      </c>
      <c r="S1157" s="2">
        <v>78251.876550000001</v>
      </c>
    </row>
    <row r="1158" spans="1:19" x14ac:dyDescent="0.35">
      <c r="A1158" s="7">
        <v>1155</v>
      </c>
      <c r="B1158" s="37">
        <v>46054.093055555553</v>
      </c>
      <c r="C1158" s="2">
        <v>78716.19</v>
      </c>
      <c r="D1158" s="43">
        <v>78815.5</v>
      </c>
      <c r="E1158" s="43">
        <v>78715.960000000006</v>
      </c>
      <c r="F1158" s="2">
        <v>78776.92</v>
      </c>
      <c r="G1158" s="1">
        <v>219</v>
      </c>
      <c r="I1158" s="39">
        <v>46054.093055555553</v>
      </c>
      <c r="J1158" s="36">
        <v>77279.420549999995</v>
      </c>
      <c r="L1158" s="2"/>
      <c r="M1158" s="2"/>
      <c r="O1158" s="37">
        <v>46054.093055555553</v>
      </c>
      <c r="P1158" s="36">
        <v>78407.460380000004</v>
      </c>
      <c r="R1158" s="2">
        <v>79226.821070000005</v>
      </c>
      <c r="S1158" s="2">
        <v>78251.944010000007</v>
      </c>
    </row>
    <row r="1159" spans="1:19" x14ac:dyDescent="0.35">
      <c r="A1159" s="7">
        <v>1156</v>
      </c>
      <c r="B1159" s="37">
        <v>46054.09375</v>
      </c>
      <c r="C1159" s="2">
        <v>78778.179999999993</v>
      </c>
      <c r="D1159" s="43">
        <v>78833.710000000006</v>
      </c>
      <c r="E1159" s="43">
        <v>78761.23</v>
      </c>
      <c r="F1159" s="2">
        <v>78808.61</v>
      </c>
      <c r="G1159" s="1">
        <v>160</v>
      </c>
      <c r="I1159" s="39">
        <v>46054.09375</v>
      </c>
      <c r="J1159" s="36">
        <v>77283.275590000005</v>
      </c>
      <c r="L1159" s="2"/>
      <c r="M1159" s="2"/>
      <c r="O1159" s="37">
        <v>46054.09375</v>
      </c>
      <c r="P1159" s="36">
        <v>78412.711729999995</v>
      </c>
      <c r="R1159" s="2">
        <v>79225.56955</v>
      </c>
      <c r="S1159" s="2">
        <v>78252.011480000001</v>
      </c>
    </row>
    <row r="1160" spans="1:19" x14ac:dyDescent="0.35">
      <c r="A1160" s="7">
        <v>1157</v>
      </c>
      <c r="B1160" s="37">
        <v>46054.094444444447</v>
      </c>
      <c r="C1160" s="2">
        <v>78800.47</v>
      </c>
      <c r="D1160" s="43">
        <v>78860.23</v>
      </c>
      <c r="E1160" s="43">
        <v>78778.28</v>
      </c>
      <c r="F1160" s="2">
        <v>78806.820000000007</v>
      </c>
      <c r="G1160" s="1">
        <v>265</v>
      </c>
      <c r="I1160" s="39">
        <v>46054.094444444447</v>
      </c>
      <c r="J1160" s="36">
        <v>77287.130619999996</v>
      </c>
      <c r="L1160" s="2"/>
      <c r="M1160" s="2"/>
      <c r="O1160" s="37">
        <v>46054.094444444447</v>
      </c>
      <c r="P1160" s="36">
        <v>78417.963080000001</v>
      </c>
      <c r="R1160" s="2">
        <v>79224.318029999995</v>
      </c>
      <c r="S1160" s="2">
        <v>78252.078949999996</v>
      </c>
    </row>
    <row r="1161" spans="1:19" x14ac:dyDescent="0.35">
      <c r="A1161" s="7">
        <v>1158</v>
      </c>
      <c r="B1161" s="37">
        <v>46054.095138888886</v>
      </c>
      <c r="C1161" s="2">
        <v>78806.81</v>
      </c>
      <c r="D1161" s="43">
        <v>78806.81</v>
      </c>
      <c r="E1161" s="43">
        <v>78747.59</v>
      </c>
      <c r="F1161" s="2">
        <v>78749.58</v>
      </c>
      <c r="G1161" s="1">
        <v>220</v>
      </c>
      <c r="I1161" s="39">
        <v>46054.095138888886</v>
      </c>
      <c r="J1161" s="36">
        <v>77290.985660000006</v>
      </c>
      <c r="L1161" s="2"/>
      <c r="M1161" s="2"/>
      <c r="O1161" s="37">
        <v>46054.095138888886</v>
      </c>
      <c r="P1161" s="36">
        <v>78423.214420000004</v>
      </c>
      <c r="R1161" s="2">
        <v>79223.066519999993</v>
      </c>
      <c r="S1161" s="2">
        <v>78252.146410000001</v>
      </c>
    </row>
    <row r="1162" spans="1:19" x14ac:dyDescent="0.35">
      <c r="A1162" s="7">
        <v>1159</v>
      </c>
      <c r="B1162" s="37">
        <v>46054.095833333333</v>
      </c>
      <c r="C1162" s="2">
        <v>78750.52</v>
      </c>
      <c r="D1162" s="43">
        <v>78789.64</v>
      </c>
      <c r="E1162" s="43">
        <v>78732.160000000003</v>
      </c>
      <c r="F1162" s="2">
        <v>78779.570000000007</v>
      </c>
      <c r="G1162" s="1">
        <v>236</v>
      </c>
      <c r="I1162" s="39">
        <v>46054.095833333333</v>
      </c>
      <c r="J1162" s="36">
        <v>77294.840689999997</v>
      </c>
      <c r="L1162" s="2"/>
      <c r="M1162" s="2"/>
      <c r="O1162" s="37">
        <v>46054.095833333333</v>
      </c>
      <c r="P1162" s="36">
        <v>78428.465769999995</v>
      </c>
      <c r="R1162" s="2">
        <v>79221.815000000002</v>
      </c>
      <c r="S1162" s="2">
        <v>78252.213879999996</v>
      </c>
    </row>
    <row r="1163" spans="1:19" x14ac:dyDescent="0.35">
      <c r="A1163" s="7">
        <v>1160</v>
      </c>
      <c r="B1163" s="37">
        <v>46054.09652777778</v>
      </c>
      <c r="C1163" s="2">
        <v>78779.66</v>
      </c>
      <c r="D1163" s="43">
        <v>78810.42</v>
      </c>
      <c r="E1163" s="43">
        <v>78734.63</v>
      </c>
      <c r="F1163" s="2">
        <v>78743.19</v>
      </c>
      <c r="G1163" s="1">
        <v>218</v>
      </c>
      <c r="I1163" s="39">
        <v>46054.09652777778</v>
      </c>
      <c r="J1163" s="36">
        <v>77298.695720000003</v>
      </c>
      <c r="L1163" s="2"/>
      <c r="M1163" s="2"/>
      <c r="O1163" s="37">
        <v>46054.09652777778</v>
      </c>
      <c r="P1163" s="36">
        <v>78433.717120000001</v>
      </c>
      <c r="R1163" s="2">
        <v>79220.563479999997</v>
      </c>
      <c r="S1163" s="2">
        <v>78252.281350000005</v>
      </c>
    </row>
    <row r="1164" spans="1:19" x14ac:dyDescent="0.35">
      <c r="A1164" s="7">
        <v>1161</v>
      </c>
      <c r="B1164" s="37">
        <v>46054.097222222219</v>
      </c>
      <c r="C1164" s="2">
        <v>78745.2</v>
      </c>
      <c r="D1164" s="43">
        <v>78753.820000000007</v>
      </c>
      <c r="E1164" s="43">
        <v>78597.81</v>
      </c>
      <c r="F1164" s="2">
        <v>78624.56</v>
      </c>
      <c r="G1164" s="1">
        <v>255</v>
      </c>
      <c r="I1164" s="39">
        <v>46054.097222222219</v>
      </c>
      <c r="J1164" s="36">
        <v>77302.550759999998</v>
      </c>
      <c r="L1164" s="2"/>
      <c r="M1164" s="2"/>
      <c r="O1164" s="37">
        <v>46054.097222222219</v>
      </c>
      <c r="P1164" s="36">
        <v>78438.968460000004</v>
      </c>
      <c r="R1164" s="2">
        <v>79219.311969999995</v>
      </c>
      <c r="S1164" s="2">
        <v>78252.348819999999</v>
      </c>
    </row>
    <row r="1165" spans="1:19" x14ac:dyDescent="0.35">
      <c r="A1165" s="7">
        <v>1162</v>
      </c>
      <c r="B1165" s="37">
        <v>46054.097916666666</v>
      </c>
      <c r="C1165" s="2">
        <v>78617.259999999995</v>
      </c>
      <c r="D1165" s="43">
        <v>78619.23</v>
      </c>
      <c r="E1165" s="43">
        <v>78488.7</v>
      </c>
      <c r="F1165" s="2">
        <v>78502.53</v>
      </c>
      <c r="G1165" s="1">
        <v>247</v>
      </c>
      <c r="I1165" s="39">
        <v>46054.097916666666</v>
      </c>
      <c r="J1165" s="36">
        <v>77306.405790000004</v>
      </c>
      <c r="L1165" s="2"/>
      <c r="M1165" s="2"/>
      <c r="O1165" s="37">
        <v>46054.097916666666</v>
      </c>
      <c r="P1165" s="36">
        <v>78444.219809999995</v>
      </c>
      <c r="R1165" s="2">
        <v>79218.060450000004</v>
      </c>
      <c r="S1165" s="2">
        <v>78252.416280000005</v>
      </c>
    </row>
    <row r="1166" spans="1:19" x14ac:dyDescent="0.35">
      <c r="A1166" s="7">
        <v>1163</v>
      </c>
      <c r="B1166" s="37">
        <v>46054.098611111112</v>
      </c>
      <c r="C1166" s="2">
        <v>78505.66</v>
      </c>
      <c r="D1166" s="43">
        <v>78555.34</v>
      </c>
      <c r="E1166" s="43">
        <v>78479.56</v>
      </c>
      <c r="F1166" s="2">
        <v>78491.34</v>
      </c>
      <c r="G1166" s="1">
        <v>249</v>
      </c>
      <c r="I1166" s="39">
        <v>46054.098611111112</v>
      </c>
      <c r="J1166" s="36">
        <v>77310.260829999999</v>
      </c>
      <c r="L1166" s="2"/>
      <c r="M1166" s="2"/>
      <c r="O1166" s="37">
        <v>46054.098611111112</v>
      </c>
      <c r="P1166" s="36">
        <v>78449.471149999998</v>
      </c>
      <c r="R1166" s="2">
        <v>79216.808929999999</v>
      </c>
      <c r="S1166" s="2">
        <v>78252.483749999999</v>
      </c>
    </row>
    <row r="1167" spans="1:19" x14ac:dyDescent="0.35">
      <c r="A1167" s="7">
        <v>1164</v>
      </c>
      <c r="B1167" s="37">
        <v>46054.099305555559</v>
      </c>
      <c r="C1167" s="2">
        <v>78490.86</v>
      </c>
      <c r="D1167" s="43">
        <v>78507.740000000005</v>
      </c>
      <c r="E1167" s="43">
        <v>78464.789999999994</v>
      </c>
      <c r="F1167" s="2">
        <v>78494.649999999994</v>
      </c>
      <c r="G1167" s="1">
        <v>213</v>
      </c>
      <c r="I1167" s="39">
        <v>46054.099305555559</v>
      </c>
      <c r="J1167" s="36">
        <v>77314.115860000005</v>
      </c>
      <c r="L1167" s="2"/>
      <c r="M1167" s="2"/>
      <c r="O1167" s="37">
        <v>46054.099305555559</v>
      </c>
      <c r="P1167" s="36">
        <v>78454.722500000003</v>
      </c>
      <c r="R1167" s="2">
        <v>79215.557419999997</v>
      </c>
      <c r="S1167" s="2">
        <v>78252.551219999994</v>
      </c>
    </row>
    <row r="1168" spans="1:19" x14ac:dyDescent="0.35">
      <c r="A1168" s="7">
        <v>1165</v>
      </c>
      <c r="B1168" s="37">
        <v>46054.1</v>
      </c>
      <c r="C1168" s="2">
        <v>78495.009999999995</v>
      </c>
      <c r="D1168" s="43">
        <v>78545.42</v>
      </c>
      <c r="E1168" s="43">
        <v>78494.98</v>
      </c>
      <c r="F1168" s="2">
        <v>78529.17</v>
      </c>
      <c r="G1168" s="1">
        <v>201</v>
      </c>
      <c r="I1168" s="39">
        <v>46054.1</v>
      </c>
      <c r="J1168" s="36">
        <v>77317.9709</v>
      </c>
      <c r="L1168" s="2"/>
      <c r="M1168" s="2"/>
      <c r="O1168" s="37">
        <v>46054.1</v>
      </c>
      <c r="P1168" s="36">
        <v>78459.973849999995</v>
      </c>
      <c r="R1168" s="2">
        <v>79214.305900000007</v>
      </c>
      <c r="S1168" s="2">
        <v>78252.61868</v>
      </c>
    </row>
    <row r="1169" spans="1:19" x14ac:dyDescent="0.35">
      <c r="A1169" s="7">
        <v>1166</v>
      </c>
      <c r="B1169" s="37">
        <v>46054.100694444445</v>
      </c>
      <c r="C1169" s="2">
        <v>78529.16</v>
      </c>
      <c r="D1169" s="43">
        <v>78582.710000000006</v>
      </c>
      <c r="E1169" s="43">
        <v>78529.16</v>
      </c>
      <c r="F1169" s="2">
        <v>78540.63</v>
      </c>
      <c r="G1169" s="1">
        <v>185</v>
      </c>
      <c r="I1169" s="39">
        <v>46054.100694444445</v>
      </c>
      <c r="J1169" s="36">
        <v>77321.825930000006</v>
      </c>
      <c r="L1169" s="2"/>
      <c r="M1169" s="2"/>
      <c r="O1169" s="37">
        <v>46054.100694444445</v>
      </c>
      <c r="P1169" s="36">
        <v>78465.225189999997</v>
      </c>
      <c r="R1169" s="2">
        <v>79213.054390000005</v>
      </c>
      <c r="S1169" s="2">
        <v>78252.686149999994</v>
      </c>
    </row>
    <row r="1170" spans="1:19" x14ac:dyDescent="0.35">
      <c r="A1170" s="7">
        <v>1167</v>
      </c>
      <c r="B1170" s="37">
        <v>46054.101388888892</v>
      </c>
      <c r="C1170" s="2">
        <v>78540.63</v>
      </c>
      <c r="D1170" s="43">
        <v>78570.69</v>
      </c>
      <c r="E1170" s="43">
        <v>78503.360000000001</v>
      </c>
      <c r="F1170" s="2">
        <v>78503.990000000005</v>
      </c>
      <c r="G1170" s="1">
        <v>196</v>
      </c>
      <c r="I1170" s="39">
        <v>46054.101388888892</v>
      </c>
      <c r="J1170" s="36">
        <v>77325.680970000001</v>
      </c>
      <c r="L1170" s="2"/>
      <c r="M1170" s="2"/>
      <c r="O1170" s="37">
        <v>46054.101388888892</v>
      </c>
      <c r="P1170" s="36">
        <v>78470.476540000003</v>
      </c>
      <c r="R1170" s="2">
        <v>79211.80287</v>
      </c>
      <c r="S1170" s="2">
        <v>78252.753620000003</v>
      </c>
    </row>
    <row r="1171" spans="1:19" x14ac:dyDescent="0.35">
      <c r="A1171" s="7">
        <v>1168</v>
      </c>
      <c r="B1171" s="37">
        <v>46054.102083333331</v>
      </c>
      <c r="C1171" s="2">
        <v>78510.899999999994</v>
      </c>
      <c r="D1171" s="43">
        <v>78538.75</v>
      </c>
      <c r="E1171" s="43">
        <v>78489.19</v>
      </c>
      <c r="F1171" s="2">
        <v>78518.33</v>
      </c>
      <c r="G1171" s="1">
        <v>189</v>
      </c>
      <c r="I1171" s="39">
        <v>46054.102083333331</v>
      </c>
      <c r="J1171" s="36">
        <v>77329.535999999993</v>
      </c>
      <c r="L1171" s="2"/>
      <c r="M1171" s="2"/>
      <c r="O1171" s="37">
        <v>46054.102083333331</v>
      </c>
      <c r="P1171" s="36">
        <v>78475.727880000006</v>
      </c>
      <c r="R1171" s="2">
        <v>79210.551349999994</v>
      </c>
      <c r="S1171" s="2">
        <v>78252.821089999998</v>
      </c>
    </row>
    <row r="1172" spans="1:19" x14ac:dyDescent="0.35">
      <c r="A1172" s="7">
        <v>1169</v>
      </c>
      <c r="B1172" s="37">
        <v>46054.102777777778</v>
      </c>
      <c r="C1172" s="2">
        <v>78515.429999999993</v>
      </c>
      <c r="D1172" s="43">
        <v>78574.33</v>
      </c>
      <c r="E1172" s="43">
        <v>78515.429999999993</v>
      </c>
      <c r="F1172" s="2">
        <v>78558.25</v>
      </c>
      <c r="G1172" s="1">
        <v>183</v>
      </c>
      <c r="I1172" s="39">
        <v>46054.102777777778</v>
      </c>
      <c r="J1172" s="36">
        <v>77333.391029999999</v>
      </c>
      <c r="L1172" s="2"/>
      <c r="M1172" s="2"/>
      <c r="O1172" s="37">
        <v>46054.102777777778</v>
      </c>
      <c r="P1172" s="36">
        <v>78480.979229999997</v>
      </c>
      <c r="R1172" s="2">
        <v>79209.299840000007</v>
      </c>
      <c r="S1172" s="2">
        <v>78252.888550000003</v>
      </c>
    </row>
    <row r="1173" spans="1:19" x14ac:dyDescent="0.35">
      <c r="A1173" s="7">
        <v>1170</v>
      </c>
      <c r="B1173" s="37">
        <v>46054.103472222225</v>
      </c>
      <c r="C1173" s="2">
        <v>78558.509999999995</v>
      </c>
      <c r="D1173" s="43">
        <v>78586.44</v>
      </c>
      <c r="E1173" s="43">
        <v>78536.679999999993</v>
      </c>
      <c r="F1173" s="2">
        <v>78586.44</v>
      </c>
      <c r="G1173" s="1">
        <v>169</v>
      </c>
      <c r="I1173" s="39">
        <v>46054.103472222225</v>
      </c>
      <c r="J1173" s="36">
        <v>77337.246069999994</v>
      </c>
      <c r="L1173" s="2"/>
      <c r="M1173" s="2"/>
      <c r="O1173" s="37">
        <v>46054.103472222225</v>
      </c>
      <c r="P1173" s="36">
        <v>78486.230580000003</v>
      </c>
      <c r="R1173" s="2">
        <v>79208.048320000002</v>
      </c>
      <c r="S1173" s="2">
        <v>78252.956019999998</v>
      </c>
    </row>
    <row r="1174" spans="1:19" x14ac:dyDescent="0.35">
      <c r="A1174" s="7">
        <v>1171</v>
      </c>
      <c r="B1174" s="37">
        <v>46054.104166666664</v>
      </c>
      <c r="C1174" s="2">
        <v>78586.44</v>
      </c>
      <c r="D1174" s="43">
        <v>78621.41</v>
      </c>
      <c r="E1174" s="43">
        <v>78574.899999999994</v>
      </c>
      <c r="F1174" s="2">
        <v>78586.14</v>
      </c>
      <c r="G1174" s="1">
        <v>230</v>
      </c>
      <c r="I1174" s="39">
        <v>46054.104166666664</v>
      </c>
      <c r="J1174" s="36">
        <v>77341.1011</v>
      </c>
      <c r="L1174" s="2"/>
      <c r="M1174" s="2"/>
      <c r="O1174" s="37">
        <v>46054.104166666664</v>
      </c>
      <c r="P1174" s="36">
        <v>78491.481920000006</v>
      </c>
      <c r="R1174" s="2">
        <v>79206.796799999996</v>
      </c>
      <c r="S1174" s="2">
        <v>78253.023490000007</v>
      </c>
    </row>
    <row r="1175" spans="1:19" x14ac:dyDescent="0.35">
      <c r="A1175" s="7">
        <v>1172</v>
      </c>
      <c r="B1175" s="37">
        <v>46054.104861111111</v>
      </c>
      <c r="C1175" s="2">
        <v>78589.100000000006</v>
      </c>
      <c r="D1175" s="43">
        <v>78658.91</v>
      </c>
      <c r="E1175" s="43">
        <v>78579.7</v>
      </c>
      <c r="F1175" s="2">
        <v>78658.91</v>
      </c>
      <c r="G1175" s="1">
        <v>191</v>
      </c>
      <c r="I1175" s="39">
        <v>46054.104861111111</v>
      </c>
      <c r="J1175" s="36">
        <v>77344.956139999995</v>
      </c>
      <c r="L1175" s="2"/>
      <c r="M1175" s="2"/>
      <c r="O1175" s="37">
        <v>46054.104861111111</v>
      </c>
      <c r="P1175" s="36">
        <v>78496.733269999997</v>
      </c>
      <c r="R1175" s="2">
        <v>79205.545289999995</v>
      </c>
      <c r="S1175" s="2">
        <v>78253.090949999998</v>
      </c>
    </row>
    <row r="1176" spans="1:19" x14ac:dyDescent="0.35">
      <c r="A1176" s="7">
        <v>1173</v>
      </c>
      <c r="B1176" s="37">
        <v>46054.105555555558</v>
      </c>
      <c r="C1176" s="2">
        <v>78658.91</v>
      </c>
      <c r="D1176" s="43">
        <v>78692.94</v>
      </c>
      <c r="E1176" s="43">
        <v>78651.89</v>
      </c>
      <c r="F1176" s="2">
        <v>78667.16</v>
      </c>
      <c r="G1176" s="1">
        <v>188</v>
      </c>
      <c r="I1176" s="39">
        <v>46054.105555555558</v>
      </c>
      <c r="J1176" s="36">
        <v>77348.811170000001</v>
      </c>
      <c r="L1176" s="2"/>
      <c r="M1176" s="2"/>
      <c r="O1176" s="37">
        <v>46054.105555555558</v>
      </c>
      <c r="P1176" s="36">
        <v>78501.984620000003</v>
      </c>
      <c r="R1176" s="2">
        <v>79204.293770000004</v>
      </c>
      <c r="S1176" s="2">
        <v>78253.158420000007</v>
      </c>
    </row>
    <row r="1177" spans="1:19" x14ac:dyDescent="0.35">
      <c r="A1177" s="7">
        <v>1174</v>
      </c>
      <c r="B1177" s="37">
        <v>46054.106249999997</v>
      </c>
      <c r="C1177" s="2">
        <v>78667.45</v>
      </c>
      <c r="D1177" s="43">
        <v>78683.990000000005</v>
      </c>
      <c r="E1177" s="43">
        <v>78570.45</v>
      </c>
      <c r="F1177" s="2">
        <v>78571.360000000001</v>
      </c>
      <c r="G1177" s="1">
        <v>223</v>
      </c>
      <c r="I1177" s="39">
        <v>46054.106249999997</v>
      </c>
      <c r="J1177" s="36">
        <v>77352.666209999996</v>
      </c>
      <c r="L1177" s="2"/>
      <c r="M1177" s="2"/>
      <c r="O1177" s="37">
        <v>46054.106249999997</v>
      </c>
      <c r="P1177" s="36">
        <v>78507.235960000005</v>
      </c>
      <c r="R1177" s="2">
        <v>79203.042249999999</v>
      </c>
      <c r="S1177" s="2">
        <v>78253.225890000002</v>
      </c>
    </row>
    <row r="1178" spans="1:19" x14ac:dyDescent="0.35">
      <c r="A1178" s="7">
        <v>1175</v>
      </c>
      <c r="B1178" s="37">
        <v>46054.106944444444</v>
      </c>
      <c r="C1178" s="2">
        <v>78571.399999999994</v>
      </c>
      <c r="D1178" s="43">
        <v>78673.899999999994</v>
      </c>
      <c r="E1178" s="43">
        <v>78561.429999999993</v>
      </c>
      <c r="F1178" s="2">
        <v>78667</v>
      </c>
      <c r="G1178" s="1">
        <v>204</v>
      </c>
      <c r="I1178" s="39">
        <v>46054.106944444444</v>
      </c>
      <c r="J1178" s="36">
        <v>77356.521240000002</v>
      </c>
      <c r="L1178" s="2"/>
      <c r="M1178" s="2"/>
      <c r="O1178" s="37">
        <v>46054.106944444444</v>
      </c>
      <c r="P1178" s="36">
        <v>78512.487309999997</v>
      </c>
      <c r="R1178" s="2">
        <v>79201.790739999997</v>
      </c>
      <c r="S1178" s="2">
        <v>78253.293359999996</v>
      </c>
    </row>
    <row r="1179" spans="1:19" x14ac:dyDescent="0.35">
      <c r="A1179" s="7">
        <v>1176</v>
      </c>
      <c r="B1179" s="37">
        <v>46054.107638888891</v>
      </c>
      <c r="C1179" s="2">
        <v>78667</v>
      </c>
      <c r="D1179" s="43">
        <v>78717.960000000006</v>
      </c>
      <c r="E1179" s="43">
        <v>78667</v>
      </c>
      <c r="F1179" s="2">
        <v>78705.83</v>
      </c>
      <c r="G1179" s="1">
        <v>209</v>
      </c>
      <c r="I1179" s="39">
        <v>46054.107638888891</v>
      </c>
      <c r="J1179" s="36">
        <v>77360.376279999997</v>
      </c>
      <c r="L1179" s="2"/>
      <c r="M1179" s="2"/>
      <c r="O1179" s="37">
        <v>46054.107638888891</v>
      </c>
      <c r="P1179" s="36">
        <v>78517.738649999999</v>
      </c>
      <c r="R1179" s="2">
        <v>79200.539220000006</v>
      </c>
      <c r="S1179" s="2">
        <v>78253.360820000002</v>
      </c>
    </row>
    <row r="1180" spans="1:19" x14ac:dyDescent="0.35">
      <c r="A1180" s="7">
        <v>1177</v>
      </c>
      <c r="B1180" s="37">
        <v>46054.10833333333</v>
      </c>
      <c r="C1180" s="2">
        <v>78705.86</v>
      </c>
      <c r="D1180" s="43">
        <v>78742.149999999994</v>
      </c>
      <c r="E1180" s="43">
        <v>78643.100000000006</v>
      </c>
      <c r="F1180" s="2">
        <v>78663.91</v>
      </c>
      <c r="G1180" s="1">
        <v>244</v>
      </c>
      <c r="I1180" s="39">
        <v>46054.10833333333</v>
      </c>
      <c r="J1180" s="36">
        <v>77364.231310000003</v>
      </c>
      <c r="L1180" s="2"/>
      <c r="M1180" s="2"/>
      <c r="O1180" s="37">
        <v>46054.10833333333</v>
      </c>
      <c r="P1180" s="36">
        <v>78522.990000000005</v>
      </c>
      <c r="R1180" s="2">
        <v>79199.287700000001</v>
      </c>
      <c r="S1180" s="2">
        <v>78253.428289999996</v>
      </c>
    </row>
    <row r="1181" spans="1:19" x14ac:dyDescent="0.35">
      <c r="A1181" s="7">
        <v>1178</v>
      </c>
      <c r="B1181" s="37">
        <v>46054.109027777777</v>
      </c>
      <c r="C1181" s="2">
        <v>78670.23</v>
      </c>
      <c r="D1181" s="43">
        <v>78751.95</v>
      </c>
      <c r="E1181" s="43">
        <v>78670.23</v>
      </c>
      <c r="F1181" s="2">
        <v>78751.95</v>
      </c>
      <c r="G1181" s="1">
        <v>219</v>
      </c>
      <c r="I1181" s="39">
        <v>46054.109027777777</v>
      </c>
      <c r="J1181" s="36">
        <v>77368.086339999994</v>
      </c>
      <c r="L1181" s="2"/>
      <c r="M1181" s="2"/>
      <c r="O1181" s="37">
        <v>46054.109027777777</v>
      </c>
      <c r="P1181" s="36">
        <v>78528.241349999997</v>
      </c>
      <c r="R1181" s="2">
        <v>79198.036189999999</v>
      </c>
      <c r="S1181" s="2">
        <v>78253.495760000005</v>
      </c>
    </row>
    <row r="1182" spans="1:19" x14ac:dyDescent="0.35">
      <c r="A1182" s="7">
        <v>1179</v>
      </c>
      <c r="B1182" s="37">
        <v>46054.109722222223</v>
      </c>
      <c r="C1182" s="2">
        <v>78752</v>
      </c>
      <c r="D1182" s="43">
        <v>78752.740000000005</v>
      </c>
      <c r="E1182" s="43">
        <v>78690.5</v>
      </c>
      <c r="F1182" s="2">
        <v>78702.320000000007</v>
      </c>
      <c r="G1182" s="1">
        <v>206</v>
      </c>
      <c r="I1182" s="39">
        <v>46054.109722222223</v>
      </c>
      <c r="J1182" s="36">
        <v>77371.941380000004</v>
      </c>
      <c r="L1182" s="2"/>
      <c r="M1182" s="2"/>
      <c r="O1182" s="37">
        <v>46054.109722222223</v>
      </c>
      <c r="P1182" s="36">
        <v>78533.492689999999</v>
      </c>
      <c r="R1182" s="2">
        <v>79196.784669999994</v>
      </c>
      <c r="S1182" s="2">
        <v>78253.563219999996</v>
      </c>
    </row>
    <row r="1183" spans="1:19" x14ac:dyDescent="0.35">
      <c r="A1183" s="7">
        <v>1180</v>
      </c>
      <c r="B1183" s="37">
        <v>46054.11041666667</v>
      </c>
      <c r="C1183" s="2">
        <v>78708.09</v>
      </c>
      <c r="D1183" s="43">
        <v>78767.539999999994</v>
      </c>
      <c r="E1183" s="43">
        <v>78696.2</v>
      </c>
      <c r="F1183" s="2">
        <v>78729.23</v>
      </c>
      <c r="G1183" s="1">
        <v>234</v>
      </c>
      <c r="I1183" s="39">
        <v>46054.11041666667</v>
      </c>
      <c r="J1183" s="36">
        <v>77375.796409999995</v>
      </c>
      <c r="L1183" s="2"/>
      <c r="M1183" s="2"/>
      <c r="O1183" s="37">
        <v>46054.11041666667</v>
      </c>
      <c r="P1183" s="36">
        <v>78538.744040000005</v>
      </c>
      <c r="R1183" s="2">
        <v>79195.533160000006</v>
      </c>
      <c r="S1183" s="2">
        <v>78253.630690000005</v>
      </c>
    </row>
    <row r="1184" spans="1:19" x14ac:dyDescent="0.35">
      <c r="A1184" s="7">
        <v>1181</v>
      </c>
      <c r="B1184" s="37">
        <v>46054.111111111109</v>
      </c>
      <c r="C1184" s="2">
        <v>78729.23</v>
      </c>
      <c r="D1184" s="43">
        <v>78754.720000000001</v>
      </c>
      <c r="E1184" s="43">
        <v>78695.25</v>
      </c>
      <c r="F1184" s="2">
        <v>78717.19</v>
      </c>
      <c r="G1184" s="1">
        <v>195</v>
      </c>
      <c r="I1184" s="39">
        <v>46054.111111111109</v>
      </c>
      <c r="J1184" s="36">
        <v>77379.651450000005</v>
      </c>
      <c r="L1184" s="2"/>
      <c r="M1184" s="2"/>
      <c r="O1184" s="37">
        <v>46054.111111111109</v>
      </c>
      <c r="P1184" s="36">
        <v>78543.995379999993</v>
      </c>
      <c r="R1184" s="2">
        <v>79194.281640000001</v>
      </c>
      <c r="S1184" s="2">
        <v>78253.69816</v>
      </c>
    </row>
    <row r="1185" spans="1:19" x14ac:dyDescent="0.35">
      <c r="A1185" s="7">
        <v>1182</v>
      </c>
      <c r="B1185" s="37">
        <v>46054.111805555556</v>
      </c>
      <c r="C1185" s="2">
        <v>78717.22</v>
      </c>
      <c r="D1185" s="43">
        <v>78736.759999999995</v>
      </c>
      <c r="E1185" s="43">
        <v>78688.11</v>
      </c>
      <c r="F1185" s="2">
        <v>78736.08</v>
      </c>
      <c r="G1185" s="1">
        <v>197</v>
      </c>
      <c r="I1185" s="39">
        <v>46054.111805555556</v>
      </c>
      <c r="J1185" s="36">
        <v>77383.506479999996</v>
      </c>
      <c r="L1185" s="2"/>
      <c r="M1185" s="2"/>
      <c r="O1185" s="37">
        <v>46054.111805555556</v>
      </c>
      <c r="P1185" s="36">
        <v>78549.246729999999</v>
      </c>
      <c r="R1185" s="2">
        <v>79193.030119999996</v>
      </c>
      <c r="S1185" s="2">
        <v>78253.765629999994</v>
      </c>
    </row>
    <row r="1186" spans="1:19" x14ac:dyDescent="0.35">
      <c r="A1186" s="7">
        <v>1183</v>
      </c>
      <c r="B1186" s="37">
        <v>46054.112500000003</v>
      </c>
      <c r="C1186" s="2">
        <v>78735.94</v>
      </c>
      <c r="D1186" s="43">
        <v>78758.33</v>
      </c>
      <c r="E1186" s="43">
        <v>78728.259999999995</v>
      </c>
      <c r="F1186" s="2">
        <v>78744.17</v>
      </c>
      <c r="G1186" s="1">
        <v>197</v>
      </c>
      <c r="I1186" s="39">
        <v>46054.112500000003</v>
      </c>
      <c r="J1186" s="36">
        <v>77387.361520000006</v>
      </c>
      <c r="L1186" s="2"/>
      <c r="M1186" s="2"/>
      <c r="O1186" s="37">
        <v>46054.112500000003</v>
      </c>
      <c r="P1186" s="36">
        <v>78554.498080000005</v>
      </c>
      <c r="R1186" s="2">
        <v>79191.778609999994</v>
      </c>
      <c r="S1186" s="2">
        <v>78253.83309</v>
      </c>
    </row>
    <row r="1187" spans="1:19" x14ac:dyDescent="0.35">
      <c r="A1187" s="7">
        <v>1184</v>
      </c>
      <c r="B1187" s="37">
        <v>46054.113194444442</v>
      </c>
      <c r="C1187" s="2">
        <v>78738.5</v>
      </c>
      <c r="D1187" s="43">
        <v>78738.5</v>
      </c>
      <c r="E1187" s="43">
        <v>78657.289999999994</v>
      </c>
      <c r="F1187" s="2">
        <v>78657.289999999994</v>
      </c>
      <c r="G1187" s="1">
        <v>149</v>
      </c>
      <c r="I1187" s="39">
        <v>46054.113194444442</v>
      </c>
      <c r="J1187" s="36">
        <v>77391.216549999997</v>
      </c>
      <c r="L1187" s="2"/>
      <c r="M1187" s="2"/>
      <c r="O1187" s="37">
        <v>46054.113194444442</v>
      </c>
      <c r="P1187" s="36">
        <v>78559.749419999993</v>
      </c>
      <c r="R1187" s="2">
        <v>79190.527090000003</v>
      </c>
      <c r="S1187" s="2">
        <v>78253.900559999995</v>
      </c>
    </row>
    <row r="1188" spans="1:19" x14ac:dyDescent="0.35">
      <c r="A1188" s="7">
        <v>1185</v>
      </c>
      <c r="B1188" s="37">
        <v>46054.113888888889</v>
      </c>
      <c r="C1188" s="2">
        <v>78657.27</v>
      </c>
      <c r="D1188" s="43">
        <v>78738.649999999994</v>
      </c>
      <c r="E1188" s="43">
        <v>78657.27</v>
      </c>
      <c r="F1188" s="2">
        <v>78708.929999999993</v>
      </c>
      <c r="G1188" s="1">
        <v>200</v>
      </c>
      <c r="I1188" s="39">
        <v>46054.113888888889</v>
      </c>
      <c r="J1188" s="36">
        <v>77395.071590000007</v>
      </c>
      <c r="L1188" s="2"/>
      <c r="M1188" s="2"/>
      <c r="O1188" s="37">
        <v>46054.113888888889</v>
      </c>
      <c r="P1188" s="36">
        <v>78565.000769999999</v>
      </c>
      <c r="R1188" s="2">
        <v>79189.275569999998</v>
      </c>
      <c r="S1188" s="2">
        <v>78253.968030000004</v>
      </c>
    </row>
    <row r="1189" spans="1:19" x14ac:dyDescent="0.35">
      <c r="A1189" s="7">
        <v>1186</v>
      </c>
      <c r="B1189" s="37">
        <v>46054.114583333336</v>
      </c>
      <c r="C1189" s="2">
        <v>78708.95</v>
      </c>
      <c r="D1189" s="43">
        <v>78765.95</v>
      </c>
      <c r="E1189" s="43">
        <v>78697.36</v>
      </c>
      <c r="F1189" s="2">
        <v>78720.28</v>
      </c>
      <c r="G1189" s="1">
        <v>183</v>
      </c>
      <c r="I1189" s="39">
        <v>46054.114583333336</v>
      </c>
      <c r="J1189" s="36">
        <v>77398.926619999998</v>
      </c>
      <c r="L1189" s="2"/>
      <c r="M1189" s="2"/>
      <c r="O1189" s="37">
        <v>46054.114583333336</v>
      </c>
      <c r="P1189" s="36">
        <v>78570.252120000005</v>
      </c>
      <c r="R1189" s="2">
        <v>79188.024059999996</v>
      </c>
      <c r="S1189" s="2">
        <v>78254.035489999995</v>
      </c>
    </row>
    <row r="1190" spans="1:19" x14ac:dyDescent="0.35">
      <c r="A1190" s="7">
        <v>1187</v>
      </c>
      <c r="B1190" s="37">
        <v>46054.115277777775</v>
      </c>
      <c r="C1190" s="2">
        <v>78720.27</v>
      </c>
      <c r="D1190" s="43">
        <v>78813.759999999995</v>
      </c>
      <c r="E1190" s="43">
        <v>78676.19</v>
      </c>
      <c r="F1190" s="2">
        <v>78811.179999999993</v>
      </c>
      <c r="G1190" s="1">
        <v>218</v>
      </c>
      <c r="I1190" s="39">
        <v>46054.115277777775</v>
      </c>
      <c r="J1190" s="36">
        <v>77402.781659999993</v>
      </c>
      <c r="L1190" s="2"/>
      <c r="M1190" s="2"/>
      <c r="O1190" s="37">
        <v>46054.115277777775</v>
      </c>
      <c r="P1190" s="36">
        <v>78575.503460000007</v>
      </c>
      <c r="R1190" s="2">
        <v>79186.772540000005</v>
      </c>
      <c r="S1190" s="2">
        <v>78254.102960000004</v>
      </c>
    </row>
    <row r="1191" spans="1:19" x14ac:dyDescent="0.35">
      <c r="A1191" s="7">
        <v>1188</v>
      </c>
      <c r="B1191" s="37">
        <v>46054.115972222222</v>
      </c>
      <c r="C1191" s="2">
        <v>78814.399999999994</v>
      </c>
      <c r="D1191" s="43">
        <v>78814.429999999993</v>
      </c>
      <c r="E1191" s="43">
        <v>78768.429999999993</v>
      </c>
      <c r="F1191" s="2">
        <v>78792.88</v>
      </c>
      <c r="G1191" s="1">
        <v>217</v>
      </c>
      <c r="I1191" s="39">
        <v>46054.115972222222</v>
      </c>
      <c r="J1191" s="36">
        <v>77406.636689999999</v>
      </c>
      <c r="L1191" s="2"/>
      <c r="M1191" s="2"/>
      <c r="O1191" s="37">
        <v>46054.115972222222</v>
      </c>
      <c r="P1191" s="36">
        <v>78580.754809999999</v>
      </c>
      <c r="R1191" s="2">
        <v>79185.52102</v>
      </c>
      <c r="S1191" s="2">
        <v>78254.170429999998</v>
      </c>
    </row>
    <row r="1192" spans="1:19" x14ac:dyDescent="0.35">
      <c r="A1192" s="7">
        <v>1189</v>
      </c>
      <c r="B1192" s="37">
        <v>46054.116666666669</v>
      </c>
      <c r="C1192" s="2">
        <v>78792.570000000007</v>
      </c>
      <c r="D1192" s="43">
        <v>78826.320000000007</v>
      </c>
      <c r="E1192" s="43">
        <v>78792.570000000007</v>
      </c>
      <c r="F1192" s="2">
        <v>78814.559999999998</v>
      </c>
      <c r="G1192" s="1">
        <v>203</v>
      </c>
      <c r="I1192" s="39">
        <v>46054.116666666669</v>
      </c>
      <c r="J1192" s="36">
        <v>77410.491720000005</v>
      </c>
      <c r="L1192" s="2"/>
      <c r="M1192" s="2"/>
      <c r="O1192" s="37">
        <v>46054.116666666669</v>
      </c>
      <c r="P1192" s="36">
        <v>78586.006150000001</v>
      </c>
      <c r="R1192" s="2">
        <v>79184.269509999998</v>
      </c>
      <c r="S1192" s="2">
        <v>78254.237890000004</v>
      </c>
    </row>
    <row r="1193" spans="1:19" x14ac:dyDescent="0.35">
      <c r="A1193" s="7">
        <v>1190</v>
      </c>
      <c r="B1193" s="37">
        <v>46054.117361111108</v>
      </c>
      <c r="C1193" s="2">
        <v>78814.92</v>
      </c>
      <c r="D1193" s="43">
        <v>78826.31</v>
      </c>
      <c r="E1193" s="43">
        <v>78788.47</v>
      </c>
      <c r="F1193" s="2">
        <v>78813.929999999993</v>
      </c>
      <c r="G1193" s="1">
        <v>187</v>
      </c>
      <c r="I1193" s="39">
        <v>46054.117361111108</v>
      </c>
      <c r="J1193" s="36">
        <v>77414.34676</v>
      </c>
      <c r="L1193" s="2"/>
      <c r="M1193" s="2"/>
      <c r="O1193" s="37">
        <v>46054.117361111108</v>
      </c>
      <c r="P1193" s="36">
        <v>78591.257500000007</v>
      </c>
      <c r="R1193" s="2">
        <v>79183.017989999993</v>
      </c>
      <c r="S1193" s="2">
        <v>78254.305359999998</v>
      </c>
    </row>
    <row r="1194" spans="1:19" x14ac:dyDescent="0.35">
      <c r="A1194" s="7">
        <v>1191</v>
      </c>
      <c r="B1194" s="37">
        <v>46054.118055555555</v>
      </c>
      <c r="C1194" s="2">
        <v>78815.759999999995</v>
      </c>
      <c r="D1194" s="43">
        <v>78838.98</v>
      </c>
      <c r="E1194" s="43">
        <v>78796</v>
      </c>
      <c r="F1194" s="2">
        <v>78831.12</v>
      </c>
      <c r="G1194" s="1">
        <v>201</v>
      </c>
      <c r="I1194" s="39">
        <v>46054.118055555555</v>
      </c>
      <c r="J1194" s="36">
        <v>77418.201790000006</v>
      </c>
      <c r="L1194" s="2"/>
      <c r="M1194" s="2"/>
      <c r="O1194" s="37">
        <v>46054.118055555555</v>
      </c>
      <c r="P1194" s="36">
        <v>78596.508849999998</v>
      </c>
      <c r="R1194" s="2">
        <v>79181.766480000006</v>
      </c>
      <c r="S1194" s="2">
        <v>78254.372829999993</v>
      </c>
    </row>
    <row r="1195" spans="1:19" x14ac:dyDescent="0.35">
      <c r="A1195" s="7">
        <v>1192</v>
      </c>
      <c r="B1195" s="37">
        <v>46054.118750000001</v>
      </c>
      <c r="C1195" s="2">
        <v>78831.14</v>
      </c>
      <c r="D1195" s="43">
        <v>78831.14</v>
      </c>
      <c r="E1195" s="43">
        <v>78750.100000000006</v>
      </c>
      <c r="F1195" s="2">
        <v>78789.850000000006</v>
      </c>
      <c r="G1195" s="1">
        <v>170</v>
      </c>
      <c r="I1195" s="39">
        <v>46054.118750000001</v>
      </c>
      <c r="J1195" s="36">
        <v>77422.056830000001</v>
      </c>
      <c r="L1195" s="2"/>
      <c r="M1195" s="2"/>
      <c r="O1195" s="37">
        <v>46054.118750000001</v>
      </c>
      <c r="P1195" s="36">
        <v>78601.760190000001</v>
      </c>
      <c r="R1195" s="2">
        <v>79180.51496</v>
      </c>
      <c r="S1195" s="2">
        <v>78254.440300000002</v>
      </c>
    </row>
    <row r="1196" spans="1:19" x14ac:dyDescent="0.35">
      <c r="A1196" s="7">
        <v>1193</v>
      </c>
      <c r="B1196" s="37">
        <v>46054.119444444441</v>
      </c>
      <c r="C1196" s="2">
        <v>78793.47</v>
      </c>
      <c r="D1196" s="43">
        <v>78893.33</v>
      </c>
      <c r="E1196" s="43">
        <v>78793.100000000006</v>
      </c>
      <c r="F1196" s="2">
        <v>78848.86</v>
      </c>
      <c r="G1196" s="1">
        <v>223</v>
      </c>
      <c r="I1196" s="39">
        <v>46054.119444444441</v>
      </c>
      <c r="J1196" s="36">
        <v>77425.911859999993</v>
      </c>
      <c r="L1196" s="2"/>
      <c r="M1196" s="2"/>
      <c r="O1196" s="37">
        <v>46054.119444444441</v>
      </c>
      <c r="P1196" s="36">
        <v>78607.011540000007</v>
      </c>
      <c r="R1196" s="2">
        <v>79179.263439999995</v>
      </c>
      <c r="S1196" s="2">
        <v>78254.507759999993</v>
      </c>
    </row>
    <row r="1197" spans="1:19" x14ac:dyDescent="0.35">
      <c r="A1197" s="7">
        <v>1194</v>
      </c>
      <c r="B1197" s="37">
        <v>46054.120138888888</v>
      </c>
      <c r="C1197" s="2">
        <v>78848.89</v>
      </c>
      <c r="D1197" s="43">
        <v>78951.009999999995</v>
      </c>
      <c r="E1197" s="43">
        <v>78835.56</v>
      </c>
      <c r="F1197" s="2">
        <v>78940.59</v>
      </c>
      <c r="G1197" s="1">
        <v>235</v>
      </c>
      <c r="I1197" s="39">
        <v>46054.120138888888</v>
      </c>
      <c r="J1197" s="36">
        <v>77429.766900000002</v>
      </c>
      <c r="L1197" s="2"/>
      <c r="M1197" s="2"/>
      <c r="O1197" s="37">
        <v>46054.120138888888</v>
      </c>
      <c r="P1197" s="36">
        <v>78612.262879999995</v>
      </c>
      <c r="R1197" s="2">
        <v>79178.011929999993</v>
      </c>
      <c r="S1197" s="2">
        <v>78254.575230000002</v>
      </c>
    </row>
    <row r="1198" spans="1:19" x14ac:dyDescent="0.35">
      <c r="A1198" s="7">
        <v>1195</v>
      </c>
      <c r="B1198" s="37">
        <v>46054.120833333334</v>
      </c>
      <c r="C1198" s="2">
        <v>78941.72</v>
      </c>
      <c r="D1198" s="43">
        <v>78988.45</v>
      </c>
      <c r="E1198" s="43">
        <v>78928.66</v>
      </c>
      <c r="F1198" s="2">
        <v>78986.52</v>
      </c>
      <c r="G1198" s="1">
        <v>250</v>
      </c>
      <c r="I1198" s="39">
        <v>46054.120833333334</v>
      </c>
      <c r="J1198" s="36">
        <v>77433.621929999994</v>
      </c>
      <c r="L1198" s="2"/>
      <c r="M1198" s="2"/>
      <c r="O1198" s="37">
        <v>46054.120833333334</v>
      </c>
      <c r="P1198" s="36">
        <v>78617.514230000001</v>
      </c>
      <c r="R1198" s="2">
        <v>79176.760410000003</v>
      </c>
      <c r="S1198" s="2">
        <v>78254.642699999997</v>
      </c>
    </row>
    <row r="1199" spans="1:19" x14ac:dyDescent="0.35">
      <c r="A1199" s="7">
        <v>1196</v>
      </c>
      <c r="B1199" s="37">
        <v>46054.121527777781</v>
      </c>
      <c r="C1199" s="2">
        <v>78983.37</v>
      </c>
      <c r="D1199" s="43">
        <v>79014.320000000007</v>
      </c>
      <c r="E1199" s="43">
        <v>78881.81</v>
      </c>
      <c r="F1199" s="2">
        <v>78916.98</v>
      </c>
      <c r="G1199" s="1">
        <v>262</v>
      </c>
      <c r="I1199" s="39">
        <v>46054.121527777781</v>
      </c>
      <c r="J1199" s="36">
        <v>77437.476970000003</v>
      </c>
      <c r="L1199" s="2"/>
      <c r="M1199" s="2"/>
      <c r="O1199" s="37">
        <v>46054.121527777781</v>
      </c>
      <c r="P1199" s="36">
        <v>78622.765580000007</v>
      </c>
      <c r="R1199" s="2">
        <v>79175.508889999997</v>
      </c>
      <c r="S1199" s="2">
        <v>78254.710160000002</v>
      </c>
    </row>
    <row r="1200" spans="1:19" x14ac:dyDescent="0.35">
      <c r="A1200" s="7">
        <v>1197</v>
      </c>
      <c r="B1200" s="37">
        <v>46054.12222222222</v>
      </c>
      <c r="C1200" s="2">
        <v>78916.83</v>
      </c>
      <c r="D1200" s="43">
        <v>78952.87</v>
      </c>
      <c r="E1200" s="43">
        <v>78895.91</v>
      </c>
      <c r="F1200" s="2">
        <v>78952.86</v>
      </c>
      <c r="G1200" s="1">
        <v>196</v>
      </c>
      <c r="I1200" s="39">
        <v>46054.12222222222</v>
      </c>
      <c r="J1200" s="36">
        <v>77441.331999999995</v>
      </c>
      <c r="L1200" s="2"/>
      <c r="M1200" s="2"/>
      <c r="O1200" s="37">
        <v>46054.12222222222</v>
      </c>
      <c r="P1200" s="36">
        <v>78628.016919999995</v>
      </c>
      <c r="R1200" s="2">
        <v>79174.257379999995</v>
      </c>
      <c r="S1200" s="2">
        <v>78254.777629999997</v>
      </c>
    </row>
    <row r="1201" spans="1:19" x14ac:dyDescent="0.35">
      <c r="A1201" s="7">
        <v>1198</v>
      </c>
      <c r="B1201" s="37">
        <v>46054.122916666667</v>
      </c>
      <c r="C1201" s="2">
        <v>78952.850000000006</v>
      </c>
      <c r="D1201" s="43">
        <v>78957.27</v>
      </c>
      <c r="E1201" s="43">
        <v>78909.97</v>
      </c>
      <c r="F1201" s="2">
        <v>78942</v>
      </c>
      <c r="G1201" s="1">
        <v>207</v>
      </c>
      <c r="I1201" s="39">
        <v>46054.122916666667</v>
      </c>
      <c r="J1201" s="36">
        <v>77445.187030000001</v>
      </c>
      <c r="L1201" s="2"/>
      <c r="M1201" s="2"/>
      <c r="O1201" s="37">
        <v>46054.122916666667</v>
      </c>
      <c r="P1201" s="36">
        <v>78633.26827</v>
      </c>
      <c r="R1201" s="2">
        <v>79173.005860000005</v>
      </c>
      <c r="S1201" s="2">
        <v>78254.845100000006</v>
      </c>
    </row>
    <row r="1202" spans="1:19" x14ac:dyDescent="0.35">
      <c r="A1202" s="7">
        <v>1199</v>
      </c>
      <c r="B1202" s="37">
        <v>46054.123611111114</v>
      </c>
      <c r="C1202" s="2">
        <v>78946.559999999998</v>
      </c>
      <c r="D1202" s="43">
        <v>78948.03</v>
      </c>
      <c r="E1202" s="43">
        <v>78844.289999999994</v>
      </c>
      <c r="F1202" s="2">
        <v>78857.33</v>
      </c>
      <c r="G1202" s="1">
        <v>222</v>
      </c>
      <c r="I1202" s="39">
        <v>46054.123611111114</v>
      </c>
      <c r="J1202" s="36">
        <v>77449.042069999996</v>
      </c>
      <c r="L1202" s="2"/>
      <c r="M1202" s="2"/>
      <c r="O1202" s="37">
        <v>46054.123611111114</v>
      </c>
      <c r="P1202" s="36">
        <v>78638.519620000006</v>
      </c>
      <c r="R1202" s="2">
        <v>79171.75434</v>
      </c>
      <c r="S1202" s="2">
        <v>78254.91257</v>
      </c>
    </row>
    <row r="1203" spans="1:19" x14ac:dyDescent="0.35">
      <c r="A1203" s="7">
        <v>1200</v>
      </c>
      <c r="B1203" s="37">
        <v>46054.124305555553</v>
      </c>
      <c r="C1203" s="2">
        <v>78857.320000000007</v>
      </c>
      <c r="D1203" s="43">
        <v>78917.77</v>
      </c>
      <c r="E1203" s="43">
        <v>78846.820000000007</v>
      </c>
      <c r="F1203" s="2">
        <v>78846.89</v>
      </c>
      <c r="G1203" s="1">
        <v>225</v>
      </c>
      <c r="I1203" s="39">
        <v>46054.124305555553</v>
      </c>
      <c r="J1203" s="36">
        <v>77452.897100000002</v>
      </c>
      <c r="L1203" s="2"/>
      <c r="M1203" s="2"/>
      <c r="O1203" s="37">
        <v>46054.124305555553</v>
      </c>
      <c r="P1203" s="36">
        <v>78643.770959999994</v>
      </c>
      <c r="R1203" s="2">
        <v>79170.502829999998</v>
      </c>
      <c r="S1203" s="2">
        <v>78254.980030000006</v>
      </c>
    </row>
    <row r="1204" spans="1:19" x14ac:dyDescent="0.35">
      <c r="A1204" s="7">
        <v>1201</v>
      </c>
      <c r="B1204" s="37">
        <v>46054.125</v>
      </c>
      <c r="C1204" s="2">
        <v>78846.89</v>
      </c>
      <c r="D1204" s="43">
        <v>78940.399999999994</v>
      </c>
      <c r="E1204" s="43">
        <v>78846.89</v>
      </c>
      <c r="F1204" s="2">
        <v>78882.149999999994</v>
      </c>
      <c r="G1204" s="1">
        <v>241</v>
      </c>
      <c r="I1204" s="39">
        <v>46054.125</v>
      </c>
      <c r="J1204" s="36">
        <v>77456.752139999997</v>
      </c>
      <c r="L1204" s="2"/>
      <c r="M1204" s="2"/>
      <c r="O1204" s="37">
        <v>46054.125</v>
      </c>
      <c r="P1204" s="36">
        <v>78649.02231</v>
      </c>
      <c r="R1204" s="2">
        <v>79169.251310000007</v>
      </c>
      <c r="S1204" s="2">
        <v>78255.047500000001</v>
      </c>
    </row>
    <row r="1205" spans="1:19" x14ac:dyDescent="0.35">
      <c r="A1205" s="7">
        <v>1202</v>
      </c>
      <c r="B1205" s="37">
        <v>46054.125694444447</v>
      </c>
      <c r="C1205" s="2">
        <v>78882.11</v>
      </c>
      <c r="D1205" s="43">
        <v>78931.33</v>
      </c>
      <c r="E1205" s="43">
        <v>78874.8</v>
      </c>
      <c r="F1205" s="2">
        <v>78931.28</v>
      </c>
      <c r="G1205" s="1">
        <v>230</v>
      </c>
      <c r="I1205" s="39">
        <v>46054.125694444447</v>
      </c>
      <c r="J1205" s="36">
        <v>77460.607170000003</v>
      </c>
      <c r="L1205" s="2"/>
      <c r="M1205" s="2"/>
      <c r="O1205" s="37">
        <v>46054.125694444447</v>
      </c>
      <c r="P1205" s="36">
        <v>78654.273650000003</v>
      </c>
      <c r="R1205" s="2">
        <v>79167.999800000005</v>
      </c>
      <c r="S1205" s="2">
        <v>78255.114969999995</v>
      </c>
    </row>
    <row r="1206" spans="1:19" x14ac:dyDescent="0.35">
      <c r="A1206" s="7">
        <v>1203</v>
      </c>
      <c r="B1206" s="37">
        <v>46054.126388888886</v>
      </c>
      <c r="C1206" s="2">
        <v>78940.63</v>
      </c>
      <c r="D1206" s="43">
        <v>78961.710000000006</v>
      </c>
      <c r="E1206" s="43">
        <v>78931.13</v>
      </c>
      <c r="F1206" s="2">
        <v>78939.08</v>
      </c>
      <c r="G1206" s="1">
        <v>222</v>
      </c>
      <c r="I1206" s="39">
        <v>46054.126388888886</v>
      </c>
      <c r="J1206" s="36">
        <v>77464.462209999998</v>
      </c>
      <c r="L1206" s="2"/>
      <c r="M1206" s="2"/>
      <c r="O1206" s="37">
        <v>46054.126388888886</v>
      </c>
      <c r="P1206" s="36">
        <v>78659.524999999994</v>
      </c>
      <c r="R1206" s="2">
        <v>79166.74828</v>
      </c>
      <c r="S1206" s="2">
        <v>78255.182430000001</v>
      </c>
    </row>
    <row r="1207" spans="1:19" x14ac:dyDescent="0.35">
      <c r="A1207" s="7">
        <v>1204</v>
      </c>
      <c r="B1207" s="37">
        <v>46054.127083333333</v>
      </c>
      <c r="C1207" s="2">
        <v>78939.199999999997</v>
      </c>
      <c r="D1207" s="43">
        <v>78939.199999999997</v>
      </c>
      <c r="E1207" s="43">
        <v>78856.399999999994</v>
      </c>
      <c r="F1207" s="2">
        <v>78856.78</v>
      </c>
      <c r="G1207" s="1">
        <v>206</v>
      </c>
      <c r="I1207" s="39">
        <v>46054.127083333333</v>
      </c>
      <c r="J1207" s="36">
        <v>77468.317240000004</v>
      </c>
      <c r="L1207" s="2"/>
      <c r="M1207" s="2"/>
      <c r="O1207" s="37">
        <v>46054.127083333333</v>
      </c>
      <c r="P1207" s="36">
        <v>78664.77635</v>
      </c>
      <c r="R1207" s="2">
        <v>79165.496759999995</v>
      </c>
      <c r="S1207" s="2">
        <v>78255.249899999995</v>
      </c>
    </row>
    <row r="1208" spans="1:19" x14ac:dyDescent="0.35">
      <c r="A1208" s="7">
        <v>1205</v>
      </c>
      <c r="B1208" s="37">
        <v>46054.12777777778</v>
      </c>
      <c r="C1208" s="2">
        <v>78856.58</v>
      </c>
      <c r="D1208" s="43">
        <v>78856.58</v>
      </c>
      <c r="E1208" s="43">
        <v>78743.13</v>
      </c>
      <c r="F1208" s="2">
        <v>78743.75</v>
      </c>
      <c r="G1208" s="1">
        <v>229</v>
      </c>
      <c r="I1208" s="39">
        <v>46054.12777777778</v>
      </c>
      <c r="J1208" s="36">
        <v>77472.172279999999</v>
      </c>
      <c r="L1208" s="2"/>
      <c r="M1208" s="2"/>
      <c r="O1208" s="37">
        <v>46054.12777777778</v>
      </c>
      <c r="P1208" s="36">
        <v>78670.027690000003</v>
      </c>
      <c r="R1208" s="2">
        <v>79164.245250000007</v>
      </c>
      <c r="S1208" s="2">
        <v>78255.317370000004</v>
      </c>
    </row>
    <row r="1209" spans="1:19" x14ac:dyDescent="0.35">
      <c r="A1209" s="7">
        <v>1206</v>
      </c>
      <c r="B1209" s="37">
        <v>46054.128472222219</v>
      </c>
      <c r="C1209" s="2">
        <v>78740.5</v>
      </c>
      <c r="D1209" s="43">
        <v>78793.95</v>
      </c>
      <c r="E1209" s="43">
        <v>78712.33</v>
      </c>
      <c r="F1209" s="2">
        <v>78743.850000000006</v>
      </c>
      <c r="G1209" s="1">
        <v>253</v>
      </c>
      <c r="I1209" s="39">
        <v>46054.128472222219</v>
      </c>
      <c r="J1209" s="36">
        <v>77476.027310000005</v>
      </c>
      <c r="L1209" s="2"/>
      <c r="M1209" s="2"/>
      <c r="O1209" s="37">
        <v>46054.128472222219</v>
      </c>
      <c r="P1209" s="36">
        <v>78675.279039999994</v>
      </c>
      <c r="R1209" s="2">
        <v>79162.993730000002</v>
      </c>
      <c r="S1209" s="2">
        <v>78255.384839999999</v>
      </c>
    </row>
    <row r="1210" spans="1:19" x14ac:dyDescent="0.35">
      <c r="A1210" s="7">
        <v>1207</v>
      </c>
      <c r="B1210" s="37">
        <v>46054.129166666666</v>
      </c>
      <c r="C1210" s="2">
        <v>78743.66</v>
      </c>
      <c r="D1210" s="43">
        <v>78767.13</v>
      </c>
      <c r="E1210" s="43">
        <v>78712.350000000006</v>
      </c>
      <c r="F1210" s="2">
        <v>78721.279999999999</v>
      </c>
      <c r="G1210" s="1">
        <v>207</v>
      </c>
      <c r="I1210" s="39">
        <v>46054.129166666666</v>
      </c>
      <c r="J1210" s="36">
        <v>77479.882339999996</v>
      </c>
      <c r="L1210" s="2"/>
      <c r="M1210" s="2"/>
      <c r="O1210" s="37">
        <v>46054.129166666666</v>
      </c>
      <c r="P1210" s="36">
        <v>78680.530379999997</v>
      </c>
      <c r="R1210" s="2">
        <v>79161.742209999997</v>
      </c>
      <c r="S1210" s="2">
        <v>78255.452300000004</v>
      </c>
    </row>
    <row r="1211" spans="1:19" x14ac:dyDescent="0.35">
      <c r="A1211" s="7">
        <v>1208</v>
      </c>
      <c r="B1211" s="37">
        <v>46054.129861111112</v>
      </c>
      <c r="C1211" s="2">
        <v>78721.289999999994</v>
      </c>
      <c r="D1211" s="43">
        <v>78743.7</v>
      </c>
      <c r="E1211" s="43">
        <v>78695.199999999997</v>
      </c>
      <c r="F1211" s="2">
        <v>78703.649999999994</v>
      </c>
      <c r="G1211" s="1">
        <v>215</v>
      </c>
      <c r="I1211" s="39">
        <v>46054.129861111112</v>
      </c>
      <c r="J1211" s="36">
        <v>77483.737380000006</v>
      </c>
      <c r="L1211" s="2"/>
      <c r="M1211" s="2"/>
      <c r="O1211" s="37">
        <v>46054.129861111112</v>
      </c>
      <c r="P1211" s="36">
        <v>78685.781730000002</v>
      </c>
      <c r="R1211" s="2">
        <v>79160.490699999995</v>
      </c>
      <c r="S1211" s="2">
        <v>78255.519769999999</v>
      </c>
    </row>
    <row r="1212" spans="1:19" x14ac:dyDescent="0.35">
      <c r="A1212" s="7">
        <v>1209</v>
      </c>
      <c r="B1212" s="37">
        <v>46054.130555555559</v>
      </c>
      <c r="C1212" s="2">
        <v>78703.820000000007</v>
      </c>
      <c r="D1212" s="43">
        <v>78756.84</v>
      </c>
      <c r="E1212" s="43">
        <v>78693.759999999995</v>
      </c>
      <c r="F1212" s="2">
        <v>78738.720000000001</v>
      </c>
      <c r="G1212" s="1">
        <v>228</v>
      </c>
      <c r="I1212" s="39">
        <v>46054.130555555559</v>
      </c>
      <c r="J1212" s="36">
        <v>77487.592409999997</v>
      </c>
      <c r="L1212" s="2"/>
      <c r="M1212" s="2"/>
      <c r="O1212" s="37">
        <v>46054.130555555559</v>
      </c>
      <c r="P1212" s="36">
        <v>78691.033079999994</v>
      </c>
      <c r="R1212" s="2">
        <v>79159.239180000004</v>
      </c>
      <c r="S1212" s="2">
        <v>78255.587239999993</v>
      </c>
    </row>
    <row r="1213" spans="1:19" x14ac:dyDescent="0.35">
      <c r="A1213" s="7">
        <v>1210</v>
      </c>
      <c r="B1213" s="37">
        <v>46054.131249999999</v>
      </c>
      <c r="C1213" s="2">
        <v>78736.679999999993</v>
      </c>
      <c r="D1213" s="43">
        <v>78872.73</v>
      </c>
      <c r="E1213" s="43">
        <v>78736.570000000007</v>
      </c>
      <c r="F1213" s="2">
        <v>78843.320000000007</v>
      </c>
      <c r="G1213" s="1">
        <v>238</v>
      </c>
      <c r="I1213" s="39">
        <v>46054.131249999999</v>
      </c>
      <c r="J1213" s="36">
        <v>77491.447450000007</v>
      </c>
      <c r="L1213" s="2"/>
      <c r="M1213" s="2"/>
      <c r="O1213" s="37">
        <v>46054.131249999999</v>
      </c>
      <c r="P1213" s="36">
        <v>78696.284419999996</v>
      </c>
      <c r="R1213" s="2">
        <v>79157.987659999999</v>
      </c>
      <c r="S1213" s="2">
        <v>78255.654699999999</v>
      </c>
    </row>
    <row r="1214" spans="1:19" x14ac:dyDescent="0.35">
      <c r="A1214" s="7">
        <v>1211</v>
      </c>
      <c r="B1214" s="37">
        <v>46054.131944444445</v>
      </c>
      <c r="C1214" s="2">
        <v>78843.13</v>
      </c>
      <c r="D1214" s="43">
        <v>78843.210000000006</v>
      </c>
      <c r="E1214" s="43">
        <v>78813.41</v>
      </c>
      <c r="F1214" s="2">
        <v>78831.13</v>
      </c>
      <c r="G1214" s="1">
        <v>205</v>
      </c>
      <c r="I1214" s="39">
        <v>46054.131944444445</v>
      </c>
      <c r="J1214" s="36">
        <v>77495.302479999998</v>
      </c>
      <c r="L1214" s="2"/>
      <c r="M1214" s="2"/>
      <c r="O1214" s="37">
        <v>46054.131944444445</v>
      </c>
      <c r="P1214" s="36">
        <v>78701.535770000002</v>
      </c>
      <c r="R1214" s="2">
        <v>79156.736149999997</v>
      </c>
      <c r="S1214" s="2">
        <v>78255.722169999994</v>
      </c>
    </row>
    <row r="1215" spans="1:19" x14ac:dyDescent="0.35">
      <c r="A1215" s="7">
        <v>1212</v>
      </c>
      <c r="B1215" s="37">
        <v>46054.132638888892</v>
      </c>
      <c r="C1215" s="2">
        <v>78831.14</v>
      </c>
      <c r="D1215" s="43">
        <v>78890.34</v>
      </c>
      <c r="E1215" s="43">
        <v>78830.89</v>
      </c>
      <c r="F1215" s="2">
        <v>78831.199999999997</v>
      </c>
      <c r="G1215" s="1">
        <v>206</v>
      </c>
      <c r="I1215" s="39">
        <v>46054.132638888892</v>
      </c>
      <c r="J1215" s="36">
        <v>77499.157519999993</v>
      </c>
      <c r="L1215" s="2"/>
      <c r="M1215" s="2"/>
      <c r="O1215" s="37">
        <v>46054.132638888892</v>
      </c>
      <c r="P1215" s="36">
        <v>78706.787119999994</v>
      </c>
      <c r="R1215" s="2">
        <v>79155.484630000006</v>
      </c>
      <c r="S1215" s="2">
        <v>78255.789640000003</v>
      </c>
    </row>
    <row r="1216" spans="1:19" x14ac:dyDescent="0.35">
      <c r="A1216" s="7">
        <v>1213</v>
      </c>
      <c r="B1216" s="37">
        <v>46054.133333333331</v>
      </c>
      <c r="C1216" s="2">
        <v>78831.199999999997</v>
      </c>
      <c r="D1216" s="43">
        <v>78842.429999999993</v>
      </c>
      <c r="E1216" s="43">
        <v>78819.38</v>
      </c>
      <c r="F1216" s="2">
        <v>78826.87</v>
      </c>
      <c r="G1216" s="1">
        <v>177</v>
      </c>
      <c r="I1216" s="39">
        <v>46054.133333333331</v>
      </c>
      <c r="J1216" s="36">
        <v>77503.012549999999</v>
      </c>
      <c r="L1216" s="2"/>
      <c r="M1216" s="2"/>
      <c r="O1216" s="37">
        <v>46054.133333333331</v>
      </c>
      <c r="P1216" s="36">
        <v>78712.038459999996</v>
      </c>
      <c r="R1216" s="2">
        <v>79154.233110000001</v>
      </c>
      <c r="S1216" s="2">
        <v>78255.857109999997</v>
      </c>
    </row>
    <row r="1217" spans="1:19" x14ac:dyDescent="0.35">
      <c r="A1217" s="7">
        <v>1214</v>
      </c>
      <c r="B1217" s="37">
        <v>46054.134027777778</v>
      </c>
      <c r="C1217" s="2">
        <v>78826.87</v>
      </c>
      <c r="D1217" s="43">
        <v>78844.350000000006</v>
      </c>
      <c r="E1217" s="43">
        <v>78769.63</v>
      </c>
      <c r="F1217" s="2">
        <v>78770.149999999994</v>
      </c>
      <c r="G1217" s="1">
        <v>183</v>
      </c>
      <c r="I1217" s="39">
        <v>46054.134027777778</v>
      </c>
      <c r="J1217" s="36">
        <v>77506.867589999994</v>
      </c>
      <c r="L1217" s="2"/>
      <c r="M1217" s="2"/>
      <c r="O1217" s="37">
        <v>46054.134027777778</v>
      </c>
      <c r="P1217" s="36">
        <v>78717.289810000002</v>
      </c>
      <c r="R1217" s="2">
        <v>79152.981599999999</v>
      </c>
      <c r="S1217" s="2">
        <v>78255.924570000003</v>
      </c>
    </row>
    <row r="1218" spans="1:19" x14ac:dyDescent="0.35">
      <c r="A1218" s="7">
        <v>1215</v>
      </c>
      <c r="B1218" s="37">
        <v>46054.134722222225</v>
      </c>
      <c r="C1218" s="2">
        <v>78778.94</v>
      </c>
      <c r="D1218" s="43">
        <v>78824.7</v>
      </c>
      <c r="E1218" s="43">
        <v>78777.84</v>
      </c>
      <c r="F1218" s="2">
        <v>78822.16</v>
      </c>
      <c r="G1218" s="1">
        <v>182</v>
      </c>
      <c r="I1218" s="39">
        <v>46054.134722222225</v>
      </c>
      <c r="J1218" s="36">
        <v>77510.72262</v>
      </c>
      <c r="L1218" s="2"/>
      <c r="M1218" s="2"/>
      <c r="O1218" s="37">
        <v>46054.134722222225</v>
      </c>
      <c r="P1218" s="36">
        <v>78722.541150000005</v>
      </c>
      <c r="R1218" s="2">
        <v>79151.730079999994</v>
      </c>
      <c r="S1218" s="2">
        <v>78255.992039999997</v>
      </c>
    </row>
    <row r="1219" spans="1:19" x14ac:dyDescent="0.35">
      <c r="A1219" s="7">
        <v>1216</v>
      </c>
      <c r="B1219" s="37">
        <v>46054.135416666664</v>
      </c>
      <c r="C1219" s="2">
        <v>78830.3</v>
      </c>
      <c r="D1219" s="43">
        <v>78849.81</v>
      </c>
      <c r="E1219" s="43">
        <v>78817.11</v>
      </c>
      <c r="F1219" s="2">
        <v>78817.11</v>
      </c>
      <c r="G1219" s="1">
        <v>204</v>
      </c>
      <c r="I1219" s="39">
        <v>46054.135416666664</v>
      </c>
      <c r="J1219" s="36">
        <v>77514.577659999995</v>
      </c>
      <c r="L1219" s="2"/>
      <c r="M1219" s="2"/>
      <c r="O1219" s="37">
        <v>46054.135416666664</v>
      </c>
      <c r="P1219" s="36">
        <v>78727.792499999996</v>
      </c>
      <c r="R1219" s="2">
        <v>79150.478570000007</v>
      </c>
      <c r="S1219" s="2">
        <v>78256.059510000006</v>
      </c>
    </row>
    <row r="1220" spans="1:19" x14ac:dyDescent="0.35">
      <c r="A1220" s="7">
        <v>1217</v>
      </c>
      <c r="B1220" s="37">
        <v>46054.136111111111</v>
      </c>
      <c r="C1220" s="2">
        <v>78812.53</v>
      </c>
      <c r="D1220" s="43">
        <v>78812.53</v>
      </c>
      <c r="E1220" s="43">
        <v>78748.789999999994</v>
      </c>
      <c r="F1220" s="2">
        <v>78748.800000000003</v>
      </c>
      <c r="G1220" s="1">
        <v>151</v>
      </c>
      <c r="I1220" s="39">
        <v>46054.136111111111</v>
      </c>
      <c r="J1220" s="36">
        <v>77518.432690000001</v>
      </c>
      <c r="L1220" s="2"/>
      <c r="M1220" s="2"/>
      <c r="O1220" s="37">
        <v>46054.136111111111</v>
      </c>
      <c r="P1220" s="36">
        <v>78733.043850000002</v>
      </c>
      <c r="R1220" s="2">
        <v>79149.227050000001</v>
      </c>
      <c r="S1220" s="2">
        <v>78256.126969999998</v>
      </c>
    </row>
    <row r="1221" spans="1:19" x14ac:dyDescent="0.35">
      <c r="A1221" s="7">
        <v>1218</v>
      </c>
      <c r="B1221" s="37">
        <v>46054.136805555558</v>
      </c>
      <c r="C1221" s="2">
        <v>78753.8</v>
      </c>
      <c r="D1221" s="43">
        <v>78771.06</v>
      </c>
      <c r="E1221" s="43">
        <v>78702.48</v>
      </c>
      <c r="F1221" s="2">
        <v>78734.61</v>
      </c>
      <c r="G1221" s="1">
        <v>205</v>
      </c>
      <c r="I1221" s="39">
        <v>46054.136805555558</v>
      </c>
      <c r="J1221" s="36">
        <v>77522.287719999993</v>
      </c>
      <c r="L1221" s="2"/>
      <c r="M1221" s="2"/>
      <c r="O1221" s="37">
        <v>46054.136805555558</v>
      </c>
      <c r="P1221" s="36">
        <v>78738.295190000004</v>
      </c>
      <c r="R1221" s="2">
        <v>79147.975529999996</v>
      </c>
      <c r="S1221" s="2">
        <v>78256.194440000007</v>
      </c>
    </row>
    <row r="1222" spans="1:19" x14ac:dyDescent="0.35">
      <c r="A1222" s="7">
        <v>1219</v>
      </c>
      <c r="B1222" s="37">
        <v>46054.137499999997</v>
      </c>
      <c r="C1222" s="2">
        <v>78734.61</v>
      </c>
      <c r="D1222" s="43">
        <v>78734.61</v>
      </c>
      <c r="E1222" s="43">
        <v>78670.240000000005</v>
      </c>
      <c r="F1222" s="2">
        <v>78731.81</v>
      </c>
      <c r="G1222" s="1">
        <v>208</v>
      </c>
      <c r="I1222" s="39">
        <v>46054.137499999997</v>
      </c>
      <c r="J1222" s="36">
        <v>77526.142760000002</v>
      </c>
      <c r="L1222" s="2"/>
      <c r="M1222" s="2"/>
      <c r="O1222" s="37">
        <v>46054.137499999997</v>
      </c>
      <c r="P1222" s="36">
        <v>78743.546539999996</v>
      </c>
      <c r="R1222" s="2">
        <v>79146.724019999994</v>
      </c>
      <c r="S1222" s="2">
        <v>78256.261910000001</v>
      </c>
    </row>
    <row r="1223" spans="1:19" x14ac:dyDescent="0.35">
      <c r="A1223" s="7">
        <v>1220</v>
      </c>
      <c r="B1223" s="37">
        <v>46054.138194444444</v>
      </c>
      <c r="C1223" s="2">
        <v>78731.81</v>
      </c>
      <c r="D1223" s="43">
        <v>78750.22</v>
      </c>
      <c r="E1223" s="43">
        <v>78650.649999999994</v>
      </c>
      <c r="F1223" s="2">
        <v>78650.86</v>
      </c>
      <c r="G1223" s="1">
        <v>203</v>
      </c>
      <c r="I1223" s="39">
        <v>46054.138194444444</v>
      </c>
      <c r="J1223" s="36">
        <v>77529.997789999994</v>
      </c>
      <c r="L1223" s="2"/>
      <c r="M1223" s="2"/>
      <c r="O1223" s="37">
        <v>46054.138194444444</v>
      </c>
      <c r="P1223" s="36">
        <v>78748.797879999998</v>
      </c>
      <c r="R1223" s="2">
        <v>79145.472500000003</v>
      </c>
      <c r="S1223" s="2">
        <v>78256.329379999996</v>
      </c>
    </row>
    <row r="1224" spans="1:19" x14ac:dyDescent="0.35">
      <c r="A1224" s="7">
        <v>1221</v>
      </c>
      <c r="B1224" s="37">
        <v>46054.138888888891</v>
      </c>
      <c r="C1224" s="2">
        <v>78650.86</v>
      </c>
      <c r="D1224" s="43">
        <v>78734.509999999995</v>
      </c>
      <c r="E1224" s="43">
        <v>78650.34</v>
      </c>
      <c r="F1224" s="2">
        <v>78726.16</v>
      </c>
      <c r="G1224" s="1">
        <v>228</v>
      </c>
      <c r="I1224" s="39">
        <v>46054.138888888891</v>
      </c>
      <c r="J1224" s="36">
        <v>77533.852830000003</v>
      </c>
      <c r="L1224" s="2"/>
      <c r="M1224" s="2"/>
      <c r="O1224" s="37">
        <v>46054.138888888891</v>
      </c>
      <c r="P1224" s="36">
        <v>78754.049230000004</v>
      </c>
      <c r="R1224" s="2">
        <v>79144.220979999998</v>
      </c>
      <c r="S1224" s="2">
        <v>78256.396840000001</v>
      </c>
    </row>
    <row r="1225" spans="1:19" x14ac:dyDescent="0.35">
      <c r="A1225" s="7">
        <v>1222</v>
      </c>
      <c r="B1225" s="37">
        <v>46054.13958333333</v>
      </c>
      <c r="C1225" s="2">
        <v>78726.17</v>
      </c>
      <c r="D1225" s="43">
        <v>78753.62</v>
      </c>
      <c r="E1225" s="43">
        <v>78718.05</v>
      </c>
      <c r="F1225" s="2">
        <v>78741.66</v>
      </c>
      <c r="G1225" s="1">
        <v>153</v>
      </c>
      <c r="I1225" s="39">
        <v>46054.13958333333</v>
      </c>
      <c r="J1225" s="36">
        <v>77537.707859999995</v>
      </c>
      <c r="L1225" s="2"/>
      <c r="M1225" s="2"/>
      <c r="O1225" s="37">
        <v>46054.13958333333</v>
      </c>
      <c r="P1225" s="36">
        <v>78759.300579999996</v>
      </c>
      <c r="R1225" s="2">
        <v>79142.969469999996</v>
      </c>
      <c r="S1225" s="2">
        <v>78256.464309999996</v>
      </c>
    </row>
    <row r="1226" spans="1:19" x14ac:dyDescent="0.35">
      <c r="A1226" s="7">
        <v>1223</v>
      </c>
      <c r="B1226" s="37">
        <v>46054.140277777777</v>
      </c>
      <c r="C1226" s="2">
        <v>78741.66</v>
      </c>
      <c r="D1226" s="43">
        <v>78747.320000000007</v>
      </c>
      <c r="E1226" s="43">
        <v>78673.8</v>
      </c>
      <c r="F1226" s="2">
        <v>78679.53</v>
      </c>
      <c r="G1226" s="1">
        <v>170</v>
      </c>
      <c r="I1226" s="39">
        <v>46054.140277777777</v>
      </c>
      <c r="J1226" s="36">
        <v>77541.562900000004</v>
      </c>
      <c r="L1226" s="2"/>
      <c r="M1226" s="2"/>
      <c r="O1226" s="37">
        <v>46054.140277777777</v>
      </c>
      <c r="P1226" s="36">
        <v>78764.551919999998</v>
      </c>
      <c r="R1226" s="2">
        <v>79141.717950000006</v>
      </c>
      <c r="S1226" s="2">
        <v>78256.531780000005</v>
      </c>
    </row>
    <row r="1227" spans="1:19" x14ac:dyDescent="0.35">
      <c r="A1227" s="7">
        <v>1224</v>
      </c>
      <c r="B1227" s="37">
        <v>46054.140972222223</v>
      </c>
      <c r="C1227" s="2">
        <v>78679.53</v>
      </c>
      <c r="D1227" s="43">
        <v>78692.27</v>
      </c>
      <c r="E1227" s="43">
        <v>78622.27</v>
      </c>
      <c r="F1227" s="2">
        <v>78649.61</v>
      </c>
      <c r="G1227" s="1">
        <v>183</v>
      </c>
      <c r="I1227" s="39">
        <v>46054.140972222223</v>
      </c>
      <c r="J1227" s="36">
        <v>77545.417929999996</v>
      </c>
      <c r="L1227" s="2"/>
      <c r="M1227" s="2"/>
      <c r="O1227" s="37">
        <v>46054.140972222223</v>
      </c>
      <c r="P1227" s="36">
        <v>78769.803270000004</v>
      </c>
      <c r="R1227" s="2">
        <v>79140.46643</v>
      </c>
      <c r="S1227" s="2">
        <v>78256.599239999996</v>
      </c>
    </row>
    <row r="1228" spans="1:19" x14ac:dyDescent="0.35">
      <c r="A1228" s="7">
        <v>1225</v>
      </c>
      <c r="B1228" s="37">
        <v>46054.14166666667</v>
      </c>
      <c r="C1228" s="2">
        <v>78649.61</v>
      </c>
      <c r="D1228" s="43">
        <v>78699.12</v>
      </c>
      <c r="E1228" s="43">
        <v>78639.7</v>
      </c>
      <c r="F1228" s="2">
        <v>78699.12</v>
      </c>
      <c r="G1228" s="1">
        <v>185</v>
      </c>
      <c r="I1228" s="39">
        <v>46054.14166666667</v>
      </c>
      <c r="J1228" s="36">
        <v>77549.272970000005</v>
      </c>
      <c r="L1228" s="2"/>
      <c r="M1228" s="2"/>
      <c r="O1228" s="37">
        <v>46054.14166666667</v>
      </c>
      <c r="P1228" s="36">
        <v>78775.054619999995</v>
      </c>
      <c r="R1228" s="2">
        <v>79139.214919999999</v>
      </c>
      <c r="S1228" s="2">
        <v>78256.666710000005</v>
      </c>
    </row>
    <row r="1229" spans="1:19" x14ac:dyDescent="0.35">
      <c r="A1229" s="7">
        <v>1226</v>
      </c>
      <c r="B1229" s="37">
        <v>46054.142361111109</v>
      </c>
      <c r="C1229" s="2">
        <v>78714.929999999993</v>
      </c>
      <c r="D1229" s="43">
        <v>78746.31</v>
      </c>
      <c r="E1229" s="43">
        <v>78658.570000000007</v>
      </c>
      <c r="F1229" s="2">
        <v>78661.399999999994</v>
      </c>
      <c r="G1229" s="1">
        <v>201</v>
      </c>
      <c r="I1229" s="39">
        <v>46054.142361111109</v>
      </c>
      <c r="J1229" s="36">
        <v>77553.127999999997</v>
      </c>
      <c r="L1229" s="2"/>
      <c r="M1229" s="2"/>
      <c r="O1229" s="37">
        <v>46054.142361111109</v>
      </c>
      <c r="P1229" s="36">
        <v>78780.305959999998</v>
      </c>
      <c r="R1229" s="2">
        <v>79137.963399999993</v>
      </c>
      <c r="S1229" s="2">
        <v>78256.734179999999</v>
      </c>
    </row>
    <row r="1230" spans="1:19" x14ac:dyDescent="0.35">
      <c r="A1230" s="7">
        <v>1227</v>
      </c>
      <c r="B1230" s="37">
        <v>46054.143055555556</v>
      </c>
      <c r="C1230" s="2">
        <v>78672.009999999995</v>
      </c>
      <c r="D1230" s="43">
        <v>78721.8</v>
      </c>
      <c r="E1230" s="43">
        <v>78672.009999999995</v>
      </c>
      <c r="F1230" s="2">
        <v>78721.8</v>
      </c>
      <c r="G1230" s="1">
        <v>178</v>
      </c>
      <c r="I1230" s="39">
        <v>46054.143055555556</v>
      </c>
      <c r="J1230" s="36">
        <v>77556.983030000003</v>
      </c>
      <c r="L1230" s="2"/>
      <c r="M1230" s="2"/>
      <c r="O1230" s="37">
        <v>46054.143055555556</v>
      </c>
      <c r="P1230" s="36">
        <v>78785.557310000004</v>
      </c>
      <c r="R1230" s="2">
        <v>79136.711890000006</v>
      </c>
      <c r="S1230" s="2">
        <v>78256.801640000005</v>
      </c>
    </row>
    <row r="1231" spans="1:19" x14ac:dyDescent="0.35">
      <c r="A1231" s="7">
        <v>1228</v>
      </c>
      <c r="B1231" s="37">
        <v>46054.143750000003</v>
      </c>
      <c r="C1231" s="2">
        <v>78721.72</v>
      </c>
      <c r="D1231" s="43">
        <v>78743.149999999994</v>
      </c>
      <c r="E1231" s="43">
        <v>78717.47</v>
      </c>
      <c r="F1231" s="2">
        <v>78717.52</v>
      </c>
      <c r="G1231" s="1">
        <v>148</v>
      </c>
      <c r="I1231" s="39">
        <v>46054.143750000003</v>
      </c>
      <c r="J1231" s="36">
        <v>77560.838069999998</v>
      </c>
      <c r="L1231" s="2"/>
      <c r="M1231" s="2"/>
      <c r="O1231" s="37">
        <v>46054.143750000003</v>
      </c>
      <c r="P1231" s="36">
        <v>78790.808650000006</v>
      </c>
      <c r="R1231" s="2">
        <v>79135.460370000001</v>
      </c>
      <c r="S1231" s="2">
        <v>78256.86911</v>
      </c>
    </row>
    <row r="1232" spans="1:19" x14ac:dyDescent="0.35">
      <c r="A1232" s="7">
        <v>1229</v>
      </c>
      <c r="B1232" s="37">
        <v>46054.144444444442</v>
      </c>
      <c r="C1232" s="2">
        <v>78717.52</v>
      </c>
      <c r="D1232" s="43">
        <v>78737.22</v>
      </c>
      <c r="E1232" s="43">
        <v>78700.28</v>
      </c>
      <c r="F1232" s="2">
        <v>78717.679999999993</v>
      </c>
      <c r="G1232" s="1">
        <v>162</v>
      </c>
      <c r="I1232" s="39">
        <v>46054.144444444442</v>
      </c>
      <c r="J1232" s="36">
        <v>77564.693100000004</v>
      </c>
      <c r="L1232" s="2"/>
      <c r="M1232" s="2"/>
      <c r="O1232" s="37">
        <v>46054.144444444442</v>
      </c>
      <c r="P1232" s="36">
        <v>78796.06</v>
      </c>
      <c r="R1232" s="2">
        <v>79134.208849999995</v>
      </c>
      <c r="S1232" s="2">
        <v>78256.936579999994</v>
      </c>
    </row>
    <row r="1233" spans="1:19" x14ac:dyDescent="0.35">
      <c r="A1233" s="7">
        <v>1230</v>
      </c>
      <c r="B1233" s="37">
        <v>46054.145138888889</v>
      </c>
      <c r="C1233" s="2">
        <v>78717.73</v>
      </c>
      <c r="D1233" s="43">
        <v>78746.350000000006</v>
      </c>
      <c r="E1233" s="43">
        <v>78694.11</v>
      </c>
      <c r="F1233" s="2">
        <v>78696.009999999995</v>
      </c>
      <c r="G1233" s="1">
        <v>125</v>
      </c>
      <c r="I1233" s="39">
        <v>46054.145138888889</v>
      </c>
      <c r="J1233" s="36">
        <v>77568.548139999999</v>
      </c>
      <c r="L1233" s="2"/>
      <c r="M1233" s="2"/>
      <c r="O1233" s="37">
        <v>46054.145138888889</v>
      </c>
      <c r="P1233" s="36">
        <v>78801.311350000004</v>
      </c>
      <c r="R1233" s="2">
        <v>79132.957339999994</v>
      </c>
      <c r="S1233" s="2">
        <v>78257.004050000003</v>
      </c>
    </row>
    <row r="1234" spans="1:19" x14ac:dyDescent="0.35">
      <c r="A1234" s="7">
        <v>1231</v>
      </c>
      <c r="B1234" s="37">
        <v>46054.145833333336</v>
      </c>
      <c r="C1234" s="2">
        <v>78696.009999999995</v>
      </c>
      <c r="D1234" s="43">
        <v>78750.23</v>
      </c>
      <c r="E1234" s="43">
        <v>78696.009999999995</v>
      </c>
      <c r="F1234" s="2">
        <v>78740.58</v>
      </c>
      <c r="G1234" s="1">
        <v>171</v>
      </c>
      <c r="I1234" s="39">
        <v>46054.145833333336</v>
      </c>
      <c r="J1234" s="36">
        <v>77572.403170000005</v>
      </c>
      <c r="L1234" s="2"/>
      <c r="M1234" s="2"/>
      <c r="O1234" s="37">
        <v>46054.145833333336</v>
      </c>
      <c r="P1234" s="36">
        <v>78806.562690000006</v>
      </c>
      <c r="R1234" s="2">
        <v>79131.705820000003</v>
      </c>
      <c r="S1234" s="2">
        <v>78257.071509999994</v>
      </c>
    </row>
    <row r="1235" spans="1:19" x14ac:dyDescent="0.35">
      <c r="A1235" s="7">
        <v>1232</v>
      </c>
      <c r="B1235" s="37">
        <v>46054.146527777775</v>
      </c>
      <c r="C1235" s="2">
        <v>78740.84</v>
      </c>
      <c r="D1235" s="43">
        <v>78740.84</v>
      </c>
      <c r="E1235" s="43">
        <v>78670.2</v>
      </c>
      <c r="F1235" s="2">
        <v>78670.2</v>
      </c>
      <c r="G1235" s="1">
        <v>186</v>
      </c>
      <c r="I1235" s="39">
        <v>46054.146527777775</v>
      </c>
      <c r="J1235" s="36">
        <v>77576.25821</v>
      </c>
      <c r="L1235" s="2"/>
      <c r="M1235" s="2"/>
      <c r="O1235" s="37">
        <v>46054.146527777775</v>
      </c>
      <c r="P1235" s="36">
        <v>78811.814039999997</v>
      </c>
      <c r="R1235" s="2">
        <v>79130.454299999998</v>
      </c>
      <c r="S1235" s="2">
        <v>78257.138980000003</v>
      </c>
    </row>
    <row r="1236" spans="1:19" x14ac:dyDescent="0.35">
      <c r="A1236" s="7">
        <v>1233</v>
      </c>
      <c r="B1236" s="37">
        <v>46054.147222222222</v>
      </c>
      <c r="C1236" s="2">
        <v>78670.210000000006</v>
      </c>
      <c r="D1236" s="43">
        <v>78670.210000000006</v>
      </c>
      <c r="E1236" s="43">
        <v>78631.94</v>
      </c>
      <c r="F1236" s="2">
        <v>78663</v>
      </c>
      <c r="G1236" s="1">
        <v>190</v>
      </c>
      <c r="I1236" s="39">
        <v>46054.147222222222</v>
      </c>
      <c r="J1236" s="36">
        <v>77580.113240000006</v>
      </c>
      <c r="L1236" s="2"/>
      <c r="M1236" s="2"/>
      <c r="O1236" s="37">
        <v>46054.147222222222</v>
      </c>
      <c r="P1236" s="36">
        <v>78817.06538</v>
      </c>
      <c r="R1236" s="2">
        <v>79129.202789999996</v>
      </c>
      <c r="S1236" s="2">
        <v>78257.206449999998</v>
      </c>
    </row>
    <row r="1237" spans="1:19" x14ac:dyDescent="0.35">
      <c r="A1237" s="7">
        <v>1234</v>
      </c>
      <c r="B1237" s="37">
        <v>46054.147916666669</v>
      </c>
      <c r="C1237" s="2">
        <v>78663</v>
      </c>
      <c r="D1237" s="43">
        <v>78736.13</v>
      </c>
      <c r="E1237" s="43">
        <v>78663</v>
      </c>
      <c r="F1237" s="2">
        <v>78717.16</v>
      </c>
      <c r="G1237" s="1">
        <v>212</v>
      </c>
      <c r="I1237" s="39">
        <v>46054.147916666669</v>
      </c>
      <c r="J1237" s="36">
        <v>77583.968280000001</v>
      </c>
      <c r="L1237" s="2"/>
      <c r="M1237" s="2"/>
      <c r="O1237" s="37">
        <v>46054.147916666669</v>
      </c>
      <c r="P1237" s="36">
        <v>78822.316730000006</v>
      </c>
      <c r="R1237" s="2">
        <v>79127.951270000005</v>
      </c>
      <c r="S1237" s="2">
        <v>78257.273910000004</v>
      </c>
    </row>
    <row r="1238" spans="1:19" x14ac:dyDescent="0.35">
      <c r="A1238" s="7">
        <v>1235</v>
      </c>
      <c r="B1238" s="37">
        <v>46054.148611111108</v>
      </c>
      <c r="C1238" s="2">
        <v>78722.100000000006</v>
      </c>
      <c r="D1238" s="43">
        <v>78722.100000000006</v>
      </c>
      <c r="E1238" s="43">
        <v>78686.8</v>
      </c>
      <c r="F1238" s="2">
        <v>78686.8</v>
      </c>
      <c r="G1238" s="1">
        <v>199</v>
      </c>
      <c r="I1238" s="39">
        <v>46054.148611111108</v>
      </c>
      <c r="J1238" s="36">
        <v>77587.823310000007</v>
      </c>
      <c r="L1238" s="2"/>
      <c r="M1238" s="2"/>
      <c r="O1238" s="37">
        <v>46054.148611111108</v>
      </c>
      <c r="P1238" s="36">
        <v>78827.568079999997</v>
      </c>
      <c r="R1238" s="2">
        <v>79126.69975</v>
      </c>
      <c r="S1238" s="2">
        <v>78257.341379999998</v>
      </c>
    </row>
    <row r="1239" spans="1:19" x14ac:dyDescent="0.35">
      <c r="A1239" s="7">
        <v>1236</v>
      </c>
      <c r="B1239" s="37">
        <v>46054.149305555555</v>
      </c>
      <c r="C1239" s="2">
        <v>78687.08</v>
      </c>
      <c r="D1239" s="43">
        <v>78687.34</v>
      </c>
      <c r="E1239" s="43">
        <v>78653.899999999994</v>
      </c>
      <c r="F1239" s="2">
        <v>78664.14</v>
      </c>
      <c r="G1239" s="1">
        <v>178</v>
      </c>
      <c r="I1239" s="39">
        <v>46054.149305555555</v>
      </c>
      <c r="J1239" s="36">
        <v>77591.678339999999</v>
      </c>
      <c r="L1239" s="2"/>
      <c r="M1239" s="2"/>
      <c r="O1239" s="37">
        <v>46054.149305555555</v>
      </c>
      <c r="P1239" s="36">
        <v>78832.81942</v>
      </c>
      <c r="R1239" s="2">
        <v>79125.448239999998</v>
      </c>
      <c r="S1239" s="2">
        <v>78257.408850000007</v>
      </c>
    </row>
    <row r="1240" spans="1:19" x14ac:dyDescent="0.35">
      <c r="A1240" s="7">
        <v>1237</v>
      </c>
      <c r="B1240" s="37">
        <v>46054.15</v>
      </c>
      <c r="C1240" s="2">
        <v>78664.14</v>
      </c>
      <c r="D1240" s="43">
        <v>78696.12</v>
      </c>
      <c r="E1240" s="43">
        <v>78655.710000000006</v>
      </c>
      <c r="F1240" s="2">
        <v>78676.649999999994</v>
      </c>
      <c r="G1240" s="1">
        <v>197</v>
      </c>
      <c r="I1240" s="39">
        <v>46054.15</v>
      </c>
      <c r="J1240" s="36">
        <v>77595.533379999993</v>
      </c>
      <c r="L1240" s="2"/>
      <c r="M1240" s="2"/>
      <c r="O1240" s="37">
        <v>46054.15</v>
      </c>
      <c r="P1240" s="36">
        <v>78838.070770000006</v>
      </c>
      <c r="R1240" s="2">
        <v>79124.196720000007</v>
      </c>
      <c r="S1240" s="2">
        <v>78257.476320000002</v>
      </c>
    </row>
    <row r="1241" spans="1:19" x14ac:dyDescent="0.35">
      <c r="A1241" s="7">
        <v>1238</v>
      </c>
      <c r="B1241" s="37">
        <v>46054.150694444441</v>
      </c>
      <c r="C1241" s="2">
        <v>78676.72</v>
      </c>
      <c r="D1241" s="43">
        <v>78698.509999999995</v>
      </c>
      <c r="E1241" s="43">
        <v>78668.47</v>
      </c>
      <c r="F1241" s="2">
        <v>78690.33</v>
      </c>
      <c r="G1241" s="1">
        <v>233</v>
      </c>
      <c r="I1241" s="39">
        <v>46054.150694444441</v>
      </c>
      <c r="J1241" s="36">
        <v>77599.38841</v>
      </c>
      <c r="L1241" s="2"/>
      <c r="M1241" s="2"/>
      <c r="O1241" s="37">
        <v>46054.150694444441</v>
      </c>
      <c r="P1241" s="36">
        <v>78843.322119999997</v>
      </c>
      <c r="R1241" s="2">
        <v>79122.945200000002</v>
      </c>
      <c r="S1241" s="2">
        <v>78257.543780000007</v>
      </c>
    </row>
    <row r="1242" spans="1:19" x14ac:dyDescent="0.35">
      <c r="A1242" s="7">
        <v>1239</v>
      </c>
      <c r="B1242" s="37">
        <v>46054.151388888888</v>
      </c>
      <c r="C1242" s="2">
        <v>78690.33</v>
      </c>
      <c r="D1242" s="43">
        <v>78708.52</v>
      </c>
      <c r="E1242" s="43">
        <v>78689.87</v>
      </c>
      <c r="F1242" s="2">
        <v>78694.62</v>
      </c>
      <c r="G1242" s="1">
        <v>185</v>
      </c>
      <c r="I1242" s="39">
        <v>46054.151388888888</v>
      </c>
      <c r="J1242" s="36">
        <v>77603.243449999994</v>
      </c>
      <c r="L1242" s="2"/>
      <c r="M1242" s="2"/>
      <c r="O1242" s="37">
        <v>46054.151388888888</v>
      </c>
      <c r="P1242" s="36">
        <v>78848.57346</v>
      </c>
      <c r="R1242" s="2">
        <v>79121.69369</v>
      </c>
      <c r="S1242" s="2">
        <v>78257.611250000002</v>
      </c>
    </row>
    <row r="1243" spans="1:19" x14ac:dyDescent="0.35">
      <c r="A1243" s="7">
        <v>1240</v>
      </c>
      <c r="B1243" s="37">
        <v>46054.152083333334</v>
      </c>
      <c r="C1243" s="2">
        <v>78694.62</v>
      </c>
      <c r="D1243" s="43">
        <v>78733.62</v>
      </c>
      <c r="E1243" s="43">
        <v>78694.62</v>
      </c>
      <c r="F1243" s="2">
        <v>78727.63</v>
      </c>
      <c r="G1243" s="1">
        <v>161</v>
      </c>
      <c r="I1243" s="39">
        <v>46054.152083333334</v>
      </c>
      <c r="J1243" s="36">
        <v>77607.098480000001</v>
      </c>
      <c r="L1243" s="2"/>
      <c r="M1243" s="2"/>
      <c r="O1243" s="37">
        <v>46054.152083333334</v>
      </c>
      <c r="P1243" s="36">
        <v>78853.824810000006</v>
      </c>
      <c r="R1243" s="2">
        <v>79120.442169999995</v>
      </c>
      <c r="S1243" s="2">
        <v>78257.678719999996</v>
      </c>
    </row>
    <row r="1244" spans="1:19" x14ac:dyDescent="0.35">
      <c r="A1244" s="7">
        <v>1241</v>
      </c>
      <c r="B1244" s="37">
        <v>46054.152777777781</v>
      </c>
      <c r="C1244" s="2">
        <v>78727.679999999993</v>
      </c>
      <c r="D1244" s="43">
        <v>78727.94</v>
      </c>
      <c r="E1244" s="43">
        <v>78690.41</v>
      </c>
      <c r="F1244" s="2">
        <v>78727.94</v>
      </c>
      <c r="G1244" s="1">
        <v>150</v>
      </c>
      <c r="I1244" s="39">
        <v>46054.152777777781</v>
      </c>
      <c r="J1244" s="36">
        <v>77610.953519999995</v>
      </c>
      <c r="L1244" s="2"/>
      <c r="M1244" s="2"/>
      <c r="O1244" s="37">
        <v>46054.152777777781</v>
      </c>
      <c r="P1244" s="36">
        <v>78859.076149999994</v>
      </c>
      <c r="R1244" s="2">
        <v>79119.190659999993</v>
      </c>
      <c r="S1244" s="2">
        <v>78257.746180000002</v>
      </c>
    </row>
    <row r="1245" spans="1:19" x14ac:dyDescent="0.35">
      <c r="A1245" s="7">
        <v>1242</v>
      </c>
      <c r="B1245" s="37">
        <v>46054.15347222222</v>
      </c>
      <c r="C1245" s="2">
        <v>78727.94</v>
      </c>
      <c r="D1245" s="43">
        <v>78756.62</v>
      </c>
      <c r="E1245" s="43">
        <v>78721.25</v>
      </c>
      <c r="F1245" s="2">
        <v>78721.33</v>
      </c>
      <c r="G1245" s="1">
        <v>207</v>
      </c>
      <c r="I1245" s="39">
        <v>46054.15347222222</v>
      </c>
      <c r="J1245" s="36">
        <v>77614.808550000002</v>
      </c>
      <c r="L1245" s="2"/>
      <c r="M1245" s="2"/>
      <c r="O1245" s="37">
        <v>46054.15347222222</v>
      </c>
      <c r="P1245" s="36">
        <v>78864.327499999999</v>
      </c>
      <c r="R1245" s="2">
        <v>79117.939140000002</v>
      </c>
      <c r="S1245" s="2">
        <v>78257.813649999996</v>
      </c>
    </row>
    <row r="1246" spans="1:19" x14ac:dyDescent="0.35">
      <c r="A1246" s="7">
        <v>1243</v>
      </c>
      <c r="B1246" s="37">
        <v>46054.154166666667</v>
      </c>
      <c r="C1246" s="2">
        <v>78766.31</v>
      </c>
      <c r="D1246" s="43">
        <v>78797.100000000006</v>
      </c>
      <c r="E1246" s="43">
        <v>78766.31</v>
      </c>
      <c r="F1246" s="2">
        <v>78796.66</v>
      </c>
      <c r="G1246" s="1">
        <v>105</v>
      </c>
      <c r="I1246" s="39">
        <v>46054.154166666667</v>
      </c>
      <c r="J1246" s="36">
        <v>77618.663589999996</v>
      </c>
      <c r="L1246" s="2"/>
      <c r="M1246" s="2"/>
      <c r="O1246" s="37">
        <v>46054.154166666667</v>
      </c>
      <c r="P1246" s="36">
        <v>78869.578850000005</v>
      </c>
      <c r="R1246" s="2">
        <v>79116.687619999997</v>
      </c>
      <c r="S1246" s="2">
        <v>78257.881120000005</v>
      </c>
    </row>
    <row r="1247" spans="1:19" x14ac:dyDescent="0.35">
      <c r="A1247" s="7">
        <v>1244</v>
      </c>
      <c r="B1247" s="37">
        <v>46054.154861111114</v>
      </c>
      <c r="C1247" s="2">
        <v>78800.84</v>
      </c>
      <c r="D1247" s="43">
        <v>78823.42</v>
      </c>
      <c r="E1247" s="43">
        <v>78655.570000000007</v>
      </c>
      <c r="F1247" s="2">
        <v>78660.84</v>
      </c>
      <c r="G1247" s="1">
        <v>211</v>
      </c>
      <c r="I1247" s="39">
        <v>46054.154861111114</v>
      </c>
      <c r="J1247" s="36">
        <v>77622.518620000003</v>
      </c>
      <c r="L1247" s="2"/>
      <c r="M1247" s="2"/>
      <c r="O1247" s="37">
        <v>46054.154861111114</v>
      </c>
      <c r="P1247" s="36">
        <v>78874.830189999993</v>
      </c>
      <c r="R1247" s="2">
        <v>79115.436109999995</v>
      </c>
      <c r="S1247" s="2">
        <v>78257.94859</v>
      </c>
    </row>
    <row r="1248" spans="1:19" x14ac:dyDescent="0.35">
      <c r="A1248" s="7">
        <v>1245</v>
      </c>
      <c r="B1248" s="37">
        <v>46054.155555555553</v>
      </c>
      <c r="C1248" s="2">
        <v>78659.03</v>
      </c>
      <c r="D1248" s="43">
        <v>78694.62</v>
      </c>
      <c r="E1248" s="43">
        <v>78650.789999999994</v>
      </c>
      <c r="F1248" s="2">
        <v>78680</v>
      </c>
      <c r="G1248" s="1">
        <v>210</v>
      </c>
      <c r="I1248" s="39">
        <v>46054.155555555553</v>
      </c>
      <c r="J1248" s="36">
        <v>77626.373659999997</v>
      </c>
      <c r="L1248" s="2"/>
      <c r="M1248" s="2"/>
      <c r="O1248" s="37">
        <v>46054.155555555553</v>
      </c>
      <c r="P1248" s="36">
        <v>78880.081539999999</v>
      </c>
      <c r="R1248" s="2">
        <v>79114.184590000004</v>
      </c>
      <c r="S1248" s="2">
        <v>78258.016050000006</v>
      </c>
    </row>
    <row r="1249" spans="1:19" x14ac:dyDescent="0.35">
      <c r="A1249" s="7">
        <v>1246</v>
      </c>
      <c r="B1249" s="37">
        <v>46054.15625</v>
      </c>
      <c r="C1249" s="2">
        <v>78682.490000000005</v>
      </c>
      <c r="D1249" s="43">
        <v>78722.05</v>
      </c>
      <c r="E1249" s="43">
        <v>78682.490000000005</v>
      </c>
      <c r="F1249" s="2">
        <v>78722.039999999994</v>
      </c>
      <c r="G1249" s="1">
        <v>200</v>
      </c>
      <c r="I1249" s="39">
        <v>46054.15625</v>
      </c>
      <c r="J1249" s="36">
        <v>77630.228690000004</v>
      </c>
      <c r="L1249" s="2"/>
      <c r="M1249" s="2"/>
      <c r="O1249" s="37">
        <v>46054.15625</v>
      </c>
      <c r="P1249" s="36">
        <v>78885.332880000002</v>
      </c>
      <c r="R1249" s="2">
        <v>79112.933069999999</v>
      </c>
      <c r="S1249" s="2">
        <v>78258.08352</v>
      </c>
    </row>
    <row r="1250" spans="1:19" x14ac:dyDescent="0.35">
      <c r="A1250" s="7">
        <v>1247</v>
      </c>
      <c r="B1250" s="37">
        <v>46054.156944444447</v>
      </c>
      <c r="C1250" s="2">
        <v>78722.039999999994</v>
      </c>
      <c r="D1250" s="43">
        <v>78746.64</v>
      </c>
      <c r="E1250" s="43">
        <v>78719.83</v>
      </c>
      <c r="F1250" s="2">
        <v>78729.37</v>
      </c>
      <c r="G1250" s="1">
        <v>176</v>
      </c>
      <c r="I1250" s="39">
        <v>46054.156944444447</v>
      </c>
      <c r="J1250" s="36">
        <v>77634.083719999995</v>
      </c>
      <c r="L1250" s="2"/>
      <c r="M1250" s="2"/>
      <c r="O1250" s="37">
        <v>46054.156944444447</v>
      </c>
      <c r="P1250" s="36">
        <v>78890.584229999993</v>
      </c>
      <c r="R1250" s="2">
        <v>79111.681559999997</v>
      </c>
      <c r="S1250" s="2">
        <v>78258.150989999995</v>
      </c>
    </row>
    <row r="1251" spans="1:19" x14ac:dyDescent="0.35">
      <c r="A1251" s="7">
        <v>1248</v>
      </c>
      <c r="B1251" s="37">
        <v>46054.157638888886</v>
      </c>
      <c r="C1251" s="2">
        <v>78729.37</v>
      </c>
      <c r="D1251" s="43">
        <v>78777.899999999994</v>
      </c>
      <c r="E1251" s="43">
        <v>78715.7</v>
      </c>
      <c r="F1251" s="2">
        <v>78777.83</v>
      </c>
      <c r="G1251" s="1">
        <v>194</v>
      </c>
      <c r="I1251" s="39">
        <v>46054.157638888886</v>
      </c>
      <c r="J1251" s="36">
        <v>77637.938760000005</v>
      </c>
      <c r="L1251" s="2"/>
      <c r="M1251" s="2"/>
      <c r="O1251" s="37">
        <v>46054.157638888886</v>
      </c>
      <c r="P1251" s="36">
        <v>78895.835579999999</v>
      </c>
      <c r="R1251" s="2">
        <v>79110.430040000007</v>
      </c>
      <c r="S1251" s="2">
        <v>78258.21845</v>
      </c>
    </row>
    <row r="1252" spans="1:19" x14ac:dyDescent="0.35">
      <c r="A1252" s="7">
        <v>1249</v>
      </c>
      <c r="B1252" s="37">
        <v>46054.158333333333</v>
      </c>
      <c r="C1252" s="2">
        <v>78777.820000000007</v>
      </c>
      <c r="D1252" s="43">
        <v>78819.39</v>
      </c>
      <c r="E1252" s="43">
        <v>78772.61</v>
      </c>
      <c r="F1252" s="2">
        <v>78793.45</v>
      </c>
      <c r="G1252" s="1">
        <v>161</v>
      </c>
      <c r="I1252" s="39">
        <v>46054.158333333333</v>
      </c>
      <c r="J1252" s="36">
        <v>77641.793789999996</v>
      </c>
      <c r="L1252" s="2"/>
      <c r="M1252" s="2"/>
      <c r="O1252" s="37">
        <v>46054.158333333333</v>
      </c>
      <c r="P1252" s="36">
        <v>78901.086920000002</v>
      </c>
      <c r="R1252" s="2">
        <v>79109.178520000001</v>
      </c>
      <c r="S1252" s="2">
        <v>78258.285919999995</v>
      </c>
    </row>
    <row r="1253" spans="1:19" x14ac:dyDescent="0.35">
      <c r="A1253" s="7">
        <v>1250</v>
      </c>
      <c r="B1253" s="37">
        <v>46054.15902777778</v>
      </c>
      <c r="C1253" s="2">
        <v>78790.960000000006</v>
      </c>
      <c r="D1253" s="43">
        <v>78824.25</v>
      </c>
      <c r="E1253" s="43">
        <v>78759.990000000005</v>
      </c>
      <c r="F1253" s="2">
        <v>78823.86</v>
      </c>
      <c r="G1253" s="1">
        <v>203</v>
      </c>
      <c r="I1253" s="39">
        <v>46054.15902777778</v>
      </c>
      <c r="J1253" s="36">
        <v>77645.648830000006</v>
      </c>
      <c r="L1253" s="2"/>
      <c r="M1253" s="2"/>
      <c r="O1253" s="37">
        <v>46054.15902777778</v>
      </c>
      <c r="P1253" s="36">
        <v>78906.338269999993</v>
      </c>
      <c r="R1253" s="2">
        <v>79107.927009999999</v>
      </c>
      <c r="S1253" s="2">
        <v>78258.353390000004</v>
      </c>
    </row>
    <row r="1254" spans="1:19" x14ac:dyDescent="0.35">
      <c r="A1254" s="7">
        <v>1251</v>
      </c>
      <c r="B1254" s="37">
        <v>46054.159722222219</v>
      </c>
      <c r="C1254" s="2">
        <v>78824.23</v>
      </c>
      <c r="D1254" s="43">
        <v>78830.320000000007</v>
      </c>
      <c r="E1254" s="43">
        <v>78811.62</v>
      </c>
      <c r="F1254" s="2">
        <v>78830.320000000007</v>
      </c>
      <c r="G1254" s="1">
        <v>151</v>
      </c>
      <c r="I1254" s="39">
        <v>46054.159722222219</v>
      </c>
      <c r="J1254" s="36">
        <v>77649.503859999997</v>
      </c>
      <c r="L1254" s="2"/>
      <c r="M1254" s="2"/>
      <c r="O1254" s="37">
        <v>46054.159722222219</v>
      </c>
      <c r="P1254" s="36">
        <v>78911.589619999999</v>
      </c>
      <c r="R1254" s="2">
        <v>79106.675489999994</v>
      </c>
      <c r="S1254" s="2">
        <v>78258.420859999998</v>
      </c>
    </row>
    <row r="1255" spans="1:19" x14ac:dyDescent="0.35">
      <c r="A1255" s="7">
        <v>1252</v>
      </c>
      <c r="B1255" s="37">
        <v>46054.160416666666</v>
      </c>
      <c r="C1255" s="2">
        <v>78830.33</v>
      </c>
      <c r="D1255" s="43">
        <v>78859.22</v>
      </c>
      <c r="E1255" s="43">
        <v>78811.69</v>
      </c>
      <c r="F1255" s="2">
        <v>78854.22</v>
      </c>
      <c r="G1255" s="1">
        <v>156</v>
      </c>
      <c r="I1255" s="39">
        <v>46054.160416666666</v>
      </c>
      <c r="J1255" s="36">
        <v>77653.358900000007</v>
      </c>
      <c r="L1255" s="2"/>
      <c r="M1255" s="2"/>
      <c r="O1255" s="37">
        <v>46054.160416666666</v>
      </c>
      <c r="P1255" s="36">
        <v>78916.840960000001</v>
      </c>
      <c r="R1255" s="2">
        <v>79105.423980000007</v>
      </c>
      <c r="S1255" s="2">
        <v>78258.488320000004</v>
      </c>
    </row>
    <row r="1256" spans="1:19" x14ac:dyDescent="0.35">
      <c r="A1256" s="7">
        <v>1253</v>
      </c>
      <c r="B1256" s="37">
        <v>46054.161111111112</v>
      </c>
      <c r="C1256" s="2">
        <v>78854.22</v>
      </c>
      <c r="D1256" s="43">
        <v>78869</v>
      </c>
      <c r="E1256" s="43">
        <v>78831.63</v>
      </c>
      <c r="F1256" s="2">
        <v>78852.179999999993</v>
      </c>
      <c r="G1256" s="1">
        <v>190</v>
      </c>
      <c r="I1256" s="39">
        <v>46054.161111111112</v>
      </c>
      <c r="J1256" s="36">
        <v>77657.213929999998</v>
      </c>
      <c r="L1256" s="2"/>
      <c r="M1256" s="2"/>
      <c r="O1256" s="37">
        <v>46054.161111111112</v>
      </c>
      <c r="P1256" s="36">
        <v>78922.092310000007</v>
      </c>
      <c r="R1256" s="2">
        <v>79104.172460000002</v>
      </c>
      <c r="S1256" s="2">
        <v>78258.555789999999</v>
      </c>
    </row>
    <row r="1257" spans="1:19" x14ac:dyDescent="0.35">
      <c r="A1257" s="7">
        <v>1254</v>
      </c>
      <c r="B1257" s="37">
        <v>46054.161805555559</v>
      </c>
      <c r="C1257" s="2">
        <v>78852.17</v>
      </c>
      <c r="D1257" s="43">
        <v>78852.23</v>
      </c>
      <c r="E1257" s="43">
        <v>78817.649999999994</v>
      </c>
      <c r="F1257" s="2">
        <v>78822.92</v>
      </c>
      <c r="G1257" s="1">
        <v>156</v>
      </c>
      <c r="I1257" s="39">
        <v>46054.161805555559</v>
      </c>
      <c r="J1257" s="36">
        <v>77661.068969999993</v>
      </c>
      <c r="L1257" s="2"/>
      <c r="M1257" s="2"/>
      <c r="O1257" s="37">
        <v>46054.161805555559</v>
      </c>
      <c r="P1257" s="36">
        <v>78927.343649999995</v>
      </c>
      <c r="R1257" s="2">
        <v>79102.920939999996</v>
      </c>
      <c r="S1257" s="2">
        <v>78258.623259999993</v>
      </c>
    </row>
    <row r="1258" spans="1:19" x14ac:dyDescent="0.35">
      <c r="A1258" s="7">
        <v>1255</v>
      </c>
      <c r="B1258" s="37">
        <v>46054.162499999999</v>
      </c>
      <c r="C1258" s="2">
        <v>78822.880000000005</v>
      </c>
      <c r="D1258" s="43">
        <v>78832.600000000006</v>
      </c>
      <c r="E1258" s="43">
        <v>78766.509999999995</v>
      </c>
      <c r="F1258" s="2">
        <v>78816.73</v>
      </c>
      <c r="G1258" s="1">
        <v>171</v>
      </c>
      <c r="I1258" s="39">
        <v>46054.162499999999</v>
      </c>
      <c r="J1258" s="36">
        <v>77664.923999999999</v>
      </c>
      <c r="L1258" s="2"/>
      <c r="M1258" s="2"/>
      <c r="O1258" s="37">
        <v>46054.162499999999</v>
      </c>
      <c r="P1258" s="36">
        <v>78932.595000000001</v>
      </c>
      <c r="R1258" s="2">
        <v>79101.669429999994</v>
      </c>
      <c r="S1258" s="2">
        <v>78258.690719999999</v>
      </c>
    </row>
    <row r="1259" spans="1:19" x14ac:dyDescent="0.35">
      <c r="A1259" s="7">
        <v>1256</v>
      </c>
      <c r="B1259" s="37">
        <v>46054.163194444445</v>
      </c>
      <c r="C1259" s="2">
        <v>78816.800000000003</v>
      </c>
      <c r="D1259" s="43">
        <v>78838.34</v>
      </c>
      <c r="E1259" s="43">
        <v>78763.429999999993</v>
      </c>
      <c r="F1259" s="2">
        <v>78780.399999999994</v>
      </c>
      <c r="G1259" s="1">
        <v>199</v>
      </c>
      <c r="I1259" s="39">
        <v>46054.163194444445</v>
      </c>
      <c r="J1259" s="36">
        <v>77668.779030000005</v>
      </c>
      <c r="L1259" s="2"/>
      <c r="M1259" s="2"/>
      <c r="O1259" s="37">
        <v>46054.163194444445</v>
      </c>
      <c r="P1259" s="36">
        <v>78937.846350000007</v>
      </c>
      <c r="R1259" s="2">
        <v>79100.417910000004</v>
      </c>
      <c r="S1259" s="2">
        <v>78258.758189999993</v>
      </c>
    </row>
    <row r="1260" spans="1:19" x14ac:dyDescent="0.35">
      <c r="A1260" s="7">
        <v>1257</v>
      </c>
      <c r="B1260" s="37">
        <v>46054.163888888892</v>
      </c>
      <c r="C1260" s="2">
        <v>78780.39</v>
      </c>
      <c r="D1260" s="43">
        <v>78800.539999999994</v>
      </c>
      <c r="E1260" s="43">
        <v>78780.39</v>
      </c>
      <c r="F1260" s="2">
        <v>78800.27</v>
      </c>
      <c r="G1260" s="1">
        <v>133</v>
      </c>
      <c r="I1260" s="39">
        <v>46054.163888888892</v>
      </c>
      <c r="J1260" s="36">
        <v>77672.63407</v>
      </c>
      <c r="L1260" s="2"/>
      <c r="M1260" s="2"/>
      <c r="O1260" s="37">
        <v>46054.163888888892</v>
      </c>
      <c r="P1260" s="36">
        <v>78943.097689999995</v>
      </c>
      <c r="R1260" s="2">
        <v>79099.166389999999</v>
      </c>
      <c r="S1260" s="2">
        <v>78258.825660000002</v>
      </c>
    </row>
    <row r="1261" spans="1:19" x14ac:dyDescent="0.35">
      <c r="A1261" s="7">
        <v>1258</v>
      </c>
      <c r="B1261" s="37">
        <v>46054.164583333331</v>
      </c>
      <c r="C1261" s="2">
        <v>78800.23</v>
      </c>
      <c r="D1261" s="43">
        <v>78832.73</v>
      </c>
      <c r="E1261" s="43">
        <v>78800.23</v>
      </c>
      <c r="F1261" s="2">
        <v>78825.820000000007</v>
      </c>
      <c r="G1261" s="1">
        <v>177</v>
      </c>
      <c r="I1261" s="39">
        <v>46054.164583333331</v>
      </c>
      <c r="J1261" s="36">
        <v>77676.489100000006</v>
      </c>
      <c r="L1261" s="2"/>
      <c r="M1261" s="2"/>
      <c r="O1261" s="37">
        <v>46054.164583333331</v>
      </c>
      <c r="P1261" s="36">
        <v>78948.349040000001</v>
      </c>
      <c r="R1261" s="2">
        <v>79097.914879999997</v>
      </c>
      <c r="S1261" s="2">
        <v>78258.893129999997</v>
      </c>
    </row>
    <row r="1262" spans="1:19" x14ac:dyDescent="0.35">
      <c r="A1262" s="7">
        <v>1259</v>
      </c>
      <c r="B1262" s="37">
        <v>46054.165277777778</v>
      </c>
      <c r="C1262" s="2">
        <v>78825.83</v>
      </c>
      <c r="D1262" s="43">
        <v>78849.539999999994</v>
      </c>
      <c r="E1262" s="43">
        <v>78792.84</v>
      </c>
      <c r="F1262" s="2">
        <v>78836.37</v>
      </c>
      <c r="G1262" s="1">
        <v>159</v>
      </c>
      <c r="I1262" s="39">
        <v>46054.165277777778</v>
      </c>
      <c r="J1262" s="36">
        <v>77680.344140000001</v>
      </c>
      <c r="L1262" s="2"/>
      <c r="M1262" s="2"/>
      <c r="O1262" s="37">
        <v>46054.165277777778</v>
      </c>
      <c r="P1262" s="36">
        <v>78953.600380000003</v>
      </c>
      <c r="R1262" s="2">
        <v>79096.663360000006</v>
      </c>
      <c r="S1262" s="2">
        <v>78258.960590000002</v>
      </c>
    </row>
    <row r="1263" spans="1:19" x14ac:dyDescent="0.35">
      <c r="A1263" s="7">
        <v>1260</v>
      </c>
      <c r="B1263" s="37">
        <v>46054.165972222225</v>
      </c>
      <c r="C1263" s="2">
        <v>78836.37</v>
      </c>
      <c r="D1263" s="43">
        <v>78836.710000000006</v>
      </c>
      <c r="E1263" s="43">
        <v>78808.070000000007</v>
      </c>
      <c r="F1263" s="2">
        <v>78814.36</v>
      </c>
      <c r="G1263" s="1">
        <v>188</v>
      </c>
      <c r="I1263" s="39">
        <v>46054.165972222225</v>
      </c>
      <c r="J1263" s="36">
        <v>77684.199170000007</v>
      </c>
      <c r="L1263" s="2"/>
      <c r="M1263" s="2"/>
      <c r="O1263" s="37">
        <v>46054.165972222225</v>
      </c>
      <c r="P1263" s="36">
        <v>78958.851729999995</v>
      </c>
      <c r="R1263" s="2">
        <v>79095.411840000001</v>
      </c>
      <c r="S1263" s="2">
        <v>78259.028059999997</v>
      </c>
    </row>
    <row r="1264" spans="1:19" x14ac:dyDescent="0.35">
      <c r="A1264" s="7">
        <v>1261</v>
      </c>
      <c r="B1264" s="37">
        <v>46054.166666666664</v>
      </c>
      <c r="C1264" s="2">
        <v>78814.31</v>
      </c>
      <c r="D1264" s="43">
        <v>78822.210000000006</v>
      </c>
      <c r="E1264" s="43">
        <v>78790.75</v>
      </c>
      <c r="F1264" s="2">
        <v>78799.259999999995</v>
      </c>
      <c r="G1264" s="1">
        <v>182</v>
      </c>
      <c r="I1264" s="39">
        <v>46054.166666666664</v>
      </c>
      <c r="J1264" s="36">
        <v>77688.054210000002</v>
      </c>
      <c r="L1264" s="2"/>
      <c r="M1264" s="2"/>
      <c r="O1264" s="37">
        <v>46054.166666666664</v>
      </c>
      <c r="P1264" s="36">
        <v>78964.103080000001</v>
      </c>
      <c r="R1264" s="2">
        <v>79094.160329999999</v>
      </c>
      <c r="S1264" s="2">
        <v>78259.095530000006</v>
      </c>
    </row>
    <row r="1265" spans="1:19" x14ac:dyDescent="0.35">
      <c r="A1265" s="7">
        <v>1262</v>
      </c>
      <c r="B1265" s="37">
        <v>46054.167361111111</v>
      </c>
      <c r="C1265" s="2">
        <v>78796.5</v>
      </c>
      <c r="D1265" s="43">
        <v>78799.09</v>
      </c>
      <c r="E1265" s="43">
        <v>78776.460000000006</v>
      </c>
      <c r="F1265" s="2">
        <v>78788.88</v>
      </c>
      <c r="G1265" s="1">
        <v>192</v>
      </c>
      <c r="I1265" s="39">
        <v>46054.167361111111</v>
      </c>
      <c r="J1265" s="36">
        <v>77691.909239999994</v>
      </c>
      <c r="L1265" s="2"/>
      <c r="M1265" s="2"/>
      <c r="O1265" s="37">
        <v>46054.167361111111</v>
      </c>
      <c r="P1265" s="36">
        <v>78969.354420000003</v>
      </c>
      <c r="R1265" s="2">
        <v>79092.908809999994</v>
      </c>
      <c r="S1265" s="2">
        <v>78259.162989999997</v>
      </c>
    </row>
    <row r="1266" spans="1:19" x14ac:dyDescent="0.35">
      <c r="A1266" s="7">
        <v>1263</v>
      </c>
      <c r="B1266" s="37">
        <v>46054.168055555558</v>
      </c>
      <c r="C1266" s="2">
        <v>78789.259999999995</v>
      </c>
      <c r="D1266" s="43">
        <v>78813.539999999994</v>
      </c>
      <c r="E1266" s="43">
        <v>78748.7</v>
      </c>
      <c r="F1266" s="2">
        <v>78749.919999999998</v>
      </c>
      <c r="G1266" s="1">
        <v>178</v>
      </c>
      <c r="I1266" s="39">
        <v>46054.168055555558</v>
      </c>
      <c r="J1266" s="36">
        <v>77695.764280000003</v>
      </c>
      <c r="L1266" s="2"/>
      <c r="M1266" s="2"/>
      <c r="O1266" s="37">
        <v>46054.168055555558</v>
      </c>
      <c r="P1266" s="36">
        <v>78974.605769999995</v>
      </c>
      <c r="R1266" s="2">
        <v>79091.657300000006</v>
      </c>
      <c r="S1266" s="2">
        <v>78259.230460000006</v>
      </c>
    </row>
    <row r="1267" spans="1:19" x14ac:dyDescent="0.35">
      <c r="A1267" s="7">
        <v>1264</v>
      </c>
      <c r="B1267" s="37">
        <v>46054.168749999997</v>
      </c>
      <c r="C1267" s="2">
        <v>78748.92</v>
      </c>
      <c r="D1267" s="43">
        <v>78773.34</v>
      </c>
      <c r="E1267" s="43">
        <v>78747.87</v>
      </c>
      <c r="F1267" s="2">
        <v>78759.490000000005</v>
      </c>
      <c r="G1267" s="1">
        <v>192</v>
      </c>
      <c r="I1267" s="39">
        <v>46054.168749999997</v>
      </c>
      <c r="J1267" s="36">
        <v>77699.619309999995</v>
      </c>
      <c r="L1267" s="2"/>
      <c r="M1267" s="2"/>
      <c r="O1267" s="37">
        <v>46054.168749999997</v>
      </c>
      <c r="P1267" s="36">
        <v>78979.857120000001</v>
      </c>
      <c r="R1267" s="2">
        <v>79090.405780000001</v>
      </c>
      <c r="S1267" s="2">
        <v>78259.297930000001</v>
      </c>
    </row>
    <row r="1268" spans="1:19" x14ac:dyDescent="0.35">
      <c r="A1268" s="7">
        <v>1265</v>
      </c>
      <c r="B1268" s="37">
        <v>46054.169444444444</v>
      </c>
      <c r="C1268" s="2">
        <v>78759.490000000005</v>
      </c>
      <c r="D1268" s="43">
        <v>78764.320000000007</v>
      </c>
      <c r="E1268" s="43">
        <v>78722.31</v>
      </c>
      <c r="F1268" s="2">
        <v>78722.31</v>
      </c>
      <c r="G1268" s="1">
        <v>148</v>
      </c>
      <c r="I1268" s="39">
        <v>46054.169444444444</v>
      </c>
      <c r="J1268" s="36">
        <v>77703.474340000001</v>
      </c>
      <c r="L1268" s="2"/>
      <c r="M1268" s="2"/>
      <c r="O1268" s="37">
        <v>46054.169444444444</v>
      </c>
      <c r="P1268" s="36">
        <v>78985.108460000003</v>
      </c>
      <c r="R1268" s="2">
        <v>79089.154259999996</v>
      </c>
      <c r="S1268" s="2">
        <v>78259.365390000006</v>
      </c>
    </row>
    <row r="1269" spans="1:19" x14ac:dyDescent="0.35">
      <c r="A1269" s="7">
        <v>1266</v>
      </c>
      <c r="B1269" s="37">
        <v>46054.170138888891</v>
      </c>
      <c r="C1269" s="2">
        <v>78722.31</v>
      </c>
      <c r="D1269" s="43">
        <v>78730.03</v>
      </c>
      <c r="E1269" s="43">
        <v>78669.100000000006</v>
      </c>
      <c r="F1269" s="2">
        <v>78677.34</v>
      </c>
      <c r="G1269" s="1">
        <v>209</v>
      </c>
      <c r="I1269" s="39">
        <v>46054.170138888891</v>
      </c>
      <c r="J1269" s="36">
        <v>77707.329379999996</v>
      </c>
      <c r="L1269" s="2"/>
      <c r="M1269" s="2"/>
      <c r="O1269" s="37">
        <v>46054.170138888891</v>
      </c>
      <c r="P1269" s="36">
        <v>78990.359809999994</v>
      </c>
      <c r="R1269" s="2">
        <v>79087.902749999994</v>
      </c>
      <c r="S1269" s="2">
        <v>78259.432860000001</v>
      </c>
    </row>
    <row r="1270" spans="1:19" x14ac:dyDescent="0.35">
      <c r="A1270" s="7">
        <v>1267</v>
      </c>
      <c r="B1270" s="37">
        <v>46054.17083333333</v>
      </c>
      <c r="C1270" s="2">
        <v>78677.320000000007</v>
      </c>
      <c r="D1270" s="43">
        <v>78739.63</v>
      </c>
      <c r="E1270" s="43">
        <v>78670.78</v>
      </c>
      <c r="F1270" s="2">
        <v>78739.63</v>
      </c>
      <c r="G1270" s="1">
        <v>166</v>
      </c>
      <c r="I1270" s="39">
        <v>46054.17083333333</v>
      </c>
      <c r="J1270" s="36">
        <v>77711.184410000002</v>
      </c>
      <c r="L1270" s="2"/>
      <c r="M1270" s="2"/>
      <c r="O1270" s="37">
        <v>46054.17083333333</v>
      </c>
      <c r="P1270" s="36">
        <v>78995.611149999997</v>
      </c>
      <c r="R1270" s="2">
        <v>79086.651230000003</v>
      </c>
      <c r="S1270" s="2">
        <v>78259.500329999995</v>
      </c>
    </row>
    <row r="1271" spans="1:19" x14ac:dyDescent="0.35">
      <c r="A1271" s="7">
        <v>1268</v>
      </c>
      <c r="B1271" s="37">
        <v>46054.171527777777</v>
      </c>
      <c r="C1271" s="2">
        <v>78739.63</v>
      </c>
      <c r="D1271" s="43">
        <v>78739.63</v>
      </c>
      <c r="E1271" s="43">
        <v>78680.61</v>
      </c>
      <c r="F1271" s="2">
        <v>78691.41</v>
      </c>
      <c r="G1271" s="1">
        <v>211</v>
      </c>
      <c r="I1271" s="39">
        <v>46054.171527777777</v>
      </c>
      <c r="J1271" s="36">
        <v>77715.039449999997</v>
      </c>
      <c r="L1271" s="2"/>
      <c r="M1271" s="2"/>
      <c r="O1271" s="37">
        <v>46054.171527777777</v>
      </c>
      <c r="P1271" s="36">
        <v>79000.862500000003</v>
      </c>
      <c r="R1271" s="2">
        <v>79085.399709999998</v>
      </c>
      <c r="S1271" s="2">
        <v>78259.567800000004</v>
      </c>
    </row>
    <row r="1272" spans="1:19" x14ac:dyDescent="0.35">
      <c r="A1272" s="7">
        <v>1269</v>
      </c>
      <c r="B1272" s="37">
        <v>46054.172222222223</v>
      </c>
      <c r="C1272" s="2">
        <v>78691.41</v>
      </c>
      <c r="D1272" s="43">
        <v>78714.350000000006</v>
      </c>
      <c r="E1272" s="43">
        <v>78680.95</v>
      </c>
      <c r="F1272" s="2">
        <v>78696.92</v>
      </c>
      <c r="G1272" s="1">
        <v>168</v>
      </c>
      <c r="I1272" s="39">
        <v>46054.172222222223</v>
      </c>
      <c r="J1272" s="36">
        <v>77718.894480000003</v>
      </c>
      <c r="L1272" s="2"/>
      <c r="M1272" s="2"/>
      <c r="O1272" s="37">
        <v>46054.172222222223</v>
      </c>
      <c r="P1272" s="36">
        <v>79006.113849999994</v>
      </c>
      <c r="R1272" s="2">
        <v>79084.148199999996</v>
      </c>
      <c r="S1272" s="2">
        <v>78259.635259999995</v>
      </c>
    </row>
    <row r="1273" spans="1:19" x14ac:dyDescent="0.35">
      <c r="A1273" s="7">
        <v>1270</v>
      </c>
      <c r="B1273" s="37">
        <v>46054.17291666667</v>
      </c>
      <c r="C1273" s="2">
        <v>78696.92</v>
      </c>
      <c r="D1273" s="43">
        <v>78765.070000000007</v>
      </c>
      <c r="E1273" s="43">
        <v>78696.92</v>
      </c>
      <c r="F1273" s="2">
        <v>78765.070000000007</v>
      </c>
      <c r="G1273" s="1">
        <v>167</v>
      </c>
      <c r="I1273" s="39">
        <v>46054.17291666667</v>
      </c>
      <c r="J1273" s="36">
        <v>77722.749519999998</v>
      </c>
      <c r="L1273" s="2"/>
      <c r="M1273" s="2"/>
      <c r="O1273" s="37">
        <v>46054.17291666667</v>
      </c>
      <c r="P1273" s="36">
        <v>79011.365189999997</v>
      </c>
      <c r="R1273" s="2">
        <v>79082.896680000005</v>
      </c>
      <c r="S1273" s="2">
        <v>78259.702730000005</v>
      </c>
    </row>
    <row r="1274" spans="1:19" x14ac:dyDescent="0.35">
      <c r="A1274" s="7">
        <v>1271</v>
      </c>
      <c r="B1274" s="37">
        <v>46054.173611111109</v>
      </c>
      <c r="C1274" s="2">
        <v>78765.31</v>
      </c>
      <c r="D1274" s="43">
        <v>78821.11</v>
      </c>
      <c r="E1274" s="43">
        <v>78765.31</v>
      </c>
      <c r="F1274" s="2">
        <v>78801.66</v>
      </c>
      <c r="G1274" s="1">
        <v>188</v>
      </c>
      <c r="I1274" s="39">
        <v>46054.173611111109</v>
      </c>
      <c r="J1274" s="36">
        <v>77726.604550000004</v>
      </c>
      <c r="L1274" s="2"/>
      <c r="M1274" s="2"/>
      <c r="O1274" s="37">
        <v>46054.173611111109</v>
      </c>
      <c r="P1274" s="36">
        <v>79016.616540000003</v>
      </c>
      <c r="R1274" s="2">
        <v>79081.64516</v>
      </c>
      <c r="S1274" s="2">
        <v>78259.770199999999</v>
      </c>
    </row>
    <row r="1275" spans="1:19" x14ac:dyDescent="0.35">
      <c r="A1275" s="7">
        <v>1272</v>
      </c>
      <c r="B1275" s="37">
        <v>46054.174305555556</v>
      </c>
      <c r="C1275" s="2">
        <v>78801.67</v>
      </c>
      <c r="D1275" s="43">
        <v>78857.97</v>
      </c>
      <c r="E1275" s="43">
        <v>78795.25</v>
      </c>
      <c r="F1275" s="2">
        <v>78852.58</v>
      </c>
      <c r="G1275" s="1">
        <v>210</v>
      </c>
      <c r="I1275" s="39">
        <v>46054.174305555556</v>
      </c>
      <c r="J1275" s="36">
        <v>77730.459589999999</v>
      </c>
      <c r="L1275" s="2"/>
      <c r="M1275" s="2"/>
      <c r="O1275" s="37">
        <v>46054.174305555556</v>
      </c>
      <c r="P1275" s="36">
        <v>79021.867880000005</v>
      </c>
      <c r="R1275" s="2">
        <v>79080.393649999998</v>
      </c>
      <c r="S1275" s="2">
        <v>78259.837660000005</v>
      </c>
    </row>
    <row r="1276" spans="1:19" x14ac:dyDescent="0.35">
      <c r="A1276" s="7">
        <v>1273</v>
      </c>
      <c r="B1276" s="37">
        <v>46054.175000000003</v>
      </c>
      <c r="C1276" s="2">
        <v>78852.36</v>
      </c>
      <c r="D1276" s="43">
        <v>78960.33</v>
      </c>
      <c r="E1276" s="43">
        <v>78841.820000000007</v>
      </c>
      <c r="F1276" s="2">
        <v>78952.149999999994</v>
      </c>
      <c r="G1276" s="1">
        <v>243</v>
      </c>
      <c r="I1276" s="39">
        <v>46054.175000000003</v>
      </c>
      <c r="J1276" s="36">
        <v>77734.314620000005</v>
      </c>
      <c r="L1276" s="2"/>
      <c r="M1276" s="2"/>
      <c r="O1276" s="37">
        <v>46054.175000000003</v>
      </c>
      <c r="P1276" s="36">
        <v>79027.119229999997</v>
      </c>
      <c r="R1276" s="2">
        <v>79079.142129999993</v>
      </c>
      <c r="S1276" s="2">
        <v>78259.905129999999</v>
      </c>
    </row>
    <row r="1277" spans="1:19" x14ac:dyDescent="0.35">
      <c r="A1277" s="7">
        <v>1274</v>
      </c>
      <c r="B1277" s="37">
        <v>46054.175694444442</v>
      </c>
      <c r="C1277" s="2">
        <v>78952.149999999994</v>
      </c>
      <c r="D1277" s="43">
        <v>78952.31</v>
      </c>
      <c r="E1277" s="43">
        <v>78926.59</v>
      </c>
      <c r="F1277" s="2">
        <v>78929.2</v>
      </c>
      <c r="G1277" s="1">
        <v>192</v>
      </c>
      <c r="I1277" s="39">
        <v>46054.175694444442</v>
      </c>
      <c r="J1277" s="36">
        <v>77738.16966</v>
      </c>
      <c r="L1277" s="2"/>
      <c r="M1277" s="2"/>
      <c r="O1277" s="37">
        <v>46054.175694444442</v>
      </c>
      <c r="P1277" s="36">
        <v>79032.370580000003</v>
      </c>
      <c r="R1277" s="2">
        <v>79077.890610000002</v>
      </c>
      <c r="S1277" s="2">
        <v>78259.972599999994</v>
      </c>
    </row>
    <row r="1278" spans="1:19" x14ac:dyDescent="0.35">
      <c r="A1278" s="7">
        <v>1275</v>
      </c>
      <c r="B1278" s="37">
        <v>46054.176388888889</v>
      </c>
      <c r="C1278" s="2">
        <v>78929.19</v>
      </c>
      <c r="D1278" s="43">
        <v>78929.19</v>
      </c>
      <c r="E1278" s="43">
        <v>78890.570000000007</v>
      </c>
      <c r="F1278" s="2">
        <v>78915.69</v>
      </c>
      <c r="G1278" s="1">
        <v>200</v>
      </c>
      <c r="I1278" s="39">
        <v>46054.176388888889</v>
      </c>
      <c r="J1278" s="36">
        <v>77742.024690000006</v>
      </c>
      <c r="L1278" s="2"/>
      <c r="M1278" s="2"/>
      <c r="O1278" s="37">
        <v>46054.176388888889</v>
      </c>
      <c r="P1278" s="36">
        <v>79037.621920000005</v>
      </c>
      <c r="R1278" s="2">
        <v>79076.6391</v>
      </c>
      <c r="S1278" s="2">
        <v>78260.040070000003</v>
      </c>
    </row>
    <row r="1279" spans="1:19" x14ac:dyDescent="0.35">
      <c r="A1279" s="7">
        <v>1276</v>
      </c>
      <c r="B1279" s="37">
        <v>46054.177083333336</v>
      </c>
      <c r="C1279" s="2">
        <v>78915.69</v>
      </c>
      <c r="D1279" s="43">
        <v>78926.429999999993</v>
      </c>
      <c r="E1279" s="43">
        <v>78903</v>
      </c>
      <c r="F1279" s="2">
        <v>78926.429999999993</v>
      </c>
      <c r="G1279" s="1">
        <v>184</v>
      </c>
      <c r="I1279" s="39">
        <v>46054.177083333336</v>
      </c>
      <c r="J1279" s="36">
        <v>77745.879719999997</v>
      </c>
      <c r="L1279" s="2"/>
      <c r="M1279" s="2"/>
      <c r="O1279" s="37">
        <v>46054.177083333336</v>
      </c>
      <c r="P1279" s="36">
        <v>79042.873269999996</v>
      </c>
      <c r="R1279" s="2">
        <v>79075.387579999995</v>
      </c>
      <c r="S1279" s="2">
        <v>78260.107529999994</v>
      </c>
    </row>
    <row r="1280" spans="1:19" x14ac:dyDescent="0.35">
      <c r="A1280" s="7">
        <v>1277</v>
      </c>
      <c r="B1280" s="37">
        <v>46054.177777777775</v>
      </c>
      <c r="C1280" s="2">
        <v>78926.429999999993</v>
      </c>
      <c r="D1280" s="43">
        <v>78936</v>
      </c>
      <c r="E1280" s="43">
        <v>78889.850000000006</v>
      </c>
      <c r="F1280" s="2">
        <v>78935.360000000001</v>
      </c>
      <c r="G1280" s="1">
        <v>204</v>
      </c>
      <c r="I1280" s="39">
        <v>46054.177777777775</v>
      </c>
      <c r="J1280" s="36">
        <v>77749.734760000007</v>
      </c>
      <c r="L1280" s="2"/>
      <c r="M1280" s="2"/>
      <c r="O1280" s="37">
        <v>46054.177777777775</v>
      </c>
      <c r="P1280" s="36">
        <v>79048.124620000002</v>
      </c>
      <c r="R1280" s="2">
        <v>79074.136069999993</v>
      </c>
      <c r="S1280" s="2">
        <v>78260.175000000003</v>
      </c>
    </row>
    <row r="1281" spans="1:19" x14ac:dyDescent="0.35">
      <c r="A1281" s="7">
        <v>1278</v>
      </c>
      <c r="B1281" s="37">
        <v>46054.178472222222</v>
      </c>
      <c r="C1281" s="2">
        <v>78935.360000000001</v>
      </c>
      <c r="D1281" s="43">
        <v>79044.850000000006</v>
      </c>
      <c r="E1281" s="43">
        <v>78935.360000000001</v>
      </c>
      <c r="F1281" s="2">
        <v>78999.31</v>
      </c>
      <c r="G1281" s="1">
        <v>203</v>
      </c>
      <c r="I1281" s="39">
        <v>46054.178472222222</v>
      </c>
      <c r="J1281" s="36">
        <v>77753.589789999998</v>
      </c>
      <c r="L1281" s="2"/>
      <c r="M1281" s="2"/>
      <c r="O1281" s="37">
        <v>46054.178472222222</v>
      </c>
      <c r="P1281" s="36">
        <v>79053.375960000005</v>
      </c>
      <c r="R1281" s="2">
        <v>79072.884550000002</v>
      </c>
      <c r="S1281" s="2">
        <v>78260.242469999997</v>
      </c>
    </row>
    <row r="1282" spans="1:19" x14ac:dyDescent="0.35">
      <c r="A1282" s="7">
        <v>1279</v>
      </c>
      <c r="B1282" s="37">
        <v>46054.179166666669</v>
      </c>
      <c r="C1282" s="2">
        <v>79001.600000000006</v>
      </c>
      <c r="D1282" s="43">
        <v>79011.100000000006</v>
      </c>
      <c r="E1282" s="43">
        <v>78960</v>
      </c>
      <c r="F1282" s="2">
        <v>78966.009999999995</v>
      </c>
      <c r="G1282" s="1">
        <v>202</v>
      </c>
      <c r="I1282" s="39">
        <v>46054.179166666669</v>
      </c>
      <c r="J1282" s="36">
        <v>77757.444829999993</v>
      </c>
      <c r="L1282" s="2"/>
      <c r="M1282" s="2"/>
      <c r="O1282" s="37">
        <v>46054.179166666669</v>
      </c>
      <c r="P1282" s="36">
        <v>79058.627309999996</v>
      </c>
      <c r="R1282" s="2">
        <v>79071.633029999997</v>
      </c>
      <c r="S1282" s="2">
        <v>78260.309930000003</v>
      </c>
    </row>
    <row r="1283" spans="1:19" x14ac:dyDescent="0.35">
      <c r="A1283" s="7">
        <v>1280</v>
      </c>
      <c r="B1283" s="37">
        <v>46054.179861111108</v>
      </c>
      <c r="C1283" s="2">
        <v>78966.14</v>
      </c>
      <c r="D1283" s="43">
        <v>79053.7</v>
      </c>
      <c r="E1283" s="43">
        <v>78952.87</v>
      </c>
      <c r="F1283" s="2">
        <v>79049.84</v>
      </c>
      <c r="G1283" s="1">
        <v>207</v>
      </c>
      <c r="I1283" s="39">
        <v>46054.179861111108</v>
      </c>
      <c r="J1283" s="36">
        <v>77761.299859999999</v>
      </c>
      <c r="L1283" s="2"/>
      <c r="M1283" s="2"/>
      <c r="O1283" s="37">
        <v>46054.179861111108</v>
      </c>
      <c r="P1283" s="36">
        <v>79063.878649999999</v>
      </c>
      <c r="R1283" s="2">
        <v>79070.381519999995</v>
      </c>
      <c r="S1283" s="2">
        <v>78260.377399999998</v>
      </c>
    </row>
    <row r="1284" spans="1:19" x14ac:dyDescent="0.35">
      <c r="A1284" s="7">
        <v>1281</v>
      </c>
      <c r="B1284" s="37">
        <v>46054.180555555555</v>
      </c>
      <c r="C1284" s="2">
        <v>79049.84</v>
      </c>
      <c r="D1284" s="43">
        <v>79069.13</v>
      </c>
      <c r="E1284" s="43">
        <v>78986.37</v>
      </c>
      <c r="F1284" s="2">
        <v>79001.22</v>
      </c>
      <c r="G1284" s="1">
        <v>255</v>
      </c>
      <c r="I1284" s="39">
        <v>46054.180555555555</v>
      </c>
      <c r="J1284" s="36">
        <v>77765.154899999994</v>
      </c>
      <c r="L1284" s="2"/>
      <c r="M1284" s="2"/>
      <c r="O1284" s="37">
        <v>46054.180555555555</v>
      </c>
      <c r="P1284" s="36">
        <v>79069.13</v>
      </c>
      <c r="Q1284" s="4" t="s">
        <v>14</v>
      </c>
      <c r="R1284" s="2">
        <v>79069.13</v>
      </c>
      <c r="S1284" s="2">
        <v>78260.444870000007</v>
      </c>
    </row>
    <row r="1285" spans="1:19" x14ac:dyDescent="0.35">
      <c r="A1285" s="7">
        <v>1282</v>
      </c>
      <c r="B1285" s="37">
        <v>46054.181250000001</v>
      </c>
      <c r="C1285" s="2">
        <v>79001.22</v>
      </c>
      <c r="D1285" s="43">
        <v>79001.22</v>
      </c>
      <c r="E1285" s="43">
        <v>78942.31</v>
      </c>
      <c r="F1285" s="2">
        <v>78946.92</v>
      </c>
      <c r="G1285" s="1">
        <v>199</v>
      </c>
      <c r="I1285" s="39">
        <v>46054.181250000001</v>
      </c>
      <c r="J1285" s="36">
        <v>77769.00993</v>
      </c>
      <c r="L1285" s="2"/>
      <c r="M1285" s="2"/>
      <c r="O1285" s="37">
        <v>46054.181250000001</v>
      </c>
      <c r="P1285" s="36">
        <v>79063.733380000005</v>
      </c>
      <c r="R1285" s="2"/>
      <c r="S1285" s="2">
        <v>78260.512340000001</v>
      </c>
    </row>
    <row r="1286" spans="1:19" x14ac:dyDescent="0.35">
      <c r="A1286" s="7">
        <v>1283</v>
      </c>
      <c r="B1286" s="37">
        <v>46054.181944444441</v>
      </c>
      <c r="C1286" s="2">
        <v>78948.899999999994</v>
      </c>
      <c r="D1286" s="43">
        <v>78971.34</v>
      </c>
      <c r="E1286" s="43">
        <v>78932.570000000007</v>
      </c>
      <c r="F1286" s="2">
        <v>78932.83</v>
      </c>
      <c r="G1286" s="1">
        <v>182</v>
      </c>
      <c r="I1286" s="39">
        <v>46054.181944444441</v>
      </c>
      <c r="J1286" s="36">
        <v>77772.864969999995</v>
      </c>
      <c r="L1286" s="2"/>
      <c r="M1286" s="2"/>
      <c r="O1286" s="37">
        <v>46054.181944444441</v>
      </c>
      <c r="P1286" s="36">
        <v>79058.336760000006</v>
      </c>
      <c r="R1286" s="2"/>
      <c r="S1286" s="2">
        <v>78260.579800000007</v>
      </c>
    </row>
    <row r="1287" spans="1:19" x14ac:dyDescent="0.35">
      <c r="A1287" s="7">
        <v>1284</v>
      </c>
      <c r="B1287" s="37">
        <v>46054.182638888888</v>
      </c>
      <c r="C1287" s="2">
        <v>78933.039999999994</v>
      </c>
      <c r="D1287" s="43">
        <v>78990.05</v>
      </c>
      <c r="E1287" s="43">
        <v>78923.72</v>
      </c>
      <c r="F1287" s="2">
        <v>78979.95</v>
      </c>
      <c r="G1287" s="1">
        <v>137</v>
      </c>
      <c r="I1287" s="39">
        <v>46054.182638888888</v>
      </c>
      <c r="J1287" s="36">
        <v>77776.72</v>
      </c>
      <c r="L1287" s="2"/>
      <c r="M1287" s="2"/>
      <c r="O1287" s="37">
        <v>46054.182638888888</v>
      </c>
      <c r="P1287" s="36">
        <v>79052.940140000006</v>
      </c>
      <c r="R1287" s="2"/>
      <c r="S1287" s="2">
        <v>78260.647270000001</v>
      </c>
    </row>
    <row r="1288" spans="1:19" x14ac:dyDescent="0.35">
      <c r="A1288" s="7">
        <v>1285</v>
      </c>
      <c r="B1288" s="37">
        <v>46054.183333333334</v>
      </c>
      <c r="C1288" s="2">
        <v>78979.95</v>
      </c>
      <c r="D1288" s="43">
        <v>78979.95</v>
      </c>
      <c r="E1288" s="43">
        <v>78941.740000000005</v>
      </c>
      <c r="F1288" s="2">
        <v>78947.009999999995</v>
      </c>
      <c r="G1288" s="1">
        <v>127</v>
      </c>
      <c r="I1288" s="39">
        <v>46054.183333333334</v>
      </c>
      <c r="J1288" s="36">
        <v>77780.575030000007</v>
      </c>
      <c r="L1288" s="2"/>
      <c r="M1288" s="2"/>
      <c r="O1288" s="37">
        <v>46054.183333333334</v>
      </c>
      <c r="P1288" s="36">
        <v>79047.543510000003</v>
      </c>
      <c r="R1288" s="2"/>
      <c r="S1288" s="2">
        <v>78260.714739999996</v>
      </c>
    </row>
    <row r="1289" spans="1:19" x14ac:dyDescent="0.35">
      <c r="A1289" s="7">
        <v>1286</v>
      </c>
      <c r="B1289" s="37">
        <v>46054.184027777781</v>
      </c>
      <c r="C1289" s="2">
        <v>78946.03</v>
      </c>
      <c r="D1289" s="43">
        <v>78946.05</v>
      </c>
      <c r="E1289" s="43">
        <v>78858.34</v>
      </c>
      <c r="F1289" s="2">
        <v>78868.38</v>
      </c>
      <c r="G1289" s="1">
        <v>209</v>
      </c>
      <c r="I1289" s="39">
        <v>46054.184027777781</v>
      </c>
      <c r="J1289" s="36">
        <v>77784.430070000002</v>
      </c>
      <c r="L1289" s="2"/>
      <c r="M1289" s="2"/>
      <c r="O1289" s="37">
        <v>46054.184027777781</v>
      </c>
      <c r="P1289" s="36">
        <v>79042.146890000004</v>
      </c>
      <c r="R1289" s="2"/>
      <c r="S1289" s="2">
        <v>78260.782200000001</v>
      </c>
    </row>
    <row r="1290" spans="1:19" x14ac:dyDescent="0.35">
      <c r="A1290" s="7">
        <v>1287</v>
      </c>
      <c r="B1290" s="37">
        <v>46054.18472222222</v>
      </c>
      <c r="C1290" s="2">
        <v>78868.25</v>
      </c>
      <c r="D1290" s="43">
        <v>78907.39</v>
      </c>
      <c r="E1290" s="43">
        <v>78857.06</v>
      </c>
      <c r="F1290" s="2">
        <v>78887.81</v>
      </c>
      <c r="G1290" s="1">
        <v>188</v>
      </c>
      <c r="I1290" s="39">
        <v>46054.18472222222</v>
      </c>
      <c r="J1290" s="36">
        <v>77788.285099999994</v>
      </c>
      <c r="L1290" s="2"/>
      <c r="M1290" s="2"/>
      <c r="O1290" s="37">
        <v>46054.18472222222</v>
      </c>
      <c r="P1290" s="36">
        <v>79036.750270000004</v>
      </c>
      <c r="R1290" s="2"/>
      <c r="S1290" s="2">
        <v>78260.849669999996</v>
      </c>
    </row>
    <row r="1291" spans="1:19" x14ac:dyDescent="0.35">
      <c r="A1291" s="7">
        <v>1288</v>
      </c>
      <c r="B1291" s="37">
        <v>46054.185416666667</v>
      </c>
      <c r="C1291" s="2">
        <v>78887.88</v>
      </c>
      <c r="D1291" s="43">
        <v>78898.86</v>
      </c>
      <c r="E1291" s="43">
        <v>78874.78</v>
      </c>
      <c r="F1291" s="2">
        <v>78875.89</v>
      </c>
      <c r="G1291" s="1">
        <v>125</v>
      </c>
      <c r="I1291" s="39">
        <v>46054.185416666667</v>
      </c>
      <c r="J1291" s="36">
        <v>77792.140140000003</v>
      </c>
      <c r="L1291" s="2"/>
      <c r="M1291" s="2"/>
      <c r="O1291" s="37">
        <v>46054.185416666667</v>
      </c>
      <c r="P1291" s="36">
        <v>79031.353650000005</v>
      </c>
      <c r="R1291" s="2"/>
      <c r="S1291" s="2">
        <v>78260.917140000005</v>
      </c>
    </row>
    <row r="1292" spans="1:19" x14ac:dyDescent="0.35">
      <c r="A1292" s="7">
        <v>1289</v>
      </c>
      <c r="B1292" s="37">
        <v>46054.186111111114</v>
      </c>
      <c r="C1292" s="2">
        <v>78875.88</v>
      </c>
      <c r="D1292" s="43">
        <v>78884.639999999999</v>
      </c>
      <c r="E1292" s="43">
        <v>78863.8</v>
      </c>
      <c r="F1292" s="2">
        <v>78865.31</v>
      </c>
      <c r="G1292" s="1">
        <v>128</v>
      </c>
      <c r="I1292" s="39">
        <v>46054.186111111114</v>
      </c>
      <c r="J1292" s="36">
        <v>77795.995169999995</v>
      </c>
      <c r="L1292" s="2"/>
      <c r="M1292" s="2"/>
      <c r="O1292" s="37">
        <v>46054.186111111114</v>
      </c>
      <c r="P1292" s="36">
        <v>79025.957030000005</v>
      </c>
      <c r="R1292" s="2"/>
      <c r="S1292" s="2">
        <v>78260.98461</v>
      </c>
    </row>
    <row r="1293" spans="1:19" x14ac:dyDescent="0.35">
      <c r="A1293" s="7">
        <v>1290</v>
      </c>
      <c r="B1293" s="37">
        <v>46054.186805555553</v>
      </c>
      <c r="C1293" s="2">
        <v>78865.31</v>
      </c>
      <c r="D1293" s="43">
        <v>78882.720000000001</v>
      </c>
      <c r="E1293" s="43">
        <v>78848</v>
      </c>
      <c r="F1293" s="2">
        <v>78882.720000000001</v>
      </c>
      <c r="G1293" s="1">
        <v>162</v>
      </c>
      <c r="I1293" s="39">
        <v>46054.186805555553</v>
      </c>
      <c r="J1293" s="36">
        <v>77799.850210000004</v>
      </c>
      <c r="L1293" s="2"/>
      <c r="M1293" s="2"/>
      <c r="O1293" s="37">
        <v>46054.186805555553</v>
      </c>
      <c r="P1293" s="36">
        <v>79020.560410000006</v>
      </c>
      <c r="R1293" s="2"/>
      <c r="S1293" s="2">
        <v>78261.052070000005</v>
      </c>
    </row>
    <row r="1294" spans="1:19" x14ac:dyDescent="0.35">
      <c r="A1294" s="7">
        <v>1291</v>
      </c>
      <c r="B1294" s="37">
        <v>46054.1875</v>
      </c>
      <c r="C1294" s="2">
        <v>78882.720000000001</v>
      </c>
      <c r="D1294" s="43">
        <v>78940.33</v>
      </c>
      <c r="E1294" s="43">
        <v>78882.62</v>
      </c>
      <c r="F1294" s="2">
        <v>78903.41</v>
      </c>
      <c r="G1294" s="1">
        <v>200</v>
      </c>
      <c r="I1294" s="39">
        <v>46054.1875</v>
      </c>
      <c r="J1294" s="36">
        <v>77803.705239999996</v>
      </c>
      <c r="L1294" s="2"/>
      <c r="M1294" s="2"/>
      <c r="O1294" s="37">
        <v>46054.1875</v>
      </c>
      <c r="P1294" s="36">
        <v>79015.163780000003</v>
      </c>
      <c r="R1294" s="2"/>
      <c r="S1294" s="2">
        <v>78261.11954</v>
      </c>
    </row>
    <row r="1295" spans="1:19" x14ac:dyDescent="0.35">
      <c r="A1295" s="7">
        <v>1292</v>
      </c>
      <c r="B1295" s="37">
        <v>46054.188194444447</v>
      </c>
      <c r="C1295" s="2">
        <v>78902.13</v>
      </c>
      <c r="D1295" s="43">
        <v>78930.09</v>
      </c>
      <c r="E1295" s="43">
        <v>78863.23</v>
      </c>
      <c r="F1295" s="2">
        <v>78870.429999999993</v>
      </c>
      <c r="G1295" s="1">
        <v>187</v>
      </c>
      <c r="I1295" s="39">
        <v>46054.188194444447</v>
      </c>
      <c r="J1295" s="36">
        <v>77807.560280000005</v>
      </c>
      <c r="L1295" s="2"/>
      <c r="M1295" s="2"/>
      <c r="O1295" s="37">
        <v>46054.188194444447</v>
      </c>
      <c r="P1295" s="36">
        <v>79009.767160000003</v>
      </c>
      <c r="R1295" s="2"/>
      <c r="S1295" s="2">
        <v>78261.187009999994</v>
      </c>
    </row>
    <row r="1296" spans="1:19" x14ac:dyDescent="0.35">
      <c r="A1296" s="7">
        <v>1293</v>
      </c>
      <c r="B1296" s="37">
        <v>46054.188888888886</v>
      </c>
      <c r="C1296" s="2">
        <v>78865.440000000002</v>
      </c>
      <c r="D1296" s="43">
        <v>78966.41</v>
      </c>
      <c r="E1296" s="43">
        <v>78864.81</v>
      </c>
      <c r="F1296" s="2">
        <v>78954.240000000005</v>
      </c>
      <c r="G1296" s="1">
        <v>194</v>
      </c>
      <c r="I1296" s="39">
        <v>46054.188888888886</v>
      </c>
      <c r="J1296" s="36">
        <v>77811.415309999997</v>
      </c>
      <c r="L1296" s="2"/>
      <c r="M1296" s="2"/>
      <c r="O1296" s="37">
        <v>46054.188888888886</v>
      </c>
      <c r="P1296" s="36">
        <v>79004.370540000004</v>
      </c>
      <c r="R1296" s="2"/>
      <c r="S1296" s="2">
        <v>78261.25447</v>
      </c>
    </row>
    <row r="1297" spans="1:19" x14ac:dyDescent="0.35">
      <c r="A1297" s="7">
        <v>1294</v>
      </c>
      <c r="B1297" s="37">
        <v>46054.189583333333</v>
      </c>
      <c r="C1297" s="2">
        <v>78954.240000000005</v>
      </c>
      <c r="D1297" s="43">
        <v>78954.509999999995</v>
      </c>
      <c r="E1297" s="43">
        <v>78871.740000000005</v>
      </c>
      <c r="F1297" s="2">
        <v>78871.740000000005</v>
      </c>
      <c r="G1297" s="1">
        <v>204</v>
      </c>
      <c r="I1297" s="39">
        <v>46054.189583333333</v>
      </c>
      <c r="J1297" s="36">
        <v>77815.270340000003</v>
      </c>
      <c r="L1297" s="2"/>
      <c r="M1297" s="2"/>
      <c r="O1297" s="37">
        <v>46054.189583333333</v>
      </c>
      <c r="P1297" s="36">
        <v>78998.973920000004</v>
      </c>
      <c r="R1297" s="2"/>
      <c r="S1297" s="2">
        <v>78261.321939999994</v>
      </c>
    </row>
    <row r="1298" spans="1:19" x14ac:dyDescent="0.35">
      <c r="A1298" s="7">
        <v>1295</v>
      </c>
      <c r="B1298" s="37">
        <v>46054.19027777778</v>
      </c>
      <c r="C1298" s="2">
        <v>78868.789999999994</v>
      </c>
      <c r="D1298" s="43">
        <v>78917.210000000006</v>
      </c>
      <c r="E1298" s="43">
        <v>78862.95</v>
      </c>
      <c r="F1298" s="2">
        <v>78905.38</v>
      </c>
      <c r="G1298" s="1">
        <v>202</v>
      </c>
      <c r="I1298" s="39">
        <v>46054.19027777778</v>
      </c>
      <c r="J1298" s="36">
        <v>77819.125379999998</v>
      </c>
      <c r="L1298" s="2"/>
      <c r="M1298" s="2"/>
      <c r="O1298" s="37">
        <v>46054.19027777778</v>
      </c>
      <c r="P1298" s="36">
        <v>78993.577300000004</v>
      </c>
      <c r="R1298" s="2"/>
      <c r="S1298" s="2">
        <v>78261.389410000003</v>
      </c>
    </row>
    <row r="1299" spans="1:19" x14ac:dyDescent="0.35">
      <c r="A1299" s="7">
        <v>1296</v>
      </c>
      <c r="B1299" s="37">
        <v>46054.190972222219</v>
      </c>
      <c r="C1299" s="2">
        <v>78905.38</v>
      </c>
      <c r="D1299" s="43">
        <v>78949.62</v>
      </c>
      <c r="E1299" s="43">
        <v>78895.509999999995</v>
      </c>
      <c r="F1299" s="2">
        <v>78905.31</v>
      </c>
      <c r="G1299" s="1">
        <v>180</v>
      </c>
      <c r="I1299" s="39">
        <v>46054.190972222219</v>
      </c>
      <c r="J1299" s="36">
        <v>77822.980410000004</v>
      </c>
      <c r="L1299" s="2"/>
      <c r="M1299" s="2"/>
      <c r="O1299" s="37">
        <v>46054.190972222219</v>
      </c>
      <c r="P1299" s="36">
        <v>78988.180680000005</v>
      </c>
      <c r="R1299" s="2"/>
      <c r="S1299" s="2">
        <v>78261.456879999998</v>
      </c>
    </row>
    <row r="1300" spans="1:19" x14ac:dyDescent="0.35">
      <c r="A1300" s="7">
        <v>1297</v>
      </c>
      <c r="B1300" s="37">
        <v>46054.191666666666</v>
      </c>
      <c r="C1300" s="2">
        <v>78905.31</v>
      </c>
      <c r="D1300" s="43">
        <v>78905.31</v>
      </c>
      <c r="E1300" s="43">
        <v>78876.289999999994</v>
      </c>
      <c r="F1300" s="2">
        <v>78889.850000000006</v>
      </c>
      <c r="G1300" s="1">
        <v>145</v>
      </c>
      <c r="I1300" s="39">
        <v>46054.191666666666</v>
      </c>
      <c r="J1300" s="36">
        <v>77826.835449999999</v>
      </c>
      <c r="L1300" s="2"/>
      <c r="M1300" s="2"/>
      <c r="O1300" s="37">
        <v>46054.191666666666</v>
      </c>
      <c r="P1300" s="36">
        <v>78982.784050000002</v>
      </c>
      <c r="R1300" s="2"/>
      <c r="S1300" s="2">
        <v>78261.524340000004</v>
      </c>
    </row>
    <row r="1301" spans="1:19" x14ac:dyDescent="0.35">
      <c r="A1301" s="7">
        <v>1298</v>
      </c>
      <c r="B1301" s="37">
        <v>46054.192361111112</v>
      </c>
      <c r="C1301" s="2">
        <v>78894.7</v>
      </c>
      <c r="D1301" s="43">
        <v>78897.490000000005</v>
      </c>
      <c r="E1301" s="43">
        <v>78862.98</v>
      </c>
      <c r="F1301" s="2">
        <v>78864.02</v>
      </c>
      <c r="G1301" s="1">
        <v>153</v>
      </c>
      <c r="I1301" s="39">
        <v>46054.192361111112</v>
      </c>
      <c r="J1301" s="36">
        <v>77830.690480000005</v>
      </c>
      <c r="L1301" s="2"/>
      <c r="M1301" s="2"/>
      <c r="O1301" s="37">
        <v>46054.192361111112</v>
      </c>
      <c r="P1301" s="36">
        <v>78977.387430000002</v>
      </c>
      <c r="R1301" s="2"/>
      <c r="S1301" s="2">
        <v>78261.591809999998</v>
      </c>
    </row>
    <row r="1302" spans="1:19" x14ac:dyDescent="0.35">
      <c r="A1302" s="7">
        <v>1299</v>
      </c>
      <c r="B1302" s="37">
        <v>46054.193055555559</v>
      </c>
      <c r="C1302" s="2">
        <v>78864.02</v>
      </c>
      <c r="D1302" s="43">
        <v>78925.100000000006</v>
      </c>
      <c r="E1302" s="43">
        <v>78864.02</v>
      </c>
      <c r="F1302" s="2">
        <v>78925.03</v>
      </c>
      <c r="G1302" s="1">
        <v>180</v>
      </c>
      <c r="I1302" s="39">
        <v>46054.193055555559</v>
      </c>
      <c r="J1302" s="36">
        <v>77834.54552</v>
      </c>
      <c r="L1302" s="2"/>
      <c r="M1302" s="2"/>
      <c r="O1302" s="37">
        <v>46054.193055555559</v>
      </c>
      <c r="P1302" s="36">
        <v>78971.990810000003</v>
      </c>
      <c r="R1302" s="2"/>
      <c r="S1302" s="2">
        <v>78261.659280000007</v>
      </c>
    </row>
    <row r="1303" spans="1:19" x14ac:dyDescent="0.35">
      <c r="A1303" s="7">
        <v>1300</v>
      </c>
      <c r="B1303" s="37">
        <v>46054.193749999999</v>
      </c>
      <c r="C1303" s="2">
        <v>78925.03</v>
      </c>
      <c r="D1303" s="43">
        <v>78966.89</v>
      </c>
      <c r="E1303" s="43">
        <v>78925.03</v>
      </c>
      <c r="F1303" s="2">
        <v>78935.11</v>
      </c>
      <c r="G1303" s="1">
        <v>170</v>
      </c>
      <c r="I1303" s="39">
        <v>46054.193749999999</v>
      </c>
      <c r="J1303" s="36">
        <v>77838.400550000006</v>
      </c>
      <c r="L1303" s="2"/>
      <c r="M1303" s="2"/>
      <c r="O1303" s="37">
        <v>46054.193749999999</v>
      </c>
      <c r="P1303" s="36">
        <v>78966.594190000003</v>
      </c>
      <c r="R1303" s="2"/>
      <c r="S1303" s="2">
        <v>78261.726739999998</v>
      </c>
    </row>
    <row r="1304" spans="1:19" x14ac:dyDescent="0.35">
      <c r="A1304" s="7">
        <v>1301</v>
      </c>
      <c r="B1304" s="37">
        <v>46054.194444444445</v>
      </c>
      <c r="C1304" s="2">
        <v>78935.11</v>
      </c>
      <c r="D1304" s="43">
        <v>78947.27</v>
      </c>
      <c r="E1304" s="43">
        <v>78913.7</v>
      </c>
      <c r="F1304" s="2">
        <v>78942.25</v>
      </c>
      <c r="G1304" s="1">
        <v>172</v>
      </c>
      <c r="I1304" s="39">
        <v>46054.194444444445</v>
      </c>
      <c r="J1304" s="36">
        <v>77842.255590000001</v>
      </c>
      <c r="L1304" s="2"/>
      <c r="M1304" s="2"/>
      <c r="O1304" s="37">
        <v>46054.194444444445</v>
      </c>
      <c r="P1304" s="36">
        <v>78961.197570000004</v>
      </c>
      <c r="R1304" s="2"/>
      <c r="S1304" s="2">
        <v>78261.794209999993</v>
      </c>
    </row>
    <row r="1305" spans="1:19" x14ac:dyDescent="0.35">
      <c r="A1305" s="7">
        <v>1302</v>
      </c>
      <c r="B1305" s="37">
        <v>46054.195138888892</v>
      </c>
      <c r="C1305" s="2">
        <v>78943.16</v>
      </c>
      <c r="D1305" s="43">
        <v>78960.22</v>
      </c>
      <c r="E1305" s="43">
        <v>78924.86</v>
      </c>
      <c r="F1305" s="2">
        <v>78925.63</v>
      </c>
      <c r="G1305" s="1">
        <v>176</v>
      </c>
      <c r="I1305" s="39">
        <v>46054.195138888892</v>
      </c>
      <c r="J1305" s="36">
        <v>77846.110620000007</v>
      </c>
      <c r="L1305" s="2"/>
      <c r="M1305" s="2"/>
      <c r="O1305" s="37">
        <v>46054.195138888892</v>
      </c>
      <c r="P1305" s="36">
        <v>78955.800950000004</v>
      </c>
      <c r="R1305" s="2"/>
      <c r="S1305" s="2">
        <v>78261.861680000002</v>
      </c>
    </row>
    <row r="1306" spans="1:19" x14ac:dyDescent="0.35">
      <c r="A1306" s="7">
        <v>1303</v>
      </c>
      <c r="B1306" s="37">
        <v>46054.195833333331</v>
      </c>
      <c r="C1306" s="2">
        <v>78925.63</v>
      </c>
      <c r="D1306" s="43">
        <v>78948.320000000007</v>
      </c>
      <c r="E1306" s="43">
        <v>78917.67</v>
      </c>
      <c r="F1306" s="2">
        <v>78944.19</v>
      </c>
      <c r="G1306" s="1">
        <v>148</v>
      </c>
      <c r="I1306" s="39">
        <v>46054.195833333331</v>
      </c>
      <c r="J1306" s="36">
        <v>77849.965660000002</v>
      </c>
      <c r="L1306" s="2"/>
      <c r="M1306" s="2"/>
      <c r="O1306" s="37">
        <v>46054.195833333331</v>
      </c>
      <c r="P1306" s="36">
        <v>78950.404320000001</v>
      </c>
      <c r="R1306" s="2"/>
      <c r="S1306" s="2">
        <v>78261.929139999993</v>
      </c>
    </row>
    <row r="1307" spans="1:19" x14ac:dyDescent="0.35">
      <c r="A1307" s="7">
        <v>1304</v>
      </c>
      <c r="B1307" s="37">
        <v>46054.196527777778</v>
      </c>
      <c r="C1307" s="2">
        <v>78944.31</v>
      </c>
      <c r="D1307" s="43">
        <v>78944.31</v>
      </c>
      <c r="E1307" s="43">
        <v>78920.259999999995</v>
      </c>
      <c r="F1307" s="2">
        <v>78933.710000000006</v>
      </c>
      <c r="G1307" s="1">
        <v>169</v>
      </c>
      <c r="I1307" s="39">
        <v>46054.196527777778</v>
      </c>
      <c r="J1307" s="36">
        <v>77853.820689999993</v>
      </c>
      <c r="L1307" s="2"/>
      <c r="M1307" s="2"/>
      <c r="O1307" s="37">
        <v>46054.196527777778</v>
      </c>
      <c r="P1307" s="36">
        <v>78945.007700000002</v>
      </c>
      <c r="R1307" s="2"/>
      <c r="S1307" s="2">
        <v>78261.996610000002</v>
      </c>
    </row>
    <row r="1308" spans="1:19" x14ac:dyDescent="0.35">
      <c r="A1308" s="7">
        <v>1305</v>
      </c>
      <c r="B1308" s="37">
        <v>46054.197222222225</v>
      </c>
      <c r="C1308" s="2">
        <v>78933.710000000006</v>
      </c>
      <c r="D1308" s="43">
        <v>78970.320000000007</v>
      </c>
      <c r="E1308" s="43">
        <v>78927.289999999994</v>
      </c>
      <c r="F1308" s="2">
        <v>78958.320000000007</v>
      </c>
      <c r="G1308" s="1">
        <v>160</v>
      </c>
      <c r="I1308" s="39">
        <v>46054.197222222225</v>
      </c>
      <c r="J1308" s="36">
        <v>77857.675719999999</v>
      </c>
      <c r="L1308" s="2"/>
      <c r="M1308" s="2"/>
      <c r="O1308" s="37">
        <v>46054.197222222225</v>
      </c>
      <c r="P1308" s="36">
        <v>78939.611080000002</v>
      </c>
      <c r="R1308" s="2"/>
      <c r="S1308" s="2">
        <v>78262.064079999996</v>
      </c>
    </row>
    <row r="1309" spans="1:19" x14ac:dyDescent="0.35">
      <c r="A1309" s="7">
        <v>1306</v>
      </c>
      <c r="B1309" s="37">
        <v>46054.197916666664</v>
      </c>
      <c r="C1309" s="2">
        <v>78964.08</v>
      </c>
      <c r="D1309" s="43">
        <v>78986.039999999994</v>
      </c>
      <c r="E1309" s="43">
        <v>78944.58</v>
      </c>
      <c r="F1309" s="2">
        <v>78952.11</v>
      </c>
      <c r="G1309" s="1">
        <v>201</v>
      </c>
      <c r="I1309" s="39">
        <v>46054.197916666664</v>
      </c>
      <c r="J1309" s="36">
        <v>77861.530759999994</v>
      </c>
      <c r="L1309" s="2"/>
      <c r="M1309" s="2"/>
      <c r="O1309" s="37">
        <v>46054.197916666664</v>
      </c>
      <c r="P1309" s="36">
        <v>78934.214460000003</v>
      </c>
      <c r="R1309" s="2"/>
      <c r="S1309" s="2">
        <v>78262.131550000006</v>
      </c>
    </row>
    <row r="1310" spans="1:19" x14ac:dyDescent="0.35">
      <c r="A1310" s="7">
        <v>1307</v>
      </c>
      <c r="B1310" s="37">
        <v>46054.198611111111</v>
      </c>
      <c r="C1310" s="2">
        <v>78952.39</v>
      </c>
      <c r="D1310" s="43">
        <v>78989.179999999993</v>
      </c>
      <c r="E1310" s="43">
        <v>78952.39</v>
      </c>
      <c r="F1310" s="2">
        <v>78989.14</v>
      </c>
      <c r="G1310" s="1">
        <v>166</v>
      </c>
      <c r="I1310" s="39">
        <v>46054.198611111111</v>
      </c>
      <c r="J1310" s="36">
        <v>77865.38579</v>
      </c>
      <c r="L1310" s="2"/>
      <c r="M1310" s="2"/>
      <c r="O1310" s="37">
        <v>46054.198611111111</v>
      </c>
      <c r="P1310" s="36">
        <v>78928.817840000003</v>
      </c>
      <c r="R1310" s="2"/>
      <c r="S1310" s="2">
        <v>78262.199009999997</v>
      </c>
    </row>
    <row r="1311" spans="1:19" x14ac:dyDescent="0.35">
      <c r="A1311" s="7">
        <v>1308</v>
      </c>
      <c r="B1311" s="37">
        <v>46054.199305555558</v>
      </c>
      <c r="C1311" s="2">
        <v>78990.31</v>
      </c>
      <c r="D1311" s="43">
        <v>79009.5</v>
      </c>
      <c r="E1311" s="43">
        <v>78989.5</v>
      </c>
      <c r="F1311" s="2">
        <v>78992.45</v>
      </c>
      <c r="G1311" s="1">
        <v>158</v>
      </c>
      <c r="I1311" s="39">
        <v>46054.199305555558</v>
      </c>
      <c r="J1311" s="36">
        <v>77869.240829999995</v>
      </c>
      <c r="L1311" s="2"/>
      <c r="M1311" s="2"/>
      <c r="O1311" s="37">
        <v>46054.199305555558</v>
      </c>
      <c r="P1311" s="36">
        <v>78923.421220000004</v>
      </c>
      <c r="R1311" s="2"/>
      <c r="S1311" s="2">
        <v>78262.266480000006</v>
      </c>
    </row>
    <row r="1312" spans="1:19" x14ac:dyDescent="0.35">
      <c r="A1312" s="7">
        <v>1309</v>
      </c>
      <c r="B1312" s="37">
        <v>46054.2</v>
      </c>
      <c r="C1312" s="2">
        <v>78989.5</v>
      </c>
      <c r="D1312" s="43">
        <v>79007.070000000007</v>
      </c>
      <c r="E1312" s="43">
        <v>78928.479999999996</v>
      </c>
      <c r="F1312" s="2">
        <v>78939.53</v>
      </c>
      <c r="G1312" s="1">
        <v>153</v>
      </c>
      <c r="I1312" s="39">
        <v>46054.2</v>
      </c>
      <c r="J1312" s="36">
        <v>77873.095860000001</v>
      </c>
      <c r="L1312" s="2"/>
      <c r="M1312" s="2"/>
      <c r="O1312" s="37">
        <v>46054.2</v>
      </c>
      <c r="P1312" s="36">
        <v>78918.024590000001</v>
      </c>
      <c r="R1312" s="2"/>
      <c r="S1312" s="2">
        <v>78262.33395</v>
      </c>
    </row>
    <row r="1313" spans="1:19" x14ac:dyDescent="0.35">
      <c r="A1313" s="7">
        <v>1310</v>
      </c>
      <c r="B1313" s="37">
        <v>46054.200694444444</v>
      </c>
      <c r="C1313" s="2">
        <v>78939.53</v>
      </c>
      <c r="D1313" s="43">
        <v>78976.740000000005</v>
      </c>
      <c r="E1313" s="43">
        <v>78939.53</v>
      </c>
      <c r="F1313" s="2">
        <v>78958.55</v>
      </c>
      <c r="G1313" s="1">
        <v>180</v>
      </c>
      <c r="I1313" s="39">
        <v>46054.200694444444</v>
      </c>
      <c r="J1313" s="36">
        <v>77876.950899999996</v>
      </c>
      <c r="L1313" s="2"/>
      <c r="M1313" s="2"/>
      <c r="O1313" s="37">
        <v>46054.200694444444</v>
      </c>
      <c r="P1313" s="36">
        <v>78912.627970000001</v>
      </c>
      <c r="R1313" s="2"/>
      <c r="S1313" s="2">
        <v>78262.401410000006</v>
      </c>
    </row>
    <row r="1314" spans="1:19" x14ac:dyDescent="0.35">
      <c r="A1314" s="7">
        <v>1311</v>
      </c>
      <c r="B1314" s="37">
        <v>46054.201388888891</v>
      </c>
      <c r="C1314" s="2">
        <v>78956.11</v>
      </c>
      <c r="D1314" s="43">
        <v>78957.88</v>
      </c>
      <c r="E1314" s="43">
        <v>78924.850000000006</v>
      </c>
      <c r="F1314" s="2">
        <v>78935.31</v>
      </c>
      <c r="G1314" s="1">
        <v>147</v>
      </c>
      <c r="I1314" s="39">
        <v>46054.201388888891</v>
      </c>
      <c r="J1314" s="36">
        <v>77880.805930000002</v>
      </c>
      <c r="L1314" s="2"/>
      <c r="M1314" s="2"/>
      <c r="O1314" s="37">
        <v>46054.201388888891</v>
      </c>
      <c r="P1314" s="36">
        <v>78907.231350000002</v>
      </c>
      <c r="R1314" s="2"/>
      <c r="S1314" s="2">
        <v>78262.46888</v>
      </c>
    </row>
    <row r="1315" spans="1:19" x14ac:dyDescent="0.35">
      <c r="A1315" s="7">
        <v>1312</v>
      </c>
      <c r="B1315" s="37">
        <v>46054.20208333333</v>
      </c>
      <c r="C1315" s="2">
        <v>78935.31</v>
      </c>
      <c r="D1315" s="43">
        <v>78990.34</v>
      </c>
      <c r="E1315" s="43">
        <v>78935.31</v>
      </c>
      <c r="F1315" s="2">
        <v>78949.88</v>
      </c>
      <c r="G1315" s="1">
        <v>192</v>
      </c>
      <c r="I1315" s="39">
        <v>46054.20208333333</v>
      </c>
      <c r="J1315" s="36">
        <v>77884.660969999997</v>
      </c>
      <c r="L1315" s="2"/>
      <c r="M1315" s="2"/>
      <c r="O1315" s="37">
        <v>46054.20208333333</v>
      </c>
      <c r="P1315" s="36">
        <v>78901.834730000002</v>
      </c>
      <c r="R1315" s="2"/>
      <c r="S1315" s="2">
        <v>78262.536349999995</v>
      </c>
    </row>
    <row r="1316" spans="1:19" x14ac:dyDescent="0.35">
      <c r="A1316" s="7">
        <v>1313</v>
      </c>
      <c r="B1316" s="37">
        <v>46054.202777777777</v>
      </c>
      <c r="C1316" s="2">
        <v>78949.89</v>
      </c>
      <c r="D1316" s="43">
        <v>78990.34</v>
      </c>
      <c r="E1316" s="43">
        <v>78949.13</v>
      </c>
      <c r="F1316" s="2">
        <v>78972.55</v>
      </c>
      <c r="G1316" s="1">
        <v>178</v>
      </c>
      <c r="I1316" s="39">
        <v>46054.202777777777</v>
      </c>
      <c r="J1316" s="36">
        <v>77888.516000000003</v>
      </c>
      <c r="L1316" s="2"/>
      <c r="M1316" s="2"/>
      <c r="O1316" s="37">
        <v>46054.202777777777</v>
      </c>
      <c r="P1316" s="36">
        <v>78896.438110000003</v>
      </c>
      <c r="R1316" s="2"/>
      <c r="S1316" s="2">
        <v>78262.603820000004</v>
      </c>
    </row>
    <row r="1317" spans="1:19" x14ac:dyDescent="0.35">
      <c r="A1317" s="7">
        <v>1314</v>
      </c>
      <c r="B1317" s="37">
        <v>46054.203472222223</v>
      </c>
      <c r="C1317" s="2">
        <v>78973</v>
      </c>
      <c r="D1317" s="43">
        <v>78990.350000000006</v>
      </c>
      <c r="E1317" s="43">
        <v>78962.58</v>
      </c>
      <c r="F1317" s="2">
        <v>78967.55</v>
      </c>
      <c r="G1317" s="1">
        <v>183</v>
      </c>
      <c r="I1317" s="39">
        <v>46054.203472222223</v>
      </c>
      <c r="J1317" s="36">
        <v>77892.371029999995</v>
      </c>
      <c r="L1317" s="2"/>
      <c r="M1317" s="2"/>
      <c r="O1317" s="37">
        <v>46054.203472222223</v>
      </c>
      <c r="P1317" s="36">
        <v>78891.041490000003</v>
      </c>
      <c r="R1317" s="2"/>
      <c r="S1317" s="2">
        <v>78262.671279999995</v>
      </c>
    </row>
    <row r="1318" spans="1:19" x14ac:dyDescent="0.35">
      <c r="A1318" s="7">
        <v>1315</v>
      </c>
      <c r="B1318" s="37">
        <v>46054.20416666667</v>
      </c>
      <c r="C1318" s="2">
        <v>78967.539999999994</v>
      </c>
      <c r="D1318" s="43">
        <v>78984.800000000003</v>
      </c>
      <c r="E1318" s="43">
        <v>78962.63</v>
      </c>
      <c r="F1318" s="2">
        <v>78984.75</v>
      </c>
      <c r="G1318" s="1">
        <v>150</v>
      </c>
      <c r="I1318" s="39">
        <v>46054.20416666667</v>
      </c>
      <c r="J1318" s="36">
        <v>77896.226070000004</v>
      </c>
      <c r="L1318" s="2"/>
      <c r="M1318" s="2"/>
      <c r="O1318" s="37">
        <v>46054.20416666667</v>
      </c>
      <c r="P1318" s="36">
        <v>78885.64486</v>
      </c>
      <c r="R1318" s="2"/>
      <c r="S1318" s="2">
        <v>78262.738750000004</v>
      </c>
    </row>
    <row r="1319" spans="1:19" x14ac:dyDescent="0.35">
      <c r="A1319" s="7">
        <v>1316</v>
      </c>
      <c r="B1319" s="37">
        <v>46054.204861111109</v>
      </c>
      <c r="C1319" s="2">
        <v>78984.75</v>
      </c>
      <c r="D1319" s="43">
        <v>78989.759999999995</v>
      </c>
      <c r="E1319" s="43">
        <v>78980.81</v>
      </c>
      <c r="F1319" s="2">
        <v>78983.42</v>
      </c>
      <c r="G1319" s="1">
        <v>132</v>
      </c>
      <c r="I1319" s="39">
        <v>46054.204861111109</v>
      </c>
      <c r="J1319" s="36">
        <v>77900.081099999996</v>
      </c>
      <c r="L1319" s="2"/>
      <c r="M1319" s="2"/>
      <c r="O1319" s="37">
        <v>46054.204861111109</v>
      </c>
      <c r="P1319" s="36">
        <v>78880.248240000001</v>
      </c>
      <c r="R1319" s="2"/>
      <c r="S1319" s="2">
        <v>78262.806219999999</v>
      </c>
    </row>
    <row r="1320" spans="1:19" x14ac:dyDescent="0.35">
      <c r="A1320" s="7">
        <v>1317</v>
      </c>
      <c r="B1320" s="37">
        <v>46054.205555555556</v>
      </c>
      <c r="C1320" s="2">
        <v>78983.399999999994</v>
      </c>
      <c r="D1320" s="43">
        <v>78990.350000000006</v>
      </c>
      <c r="E1320" s="43">
        <v>78970</v>
      </c>
      <c r="F1320" s="2">
        <v>78976.63</v>
      </c>
      <c r="G1320" s="1">
        <v>142</v>
      </c>
      <c r="I1320" s="39">
        <v>46054.205555555556</v>
      </c>
      <c r="J1320" s="36">
        <v>77903.936140000005</v>
      </c>
      <c r="L1320" s="2"/>
      <c r="M1320" s="2"/>
      <c r="O1320" s="37">
        <v>46054.205555555556</v>
      </c>
      <c r="P1320" s="36">
        <v>78874.851620000001</v>
      </c>
      <c r="R1320" s="2"/>
      <c r="S1320" s="2">
        <v>78262.873680000004</v>
      </c>
    </row>
    <row r="1321" spans="1:19" x14ac:dyDescent="0.35">
      <c r="A1321" s="7">
        <v>1318</v>
      </c>
      <c r="B1321" s="37">
        <v>46054.206250000003</v>
      </c>
      <c r="C1321" s="2">
        <v>78976.679999999993</v>
      </c>
      <c r="D1321" s="43">
        <v>78990.36</v>
      </c>
      <c r="E1321" s="43">
        <v>78976.679999999993</v>
      </c>
      <c r="F1321" s="2">
        <v>78982.320000000007</v>
      </c>
      <c r="G1321" s="1">
        <v>162</v>
      </c>
      <c r="I1321" s="39">
        <v>46054.206250000003</v>
      </c>
      <c r="J1321" s="36">
        <v>77907.791169999997</v>
      </c>
      <c r="L1321" s="2"/>
      <c r="M1321" s="2"/>
      <c r="O1321" s="37">
        <v>46054.206250000003</v>
      </c>
      <c r="P1321" s="36">
        <v>78869.455000000002</v>
      </c>
      <c r="R1321" s="2"/>
      <c r="S1321" s="2">
        <v>78262.941149999999</v>
      </c>
    </row>
    <row r="1322" spans="1:19" x14ac:dyDescent="0.35">
      <c r="A1322" s="7">
        <v>1319</v>
      </c>
      <c r="B1322" s="37">
        <v>46054.206944444442</v>
      </c>
      <c r="C1322" s="2">
        <v>78982.320000000007</v>
      </c>
      <c r="D1322" s="43">
        <v>78987.789999999994</v>
      </c>
      <c r="E1322" s="43">
        <v>78982.27</v>
      </c>
      <c r="F1322" s="2">
        <v>78982.27</v>
      </c>
      <c r="G1322" s="1">
        <v>129</v>
      </c>
      <c r="I1322" s="39">
        <v>46054.206944444442</v>
      </c>
      <c r="J1322" s="36">
        <v>77911.646210000006</v>
      </c>
      <c r="L1322" s="2"/>
      <c r="M1322" s="2"/>
      <c r="O1322" s="37">
        <v>46054.206944444442</v>
      </c>
      <c r="P1322" s="36">
        <v>78864.058380000002</v>
      </c>
      <c r="R1322" s="2"/>
      <c r="S1322" s="2">
        <v>78263.008619999993</v>
      </c>
    </row>
    <row r="1323" spans="1:19" x14ac:dyDescent="0.35">
      <c r="A1323" s="7">
        <v>1320</v>
      </c>
      <c r="B1323" s="37">
        <v>46054.207638888889</v>
      </c>
      <c r="C1323" s="2">
        <v>78982.3</v>
      </c>
      <c r="D1323" s="43">
        <v>78982.31</v>
      </c>
      <c r="E1323" s="43">
        <v>78922.080000000002</v>
      </c>
      <c r="F1323" s="2">
        <v>78922.350000000006</v>
      </c>
      <c r="G1323" s="1">
        <v>135</v>
      </c>
      <c r="I1323" s="39">
        <v>46054.207638888889</v>
      </c>
      <c r="J1323" s="36">
        <v>77915.501239999998</v>
      </c>
      <c r="L1323" s="2"/>
      <c r="M1323" s="2"/>
      <c r="O1323" s="37">
        <v>46054.207638888889</v>
      </c>
      <c r="P1323" s="36">
        <v>78858.661760000003</v>
      </c>
      <c r="R1323" s="2"/>
      <c r="S1323" s="2">
        <v>78263.076090000002</v>
      </c>
    </row>
    <row r="1324" spans="1:19" x14ac:dyDescent="0.35">
      <c r="A1324" s="7">
        <v>1321</v>
      </c>
      <c r="B1324" s="37">
        <v>46054.208333333336</v>
      </c>
      <c r="C1324" s="2">
        <v>78928.3</v>
      </c>
      <c r="D1324" s="43">
        <v>78958.2</v>
      </c>
      <c r="E1324" s="43">
        <v>78928.3</v>
      </c>
      <c r="F1324" s="2">
        <v>78942.570000000007</v>
      </c>
      <c r="G1324" s="1">
        <v>165</v>
      </c>
      <c r="I1324" s="39">
        <v>46054.208333333336</v>
      </c>
      <c r="J1324" s="36">
        <v>77919.356280000007</v>
      </c>
      <c r="L1324" s="2"/>
      <c r="M1324" s="2"/>
      <c r="O1324" s="37">
        <v>46054.208333333336</v>
      </c>
      <c r="P1324" s="36">
        <v>78853.265140000003</v>
      </c>
      <c r="R1324" s="2"/>
      <c r="S1324" s="2">
        <v>78263.143549999993</v>
      </c>
    </row>
    <row r="1325" spans="1:19" x14ac:dyDescent="0.35">
      <c r="A1325" s="7">
        <v>1322</v>
      </c>
      <c r="B1325" s="37">
        <v>46054.209027777775</v>
      </c>
      <c r="C1325" s="2">
        <v>78942.570000000007</v>
      </c>
      <c r="D1325" s="43">
        <v>78960.28</v>
      </c>
      <c r="E1325" s="43">
        <v>78867.75</v>
      </c>
      <c r="F1325" s="2">
        <v>78868.86</v>
      </c>
      <c r="G1325" s="1">
        <v>180</v>
      </c>
      <c r="I1325" s="39">
        <v>46054.209027777775</v>
      </c>
      <c r="J1325" s="36">
        <v>77923.211309999999</v>
      </c>
      <c r="L1325" s="2"/>
      <c r="M1325" s="2"/>
      <c r="O1325" s="37">
        <v>46054.209027777775</v>
      </c>
      <c r="P1325" s="36">
        <v>78847.86851</v>
      </c>
      <c r="R1325" s="2"/>
      <c r="S1325" s="2">
        <v>78263.211020000002</v>
      </c>
    </row>
    <row r="1326" spans="1:19" x14ac:dyDescent="0.35">
      <c r="A1326" s="7">
        <v>1323</v>
      </c>
      <c r="B1326" s="37">
        <v>46054.209722222222</v>
      </c>
      <c r="C1326" s="2">
        <v>78869.7</v>
      </c>
      <c r="D1326" s="43">
        <v>78869.7</v>
      </c>
      <c r="E1326" s="43">
        <v>78736.100000000006</v>
      </c>
      <c r="F1326" s="2">
        <v>78736.100000000006</v>
      </c>
      <c r="G1326" s="1">
        <v>244</v>
      </c>
      <c r="I1326" s="39">
        <v>46054.209722222222</v>
      </c>
      <c r="J1326" s="36">
        <v>77927.066340000005</v>
      </c>
      <c r="L1326" s="2"/>
      <c r="M1326" s="2"/>
      <c r="O1326" s="37">
        <v>46054.209722222222</v>
      </c>
      <c r="P1326" s="36">
        <v>78842.471890000001</v>
      </c>
      <c r="R1326" s="2"/>
      <c r="S1326" s="2">
        <v>78263.278489999997</v>
      </c>
    </row>
    <row r="1327" spans="1:19" x14ac:dyDescent="0.35">
      <c r="A1327" s="7">
        <v>1324</v>
      </c>
      <c r="B1327" s="37">
        <v>46054.210416666669</v>
      </c>
      <c r="C1327" s="2">
        <v>78736.100000000006</v>
      </c>
      <c r="D1327" s="43">
        <v>78781.100000000006</v>
      </c>
      <c r="E1327" s="43">
        <v>78730.44</v>
      </c>
      <c r="F1327" s="2">
        <v>78781.100000000006</v>
      </c>
      <c r="G1327" s="1">
        <v>226</v>
      </c>
      <c r="I1327" s="39">
        <v>46054.210416666669</v>
      </c>
      <c r="J1327" s="36">
        <v>77930.92138</v>
      </c>
      <c r="L1327" s="2"/>
      <c r="M1327" s="2"/>
      <c r="O1327" s="37">
        <v>46054.210416666669</v>
      </c>
      <c r="P1327" s="36">
        <v>78837.075270000001</v>
      </c>
      <c r="R1327" s="2"/>
      <c r="S1327" s="2">
        <v>78263.345950000003</v>
      </c>
    </row>
    <row r="1328" spans="1:19" x14ac:dyDescent="0.35">
      <c r="A1328" s="7">
        <v>1325</v>
      </c>
      <c r="B1328" s="37">
        <v>46054.211111111108</v>
      </c>
      <c r="C1328" s="2">
        <v>78781.02</v>
      </c>
      <c r="D1328" s="43">
        <v>78817.7</v>
      </c>
      <c r="E1328" s="43">
        <v>78757.899999999994</v>
      </c>
      <c r="F1328" s="2">
        <v>78757.899999999994</v>
      </c>
      <c r="G1328" s="1">
        <v>198</v>
      </c>
      <c r="I1328" s="39">
        <v>46054.211111111108</v>
      </c>
      <c r="J1328" s="36">
        <v>77934.776410000006</v>
      </c>
      <c r="L1328" s="2"/>
      <c r="M1328" s="2"/>
      <c r="O1328" s="37">
        <v>46054.211111111108</v>
      </c>
      <c r="P1328" s="36">
        <v>78831.678650000002</v>
      </c>
      <c r="R1328" s="2"/>
      <c r="S1328" s="2">
        <v>78263.413419999997</v>
      </c>
    </row>
    <row r="1329" spans="1:19" x14ac:dyDescent="0.35">
      <c r="A1329" s="7">
        <v>1326</v>
      </c>
      <c r="B1329" s="37">
        <v>46054.211805555555</v>
      </c>
      <c r="C1329" s="2">
        <v>78757.63</v>
      </c>
      <c r="D1329" s="43">
        <v>78830.399999999994</v>
      </c>
      <c r="E1329" s="43">
        <v>78757.05</v>
      </c>
      <c r="F1329" s="2">
        <v>78830.33</v>
      </c>
      <c r="G1329" s="1">
        <v>172</v>
      </c>
      <c r="I1329" s="39">
        <v>46054.211805555555</v>
      </c>
      <c r="J1329" s="36">
        <v>77938.631450000001</v>
      </c>
      <c r="L1329" s="2"/>
      <c r="M1329" s="2"/>
      <c r="O1329" s="37">
        <v>46054.211805555555</v>
      </c>
      <c r="P1329" s="36">
        <v>78826.282030000002</v>
      </c>
      <c r="R1329" s="2"/>
      <c r="S1329" s="2">
        <v>78263.480890000006</v>
      </c>
    </row>
    <row r="1330" spans="1:19" x14ac:dyDescent="0.35">
      <c r="A1330" s="7">
        <v>1327</v>
      </c>
      <c r="B1330" s="37">
        <v>46054.212500000001</v>
      </c>
      <c r="C1330" s="2">
        <v>78830.34</v>
      </c>
      <c r="D1330" s="43">
        <v>78830.34</v>
      </c>
      <c r="E1330" s="43">
        <v>78730.45</v>
      </c>
      <c r="F1330" s="2">
        <v>78734.02</v>
      </c>
      <c r="G1330" s="1">
        <v>192</v>
      </c>
      <c r="I1330" s="39">
        <v>46054.212500000001</v>
      </c>
      <c r="J1330" s="36">
        <v>77942.486480000007</v>
      </c>
      <c r="L1330" s="2"/>
      <c r="M1330" s="2"/>
      <c r="O1330" s="37">
        <v>46054.212500000001</v>
      </c>
      <c r="P1330" s="36">
        <v>78820.885410000003</v>
      </c>
      <c r="R1330" s="2"/>
      <c r="S1330" s="2">
        <v>78263.548360000001</v>
      </c>
    </row>
    <row r="1331" spans="1:19" x14ac:dyDescent="0.35">
      <c r="A1331" s="7">
        <v>1328</v>
      </c>
      <c r="B1331" s="37">
        <v>46054.213194444441</v>
      </c>
      <c r="C1331" s="2">
        <v>78734.53</v>
      </c>
      <c r="D1331" s="43">
        <v>78739.899999999994</v>
      </c>
      <c r="E1331" s="43">
        <v>78714.009999999995</v>
      </c>
      <c r="F1331" s="2">
        <v>78716.61</v>
      </c>
      <c r="G1331" s="1">
        <v>171</v>
      </c>
      <c r="I1331" s="39">
        <v>46054.213194444441</v>
      </c>
      <c r="J1331" s="36">
        <v>77946.341520000002</v>
      </c>
      <c r="L1331" s="2"/>
      <c r="M1331" s="2"/>
      <c r="O1331" s="37">
        <v>46054.213194444441</v>
      </c>
      <c r="P1331" s="36">
        <v>78815.48878</v>
      </c>
      <c r="R1331" s="2"/>
      <c r="S1331" s="2">
        <v>78263.615820000006</v>
      </c>
    </row>
    <row r="1332" spans="1:19" x14ac:dyDescent="0.35">
      <c r="A1332" s="7">
        <v>1329</v>
      </c>
      <c r="B1332" s="37">
        <v>46054.213888888888</v>
      </c>
      <c r="C1332" s="2">
        <v>78716.61</v>
      </c>
      <c r="D1332" s="43">
        <v>78727.67</v>
      </c>
      <c r="E1332" s="43">
        <v>78690.91</v>
      </c>
      <c r="F1332" s="2">
        <v>78717.850000000006</v>
      </c>
      <c r="G1332" s="1">
        <v>167</v>
      </c>
      <c r="I1332" s="39">
        <v>46054.213888888888</v>
      </c>
      <c r="J1332" s="36">
        <v>77950.196549999993</v>
      </c>
      <c r="L1332" s="2"/>
      <c r="M1332" s="2"/>
      <c r="O1332" s="37">
        <v>46054.213888888888</v>
      </c>
      <c r="P1332" s="36">
        <v>78810.09216</v>
      </c>
      <c r="R1332" s="2"/>
      <c r="S1332" s="2">
        <v>78263.683290000001</v>
      </c>
    </row>
    <row r="1333" spans="1:19" x14ac:dyDescent="0.35">
      <c r="A1333" s="7">
        <v>1330</v>
      </c>
      <c r="B1333" s="37">
        <v>46054.214583333334</v>
      </c>
      <c r="C1333" s="2">
        <v>78717.88</v>
      </c>
      <c r="D1333" s="43">
        <v>78718.12</v>
      </c>
      <c r="E1333" s="43">
        <v>78694.61</v>
      </c>
      <c r="F1333" s="2">
        <v>78709.990000000005</v>
      </c>
      <c r="G1333" s="1">
        <v>179</v>
      </c>
      <c r="I1333" s="39">
        <v>46054.214583333334</v>
      </c>
      <c r="J1333" s="36">
        <v>77954.051590000003</v>
      </c>
      <c r="L1333" s="2"/>
      <c r="M1333" s="2"/>
      <c r="O1333" s="37">
        <v>46054.214583333334</v>
      </c>
      <c r="P1333" s="36">
        <v>78804.695540000001</v>
      </c>
      <c r="R1333" s="2"/>
      <c r="S1333" s="2">
        <v>78263.750759999995</v>
      </c>
    </row>
    <row r="1334" spans="1:19" x14ac:dyDescent="0.35">
      <c r="A1334" s="7">
        <v>1331</v>
      </c>
      <c r="B1334" s="37">
        <v>46054.215277777781</v>
      </c>
      <c r="C1334" s="2">
        <v>78709.84</v>
      </c>
      <c r="D1334" s="43">
        <v>78739.990000000005</v>
      </c>
      <c r="E1334" s="43">
        <v>78709.84</v>
      </c>
      <c r="F1334" s="2">
        <v>78739.850000000006</v>
      </c>
      <c r="G1334" s="1">
        <v>161</v>
      </c>
      <c r="I1334" s="39">
        <v>46054.215277777781</v>
      </c>
      <c r="J1334" s="36">
        <v>77957.906619999994</v>
      </c>
      <c r="L1334" s="2"/>
      <c r="M1334" s="2"/>
      <c r="O1334" s="37">
        <v>46054.215277777781</v>
      </c>
      <c r="P1334" s="36">
        <v>78799.298920000001</v>
      </c>
      <c r="R1334" s="2"/>
      <c r="S1334" s="2">
        <v>78263.818220000001</v>
      </c>
    </row>
    <row r="1335" spans="1:19" x14ac:dyDescent="0.35">
      <c r="A1335" s="7">
        <v>1332</v>
      </c>
      <c r="B1335" s="37">
        <v>46054.21597222222</v>
      </c>
      <c r="C1335" s="2">
        <v>78743.8</v>
      </c>
      <c r="D1335" s="43">
        <v>78853.3</v>
      </c>
      <c r="E1335" s="43">
        <v>78690.42</v>
      </c>
      <c r="F1335" s="2">
        <v>78711.12</v>
      </c>
      <c r="G1335" s="1">
        <v>199</v>
      </c>
      <c r="I1335" s="39">
        <v>46054.21597222222</v>
      </c>
      <c r="J1335" s="36">
        <v>77961.761660000004</v>
      </c>
      <c r="L1335" s="2"/>
      <c r="M1335" s="2"/>
      <c r="O1335" s="37">
        <v>46054.21597222222</v>
      </c>
      <c r="P1335" s="36">
        <v>78793.902300000002</v>
      </c>
      <c r="R1335" s="2"/>
      <c r="S1335" s="2">
        <v>78263.885689999996</v>
      </c>
    </row>
    <row r="1336" spans="1:19" x14ac:dyDescent="0.35">
      <c r="A1336" s="7">
        <v>1333</v>
      </c>
      <c r="B1336" s="37">
        <v>46054.216666666667</v>
      </c>
      <c r="C1336" s="2">
        <v>78711.08</v>
      </c>
      <c r="D1336" s="43">
        <v>78735.7</v>
      </c>
      <c r="E1336" s="43">
        <v>78710.820000000007</v>
      </c>
      <c r="F1336" s="2">
        <v>78735.61</v>
      </c>
      <c r="G1336" s="1">
        <v>157</v>
      </c>
      <c r="I1336" s="39">
        <v>46054.216666666667</v>
      </c>
      <c r="J1336" s="36">
        <v>77965.616689999995</v>
      </c>
      <c r="L1336" s="2"/>
      <c r="M1336" s="2"/>
      <c r="O1336" s="37">
        <v>46054.216666666667</v>
      </c>
      <c r="P1336" s="36">
        <v>78788.505680000002</v>
      </c>
      <c r="R1336" s="2"/>
      <c r="S1336" s="2">
        <v>78263.953160000005</v>
      </c>
    </row>
    <row r="1337" spans="1:19" x14ac:dyDescent="0.35">
      <c r="A1337" s="7">
        <v>1334</v>
      </c>
      <c r="B1337" s="37">
        <v>46054.217361111114</v>
      </c>
      <c r="C1337" s="2">
        <v>78735.61</v>
      </c>
      <c r="D1337" s="43">
        <v>78752.08</v>
      </c>
      <c r="E1337" s="43">
        <v>78726.19</v>
      </c>
      <c r="F1337" s="2">
        <v>78727.53</v>
      </c>
      <c r="G1337" s="1">
        <v>161</v>
      </c>
      <c r="I1337" s="39">
        <v>46054.217361111114</v>
      </c>
      <c r="J1337" s="36">
        <v>77969.471720000001</v>
      </c>
      <c r="L1337" s="2"/>
      <c r="M1337" s="2"/>
      <c r="O1337" s="37">
        <v>46054.217361111114</v>
      </c>
      <c r="P1337" s="36">
        <v>78783.109049999999</v>
      </c>
      <c r="R1337" s="2"/>
      <c r="S1337" s="2">
        <v>78264.020629999999</v>
      </c>
    </row>
    <row r="1338" spans="1:19" x14ac:dyDescent="0.35">
      <c r="A1338" s="7">
        <v>1335</v>
      </c>
      <c r="B1338" s="37">
        <v>46054.218055555553</v>
      </c>
      <c r="C1338" s="2">
        <v>78714.34</v>
      </c>
      <c r="D1338" s="43">
        <v>78798.3</v>
      </c>
      <c r="E1338" s="43">
        <v>78705.64</v>
      </c>
      <c r="F1338" s="2">
        <v>78798.3</v>
      </c>
      <c r="G1338" s="1">
        <v>141</v>
      </c>
      <c r="I1338" s="39">
        <v>46054.218055555553</v>
      </c>
      <c r="J1338" s="36">
        <v>77973.326759999996</v>
      </c>
      <c r="L1338" s="2"/>
      <c r="M1338" s="2"/>
      <c r="O1338" s="37">
        <v>46054.218055555553</v>
      </c>
      <c r="P1338" s="36">
        <v>78777.71243</v>
      </c>
      <c r="R1338" s="2"/>
      <c r="S1338" s="2">
        <v>78264.088090000005</v>
      </c>
    </row>
    <row r="1339" spans="1:19" x14ac:dyDescent="0.35">
      <c r="A1339" s="7">
        <v>1336</v>
      </c>
      <c r="B1339" s="37">
        <v>46054.21875</v>
      </c>
      <c r="C1339" s="2">
        <v>78798.3</v>
      </c>
      <c r="D1339" s="43">
        <v>78878.399999999994</v>
      </c>
      <c r="E1339" s="43">
        <v>78783.19</v>
      </c>
      <c r="F1339" s="2">
        <v>78807.62</v>
      </c>
      <c r="G1339" s="1">
        <v>140</v>
      </c>
      <c r="I1339" s="39">
        <v>46054.21875</v>
      </c>
      <c r="J1339" s="36">
        <v>77977.181790000002</v>
      </c>
      <c r="L1339" s="2"/>
      <c r="M1339" s="2"/>
      <c r="O1339" s="37">
        <v>46054.21875</v>
      </c>
      <c r="P1339" s="36">
        <v>78772.31581</v>
      </c>
      <c r="R1339" s="2"/>
      <c r="S1339" s="2">
        <v>78264.155559999999</v>
      </c>
    </row>
    <row r="1340" spans="1:19" x14ac:dyDescent="0.35">
      <c r="A1340" s="7">
        <v>1337</v>
      </c>
      <c r="B1340" s="37">
        <v>46054.219444444447</v>
      </c>
      <c r="C1340" s="2">
        <v>78819</v>
      </c>
      <c r="D1340" s="43">
        <v>78819.23</v>
      </c>
      <c r="E1340" s="43">
        <v>78746.600000000006</v>
      </c>
      <c r="F1340" s="2">
        <v>78746.600000000006</v>
      </c>
      <c r="G1340" s="1">
        <v>146</v>
      </c>
      <c r="I1340" s="39">
        <v>46054.219444444447</v>
      </c>
      <c r="J1340" s="36">
        <v>77981.036829999997</v>
      </c>
      <c r="L1340" s="2"/>
      <c r="M1340" s="2"/>
      <c r="O1340" s="37">
        <v>46054.219444444447</v>
      </c>
      <c r="P1340" s="36">
        <v>78766.919190000001</v>
      </c>
      <c r="R1340" s="2"/>
      <c r="S1340" s="2">
        <v>78264.223029999994</v>
      </c>
    </row>
    <row r="1341" spans="1:19" x14ac:dyDescent="0.35">
      <c r="A1341" s="7">
        <v>1338</v>
      </c>
      <c r="B1341" s="37">
        <v>46054.220138888886</v>
      </c>
      <c r="C1341" s="2">
        <v>78746.600000000006</v>
      </c>
      <c r="D1341" s="43">
        <v>78761.64</v>
      </c>
      <c r="E1341" s="43">
        <v>78746.53</v>
      </c>
      <c r="F1341" s="2">
        <v>78748.55</v>
      </c>
      <c r="G1341" s="1">
        <v>109</v>
      </c>
      <c r="I1341" s="39">
        <v>46054.220138888886</v>
      </c>
      <c r="J1341" s="36">
        <v>77984.891860000003</v>
      </c>
      <c r="L1341" s="2"/>
      <c r="M1341" s="2"/>
      <c r="O1341" s="37">
        <v>46054.220138888886</v>
      </c>
      <c r="P1341" s="36">
        <v>78761.522570000001</v>
      </c>
      <c r="R1341" s="2"/>
      <c r="S1341" s="2">
        <v>78264.290489999999</v>
      </c>
    </row>
    <row r="1342" spans="1:19" x14ac:dyDescent="0.35">
      <c r="A1342" s="7">
        <v>1339</v>
      </c>
      <c r="B1342" s="37">
        <v>46054.220833333333</v>
      </c>
      <c r="C1342" s="2">
        <v>78748.56</v>
      </c>
      <c r="D1342" s="43">
        <v>78758.73</v>
      </c>
      <c r="E1342" s="43">
        <v>78748.52</v>
      </c>
      <c r="F1342" s="2">
        <v>78748.820000000007</v>
      </c>
      <c r="G1342" s="1">
        <v>158</v>
      </c>
      <c r="I1342" s="39">
        <v>46054.220833333333</v>
      </c>
      <c r="J1342" s="36">
        <v>77988.746899999998</v>
      </c>
      <c r="L1342" s="2"/>
      <c r="M1342" s="2"/>
      <c r="O1342" s="37">
        <v>46054.220833333333</v>
      </c>
      <c r="P1342" s="36">
        <v>78756.125950000001</v>
      </c>
      <c r="R1342" s="2"/>
      <c r="S1342" s="2">
        <v>78264.357959999994</v>
      </c>
    </row>
    <row r="1343" spans="1:19" x14ac:dyDescent="0.35">
      <c r="A1343" s="7">
        <v>1340</v>
      </c>
      <c r="B1343" s="37">
        <v>46054.22152777778</v>
      </c>
      <c r="C1343" s="2">
        <v>78748.820000000007</v>
      </c>
      <c r="D1343" s="43">
        <v>78755.320000000007</v>
      </c>
      <c r="E1343" s="43">
        <v>78746.600000000006</v>
      </c>
      <c r="F1343" s="2">
        <v>78749.350000000006</v>
      </c>
      <c r="G1343" s="1">
        <v>141</v>
      </c>
      <c r="I1343" s="39">
        <v>46054.22152777778</v>
      </c>
      <c r="J1343" s="36">
        <v>77992.601930000004</v>
      </c>
      <c r="L1343" s="2"/>
      <c r="M1343" s="2"/>
      <c r="O1343" s="37">
        <v>46054.22152777778</v>
      </c>
      <c r="P1343" s="36">
        <v>78750.729319999999</v>
      </c>
      <c r="R1343" s="2"/>
      <c r="S1343" s="2">
        <v>78264.425430000003</v>
      </c>
    </row>
    <row r="1344" spans="1:19" x14ac:dyDescent="0.35">
      <c r="A1344" s="7">
        <v>1341</v>
      </c>
      <c r="B1344" s="37">
        <v>46054.222222222219</v>
      </c>
      <c r="C1344" s="2">
        <v>78749.34</v>
      </c>
      <c r="D1344" s="43">
        <v>78751.03</v>
      </c>
      <c r="E1344" s="43">
        <v>78686.600000000006</v>
      </c>
      <c r="F1344" s="2">
        <v>78688.97</v>
      </c>
      <c r="G1344" s="1">
        <v>97</v>
      </c>
      <c r="I1344" s="39">
        <v>46054.222222222219</v>
      </c>
      <c r="J1344" s="36">
        <v>77996.456969999999</v>
      </c>
      <c r="L1344" s="2"/>
      <c r="M1344" s="2"/>
      <c r="O1344" s="37">
        <v>46054.222222222219</v>
      </c>
      <c r="P1344" s="36">
        <v>78745.332699999999</v>
      </c>
      <c r="R1344" s="2"/>
      <c r="S1344" s="2">
        <v>78264.492889999994</v>
      </c>
    </row>
    <row r="1345" spans="1:19" x14ac:dyDescent="0.35">
      <c r="A1345" s="7">
        <v>1342</v>
      </c>
      <c r="B1345" s="37">
        <v>46054.222916666666</v>
      </c>
      <c r="C1345" s="2">
        <v>78689.02</v>
      </c>
      <c r="D1345" s="43">
        <v>78724.42</v>
      </c>
      <c r="E1345" s="43">
        <v>78677.56</v>
      </c>
      <c r="F1345" s="2">
        <v>78688.72</v>
      </c>
      <c r="G1345" s="1">
        <v>155</v>
      </c>
      <c r="I1345" s="39">
        <v>46054.222916666666</v>
      </c>
      <c r="J1345" s="36">
        <v>78000.312000000005</v>
      </c>
      <c r="L1345" s="2"/>
      <c r="M1345" s="2"/>
      <c r="O1345" s="37">
        <v>46054.222916666666</v>
      </c>
      <c r="P1345" s="36">
        <v>78739.936079999999</v>
      </c>
      <c r="R1345" s="2"/>
      <c r="S1345" s="2">
        <v>78264.560360000003</v>
      </c>
    </row>
    <row r="1346" spans="1:19" x14ac:dyDescent="0.35">
      <c r="A1346" s="7">
        <v>1343</v>
      </c>
      <c r="B1346" s="37">
        <v>46054.223611111112</v>
      </c>
      <c r="C1346" s="2">
        <v>78688.710000000006</v>
      </c>
      <c r="D1346" s="43">
        <v>78722.34</v>
      </c>
      <c r="E1346" s="43">
        <v>78688.710000000006</v>
      </c>
      <c r="F1346" s="2">
        <v>78720.820000000007</v>
      </c>
      <c r="G1346" s="1">
        <v>204</v>
      </c>
      <c r="I1346" s="39">
        <v>46054.223611111112</v>
      </c>
      <c r="J1346" s="36">
        <v>78004.167029999997</v>
      </c>
      <c r="L1346" s="2"/>
      <c r="M1346" s="2"/>
      <c r="O1346" s="37">
        <v>46054.223611111112</v>
      </c>
      <c r="P1346" s="36">
        <v>78734.53946</v>
      </c>
      <c r="R1346" s="2"/>
      <c r="S1346" s="2">
        <v>78264.627829999998</v>
      </c>
    </row>
    <row r="1347" spans="1:19" x14ac:dyDescent="0.35">
      <c r="A1347" s="7">
        <v>1344</v>
      </c>
      <c r="B1347" s="37">
        <v>46054.224305555559</v>
      </c>
      <c r="C1347" s="2">
        <v>78720.83</v>
      </c>
      <c r="D1347" s="43">
        <v>78829.39</v>
      </c>
      <c r="E1347" s="43">
        <v>78720.83</v>
      </c>
      <c r="F1347" s="2">
        <v>78829.39</v>
      </c>
      <c r="G1347" s="1">
        <v>175</v>
      </c>
      <c r="I1347" s="39">
        <v>46054.224305555559</v>
      </c>
      <c r="J1347" s="36">
        <v>78008.022070000006</v>
      </c>
      <c r="L1347" s="2"/>
      <c r="M1347" s="2"/>
      <c r="O1347" s="37">
        <v>46054.224305555559</v>
      </c>
      <c r="P1347" s="36">
        <v>78729.14284</v>
      </c>
      <c r="R1347" s="2"/>
      <c r="S1347" s="2">
        <v>78264.695300000007</v>
      </c>
    </row>
    <row r="1348" spans="1:19" x14ac:dyDescent="0.35">
      <c r="A1348" s="7">
        <v>1345</v>
      </c>
      <c r="B1348" s="37">
        <v>46054.224999999999</v>
      </c>
      <c r="C1348" s="2">
        <v>78829.42</v>
      </c>
      <c r="D1348" s="43">
        <v>78864.7</v>
      </c>
      <c r="E1348" s="43">
        <v>78829.09</v>
      </c>
      <c r="F1348" s="2">
        <v>78852.83</v>
      </c>
      <c r="G1348" s="1">
        <v>172</v>
      </c>
      <c r="I1348" s="39">
        <v>46054.224999999999</v>
      </c>
      <c r="J1348" s="36">
        <v>78011.877099999998</v>
      </c>
      <c r="L1348" s="2"/>
      <c r="M1348" s="2"/>
      <c r="O1348" s="37">
        <v>46054.224999999999</v>
      </c>
      <c r="P1348" s="36">
        <v>78723.746220000001</v>
      </c>
      <c r="R1348" s="2"/>
      <c r="S1348" s="2">
        <v>78264.762759999998</v>
      </c>
    </row>
    <row r="1349" spans="1:19" x14ac:dyDescent="0.35">
      <c r="A1349" s="7">
        <v>1346</v>
      </c>
      <c r="B1349" s="37">
        <v>46054.225694444445</v>
      </c>
      <c r="C1349" s="2">
        <v>78852.83</v>
      </c>
      <c r="D1349" s="43">
        <v>78870.399999999994</v>
      </c>
      <c r="E1349" s="43">
        <v>78808.56</v>
      </c>
      <c r="F1349" s="2">
        <v>78808.59</v>
      </c>
      <c r="G1349" s="1">
        <v>149</v>
      </c>
      <c r="I1349" s="39">
        <v>46054.225694444445</v>
      </c>
      <c r="J1349" s="36">
        <v>78015.732139999993</v>
      </c>
      <c r="L1349" s="2"/>
      <c r="M1349" s="2"/>
      <c r="O1349" s="37">
        <v>46054.225694444445</v>
      </c>
      <c r="P1349" s="36">
        <v>78718.349589999998</v>
      </c>
      <c r="R1349" s="2"/>
      <c r="S1349" s="2">
        <v>78264.830230000007</v>
      </c>
    </row>
    <row r="1350" spans="1:19" x14ac:dyDescent="0.35">
      <c r="A1350" s="7">
        <v>1347</v>
      </c>
      <c r="B1350" s="37">
        <v>46054.226388888892</v>
      </c>
      <c r="C1350" s="2">
        <v>78808.37</v>
      </c>
      <c r="D1350" s="43">
        <v>78878.31</v>
      </c>
      <c r="E1350" s="43">
        <v>78807.17</v>
      </c>
      <c r="F1350" s="2">
        <v>78878.3</v>
      </c>
      <c r="G1350" s="1">
        <v>118</v>
      </c>
      <c r="I1350" s="39">
        <v>46054.226388888892</v>
      </c>
      <c r="J1350" s="36">
        <v>78019.587169999999</v>
      </c>
      <c r="L1350" s="2"/>
      <c r="M1350" s="2"/>
      <c r="O1350" s="37">
        <v>46054.226388888892</v>
      </c>
      <c r="P1350" s="36">
        <v>78712.952969999998</v>
      </c>
      <c r="R1350" s="2"/>
      <c r="S1350" s="2">
        <v>78264.897700000001</v>
      </c>
    </row>
    <row r="1351" spans="1:19" x14ac:dyDescent="0.35">
      <c r="A1351" s="7">
        <v>1348</v>
      </c>
      <c r="B1351" s="37">
        <v>46054.227083333331</v>
      </c>
      <c r="C1351" s="2">
        <v>78878.3</v>
      </c>
      <c r="D1351" s="43">
        <v>78908.5</v>
      </c>
      <c r="E1351" s="43">
        <v>78878.3</v>
      </c>
      <c r="F1351" s="2">
        <v>78901.3</v>
      </c>
      <c r="G1351" s="1">
        <v>72</v>
      </c>
      <c r="I1351" s="39">
        <v>46054.227083333331</v>
      </c>
      <c r="J1351" s="36">
        <v>78023.442209999994</v>
      </c>
      <c r="L1351" s="2"/>
      <c r="M1351" s="2"/>
      <c r="O1351" s="37">
        <v>46054.227083333331</v>
      </c>
      <c r="P1351" s="36">
        <v>78707.556349999999</v>
      </c>
      <c r="R1351" s="2"/>
      <c r="S1351" s="2">
        <v>78264.965160000007</v>
      </c>
    </row>
    <row r="1352" spans="1:19" x14ac:dyDescent="0.35">
      <c r="A1352" s="7">
        <v>1349</v>
      </c>
      <c r="B1352" s="37">
        <v>46054.227777777778</v>
      </c>
      <c r="C1352" s="2">
        <v>78901.3</v>
      </c>
      <c r="D1352" s="43">
        <v>78928.63</v>
      </c>
      <c r="E1352" s="43">
        <v>78886.11</v>
      </c>
      <c r="F1352" s="2">
        <v>78921.55</v>
      </c>
      <c r="G1352" s="1">
        <v>100</v>
      </c>
      <c r="I1352" s="39">
        <v>46054.227777777778</v>
      </c>
      <c r="J1352" s="36">
        <v>78027.29724</v>
      </c>
      <c r="L1352" s="2"/>
      <c r="M1352" s="2"/>
      <c r="O1352" s="37">
        <v>46054.227777777778</v>
      </c>
      <c r="P1352" s="36">
        <v>78702.159729999999</v>
      </c>
      <c r="R1352" s="2"/>
      <c r="S1352" s="2">
        <v>78265.032630000002</v>
      </c>
    </row>
    <row r="1353" spans="1:19" x14ac:dyDescent="0.35">
      <c r="A1353" s="7">
        <v>1350</v>
      </c>
      <c r="B1353" s="37">
        <v>46054.228472222225</v>
      </c>
      <c r="C1353" s="2">
        <v>78921.539999999994</v>
      </c>
      <c r="D1353" s="43">
        <v>78937.649999999994</v>
      </c>
      <c r="E1353" s="43">
        <v>78889.36</v>
      </c>
      <c r="F1353" s="2">
        <v>78895.600000000006</v>
      </c>
      <c r="G1353" s="1">
        <v>140</v>
      </c>
      <c r="I1353" s="39">
        <v>46054.228472222225</v>
      </c>
      <c r="J1353" s="36">
        <v>78031.152279999995</v>
      </c>
      <c r="L1353" s="2"/>
      <c r="M1353" s="2"/>
      <c r="O1353" s="37">
        <v>46054.228472222225</v>
      </c>
      <c r="P1353" s="36">
        <v>78696.76311</v>
      </c>
      <c r="R1353" s="2"/>
      <c r="S1353" s="2">
        <v>78265.100099999996</v>
      </c>
    </row>
    <row r="1354" spans="1:19" x14ac:dyDescent="0.35">
      <c r="A1354" s="7">
        <v>1351</v>
      </c>
      <c r="B1354" s="37">
        <v>46054.229166666664</v>
      </c>
      <c r="C1354" s="2">
        <v>78895.59</v>
      </c>
      <c r="D1354" s="43">
        <v>78900.600000000006</v>
      </c>
      <c r="E1354" s="43">
        <v>78861.08</v>
      </c>
      <c r="F1354" s="2">
        <v>78862.3</v>
      </c>
      <c r="G1354" s="1">
        <v>97</v>
      </c>
      <c r="I1354" s="39">
        <v>46054.229166666664</v>
      </c>
      <c r="J1354" s="36">
        <v>78035.007310000001</v>
      </c>
      <c r="L1354" s="2"/>
      <c r="M1354" s="2"/>
      <c r="O1354" s="37">
        <v>46054.229166666664</v>
      </c>
      <c r="P1354" s="36">
        <v>78691.36649</v>
      </c>
      <c r="R1354" s="2"/>
      <c r="S1354" s="2">
        <v>78265.167570000005</v>
      </c>
    </row>
    <row r="1355" spans="1:19" x14ac:dyDescent="0.35">
      <c r="A1355" s="7">
        <v>1352</v>
      </c>
      <c r="B1355" s="37">
        <v>46054.229861111111</v>
      </c>
      <c r="C1355" s="2">
        <v>78862.3</v>
      </c>
      <c r="D1355" s="43">
        <v>78868.84</v>
      </c>
      <c r="E1355" s="43">
        <v>78845.11</v>
      </c>
      <c r="F1355" s="2">
        <v>78846.5</v>
      </c>
      <c r="G1355" s="1">
        <v>48</v>
      </c>
      <c r="I1355" s="39">
        <v>46054.229861111111</v>
      </c>
      <c r="J1355" s="36">
        <v>78038.862340000007</v>
      </c>
      <c r="L1355" s="2"/>
      <c r="M1355" s="2"/>
      <c r="O1355" s="37">
        <v>46054.229861111111</v>
      </c>
      <c r="P1355" s="36">
        <v>78685.969859999997</v>
      </c>
      <c r="R1355" s="2"/>
      <c r="S1355" s="2">
        <v>78265.235029999996</v>
      </c>
    </row>
    <row r="1356" spans="1:19" x14ac:dyDescent="0.35">
      <c r="A1356" s="7">
        <v>1353</v>
      </c>
      <c r="B1356" s="37">
        <v>46054.230555555558</v>
      </c>
      <c r="C1356" s="2">
        <v>78837.009999999995</v>
      </c>
      <c r="D1356" s="43">
        <v>78837.210000000006</v>
      </c>
      <c r="E1356" s="43">
        <v>78794.100000000006</v>
      </c>
      <c r="F1356" s="2">
        <v>78794.2</v>
      </c>
      <c r="G1356" s="1">
        <v>72</v>
      </c>
      <c r="I1356" s="39">
        <v>46054.230555555558</v>
      </c>
      <c r="J1356" s="36">
        <v>78042.717380000002</v>
      </c>
      <c r="L1356" s="2"/>
      <c r="M1356" s="2"/>
      <c r="O1356" s="37">
        <v>46054.230555555558</v>
      </c>
      <c r="P1356" s="36">
        <v>78680.573239999998</v>
      </c>
      <c r="R1356" s="2"/>
      <c r="S1356" s="2">
        <v>78265.302500000005</v>
      </c>
    </row>
    <row r="1357" spans="1:19" x14ac:dyDescent="0.35">
      <c r="A1357" s="7">
        <v>1354</v>
      </c>
      <c r="B1357" s="37">
        <v>46054.231249999997</v>
      </c>
      <c r="C1357" s="2">
        <v>78794.2</v>
      </c>
      <c r="D1357" s="43">
        <v>78828.91</v>
      </c>
      <c r="E1357" s="43">
        <v>78794.2</v>
      </c>
      <c r="F1357" s="2">
        <v>78801.53</v>
      </c>
      <c r="G1357" s="1">
        <v>105</v>
      </c>
      <c r="I1357" s="39">
        <v>46054.231249999997</v>
      </c>
      <c r="J1357" s="36">
        <v>78046.572409999993</v>
      </c>
      <c r="L1357" s="2"/>
      <c r="M1357" s="2"/>
      <c r="O1357" s="37">
        <v>46054.231249999997</v>
      </c>
      <c r="P1357" s="36">
        <v>78675.176619999998</v>
      </c>
      <c r="R1357" s="2"/>
      <c r="S1357" s="2">
        <v>78265.36997</v>
      </c>
    </row>
    <row r="1358" spans="1:19" x14ac:dyDescent="0.35">
      <c r="A1358" s="7">
        <v>1355</v>
      </c>
      <c r="B1358" s="37">
        <v>46054.231944444444</v>
      </c>
      <c r="C1358" s="2">
        <v>78801.53</v>
      </c>
      <c r="D1358" s="43">
        <v>78825.3</v>
      </c>
      <c r="E1358" s="43">
        <v>78801.53</v>
      </c>
      <c r="F1358" s="2">
        <v>78805.53</v>
      </c>
      <c r="G1358" s="1">
        <v>121</v>
      </c>
      <c r="I1358" s="39">
        <v>46054.231944444444</v>
      </c>
      <c r="J1358" s="36">
        <v>78050.427450000003</v>
      </c>
      <c r="L1358" s="2"/>
      <c r="M1358" s="2"/>
      <c r="O1358" s="37">
        <v>46054.231944444444</v>
      </c>
      <c r="P1358" s="36">
        <v>78669.78</v>
      </c>
      <c r="R1358" s="2"/>
      <c r="S1358" s="2">
        <v>78265.437430000005</v>
      </c>
    </row>
    <row r="1359" spans="1:19" x14ac:dyDescent="0.35">
      <c r="A1359" s="7">
        <v>1356</v>
      </c>
      <c r="B1359" s="37">
        <v>46054.232638888891</v>
      </c>
      <c r="C1359" s="2">
        <v>78805.53</v>
      </c>
      <c r="D1359" s="43">
        <v>78828</v>
      </c>
      <c r="E1359" s="43">
        <v>78789.37</v>
      </c>
      <c r="F1359" s="2">
        <v>78790.5</v>
      </c>
      <c r="G1359" s="1">
        <v>116</v>
      </c>
      <c r="I1359" s="39">
        <v>46054.232638888891</v>
      </c>
      <c r="J1359" s="36">
        <v>78054.282479999994</v>
      </c>
      <c r="L1359" s="2"/>
      <c r="M1359" s="2"/>
      <c r="O1359" s="37">
        <v>46054.232638888891</v>
      </c>
      <c r="P1359" s="36">
        <v>78664.383379999999</v>
      </c>
      <c r="R1359" s="2"/>
      <c r="S1359" s="2">
        <v>78265.5049</v>
      </c>
    </row>
    <row r="1360" spans="1:19" x14ac:dyDescent="0.35">
      <c r="A1360" s="7">
        <v>1357</v>
      </c>
      <c r="B1360" s="37">
        <v>46054.23333333333</v>
      </c>
      <c r="C1360" s="2">
        <v>78790.5</v>
      </c>
      <c r="D1360" s="43">
        <v>78791.7</v>
      </c>
      <c r="E1360" s="43">
        <v>78721.039999999994</v>
      </c>
      <c r="F1360" s="2">
        <v>78722</v>
      </c>
      <c r="G1360" s="1">
        <v>126</v>
      </c>
      <c r="I1360" s="39">
        <v>46054.23333333333</v>
      </c>
      <c r="J1360" s="36">
        <v>78058.137520000004</v>
      </c>
      <c r="L1360" s="2"/>
      <c r="M1360" s="2"/>
      <c r="O1360" s="37">
        <v>46054.23333333333</v>
      </c>
      <c r="P1360" s="36">
        <v>78658.98676</v>
      </c>
      <c r="R1360" s="2"/>
      <c r="S1360" s="2">
        <v>78265.572369999994</v>
      </c>
    </row>
    <row r="1361" spans="1:19" x14ac:dyDescent="0.35">
      <c r="A1361" s="7">
        <v>1358</v>
      </c>
      <c r="B1361" s="37">
        <v>46054.234027777777</v>
      </c>
      <c r="C1361" s="2">
        <v>78722</v>
      </c>
      <c r="D1361" s="43">
        <v>78744.100000000006</v>
      </c>
      <c r="E1361" s="43">
        <v>78710.509999999995</v>
      </c>
      <c r="F1361" s="2">
        <v>78711.600000000006</v>
      </c>
      <c r="G1361" s="1">
        <v>99</v>
      </c>
      <c r="I1361" s="39">
        <v>46054.234027777777</v>
      </c>
      <c r="J1361" s="36">
        <v>78061.992549999995</v>
      </c>
      <c r="L1361" s="2"/>
      <c r="M1361" s="2"/>
      <c r="O1361" s="37">
        <v>46054.234027777777</v>
      </c>
      <c r="P1361" s="36">
        <v>78653.59014</v>
      </c>
      <c r="R1361" s="2"/>
      <c r="S1361" s="2">
        <v>78265.639840000003</v>
      </c>
    </row>
    <row r="1362" spans="1:19" x14ac:dyDescent="0.35">
      <c r="A1362" s="7">
        <v>1359</v>
      </c>
      <c r="B1362" s="37">
        <v>46054.234722222223</v>
      </c>
      <c r="C1362" s="2">
        <v>78711.600000000006</v>
      </c>
      <c r="D1362" s="43">
        <v>78721.3</v>
      </c>
      <c r="E1362" s="43">
        <v>78700.55</v>
      </c>
      <c r="F1362" s="2">
        <v>78701.5</v>
      </c>
      <c r="G1362" s="1">
        <v>88</v>
      </c>
      <c r="I1362" s="39">
        <v>46054.234722222223</v>
      </c>
      <c r="J1362" s="36">
        <v>78065.847590000005</v>
      </c>
      <c r="L1362" s="2"/>
      <c r="M1362" s="2"/>
      <c r="O1362" s="37">
        <v>46054.234722222223</v>
      </c>
      <c r="P1362" s="36">
        <v>78648.193509999997</v>
      </c>
      <c r="R1362" s="2"/>
      <c r="S1362" s="2">
        <v>78265.707299999995</v>
      </c>
    </row>
    <row r="1363" spans="1:19" x14ac:dyDescent="0.35">
      <c r="A1363" s="7">
        <v>1360</v>
      </c>
      <c r="B1363" s="37">
        <v>46054.23541666667</v>
      </c>
      <c r="C1363" s="2">
        <v>78688</v>
      </c>
      <c r="D1363" s="43">
        <v>78692.539999999994</v>
      </c>
      <c r="E1363" s="43">
        <v>78660.479999999996</v>
      </c>
      <c r="F1363" s="2">
        <v>78662.039999999994</v>
      </c>
      <c r="G1363" s="1">
        <v>105</v>
      </c>
      <c r="I1363" s="39">
        <v>46054.23541666667</v>
      </c>
      <c r="J1363" s="36">
        <v>78069.702619999996</v>
      </c>
      <c r="L1363" s="2"/>
      <c r="M1363" s="2"/>
      <c r="O1363" s="37">
        <v>46054.23541666667</v>
      </c>
      <c r="P1363" s="36">
        <v>78642.796889999998</v>
      </c>
      <c r="R1363" s="2"/>
      <c r="S1363" s="2">
        <v>78265.774770000004</v>
      </c>
    </row>
    <row r="1364" spans="1:19" x14ac:dyDescent="0.35">
      <c r="A1364" s="7">
        <v>1361</v>
      </c>
      <c r="B1364" s="37">
        <v>46054.236111111109</v>
      </c>
      <c r="C1364" s="2">
        <v>78662.05</v>
      </c>
      <c r="D1364" s="43">
        <v>78679.72</v>
      </c>
      <c r="E1364" s="43">
        <v>78662.05</v>
      </c>
      <c r="F1364" s="2">
        <v>78673.210000000006</v>
      </c>
      <c r="G1364" s="1">
        <v>87</v>
      </c>
      <c r="I1364" s="39">
        <v>46054.236111111109</v>
      </c>
      <c r="J1364" s="36">
        <v>78073.557660000006</v>
      </c>
      <c r="L1364" s="2"/>
      <c r="M1364" s="2"/>
      <c r="O1364" s="37">
        <v>46054.236111111109</v>
      </c>
      <c r="P1364" s="36">
        <v>78637.400269999998</v>
      </c>
      <c r="R1364" s="2"/>
      <c r="S1364" s="2">
        <v>78265.842239999998</v>
      </c>
    </row>
    <row r="1365" spans="1:19" x14ac:dyDescent="0.35">
      <c r="A1365" s="7">
        <v>1362</v>
      </c>
      <c r="B1365" s="37">
        <v>46054.236805555556</v>
      </c>
      <c r="C1365" s="2">
        <v>78673.210000000006</v>
      </c>
      <c r="D1365" s="43">
        <v>78675.199999999997</v>
      </c>
      <c r="E1365" s="43">
        <v>78653.02</v>
      </c>
      <c r="F1365" s="2">
        <v>78653.100000000006</v>
      </c>
      <c r="G1365" s="1">
        <v>131</v>
      </c>
      <c r="I1365" s="39">
        <v>46054.236805555556</v>
      </c>
      <c r="J1365" s="36">
        <v>78077.412689999997</v>
      </c>
      <c r="L1365" s="2"/>
      <c r="M1365" s="2"/>
      <c r="O1365" s="37">
        <v>46054.236805555556</v>
      </c>
      <c r="P1365" s="36">
        <v>78632.003649999999</v>
      </c>
      <c r="R1365" s="2"/>
      <c r="S1365" s="2">
        <v>78265.909700000004</v>
      </c>
    </row>
    <row r="1366" spans="1:19" x14ac:dyDescent="0.35">
      <c r="A1366" s="7">
        <v>1363</v>
      </c>
      <c r="B1366" s="37">
        <v>46054.237500000003</v>
      </c>
      <c r="C1366" s="2">
        <v>78646.81</v>
      </c>
      <c r="D1366" s="43">
        <v>78653.350000000006</v>
      </c>
      <c r="E1366" s="43">
        <v>78646.5</v>
      </c>
      <c r="F1366" s="2">
        <v>78646.5</v>
      </c>
      <c r="G1366" s="1">
        <v>120</v>
      </c>
      <c r="I1366" s="39">
        <v>46054.237500000003</v>
      </c>
      <c r="J1366" s="36">
        <v>78081.267720000003</v>
      </c>
      <c r="L1366" s="2"/>
      <c r="M1366" s="2"/>
      <c r="O1366" s="37">
        <v>46054.237500000003</v>
      </c>
      <c r="P1366" s="36">
        <v>78626.607029999999</v>
      </c>
      <c r="R1366" s="2"/>
      <c r="S1366" s="2">
        <v>78265.977169999998</v>
      </c>
    </row>
    <row r="1367" spans="1:19" x14ac:dyDescent="0.35">
      <c r="A1367" s="7">
        <v>1364</v>
      </c>
      <c r="B1367" s="37">
        <v>46054.238194444442</v>
      </c>
      <c r="C1367" s="2">
        <v>78646.5</v>
      </c>
      <c r="D1367" s="43">
        <v>78650.399999999994</v>
      </c>
      <c r="E1367" s="43">
        <v>78591</v>
      </c>
      <c r="F1367" s="2">
        <v>78620.36</v>
      </c>
      <c r="G1367" s="1">
        <v>116</v>
      </c>
      <c r="I1367" s="39">
        <v>46054.238194444442</v>
      </c>
      <c r="J1367" s="36">
        <v>78085.122759999998</v>
      </c>
      <c r="L1367" s="2"/>
      <c r="M1367" s="2"/>
      <c r="O1367" s="37">
        <v>46054.238194444442</v>
      </c>
      <c r="P1367" s="36">
        <v>78621.21041</v>
      </c>
      <c r="R1367" s="2"/>
      <c r="S1367" s="2">
        <v>78266.044639999993</v>
      </c>
    </row>
    <row r="1368" spans="1:19" x14ac:dyDescent="0.35">
      <c r="A1368" s="7">
        <v>1365</v>
      </c>
      <c r="B1368" s="37">
        <v>46054.238888888889</v>
      </c>
      <c r="C1368" s="2">
        <v>78620.320000000007</v>
      </c>
      <c r="D1368" s="43">
        <v>78628.960000000006</v>
      </c>
      <c r="E1368" s="43">
        <v>78500.820000000007</v>
      </c>
      <c r="F1368" s="2">
        <v>78532.94</v>
      </c>
      <c r="G1368" s="1">
        <v>217</v>
      </c>
      <c r="I1368" s="39">
        <v>46054.238888888889</v>
      </c>
      <c r="J1368" s="36">
        <v>78088.977790000004</v>
      </c>
      <c r="L1368" s="2"/>
      <c r="M1368" s="2"/>
      <c r="O1368" s="37">
        <v>46054.238888888889</v>
      </c>
      <c r="P1368" s="36">
        <v>78615.813779999997</v>
      </c>
      <c r="R1368" s="2"/>
      <c r="S1368" s="2">
        <v>78266.112110000002</v>
      </c>
    </row>
    <row r="1369" spans="1:19" x14ac:dyDescent="0.35">
      <c r="A1369" s="7">
        <v>1366</v>
      </c>
      <c r="B1369" s="37">
        <v>46054.239583333336</v>
      </c>
      <c r="C1369" s="2">
        <v>78541.5</v>
      </c>
      <c r="D1369" s="43">
        <v>78597.16</v>
      </c>
      <c r="E1369" s="43">
        <v>78541.5</v>
      </c>
      <c r="F1369" s="2">
        <v>78555.73</v>
      </c>
      <c r="G1369" s="1">
        <v>193</v>
      </c>
      <c r="I1369" s="39">
        <v>46054.239583333336</v>
      </c>
      <c r="J1369" s="36">
        <v>78092.832829999999</v>
      </c>
      <c r="L1369" s="2"/>
      <c r="M1369" s="2"/>
      <c r="O1369" s="37">
        <v>46054.239583333336</v>
      </c>
      <c r="P1369" s="36">
        <v>78610.417159999997</v>
      </c>
      <c r="R1369" s="2"/>
      <c r="S1369" s="2">
        <v>78266.179569999993</v>
      </c>
    </row>
    <row r="1370" spans="1:19" x14ac:dyDescent="0.35">
      <c r="A1370" s="7">
        <v>1367</v>
      </c>
      <c r="B1370" s="37">
        <v>46054.240277777775</v>
      </c>
      <c r="C1370" s="2">
        <v>78555.210000000006</v>
      </c>
      <c r="D1370" s="43">
        <v>78591.37</v>
      </c>
      <c r="E1370" s="43">
        <v>78551.210000000006</v>
      </c>
      <c r="F1370" s="2">
        <v>78591.37</v>
      </c>
      <c r="G1370" s="1">
        <v>166</v>
      </c>
      <c r="I1370" s="39">
        <v>46054.240277777775</v>
      </c>
      <c r="J1370" s="36">
        <v>78096.687860000005</v>
      </c>
      <c r="L1370" s="2"/>
      <c r="M1370" s="2"/>
      <c r="O1370" s="37">
        <v>46054.240277777775</v>
      </c>
      <c r="P1370" s="36">
        <v>78605.020539999998</v>
      </c>
      <c r="R1370" s="2"/>
      <c r="S1370" s="2">
        <v>78266.247040000002</v>
      </c>
    </row>
    <row r="1371" spans="1:19" x14ac:dyDescent="0.35">
      <c r="A1371" s="7">
        <v>1368</v>
      </c>
      <c r="B1371" s="37">
        <v>46054.240972222222</v>
      </c>
      <c r="C1371" s="2">
        <v>78591.37</v>
      </c>
      <c r="D1371" s="43">
        <v>78594.7</v>
      </c>
      <c r="E1371" s="43">
        <v>78578.820000000007</v>
      </c>
      <c r="F1371" s="2">
        <v>78587.11</v>
      </c>
      <c r="G1371" s="1">
        <v>140</v>
      </c>
      <c r="I1371" s="39">
        <v>46054.240972222222</v>
      </c>
      <c r="J1371" s="36">
        <v>78100.5429</v>
      </c>
      <c r="L1371" s="2"/>
      <c r="M1371" s="2"/>
      <c r="O1371" s="37">
        <v>46054.240972222222</v>
      </c>
      <c r="P1371" s="36">
        <v>78599.623919999998</v>
      </c>
      <c r="R1371" s="2"/>
      <c r="S1371" s="2">
        <v>78266.314509999997</v>
      </c>
    </row>
    <row r="1372" spans="1:19" x14ac:dyDescent="0.35">
      <c r="A1372" s="7">
        <v>1369</v>
      </c>
      <c r="B1372" s="37">
        <v>46054.241666666669</v>
      </c>
      <c r="C1372" s="2">
        <v>78587.23</v>
      </c>
      <c r="D1372" s="43">
        <v>78588.23</v>
      </c>
      <c r="E1372" s="43">
        <v>78557.919999999998</v>
      </c>
      <c r="F1372" s="2">
        <v>78558.240000000005</v>
      </c>
      <c r="G1372" s="1">
        <v>159</v>
      </c>
      <c r="I1372" s="39">
        <v>46054.241666666669</v>
      </c>
      <c r="J1372" s="36">
        <v>78104.397930000006</v>
      </c>
      <c r="L1372" s="2"/>
      <c r="M1372" s="2"/>
      <c r="O1372" s="37">
        <v>46054.241666666669</v>
      </c>
      <c r="P1372" s="36">
        <v>78594.227299999999</v>
      </c>
      <c r="R1372" s="2"/>
      <c r="S1372" s="2">
        <v>78266.381970000002</v>
      </c>
    </row>
    <row r="1373" spans="1:19" x14ac:dyDescent="0.35">
      <c r="A1373" s="7">
        <v>1370</v>
      </c>
      <c r="B1373" s="37">
        <v>46054.242361111108</v>
      </c>
      <c r="C1373" s="2">
        <v>78558.23</v>
      </c>
      <c r="D1373" s="43">
        <v>78568.820000000007</v>
      </c>
      <c r="E1373" s="43">
        <v>78486.8</v>
      </c>
      <c r="F1373" s="2">
        <v>78511.520000000004</v>
      </c>
      <c r="G1373" s="1">
        <v>177</v>
      </c>
      <c r="I1373" s="39">
        <v>46054.242361111108</v>
      </c>
      <c r="J1373" s="36">
        <v>78108.252970000001</v>
      </c>
      <c r="L1373" s="2"/>
      <c r="M1373" s="2"/>
      <c r="O1373" s="37">
        <v>46054.242361111108</v>
      </c>
      <c r="P1373" s="36">
        <v>78588.830679999999</v>
      </c>
      <c r="R1373" s="2"/>
      <c r="S1373" s="2">
        <v>78266.449439999997</v>
      </c>
    </row>
    <row r="1374" spans="1:19" x14ac:dyDescent="0.35">
      <c r="A1374" s="7">
        <v>1371</v>
      </c>
      <c r="B1374" s="37">
        <v>46054.243055555555</v>
      </c>
      <c r="C1374" s="2">
        <v>78511.53</v>
      </c>
      <c r="D1374" s="43">
        <v>78575.899999999994</v>
      </c>
      <c r="E1374" s="43">
        <v>78481.33</v>
      </c>
      <c r="F1374" s="2">
        <v>78575.850000000006</v>
      </c>
      <c r="G1374" s="1">
        <v>164</v>
      </c>
      <c r="I1374" s="39">
        <v>46054.243055555555</v>
      </c>
      <c r="J1374" s="36">
        <v>78112.107999999993</v>
      </c>
      <c r="L1374" s="2"/>
      <c r="M1374" s="2"/>
      <c r="O1374" s="37">
        <v>46054.243055555555</v>
      </c>
      <c r="P1374" s="36">
        <v>78583.434049999996</v>
      </c>
      <c r="R1374" s="2"/>
      <c r="S1374" s="2">
        <v>78266.516910000006</v>
      </c>
    </row>
    <row r="1375" spans="1:19" x14ac:dyDescent="0.35">
      <c r="A1375" s="7">
        <v>1372</v>
      </c>
      <c r="B1375" s="37">
        <v>46054.243750000001</v>
      </c>
      <c r="C1375" s="2">
        <v>78575.899999999994</v>
      </c>
      <c r="D1375" s="43">
        <v>78575.899999999994</v>
      </c>
      <c r="E1375" s="43">
        <v>78514.13</v>
      </c>
      <c r="F1375" s="2">
        <v>78541.09</v>
      </c>
      <c r="G1375" s="1">
        <v>142</v>
      </c>
      <c r="I1375" s="39">
        <v>46054.243750000001</v>
      </c>
      <c r="J1375" s="36">
        <v>78115.963029999999</v>
      </c>
      <c r="L1375" s="2"/>
      <c r="M1375" s="2"/>
      <c r="O1375" s="37">
        <v>46054.243750000001</v>
      </c>
      <c r="P1375" s="36">
        <v>78578.037429999997</v>
      </c>
      <c r="R1375" s="2"/>
      <c r="S1375" s="2">
        <v>78266.58438</v>
      </c>
    </row>
    <row r="1376" spans="1:19" x14ac:dyDescent="0.35">
      <c r="A1376" s="7">
        <v>1373</v>
      </c>
      <c r="B1376" s="37">
        <v>46054.244444444441</v>
      </c>
      <c r="C1376" s="2">
        <v>78541.09</v>
      </c>
      <c r="D1376" s="43">
        <v>78600.149999999994</v>
      </c>
      <c r="E1376" s="43">
        <v>78532.210000000006</v>
      </c>
      <c r="F1376" s="2">
        <v>78594.73</v>
      </c>
      <c r="G1376" s="1">
        <v>162</v>
      </c>
      <c r="I1376" s="39">
        <v>46054.244444444441</v>
      </c>
      <c r="J1376" s="36">
        <v>78119.818069999994</v>
      </c>
      <c r="L1376" s="2"/>
      <c r="M1376" s="2"/>
      <c r="O1376" s="37">
        <v>46054.244444444441</v>
      </c>
      <c r="P1376" s="36">
        <v>78572.640809999997</v>
      </c>
      <c r="R1376" s="2"/>
      <c r="S1376" s="2">
        <v>78266.651840000006</v>
      </c>
    </row>
    <row r="1377" spans="1:19" x14ac:dyDescent="0.35">
      <c r="A1377" s="7">
        <v>1374</v>
      </c>
      <c r="B1377" s="37">
        <v>46054.245138888888</v>
      </c>
      <c r="C1377" s="2">
        <v>78594.720000000001</v>
      </c>
      <c r="D1377" s="43">
        <v>78594.740000000005</v>
      </c>
      <c r="E1377" s="43">
        <v>78517.14</v>
      </c>
      <c r="F1377" s="2">
        <v>78537.7</v>
      </c>
      <c r="G1377" s="1">
        <v>162</v>
      </c>
      <c r="I1377" s="39">
        <v>46054.245138888888</v>
      </c>
      <c r="J1377" s="36">
        <v>78123.6731</v>
      </c>
      <c r="L1377" s="2"/>
      <c r="M1377" s="2"/>
      <c r="O1377" s="37">
        <v>46054.245138888888</v>
      </c>
      <c r="P1377" s="36">
        <v>78567.244189999998</v>
      </c>
      <c r="R1377" s="2"/>
      <c r="S1377" s="2">
        <v>78266.71931</v>
      </c>
    </row>
    <row r="1378" spans="1:19" x14ac:dyDescent="0.35">
      <c r="A1378" s="7">
        <v>1375</v>
      </c>
      <c r="B1378" s="37">
        <v>46054.245833333334</v>
      </c>
      <c r="C1378" s="2">
        <v>78537.42</v>
      </c>
      <c r="D1378" s="43">
        <v>78561.899999999994</v>
      </c>
      <c r="E1378" s="43">
        <v>78520.929999999993</v>
      </c>
      <c r="F1378" s="2">
        <v>78523.350000000006</v>
      </c>
      <c r="G1378" s="1">
        <v>153</v>
      </c>
      <c r="I1378" s="39">
        <v>46054.245833333334</v>
      </c>
      <c r="J1378" s="36">
        <v>78127.528139999995</v>
      </c>
      <c r="L1378" s="2"/>
      <c r="M1378" s="2"/>
      <c r="O1378" s="37">
        <v>46054.245833333334</v>
      </c>
      <c r="P1378" s="36">
        <v>78561.847569999998</v>
      </c>
      <c r="R1378" s="2"/>
      <c r="S1378" s="2">
        <v>78266.786779999995</v>
      </c>
    </row>
    <row r="1379" spans="1:19" x14ac:dyDescent="0.35">
      <c r="A1379" s="7">
        <v>1376</v>
      </c>
      <c r="B1379" s="37">
        <v>46054.246527777781</v>
      </c>
      <c r="C1379" s="2">
        <v>78523.37</v>
      </c>
      <c r="D1379" s="43">
        <v>78584.75</v>
      </c>
      <c r="E1379" s="43">
        <v>78523.37</v>
      </c>
      <c r="F1379" s="2">
        <v>78563.67</v>
      </c>
      <c r="G1379" s="1">
        <v>168</v>
      </c>
      <c r="I1379" s="39">
        <v>46054.246527777781</v>
      </c>
      <c r="J1379" s="36">
        <v>78131.383170000001</v>
      </c>
      <c r="L1379" s="2"/>
      <c r="M1379" s="2"/>
      <c r="O1379" s="37">
        <v>46054.246527777781</v>
      </c>
      <c r="P1379" s="36">
        <v>78556.450949999999</v>
      </c>
      <c r="R1379" s="2"/>
      <c r="S1379" s="2">
        <v>78266.854240000001</v>
      </c>
    </row>
    <row r="1380" spans="1:19" x14ac:dyDescent="0.35">
      <c r="A1380" s="7">
        <v>1377</v>
      </c>
      <c r="B1380" s="37">
        <v>46054.24722222222</v>
      </c>
      <c r="C1380" s="2">
        <v>78563.8</v>
      </c>
      <c r="D1380" s="43">
        <v>78570.320000000007</v>
      </c>
      <c r="E1380" s="43">
        <v>78545.350000000006</v>
      </c>
      <c r="F1380" s="2">
        <v>78547.460000000006</v>
      </c>
      <c r="G1380" s="1">
        <v>165</v>
      </c>
      <c r="I1380" s="39">
        <v>46054.24722222222</v>
      </c>
      <c r="J1380" s="36">
        <v>78135.238209999996</v>
      </c>
      <c r="L1380" s="2"/>
      <c r="M1380" s="2"/>
      <c r="O1380" s="37">
        <v>46054.24722222222</v>
      </c>
      <c r="P1380" s="36">
        <v>78551.054319999996</v>
      </c>
      <c r="R1380" s="2"/>
      <c r="S1380" s="2">
        <v>78266.921709999995</v>
      </c>
    </row>
    <row r="1381" spans="1:19" x14ac:dyDescent="0.35">
      <c r="A1381" s="7">
        <v>1378</v>
      </c>
      <c r="B1381" s="37">
        <v>46054.247916666667</v>
      </c>
      <c r="C1381" s="2">
        <v>78548.12</v>
      </c>
      <c r="D1381" s="43">
        <v>78589.66</v>
      </c>
      <c r="E1381" s="43">
        <v>78546.7</v>
      </c>
      <c r="F1381" s="2">
        <v>78546.7</v>
      </c>
      <c r="G1381" s="1">
        <v>196</v>
      </c>
      <c r="I1381" s="39">
        <v>46054.247916666667</v>
      </c>
      <c r="J1381" s="36">
        <v>78139.093240000002</v>
      </c>
      <c r="L1381" s="2"/>
      <c r="M1381" s="2"/>
      <c r="O1381" s="37">
        <v>46054.247916666667</v>
      </c>
      <c r="P1381" s="36">
        <v>78545.657699999996</v>
      </c>
      <c r="R1381" s="2"/>
      <c r="S1381" s="2">
        <v>78266.989180000004</v>
      </c>
    </row>
    <row r="1382" spans="1:19" x14ac:dyDescent="0.35">
      <c r="A1382" s="7">
        <v>1379</v>
      </c>
      <c r="B1382" s="37">
        <v>46054.248611111114</v>
      </c>
      <c r="C1382" s="2">
        <v>78546.45</v>
      </c>
      <c r="D1382" s="43">
        <v>78576.87</v>
      </c>
      <c r="E1382" s="43">
        <v>78545.009999999995</v>
      </c>
      <c r="F1382" s="2">
        <v>78545.05</v>
      </c>
      <c r="G1382" s="1">
        <v>136</v>
      </c>
      <c r="I1382" s="39">
        <v>46054.248611111114</v>
      </c>
      <c r="J1382" s="36">
        <v>78142.948279999997</v>
      </c>
      <c r="L1382" s="2"/>
      <c r="M1382" s="2"/>
      <c r="O1382" s="37">
        <v>46054.248611111114</v>
      </c>
      <c r="P1382" s="36">
        <v>78540.261079999997</v>
      </c>
      <c r="R1382" s="2"/>
      <c r="S1382" s="2">
        <v>78267.056639999995</v>
      </c>
    </row>
    <row r="1383" spans="1:19" x14ac:dyDescent="0.35">
      <c r="A1383" s="7">
        <v>1380</v>
      </c>
      <c r="B1383" s="37">
        <v>46054.249305555553</v>
      </c>
      <c r="C1383" s="2">
        <v>78545.2</v>
      </c>
      <c r="D1383" s="43">
        <v>78580.62</v>
      </c>
      <c r="E1383" s="43">
        <v>78545.2</v>
      </c>
      <c r="F1383" s="2">
        <v>78573.789999999994</v>
      </c>
      <c r="G1383" s="1">
        <v>157</v>
      </c>
      <c r="I1383" s="39">
        <v>46054.249305555553</v>
      </c>
      <c r="J1383" s="36">
        <v>78146.803310000003</v>
      </c>
      <c r="L1383" s="2"/>
      <c r="M1383" s="2"/>
      <c r="O1383" s="37">
        <v>46054.249305555553</v>
      </c>
      <c r="P1383" s="36">
        <v>78534.864459999997</v>
      </c>
      <c r="R1383" s="2"/>
      <c r="S1383" s="2">
        <v>78267.124110000004</v>
      </c>
    </row>
    <row r="1384" spans="1:19" x14ac:dyDescent="0.35">
      <c r="A1384" s="7">
        <v>1381</v>
      </c>
      <c r="B1384" s="37">
        <v>46054.25</v>
      </c>
      <c r="C1384" s="2">
        <v>78573.86</v>
      </c>
      <c r="D1384" s="43">
        <v>78631.34</v>
      </c>
      <c r="E1384" s="43">
        <v>78573.86</v>
      </c>
      <c r="F1384" s="2">
        <v>78626.02</v>
      </c>
      <c r="G1384" s="1">
        <v>161</v>
      </c>
      <c r="I1384" s="39">
        <v>46054.25</v>
      </c>
      <c r="J1384" s="36">
        <v>78150.658339999994</v>
      </c>
      <c r="L1384" s="2"/>
      <c r="M1384" s="2"/>
      <c r="O1384" s="37">
        <v>46054.25</v>
      </c>
      <c r="P1384" s="36">
        <v>78529.467839999998</v>
      </c>
      <c r="R1384" s="2"/>
      <c r="S1384" s="2">
        <v>78267.191579999999</v>
      </c>
    </row>
    <row r="1385" spans="1:19" x14ac:dyDescent="0.35">
      <c r="A1385" s="7">
        <v>1382</v>
      </c>
      <c r="B1385" s="37">
        <v>46054.250694444447</v>
      </c>
      <c r="C1385" s="2">
        <v>78626.02</v>
      </c>
      <c r="D1385" s="43">
        <v>78640.399999999994</v>
      </c>
      <c r="E1385" s="43">
        <v>78591.820000000007</v>
      </c>
      <c r="F1385" s="2">
        <v>78592.2</v>
      </c>
      <c r="G1385" s="1">
        <v>188</v>
      </c>
      <c r="I1385" s="39">
        <v>46054.250694444447</v>
      </c>
      <c r="J1385" s="36">
        <v>78154.513380000004</v>
      </c>
      <c r="L1385" s="2"/>
      <c r="M1385" s="2"/>
      <c r="O1385" s="37">
        <v>46054.250694444447</v>
      </c>
      <c r="P1385" s="36">
        <v>78524.071219999998</v>
      </c>
      <c r="R1385" s="2"/>
      <c r="S1385" s="2">
        <v>78267.259049999993</v>
      </c>
    </row>
    <row r="1386" spans="1:19" x14ac:dyDescent="0.35">
      <c r="A1386" s="7">
        <v>1383</v>
      </c>
      <c r="B1386" s="37">
        <v>46054.251388888886</v>
      </c>
      <c r="C1386" s="2">
        <v>78592.34</v>
      </c>
      <c r="D1386" s="43">
        <v>78637.48</v>
      </c>
      <c r="E1386" s="43">
        <v>78592.34</v>
      </c>
      <c r="F1386" s="2">
        <v>78623.02</v>
      </c>
      <c r="G1386" s="1">
        <v>134</v>
      </c>
      <c r="I1386" s="39">
        <v>46054.251388888886</v>
      </c>
      <c r="J1386" s="36">
        <v>78158.368409999995</v>
      </c>
      <c r="L1386" s="2"/>
      <c r="M1386" s="2"/>
      <c r="O1386" s="37">
        <v>46054.251388888886</v>
      </c>
      <c r="P1386" s="36">
        <v>78518.674589999995</v>
      </c>
      <c r="R1386" s="2"/>
      <c r="S1386" s="2">
        <v>78267.326509999999</v>
      </c>
    </row>
    <row r="1387" spans="1:19" x14ac:dyDescent="0.35">
      <c r="A1387" s="7">
        <v>1384</v>
      </c>
      <c r="B1387" s="37">
        <v>46054.252083333333</v>
      </c>
      <c r="C1387" s="2">
        <v>78622.61</v>
      </c>
      <c r="D1387" s="43">
        <v>78623.02</v>
      </c>
      <c r="E1387" s="43">
        <v>78590.039999999994</v>
      </c>
      <c r="F1387" s="2">
        <v>78590.039999999994</v>
      </c>
      <c r="G1387" s="1">
        <v>109</v>
      </c>
      <c r="I1387" s="39">
        <v>46054.252083333333</v>
      </c>
      <c r="J1387" s="36">
        <v>78162.223450000005</v>
      </c>
      <c r="L1387" s="2"/>
      <c r="M1387" s="2"/>
      <c r="O1387" s="37">
        <v>46054.252083333333</v>
      </c>
      <c r="P1387" s="36">
        <v>78513.277969999996</v>
      </c>
      <c r="R1387" s="2"/>
      <c r="S1387" s="2">
        <v>78267.393979999993</v>
      </c>
    </row>
    <row r="1388" spans="1:19" x14ac:dyDescent="0.35">
      <c r="A1388" s="7">
        <v>1385</v>
      </c>
      <c r="B1388" s="37">
        <v>46054.25277777778</v>
      </c>
      <c r="C1388" s="2">
        <v>78583.53</v>
      </c>
      <c r="D1388" s="43">
        <v>78596.009999999995</v>
      </c>
      <c r="E1388" s="43">
        <v>78556.78</v>
      </c>
      <c r="F1388" s="2">
        <v>78572.91</v>
      </c>
      <c r="G1388" s="1">
        <v>138</v>
      </c>
      <c r="I1388" s="39">
        <v>46054.25277777778</v>
      </c>
      <c r="J1388" s="36">
        <v>78166.078479999996</v>
      </c>
      <c r="L1388" s="2"/>
      <c r="M1388" s="2"/>
      <c r="O1388" s="37">
        <v>46054.25277777778</v>
      </c>
      <c r="P1388" s="36">
        <v>78507.881349999996</v>
      </c>
      <c r="R1388" s="2"/>
      <c r="S1388" s="2">
        <v>78267.461450000003</v>
      </c>
    </row>
    <row r="1389" spans="1:19" x14ac:dyDescent="0.35">
      <c r="A1389" s="7">
        <v>1386</v>
      </c>
      <c r="B1389" s="37">
        <v>46054.253472222219</v>
      </c>
      <c r="C1389" s="2">
        <v>78572.92</v>
      </c>
      <c r="D1389" s="43">
        <v>78601.77</v>
      </c>
      <c r="E1389" s="43">
        <v>78564.02</v>
      </c>
      <c r="F1389" s="2">
        <v>78581.25</v>
      </c>
      <c r="G1389" s="1">
        <v>171</v>
      </c>
      <c r="I1389" s="39">
        <v>46054.253472222219</v>
      </c>
      <c r="J1389" s="36">
        <v>78169.933520000006</v>
      </c>
      <c r="L1389" s="2"/>
      <c r="M1389" s="2"/>
      <c r="O1389" s="37">
        <v>46054.253472222219</v>
      </c>
      <c r="P1389" s="36">
        <v>78502.484729999996</v>
      </c>
      <c r="R1389" s="2"/>
      <c r="S1389" s="2">
        <v>78267.528909999994</v>
      </c>
    </row>
    <row r="1390" spans="1:19" x14ac:dyDescent="0.35">
      <c r="A1390" s="7">
        <v>1387</v>
      </c>
      <c r="B1390" s="37">
        <v>46054.254166666666</v>
      </c>
      <c r="C1390" s="2">
        <v>78581.25</v>
      </c>
      <c r="D1390" s="43">
        <v>78619.740000000005</v>
      </c>
      <c r="E1390" s="43">
        <v>78570.899999999994</v>
      </c>
      <c r="F1390" s="2">
        <v>78600.62</v>
      </c>
      <c r="G1390" s="1">
        <v>145</v>
      </c>
      <c r="I1390" s="39">
        <v>46054.254166666666</v>
      </c>
      <c r="J1390" s="36">
        <v>78173.788549999997</v>
      </c>
      <c r="L1390" s="2"/>
      <c r="M1390" s="2"/>
      <c r="O1390" s="37">
        <v>46054.254166666666</v>
      </c>
      <c r="P1390" s="36">
        <v>78497.088109999997</v>
      </c>
      <c r="R1390" s="2"/>
      <c r="S1390" s="2">
        <v>78267.596380000003</v>
      </c>
    </row>
    <row r="1391" spans="1:19" x14ac:dyDescent="0.35">
      <c r="A1391" s="7">
        <v>1388</v>
      </c>
      <c r="B1391" s="37">
        <v>46054.254861111112</v>
      </c>
      <c r="C1391" s="2">
        <v>78600.61</v>
      </c>
      <c r="D1391" s="43">
        <v>78628.14</v>
      </c>
      <c r="E1391" s="43">
        <v>78586.38</v>
      </c>
      <c r="F1391" s="2">
        <v>78587.8</v>
      </c>
      <c r="G1391" s="1">
        <v>154</v>
      </c>
      <c r="I1391" s="39">
        <v>46054.254861111112</v>
      </c>
      <c r="J1391" s="36">
        <v>78177.643590000007</v>
      </c>
      <c r="L1391" s="2"/>
      <c r="M1391" s="2"/>
      <c r="O1391" s="37">
        <v>46054.254861111112</v>
      </c>
      <c r="P1391" s="36">
        <v>78491.691489999997</v>
      </c>
      <c r="R1391" s="2"/>
      <c r="S1391" s="2">
        <v>78267.663849999997</v>
      </c>
    </row>
    <row r="1392" spans="1:19" x14ac:dyDescent="0.35">
      <c r="A1392" s="7">
        <v>1389</v>
      </c>
      <c r="B1392" s="37">
        <v>46054.255555555559</v>
      </c>
      <c r="C1392" s="2">
        <v>78588.02</v>
      </c>
      <c r="D1392" s="43">
        <v>78598.7</v>
      </c>
      <c r="E1392" s="43">
        <v>78577.53</v>
      </c>
      <c r="F1392" s="2">
        <v>78578.27</v>
      </c>
      <c r="G1392" s="1">
        <v>132</v>
      </c>
      <c r="I1392" s="39">
        <v>46054.255555555559</v>
      </c>
      <c r="J1392" s="36">
        <v>78181.498619999998</v>
      </c>
      <c r="L1392" s="2"/>
      <c r="M1392" s="2"/>
      <c r="O1392" s="37">
        <v>46054.255555555559</v>
      </c>
      <c r="P1392" s="36">
        <v>78486.294859999995</v>
      </c>
      <c r="R1392" s="2"/>
      <c r="S1392" s="2">
        <v>78267.731320000006</v>
      </c>
    </row>
    <row r="1393" spans="1:19" x14ac:dyDescent="0.35">
      <c r="A1393" s="7">
        <v>1390</v>
      </c>
      <c r="B1393" s="37">
        <v>46054.256249999999</v>
      </c>
      <c r="C1393" s="2">
        <v>78578.320000000007</v>
      </c>
      <c r="D1393" s="43">
        <v>78635.98</v>
      </c>
      <c r="E1393" s="43">
        <v>78578.31</v>
      </c>
      <c r="F1393" s="2">
        <v>78610.33</v>
      </c>
      <c r="G1393" s="1">
        <v>116</v>
      </c>
      <c r="I1393" s="39">
        <v>46054.256249999999</v>
      </c>
      <c r="J1393" s="36">
        <v>78185.353659999993</v>
      </c>
      <c r="L1393" s="2"/>
      <c r="M1393" s="2"/>
      <c r="O1393" s="37">
        <v>46054.256249999999</v>
      </c>
      <c r="P1393" s="36">
        <v>78480.898239999995</v>
      </c>
      <c r="R1393" s="2"/>
      <c r="S1393" s="2">
        <v>78267.798779999997</v>
      </c>
    </row>
    <row r="1394" spans="1:19" x14ac:dyDescent="0.35">
      <c r="A1394" s="7">
        <v>1391</v>
      </c>
      <c r="B1394" s="37">
        <v>46054.256944444445</v>
      </c>
      <c r="C1394" s="2">
        <v>78607.240000000005</v>
      </c>
      <c r="D1394" s="43">
        <v>78607.67</v>
      </c>
      <c r="E1394" s="43">
        <v>78588.19</v>
      </c>
      <c r="F1394" s="2">
        <v>78600.77</v>
      </c>
      <c r="G1394" s="1">
        <v>132</v>
      </c>
      <c r="I1394" s="39">
        <v>46054.256944444445</v>
      </c>
      <c r="J1394" s="36">
        <v>78189.208689999999</v>
      </c>
      <c r="L1394" s="2"/>
      <c r="M1394" s="2"/>
      <c r="O1394" s="37">
        <v>46054.256944444445</v>
      </c>
      <c r="P1394" s="36">
        <v>78475.501619999995</v>
      </c>
      <c r="R1394" s="2"/>
      <c r="S1394" s="2">
        <v>78267.866250000006</v>
      </c>
    </row>
    <row r="1395" spans="1:19" x14ac:dyDescent="0.35">
      <c r="A1395" s="7">
        <v>1392</v>
      </c>
      <c r="B1395" s="37">
        <v>46054.257638888892</v>
      </c>
      <c r="C1395" s="2">
        <v>78600.78</v>
      </c>
      <c r="D1395" s="43">
        <v>78617.2</v>
      </c>
      <c r="E1395" s="43">
        <v>78580.899999999994</v>
      </c>
      <c r="F1395" s="2">
        <v>78600.23</v>
      </c>
      <c r="G1395" s="1">
        <v>146</v>
      </c>
      <c r="I1395" s="39">
        <v>46054.257638888892</v>
      </c>
      <c r="J1395" s="36">
        <v>78193.063720000006</v>
      </c>
      <c r="L1395" s="2"/>
      <c r="M1395" s="2"/>
      <c r="O1395" s="37">
        <v>46054.257638888892</v>
      </c>
      <c r="P1395" s="36">
        <v>78470.104999999996</v>
      </c>
      <c r="R1395" s="2"/>
      <c r="S1395" s="2">
        <v>78267.933720000001</v>
      </c>
    </row>
    <row r="1396" spans="1:19" x14ac:dyDescent="0.35">
      <c r="A1396" s="7">
        <v>1393</v>
      </c>
      <c r="B1396" s="37">
        <v>46054.258333333331</v>
      </c>
      <c r="C1396" s="2">
        <v>78612</v>
      </c>
      <c r="D1396" s="43">
        <v>78637.2</v>
      </c>
      <c r="E1396" s="43">
        <v>78612</v>
      </c>
      <c r="F1396" s="2">
        <v>78636.990000000005</v>
      </c>
      <c r="G1396" s="1">
        <v>131</v>
      </c>
      <c r="I1396" s="39">
        <v>46054.258333333331</v>
      </c>
      <c r="J1396" s="36">
        <v>78196.91876</v>
      </c>
      <c r="L1396" s="2"/>
      <c r="M1396" s="2"/>
      <c r="O1396" s="37">
        <v>46054.258333333331</v>
      </c>
      <c r="P1396" s="36">
        <v>78464.708379999996</v>
      </c>
      <c r="R1396" s="2"/>
      <c r="S1396" s="2">
        <v>78268.001180000007</v>
      </c>
    </row>
    <row r="1397" spans="1:19" x14ac:dyDescent="0.35">
      <c r="A1397" s="7">
        <v>1394</v>
      </c>
      <c r="B1397" s="37">
        <v>46054.259027777778</v>
      </c>
      <c r="C1397" s="2">
        <v>78636.990000000005</v>
      </c>
      <c r="D1397" s="43">
        <v>78677.570000000007</v>
      </c>
      <c r="E1397" s="43">
        <v>78636.990000000005</v>
      </c>
      <c r="F1397" s="2">
        <v>78640.81</v>
      </c>
      <c r="G1397" s="1">
        <v>136</v>
      </c>
      <c r="I1397" s="39">
        <v>46054.259027777778</v>
      </c>
      <c r="J1397" s="36">
        <v>78200.773790000007</v>
      </c>
      <c r="L1397" s="2"/>
      <c r="M1397" s="2"/>
      <c r="O1397" s="37">
        <v>46054.259027777778</v>
      </c>
      <c r="P1397" s="36">
        <v>78459.311759999997</v>
      </c>
      <c r="R1397" s="2"/>
      <c r="S1397" s="2">
        <v>78268.068650000001</v>
      </c>
    </row>
    <row r="1398" spans="1:19" x14ac:dyDescent="0.35">
      <c r="A1398" s="7">
        <v>1395</v>
      </c>
      <c r="B1398" s="37">
        <v>46054.259722222225</v>
      </c>
      <c r="C1398" s="2">
        <v>78639.67</v>
      </c>
      <c r="D1398" s="43">
        <v>78668.7</v>
      </c>
      <c r="E1398" s="43">
        <v>78639.67</v>
      </c>
      <c r="F1398" s="2">
        <v>78668.56</v>
      </c>
      <c r="G1398" s="1">
        <v>145</v>
      </c>
      <c r="I1398" s="39">
        <v>46054.259722222225</v>
      </c>
      <c r="J1398" s="36">
        <v>78204.628830000001</v>
      </c>
      <c r="L1398" s="2"/>
      <c r="M1398" s="2"/>
      <c r="O1398" s="37">
        <v>46054.259722222225</v>
      </c>
      <c r="P1398" s="36">
        <v>78453.915139999997</v>
      </c>
      <c r="R1398" s="2"/>
      <c r="S1398" s="2">
        <v>78268.136119999996</v>
      </c>
    </row>
    <row r="1399" spans="1:19" x14ac:dyDescent="0.35">
      <c r="A1399" s="7">
        <v>1396</v>
      </c>
      <c r="B1399" s="37">
        <v>46054.260416666664</v>
      </c>
      <c r="C1399" s="2">
        <v>78668.17</v>
      </c>
      <c r="D1399" s="43">
        <v>78675.899999999994</v>
      </c>
      <c r="E1399" s="43">
        <v>78668.160000000003</v>
      </c>
      <c r="F1399" s="2">
        <v>78675.83</v>
      </c>
      <c r="G1399" s="1">
        <v>139</v>
      </c>
      <c r="I1399" s="39">
        <v>46054.260416666664</v>
      </c>
      <c r="J1399" s="36">
        <v>78208.483859999993</v>
      </c>
      <c r="L1399" s="2"/>
      <c r="M1399" s="2"/>
      <c r="O1399" s="37">
        <v>46054.260416666664</v>
      </c>
      <c r="P1399" s="36">
        <v>78448.518509999994</v>
      </c>
      <c r="R1399" s="2"/>
      <c r="S1399" s="2">
        <v>78268.203590000005</v>
      </c>
    </row>
    <row r="1400" spans="1:19" x14ac:dyDescent="0.35">
      <c r="A1400" s="7">
        <v>1397</v>
      </c>
      <c r="B1400" s="37">
        <v>46054.261111111111</v>
      </c>
      <c r="C1400" s="2">
        <v>78675.83</v>
      </c>
      <c r="D1400" s="43">
        <v>78683.399999999994</v>
      </c>
      <c r="E1400" s="43">
        <v>78668.539999999994</v>
      </c>
      <c r="F1400" s="2">
        <v>78668.62</v>
      </c>
      <c r="G1400" s="1">
        <v>105</v>
      </c>
      <c r="I1400" s="39">
        <v>46054.261111111111</v>
      </c>
      <c r="J1400" s="36">
        <v>78212.338900000002</v>
      </c>
      <c r="L1400" s="2"/>
      <c r="M1400" s="2"/>
      <c r="O1400" s="37">
        <v>46054.261111111111</v>
      </c>
      <c r="P1400" s="36">
        <v>78443.121889999995</v>
      </c>
      <c r="R1400" s="2"/>
      <c r="S1400" s="2">
        <v>78268.271049999996</v>
      </c>
    </row>
    <row r="1401" spans="1:19" x14ac:dyDescent="0.35">
      <c r="A1401" s="7">
        <v>1398</v>
      </c>
      <c r="B1401" s="37">
        <v>46054.261805555558</v>
      </c>
      <c r="C1401" s="2">
        <v>78668.62</v>
      </c>
      <c r="D1401" s="43">
        <v>78675.13</v>
      </c>
      <c r="E1401" s="43">
        <v>78656.899999999994</v>
      </c>
      <c r="F1401" s="2">
        <v>78675.13</v>
      </c>
      <c r="G1401" s="1">
        <v>91</v>
      </c>
      <c r="I1401" s="39">
        <v>46054.261805555558</v>
      </c>
      <c r="J1401" s="36">
        <v>78216.193929999994</v>
      </c>
      <c r="L1401" s="2"/>
      <c r="M1401" s="2"/>
      <c r="O1401" s="37">
        <v>46054.261805555558</v>
      </c>
      <c r="P1401" s="36">
        <v>78437.725269999995</v>
      </c>
      <c r="R1401" s="2"/>
      <c r="S1401" s="2">
        <v>78268.338520000005</v>
      </c>
    </row>
    <row r="1402" spans="1:19" x14ac:dyDescent="0.35">
      <c r="A1402" s="7">
        <v>1399</v>
      </c>
      <c r="B1402" s="37">
        <v>46054.262499999997</v>
      </c>
      <c r="C1402" s="2">
        <v>78675.13</v>
      </c>
      <c r="D1402" s="43">
        <v>78682.45</v>
      </c>
      <c r="E1402" s="43">
        <v>78657.2</v>
      </c>
      <c r="F1402" s="2">
        <v>78658.429999999993</v>
      </c>
      <c r="G1402" s="1">
        <v>94</v>
      </c>
      <c r="I1402" s="39">
        <v>46054.262499999997</v>
      </c>
      <c r="J1402" s="36">
        <v>78220.048970000003</v>
      </c>
      <c r="L1402" s="2"/>
      <c r="M1402" s="2"/>
      <c r="O1402" s="37">
        <v>46054.262499999997</v>
      </c>
      <c r="P1402" s="36">
        <v>78432.328649999996</v>
      </c>
      <c r="R1402" s="2"/>
      <c r="S1402" s="2">
        <v>78268.405989999999</v>
      </c>
    </row>
    <row r="1403" spans="1:19" x14ac:dyDescent="0.35">
      <c r="A1403" s="7">
        <v>1400</v>
      </c>
      <c r="B1403" s="37">
        <v>46054.263194444444</v>
      </c>
      <c r="C1403" s="2">
        <v>78658.429999999993</v>
      </c>
      <c r="D1403" s="43">
        <v>78680.320000000007</v>
      </c>
      <c r="E1403" s="43">
        <v>78658.36</v>
      </c>
      <c r="F1403" s="2">
        <v>78676.36</v>
      </c>
      <c r="G1403" s="1">
        <v>101</v>
      </c>
      <c r="I1403" s="39">
        <v>46054.263194444444</v>
      </c>
      <c r="J1403" s="36">
        <v>78223.903999999995</v>
      </c>
      <c r="L1403" s="2"/>
      <c r="M1403" s="2"/>
      <c r="O1403" s="37">
        <v>46054.263194444444</v>
      </c>
      <c r="P1403" s="36">
        <v>78426.932029999996</v>
      </c>
      <c r="R1403" s="2"/>
      <c r="S1403" s="2">
        <v>78268.473450000005</v>
      </c>
    </row>
    <row r="1404" spans="1:19" x14ac:dyDescent="0.35">
      <c r="A1404" s="7">
        <v>1401</v>
      </c>
      <c r="B1404" s="37">
        <v>46054.263888888891</v>
      </c>
      <c r="C1404" s="2">
        <v>78676.28</v>
      </c>
      <c r="D1404" s="43">
        <v>78688.34</v>
      </c>
      <c r="E1404" s="43">
        <v>78676.28</v>
      </c>
      <c r="F1404" s="2">
        <v>78688.31</v>
      </c>
      <c r="G1404" s="1">
        <v>64</v>
      </c>
      <c r="I1404" s="39">
        <v>46054.263888888891</v>
      </c>
      <c r="J1404" s="36">
        <v>78227.759030000001</v>
      </c>
      <c r="L1404" s="2"/>
      <c r="M1404" s="2"/>
      <c r="O1404" s="37">
        <v>46054.263888888891</v>
      </c>
      <c r="P1404" s="36">
        <v>78421.535409999997</v>
      </c>
      <c r="R1404" s="2"/>
      <c r="S1404" s="2">
        <v>78268.540919999999</v>
      </c>
    </row>
    <row r="1405" spans="1:19" x14ac:dyDescent="0.35">
      <c r="A1405" s="7">
        <v>1402</v>
      </c>
      <c r="B1405" s="37">
        <v>46054.26458333333</v>
      </c>
      <c r="C1405" s="2">
        <v>78688.03</v>
      </c>
      <c r="D1405" s="43">
        <v>78693.83</v>
      </c>
      <c r="E1405" s="43">
        <v>78672.41</v>
      </c>
      <c r="F1405" s="2">
        <v>78693.820000000007</v>
      </c>
      <c r="G1405" s="1">
        <v>123</v>
      </c>
      <c r="I1405" s="39">
        <v>46054.26458333333</v>
      </c>
      <c r="J1405" s="36">
        <v>78231.614069999996</v>
      </c>
      <c r="L1405" s="2"/>
      <c r="M1405" s="2"/>
      <c r="O1405" s="37">
        <v>46054.26458333333</v>
      </c>
      <c r="P1405" s="36">
        <v>78416.138779999994</v>
      </c>
      <c r="R1405" s="2"/>
      <c r="S1405" s="2">
        <v>78268.608389999994</v>
      </c>
    </row>
    <row r="1406" spans="1:19" x14ac:dyDescent="0.35">
      <c r="A1406" s="7">
        <v>1403</v>
      </c>
      <c r="B1406" s="37">
        <v>46054.265277777777</v>
      </c>
      <c r="C1406" s="2">
        <v>78693.83</v>
      </c>
      <c r="D1406" s="43">
        <v>78762.399999999994</v>
      </c>
      <c r="E1406" s="43">
        <v>78693.83</v>
      </c>
      <c r="F1406" s="2">
        <v>78694.13</v>
      </c>
      <c r="G1406" s="1">
        <v>167</v>
      </c>
      <c r="I1406" s="39">
        <v>46054.265277777777</v>
      </c>
      <c r="J1406" s="36">
        <v>78235.469100000002</v>
      </c>
      <c r="L1406" s="2"/>
      <c r="M1406" s="2"/>
      <c r="O1406" s="37">
        <v>46054.265277777777</v>
      </c>
      <c r="P1406" s="36">
        <v>78410.742159999994</v>
      </c>
      <c r="R1406" s="2"/>
      <c r="S1406" s="2">
        <v>78268.675860000003</v>
      </c>
    </row>
    <row r="1407" spans="1:19" x14ac:dyDescent="0.35">
      <c r="A1407" s="7">
        <v>1404</v>
      </c>
      <c r="B1407" s="37">
        <v>46054.265972222223</v>
      </c>
      <c r="C1407" s="2">
        <v>78694.12</v>
      </c>
      <c r="D1407" s="43">
        <v>78717.929999999993</v>
      </c>
      <c r="E1407" s="43">
        <v>78686.210000000006</v>
      </c>
      <c r="F1407" s="2">
        <v>78716.52</v>
      </c>
      <c r="G1407" s="1">
        <v>155</v>
      </c>
      <c r="I1407" s="39">
        <v>46054.265972222223</v>
      </c>
      <c r="J1407" s="36">
        <v>78239.324139999997</v>
      </c>
      <c r="L1407" s="2"/>
      <c r="M1407" s="2"/>
      <c r="O1407" s="37">
        <v>46054.265972222223</v>
      </c>
      <c r="P1407" s="36">
        <v>78405.345539999995</v>
      </c>
      <c r="R1407" s="2"/>
      <c r="S1407" s="2">
        <v>78268.743319999994</v>
      </c>
    </row>
    <row r="1408" spans="1:19" x14ac:dyDescent="0.35">
      <c r="A1408" s="7">
        <v>1405</v>
      </c>
      <c r="B1408" s="37">
        <v>46054.26666666667</v>
      </c>
      <c r="C1408" s="2">
        <v>78716.52</v>
      </c>
      <c r="D1408" s="43">
        <v>78755.41</v>
      </c>
      <c r="E1408" s="43">
        <v>78695.289999999994</v>
      </c>
      <c r="F1408" s="2">
        <v>78698.83</v>
      </c>
      <c r="G1408" s="1">
        <v>158</v>
      </c>
      <c r="I1408" s="39">
        <v>46054.26666666667</v>
      </c>
      <c r="J1408" s="36">
        <v>78243.179170000003</v>
      </c>
      <c r="L1408" s="2"/>
      <c r="M1408" s="2"/>
      <c r="O1408" s="37">
        <v>46054.26666666667</v>
      </c>
      <c r="P1408" s="36">
        <v>78399.948919999995</v>
      </c>
      <c r="R1408" s="2"/>
      <c r="S1408" s="2">
        <v>78268.810790000003</v>
      </c>
    </row>
    <row r="1409" spans="1:19" x14ac:dyDescent="0.35">
      <c r="A1409" s="7">
        <v>1406</v>
      </c>
      <c r="B1409" s="37">
        <v>46054.267361111109</v>
      </c>
      <c r="C1409" s="2">
        <v>78698.83</v>
      </c>
      <c r="D1409" s="43">
        <v>78756.399999999994</v>
      </c>
      <c r="E1409" s="43">
        <v>78698.83</v>
      </c>
      <c r="F1409" s="2">
        <v>78756.33</v>
      </c>
      <c r="G1409" s="1">
        <v>143</v>
      </c>
      <c r="I1409" s="39">
        <v>46054.267361111109</v>
      </c>
      <c r="J1409" s="36">
        <v>78247.034209999998</v>
      </c>
      <c r="L1409" s="2"/>
      <c r="M1409" s="2"/>
      <c r="O1409" s="37">
        <v>46054.267361111109</v>
      </c>
      <c r="P1409" s="36">
        <v>78394.552299999996</v>
      </c>
      <c r="R1409" s="2"/>
      <c r="S1409" s="2">
        <v>78268.878259999998</v>
      </c>
    </row>
    <row r="1410" spans="1:19" x14ac:dyDescent="0.35">
      <c r="A1410" s="7">
        <v>1407</v>
      </c>
      <c r="B1410" s="37">
        <v>46054.268055555556</v>
      </c>
      <c r="C1410" s="2">
        <v>78756.33</v>
      </c>
      <c r="D1410" s="43">
        <v>78773.34</v>
      </c>
      <c r="E1410" s="43">
        <v>78700.149999999994</v>
      </c>
      <c r="F1410" s="2">
        <v>78700.23</v>
      </c>
      <c r="G1410" s="1">
        <v>144</v>
      </c>
      <c r="I1410" s="39">
        <v>46054.268055555556</v>
      </c>
      <c r="J1410" s="36">
        <v>78250.889240000004</v>
      </c>
      <c r="L1410" s="2"/>
      <c r="M1410" s="2"/>
      <c r="O1410" s="37">
        <v>46054.268055555556</v>
      </c>
      <c r="P1410" s="36">
        <v>78389.155679999996</v>
      </c>
      <c r="R1410" s="2"/>
      <c r="S1410" s="2">
        <v>78268.945720000003</v>
      </c>
    </row>
    <row r="1411" spans="1:19" x14ac:dyDescent="0.35">
      <c r="A1411" s="7">
        <v>1408</v>
      </c>
      <c r="B1411" s="37">
        <v>46054.268750000003</v>
      </c>
      <c r="C1411" s="2">
        <v>78700.28</v>
      </c>
      <c r="D1411" s="43">
        <v>78700.72</v>
      </c>
      <c r="E1411" s="43">
        <v>78668.899999999994</v>
      </c>
      <c r="F1411" s="2">
        <v>78689.399999999994</v>
      </c>
      <c r="G1411" s="1">
        <v>176</v>
      </c>
      <c r="I1411" s="39">
        <v>46054.268750000003</v>
      </c>
      <c r="J1411" s="36">
        <v>78254.744279999999</v>
      </c>
      <c r="L1411" s="2"/>
      <c r="M1411" s="2"/>
      <c r="O1411" s="37">
        <v>46054.268750000003</v>
      </c>
      <c r="P1411" s="36">
        <v>78383.759049999993</v>
      </c>
      <c r="R1411" s="2"/>
      <c r="S1411" s="2">
        <v>78269.013189999998</v>
      </c>
    </row>
    <row r="1412" spans="1:19" x14ac:dyDescent="0.35">
      <c r="A1412" s="7">
        <v>1409</v>
      </c>
      <c r="B1412" s="37">
        <v>46054.269444444442</v>
      </c>
      <c r="C1412" s="2">
        <v>78689.399999999994</v>
      </c>
      <c r="D1412" s="43">
        <v>78705.69</v>
      </c>
      <c r="E1412" s="43">
        <v>78641.73</v>
      </c>
      <c r="F1412" s="2">
        <v>78642.42</v>
      </c>
      <c r="G1412" s="1">
        <v>132</v>
      </c>
      <c r="I1412" s="39">
        <v>46054.269444444442</v>
      </c>
      <c r="J1412" s="36">
        <v>78258.599310000005</v>
      </c>
      <c r="L1412" s="2"/>
      <c r="M1412" s="2"/>
      <c r="O1412" s="37">
        <v>46054.269444444442</v>
      </c>
      <c r="P1412" s="36">
        <v>78378.362429999994</v>
      </c>
      <c r="R1412" s="2"/>
      <c r="S1412" s="2">
        <v>78269.080660000007</v>
      </c>
    </row>
    <row r="1413" spans="1:19" x14ac:dyDescent="0.35">
      <c r="A1413" s="7">
        <v>1410</v>
      </c>
      <c r="B1413" s="37">
        <v>46054.270138888889</v>
      </c>
      <c r="C1413" s="2">
        <v>78642.42</v>
      </c>
      <c r="D1413" s="43">
        <v>78694.77</v>
      </c>
      <c r="E1413" s="43">
        <v>78642.41</v>
      </c>
      <c r="F1413" s="2">
        <v>78670.13</v>
      </c>
      <c r="G1413" s="1">
        <v>102</v>
      </c>
      <c r="I1413" s="39">
        <v>46054.270138888889</v>
      </c>
      <c r="J1413" s="36">
        <v>78262.454339999997</v>
      </c>
      <c r="L1413" s="2"/>
      <c r="M1413" s="2"/>
      <c r="O1413" s="37">
        <v>46054.270138888889</v>
      </c>
      <c r="P1413" s="36">
        <v>78372.965809999994</v>
      </c>
      <c r="R1413" s="2"/>
      <c r="S1413" s="2">
        <v>78269.148130000001</v>
      </c>
    </row>
    <row r="1414" spans="1:19" x14ac:dyDescent="0.35">
      <c r="A1414" s="7">
        <v>1411</v>
      </c>
      <c r="B1414" s="37">
        <v>46054.270833333336</v>
      </c>
      <c r="C1414" s="2">
        <v>78670.06</v>
      </c>
      <c r="D1414" s="43">
        <v>78734.5</v>
      </c>
      <c r="E1414" s="43">
        <v>78669.98</v>
      </c>
      <c r="F1414" s="2">
        <v>78726.36</v>
      </c>
      <c r="G1414" s="1">
        <v>118</v>
      </c>
      <c r="I1414" s="39">
        <v>46054.270833333336</v>
      </c>
      <c r="J1414" s="36">
        <v>78266.309380000006</v>
      </c>
      <c r="L1414" s="2"/>
      <c r="M1414" s="2"/>
      <c r="O1414" s="37">
        <v>46054.270833333336</v>
      </c>
      <c r="P1414" s="36">
        <v>78367.569189999995</v>
      </c>
      <c r="R1414" s="2"/>
      <c r="S1414" s="2">
        <v>78269.215590000007</v>
      </c>
    </row>
    <row r="1415" spans="1:19" x14ac:dyDescent="0.35">
      <c r="A1415" s="7">
        <v>1412</v>
      </c>
      <c r="B1415" s="37">
        <v>46054.271527777775</v>
      </c>
      <c r="C1415" s="2">
        <v>78726.36</v>
      </c>
      <c r="D1415" s="43">
        <v>78744.36</v>
      </c>
      <c r="E1415" s="43">
        <v>78715.45</v>
      </c>
      <c r="F1415" s="2">
        <v>78729.63</v>
      </c>
      <c r="G1415" s="1">
        <v>115</v>
      </c>
      <c r="I1415" s="39">
        <v>46054.271527777775</v>
      </c>
      <c r="J1415" s="36">
        <v>78270.164409999998</v>
      </c>
      <c r="L1415" s="2"/>
      <c r="M1415" s="2"/>
      <c r="O1415" s="37">
        <v>46054.271527777775</v>
      </c>
      <c r="P1415" s="36">
        <v>78362.172569999995</v>
      </c>
      <c r="R1415" s="2"/>
      <c r="S1415" s="2">
        <v>78269.283060000002</v>
      </c>
    </row>
    <row r="1416" spans="1:19" x14ac:dyDescent="0.35">
      <c r="A1416" s="7">
        <v>1413</v>
      </c>
      <c r="B1416" s="37">
        <v>46054.272222222222</v>
      </c>
      <c r="C1416" s="2">
        <v>78729.63</v>
      </c>
      <c r="D1416" s="43">
        <v>78730.509999999995</v>
      </c>
      <c r="E1416" s="43">
        <v>78709.289999999994</v>
      </c>
      <c r="F1416" s="2">
        <v>78719.81</v>
      </c>
      <c r="G1416" s="1">
        <v>132</v>
      </c>
      <c r="I1416" s="39">
        <v>46054.272222222222</v>
      </c>
      <c r="J1416" s="36">
        <v>78274.019450000007</v>
      </c>
      <c r="L1416" s="2"/>
      <c r="M1416" s="2"/>
      <c r="O1416" s="37">
        <v>46054.272222222222</v>
      </c>
      <c r="P1416" s="36">
        <v>78356.775949999996</v>
      </c>
      <c r="R1416" s="2"/>
      <c r="S1416" s="2">
        <v>78269.350529999996</v>
      </c>
    </row>
    <row r="1417" spans="1:19" x14ac:dyDescent="0.35">
      <c r="A1417" s="7">
        <v>1414</v>
      </c>
      <c r="B1417" s="37">
        <v>46054.272916666669</v>
      </c>
      <c r="C1417" s="2">
        <v>78719.81</v>
      </c>
      <c r="D1417" s="43">
        <v>78748.33</v>
      </c>
      <c r="E1417" s="43">
        <v>78680.83</v>
      </c>
      <c r="F1417" s="2">
        <v>78680.83</v>
      </c>
      <c r="G1417" s="1">
        <v>102</v>
      </c>
      <c r="I1417" s="39">
        <v>46054.272916666669</v>
      </c>
      <c r="J1417" s="36">
        <v>78277.874479999999</v>
      </c>
      <c r="L1417" s="2"/>
      <c r="M1417" s="2"/>
      <c r="O1417" s="37">
        <v>46054.272916666669</v>
      </c>
      <c r="P1417" s="36">
        <v>78351.379319999993</v>
      </c>
      <c r="R1417" s="2"/>
      <c r="S1417" s="2">
        <v>78269.417990000002</v>
      </c>
    </row>
    <row r="1418" spans="1:19" x14ac:dyDescent="0.35">
      <c r="A1418" s="7">
        <v>1415</v>
      </c>
      <c r="B1418" s="37">
        <v>46054.273611111108</v>
      </c>
      <c r="C1418" s="2">
        <v>78680.95</v>
      </c>
      <c r="D1418" s="43">
        <v>78682.31</v>
      </c>
      <c r="E1418" s="43">
        <v>78646.720000000001</v>
      </c>
      <c r="F1418" s="2">
        <v>78654.960000000006</v>
      </c>
      <c r="G1418" s="1">
        <v>160</v>
      </c>
      <c r="I1418" s="39">
        <v>46054.273611111108</v>
      </c>
      <c r="J1418" s="36">
        <v>78281.729519999993</v>
      </c>
      <c r="L1418" s="2"/>
      <c r="M1418" s="2"/>
      <c r="O1418" s="37">
        <v>46054.273611111108</v>
      </c>
      <c r="P1418" s="36">
        <v>78345.982699999993</v>
      </c>
      <c r="R1418" s="2"/>
      <c r="S1418" s="2">
        <v>78269.485459999996</v>
      </c>
    </row>
    <row r="1419" spans="1:19" x14ac:dyDescent="0.35">
      <c r="A1419" s="7">
        <v>1416</v>
      </c>
      <c r="B1419" s="37">
        <v>46054.274305555555</v>
      </c>
      <c r="C1419" s="2">
        <v>78654.97</v>
      </c>
      <c r="D1419" s="43">
        <v>78678.33</v>
      </c>
      <c r="E1419" s="43">
        <v>78653.100000000006</v>
      </c>
      <c r="F1419" s="2">
        <v>78653.100000000006</v>
      </c>
      <c r="G1419" s="1">
        <v>117</v>
      </c>
      <c r="I1419" s="39">
        <v>46054.274305555555</v>
      </c>
      <c r="J1419" s="36">
        <v>78285.58455</v>
      </c>
      <c r="L1419" s="2"/>
      <c r="M1419" s="2"/>
      <c r="O1419" s="37">
        <v>46054.274305555555</v>
      </c>
      <c r="P1419" s="36">
        <v>78340.586079999994</v>
      </c>
      <c r="R1419" s="2"/>
      <c r="S1419" s="2">
        <v>78269.552930000005</v>
      </c>
    </row>
    <row r="1420" spans="1:19" x14ac:dyDescent="0.35">
      <c r="A1420" s="7">
        <v>1417</v>
      </c>
      <c r="B1420" s="37">
        <v>46054.275000000001</v>
      </c>
      <c r="C1420" s="2">
        <v>78653.06</v>
      </c>
      <c r="D1420" s="43">
        <v>78653.06</v>
      </c>
      <c r="E1420" s="43">
        <v>78551.48</v>
      </c>
      <c r="F1420" s="2">
        <v>78557.649999999994</v>
      </c>
      <c r="G1420" s="1">
        <v>170</v>
      </c>
      <c r="I1420" s="39">
        <v>46054.275000000001</v>
      </c>
      <c r="J1420" s="36">
        <v>78289.439589999994</v>
      </c>
      <c r="L1420" s="2"/>
      <c r="M1420" s="2"/>
      <c r="O1420" s="37">
        <v>46054.275000000001</v>
      </c>
      <c r="P1420" s="36">
        <v>78335.189459999994</v>
      </c>
      <c r="R1420" s="2"/>
      <c r="S1420" s="2">
        <v>78269.620389999996</v>
      </c>
    </row>
    <row r="1421" spans="1:19" x14ac:dyDescent="0.35">
      <c r="A1421" s="7">
        <v>1418</v>
      </c>
      <c r="B1421" s="37">
        <v>46054.275694444441</v>
      </c>
      <c r="C1421" s="2">
        <v>78557.66</v>
      </c>
      <c r="D1421" s="43">
        <v>78572.33</v>
      </c>
      <c r="E1421" s="43">
        <v>78457.2</v>
      </c>
      <c r="F1421" s="2">
        <v>78458.740000000005</v>
      </c>
      <c r="G1421" s="1">
        <v>203</v>
      </c>
      <c r="I1421" s="39">
        <v>46054.275694444441</v>
      </c>
      <c r="J1421" s="36">
        <v>78293.294620000001</v>
      </c>
      <c r="L1421" s="2"/>
      <c r="M1421" s="2"/>
      <c r="O1421" s="37">
        <v>46054.275694444441</v>
      </c>
      <c r="P1421" s="36">
        <v>78329.792839999995</v>
      </c>
      <c r="R1421" s="2"/>
      <c r="S1421" s="2">
        <v>78269.687860000005</v>
      </c>
    </row>
    <row r="1422" spans="1:19" x14ac:dyDescent="0.35">
      <c r="A1422" s="7">
        <v>1419</v>
      </c>
      <c r="B1422" s="37">
        <v>46054.276388888888</v>
      </c>
      <c r="C1422" s="2">
        <v>78458.73</v>
      </c>
      <c r="D1422" s="43">
        <v>78467.7</v>
      </c>
      <c r="E1422" s="43">
        <v>78349.429999999993</v>
      </c>
      <c r="F1422" s="2">
        <v>78392.63</v>
      </c>
      <c r="G1422" s="1">
        <v>200</v>
      </c>
      <c r="I1422" s="39">
        <v>46054.276388888888</v>
      </c>
      <c r="J1422" s="36">
        <v>78297.149659999995</v>
      </c>
      <c r="L1422" s="2"/>
      <c r="M1422" s="2"/>
      <c r="O1422" s="37">
        <v>46054.276388888888</v>
      </c>
      <c r="P1422" s="36">
        <v>78324.396219999995</v>
      </c>
      <c r="R1422" s="2"/>
      <c r="S1422" s="2">
        <v>78269.75533</v>
      </c>
    </row>
    <row r="1423" spans="1:19" x14ac:dyDescent="0.35">
      <c r="A1423" s="7">
        <v>1420</v>
      </c>
      <c r="B1423" s="37">
        <v>46054.277083333334</v>
      </c>
      <c r="C1423" s="2">
        <v>78390.740000000005</v>
      </c>
      <c r="D1423" s="43">
        <v>78474.61</v>
      </c>
      <c r="E1423" s="43">
        <v>78390.7</v>
      </c>
      <c r="F1423" s="2">
        <v>78474.61</v>
      </c>
      <c r="G1423" s="1">
        <v>193</v>
      </c>
      <c r="I1423" s="39">
        <v>46054.277083333334</v>
      </c>
      <c r="J1423" s="36">
        <v>78301.004690000002</v>
      </c>
      <c r="L1423" s="2"/>
      <c r="M1423" s="2"/>
      <c r="O1423" s="37">
        <v>46054.277083333334</v>
      </c>
      <c r="P1423" s="36">
        <v>78318.999590000007</v>
      </c>
      <c r="R1423" s="2"/>
      <c r="S1423" s="2">
        <v>78269.822799999994</v>
      </c>
    </row>
    <row r="1424" spans="1:19" x14ac:dyDescent="0.35">
      <c r="A1424" s="7">
        <v>1421</v>
      </c>
      <c r="B1424" s="37">
        <v>46054.277777777781</v>
      </c>
      <c r="C1424" s="2">
        <v>78474.61</v>
      </c>
      <c r="D1424" s="43">
        <v>78556.039999999994</v>
      </c>
      <c r="E1424" s="43">
        <v>78474.61</v>
      </c>
      <c r="F1424" s="2">
        <v>78493.45</v>
      </c>
      <c r="G1424" s="1">
        <v>206</v>
      </c>
      <c r="I1424" s="39">
        <v>46054.277777777781</v>
      </c>
      <c r="J1424" s="36">
        <v>78304.859719999993</v>
      </c>
      <c r="L1424" s="2"/>
      <c r="M1424" s="2"/>
      <c r="O1424" s="37">
        <v>46054.277777777781</v>
      </c>
      <c r="P1424" s="36">
        <v>78313.602970000007</v>
      </c>
      <c r="R1424" s="2"/>
      <c r="S1424" s="2">
        <v>78269.89026</v>
      </c>
    </row>
    <row r="1425" spans="1:19" x14ac:dyDescent="0.35">
      <c r="A1425" s="7">
        <v>1422</v>
      </c>
      <c r="B1425" s="37">
        <v>46054.27847222222</v>
      </c>
      <c r="C1425" s="2">
        <v>78499.11</v>
      </c>
      <c r="D1425" s="43">
        <v>78530.039999999994</v>
      </c>
      <c r="E1425" s="43">
        <v>78474.41</v>
      </c>
      <c r="F1425" s="2">
        <v>78484.820000000007</v>
      </c>
      <c r="G1425" s="1">
        <v>190</v>
      </c>
      <c r="I1425" s="39">
        <v>46054.27847222222</v>
      </c>
      <c r="J1425" s="36">
        <v>78308.714760000003</v>
      </c>
      <c r="L1425" s="2"/>
      <c r="M1425" s="2"/>
      <c r="O1425" s="37">
        <v>46054.27847222222</v>
      </c>
      <c r="P1425" s="36">
        <v>78308.206349999993</v>
      </c>
      <c r="R1425" s="2"/>
      <c r="S1425" s="2">
        <v>78269.957729999995</v>
      </c>
    </row>
    <row r="1426" spans="1:19" x14ac:dyDescent="0.35">
      <c r="A1426" s="7">
        <v>1423</v>
      </c>
      <c r="B1426" s="37">
        <v>46054.279166666667</v>
      </c>
      <c r="C1426" s="2">
        <v>78484.820000000007</v>
      </c>
      <c r="D1426" s="43">
        <v>78536</v>
      </c>
      <c r="E1426" s="43">
        <v>78484.03</v>
      </c>
      <c r="F1426" s="2">
        <v>78498.62</v>
      </c>
      <c r="G1426" s="1">
        <v>169</v>
      </c>
      <c r="I1426" s="39">
        <v>46054.279166666667</v>
      </c>
      <c r="J1426" s="36">
        <v>78312.569789999994</v>
      </c>
      <c r="L1426" s="2"/>
      <c r="M1426" s="2"/>
      <c r="O1426" s="37">
        <v>46054.279166666667</v>
      </c>
      <c r="P1426" s="36">
        <v>78302.809729999994</v>
      </c>
      <c r="R1426" s="2"/>
      <c r="S1426" s="2">
        <v>78270.025200000004</v>
      </c>
    </row>
    <row r="1427" spans="1:19" x14ac:dyDescent="0.35">
      <c r="A1427" s="7">
        <v>1424</v>
      </c>
      <c r="B1427" s="37">
        <v>46054.279861111114</v>
      </c>
      <c r="C1427" s="2">
        <v>78499.08</v>
      </c>
      <c r="D1427" s="43">
        <v>78535.72</v>
      </c>
      <c r="E1427" s="43">
        <v>78473.61</v>
      </c>
      <c r="F1427" s="2">
        <v>78531.520000000004</v>
      </c>
      <c r="G1427" s="1">
        <v>146</v>
      </c>
      <c r="I1427" s="39">
        <v>46054.279861111114</v>
      </c>
      <c r="J1427" s="36">
        <v>78316.424830000004</v>
      </c>
      <c r="L1427" s="2"/>
      <c r="M1427" s="2"/>
      <c r="O1427" s="37">
        <v>46054.279861111114</v>
      </c>
      <c r="P1427" s="36">
        <v>78297.413109999994</v>
      </c>
      <c r="R1427" s="2"/>
      <c r="S1427" s="2">
        <v>78270.092659999995</v>
      </c>
    </row>
    <row r="1428" spans="1:19" x14ac:dyDescent="0.35">
      <c r="A1428" s="7">
        <v>1425</v>
      </c>
      <c r="B1428" s="37">
        <v>46054.280555555553</v>
      </c>
      <c r="C1428" s="2">
        <v>78531.520000000004</v>
      </c>
      <c r="D1428" s="43">
        <v>78545.89</v>
      </c>
      <c r="E1428" s="43">
        <v>78475.34</v>
      </c>
      <c r="F1428" s="2">
        <v>78475.34</v>
      </c>
      <c r="G1428" s="1">
        <v>167</v>
      </c>
      <c r="I1428" s="39">
        <v>46054.280555555553</v>
      </c>
      <c r="J1428" s="36">
        <v>78320.279859999995</v>
      </c>
      <c r="L1428" s="2"/>
      <c r="M1428" s="2"/>
      <c r="O1428" s="37">
        <v>46054.280555555553</v>
      </c>
      <c r="P1428" s="36">
        <v>78292.016489999995</v>
      </c>
      <c r="R1428" s="2"/>
      <c r="S1428" s="2">
        <v>78270.160130000004</v>
      </c>
    </row>
    <row r="1429" spans="1:19" x14ac:dyDescent="0.35">
      <c r="A1429" s="7">
        <v>1426</v>
      </c>
      <c r="B1429" s="37">
        <v>46054.28125</v>
      </c>
      <c r="C1429" s="2">
        <v>78475.3</v>
      </c>
      <c r="D1429" s="43">
        <v>78475.3</v>
      </c>
      <c r="E1429" s="43">
        <v>78423.87</v>
      </c>
      <c r="F1429" s="2">
        <v>78437.539999999994</v>
      </c>
      <c r="G1429" s="1">
        <v>184</v>
      </c>
      <c r="I1429" s="39">
        <v>46054.28125</v>
      </c>
      <c r="J1429" s="36">
        <v>78324.134900000005</v>
      </c>
      <c r="L1429" s="2"/>
      <c r="M1429" s="2"/>
      <c r="O1429" s="37">
        <v>46054.28125</v>
      </c>
      <c r="P1429" s="36">
        <v>78286.619860000006</v>
      </c>
      <c r="R1429" s="2"/>
      <c r="S1429" s="2">
        <v>78270.227599999998</v>
      </c>
    </row>
    <row r="1430" spans="1:19" x14ac:dyDescent="0.35">
      <c r="A1430" s="7">
        <v>1427</v>
      </c>
      <c r="B1430" s="37">
        <v>46054.281944444447</v>
      </c>
      <c r="C1430" s="2">
        <v>78437.62</v>
      </c>
      <c r="D1430" s="43">
        <v>78477.52</v>
      </c>
      <c r="E1430" s="43">
        <v>78394.92</v>
      </c>
      <c r="F1430" s="2">
        <v>78420.350000000006</v>
      </c>
      <c r="G1430" s="1">
        <v>205</v>
      </c>
      <c r="I1430" s="39">
        <v>46054.281944444447</v>
      </c>
      <c r="J1430" s="36">
        <v>78327.989929999996</v>
      </c>
      <c r="L1430" s="2"/>
      <c r="M1430" s="2"/>
      <c r="O1430" s="37">
        <v>46054.281944444447</v>
      </c>
      <c r="P1430" s="36">
        <v>78281.223240000007</v>
      </c>
      <c r="R1430" s="2"/>
      <c r="S1430" s="2">
        <v>78270.295069999993</v>
      </c>
    </row>
    <row r="1431" spans="1:19" x14ac:dyDescent="0.35">
      <c r="A1431" s="7">
        <v>1428</v>
      </c>
      <c r="B1431" s="37">
        <v>46054.282638888886</v>
      </c>
      <c r="C1431" s="2">
        <v>78420.33</v>
      </c>
      <c r="D1431" s="43">
        <v>78420.33</v>
      </c>
      <c r="E1431" s="43">
        <v>78324.34</v>
      </c>
      <c r="F1431" s="2">
        <v>78333.81</v>
      </c>
      <c r="G1431" s="1">
        <v>167</v>
      </c>
      <c r="I1431" s="39">
        <v>46054.282638888886</v>
      </c>
      <c r="J1431" s="36">
        <v>78331.844970000006</v>
      </c>
      <c r="L1431" s="2"/>
      <c r="M1431" s="2"/>
      <c r="O1431" s="37">
        <v>46054.282638888886</v>
      </c>
      <c r="P1431" s="36">
        <v>78275.826620000007</v>
      </c>
      <c r="R1431" s="2"/>
      <c r="S1431" s="2">
        <v>78270.362529999999</v>
      </c>
    </row>
    <row r="1432" spans="1:19" x14ac:dyDescent="0.35">
      <c r="A1432" s="7">
        <v>1429</v>
      </c>
      <c r="B1432" s="37">
        <v>46054.283333333333</v>
      </c>
      <c r="C1432" s="2">
        <v>78315.14</v>
      </c>
      <c r="D1432" s="43">
        <v>78335.7</v>
      </c>
      <c r="E1432" s="43">
        <v>78270.429999999993</v>
      </c>
      <c r="F1432" s="2">
        <v>78335.7</v>
      </c>
      <c r="G1432" s="1">
        <v>56</v>
      </c>
      <c r="I1432" s="39">
        <v>46054.283333333333</v>
      </c>
      <c r="J1432" s="36">
        <v>78335.7</v>
      </c>
      <c r="L1432" s="2"/>
      <c r="M1432" s="2"/>
      <c r="O1432" s="37">
        <v>46054.283333333333</v>
      </c>
      <c r="P1432" s="36">
        <v>78270.429999999993</v>
      </c>
      <c r="R1432" s="2"/>
      <c r="S1432" s="2">
        <v>78270.429999999993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CloseType</vt:lpstr>
      <vt:lpstr>HighLowType</vt:lpstr>
      <vt:lpstr>NoEntry</vt:lpstr>
      <vt:lpstr>Issue1949</vt:lpstr>
      <vt:lpstr>HighLowType!Threshold</vt:lpstr>
      <vt:lpstr>NoEntry!Threshold</vt:lpstr>
      <vt:lpstr>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Skender</dc:creator>
  <cp:lastModifiedBy>Dave Skender</cp:lastModifiedBy>
  <dcterms:created xsi:type="dcterms:W3CDTF">2019-12-18T23:39:37Z</dcterms:created>
  <dcterms:modified xsi:type="dcterms:W3CDTF">2026-02-01T20:43:59Z</dcterms:modified>
</cp:coreProperties>
</file>