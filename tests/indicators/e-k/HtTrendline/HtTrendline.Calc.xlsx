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 filterPrivacy="1" codeName="ThisWorkbook" defaultThemeVersion="166925"/>
  <xr:revisionPtr revIDLastSave="0" documentId="13_ncr:1_{52652500-7247-4DDD-A8E2-F202A5B7023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HT Trendline" sheetId="1" r:id="rId1"/>
  </sheets>
  <definedNames>
    <definedName name="fastK">'HT Trendline'!#REF!</definedName>
    <definedName name="FastLimit">'HT Trendline'!#REF!</definedName>
    <definedName name="slowK">'HT Trendline'!#REF!</definedName>
    <definedName name="SlowLimit">'HT Trendline'!#REF!</definedName>
  </definedNames>
  <calcPr calcId="191029" iterateCount="1000" iterateDelta="1E-4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BA9" i="1"/>
  <c r="BB9" i="1"/>
  <c r="BA10" i="1"/>
  <c r="BB10" i="1"/>
  <c r="BA11" i="1"/>
  <c r="BB11" i="1"/>
  <c r="BA12" i="1"/>
  <c r="BB12" i="1"/>
  <c r="BA13" i="1"/>
  <c r="BB13" i="1"/>
  <c r="BA14" i="1"/>
  <c r="BB14" i="1"/>
  <c r="BA15" i="1"/>
  <c r="BB15" i="1"/>
  <c r="BA16" i="1"/>
  <c r="BB16" i="1"/>
  <c r="BA17" i="1"/>
  <c r="BB17" i="1"/>
  <c r="BA18" i="1"/>
  <c r="BB18" i="1"/>
  <c r="BA19" i="1"/>
  <c r="BB19" i="1"/>
  <c r="BA20" i="1"/>
  <c r="BB20" i="1"/>
  <c r="BA21" i="1"/>
  <c r="BB21" i="1"/>
  <c r="BA22" i="1"/>
  <c r="BB22" i="1"/>
  <c r="BA23" i="1"/>
  <c r="BB23" i="1"/>
  <c r="BA24" i="1"/>
  <c r="BB24" i="1"/>
  <c r="BA25" i="1"/>
  <c r="BB25" i="1"/>
  <c r="BA26" i="1"/>
  <c r="BB26" i="1"/>
  <c r="BA27" i="1"/>
  <c r="BB27" i="1"/>
  <c r="BA28" i="1"/>
  <c r="BB28" i="1"/>
  <c r="BA29" i="1"/>
  <c r="BB29" i="1"/>
  <c r="BA30" i="1"/>
  <c r="BB30" i="1"/>
  <c r="BA31" i="1"/>
  <c r="BB31" i="1"/>
  <c r="BA32" i="1"/>
  <c r="BB32" i="1"/>
  <c r="BA33" i="1"/>
  <c r="BB33" i="1"/>
  <c r="BA34" i="1"/>
  <c r="BB34" i="1"/>
  <c r="BA35" i="1"/>
  <c r="BB35" i="1"/>
  <c r="BA36" i="1"/>
  <c r="BB36" i="1"/>
  <c r="BA37" i="1"/>
  <c r="BB37" i="1"/>
  <c r="BA38" i="1"/>
  <c r="BB38" i="1"/>
  <c r="BA39" i="1"/>
  <c r="BB39" i="1"/>
  <c r="BA40" i="1"/>
  <c r="BB40" i="1"/>
  <c r="BA41" i="1"/>
  <c r="BB41" i="1"/>
  <c r="BA42" i="1"/>
  <c r="BB42" i="1"/>
  <c r="BA43" i="1"/>
  <c r="BB43" i="1"/>
  <c r="BA44" i="1"/>
  <c r="BB44" i="1"/>
  <c r="BA45" i="1"/>
  <c r="BB45" i="1"/>
  <c r="BA46" i="1"/>
  <c r="BB46" i="1"/>
  <c r="BA47" i="1"/>
  <c r="BB47" i="1"/>
  <c r="BA48" i="1"/>
  <c r="BB48" i="1"/>
  <c r="BA49" i="1"/>
  <c r="BB49" i="1"/>
  <c r="BA50" i="1"/>
  <c r="BB50" i="1"/>
  <c r="BA51" i="1"/>
  <c r="BB51" i="1"/>
  <c r="BA52" i="1"/>
  <c r="BB52" i="1"/>
  <c r="BA53" i="1"/>
  <c r="BB53" i="1"/>
  <c r="BA54" i="1"/>
  <c r="BB54" i="1"/>
  <c r="BA55" i="1"/>
  <c r="BB55" i="1"/>
  <c r="BA56" i="1"/>
  <c r="BB56" i="1"/>
  <c r="BA57" i="1"/>
  <c r="BB57" i="1"/>
  <c r="BA58" i="1"/>
  <c r="BB58" i="1"/>
  <c r="BA59" i="1"/>
  <c r="BB59" i="1"/>
  <c r="BA60" i="1"/>
  <c r="BB60" i="1"/>
  <c r="BA61" i="1"/>
  <c r="BB61" i="1"/>
  <c r="BA62" i="1"/>
  <c r="BB62" i="1"/>
  <c r="BA63" i="1"/>
  <c r="BB63" i="1"/>
  <c r="BA64" i="1"/>
  <c r="BB64" i="1"/>
  <c r="BA65" i="1"/>
  <c r="BB65" i="1"/>
  <c r="BA66" i="1"/>
  <c r="BB66" i="1"/>
  <c r="BA67" i="1"/>
  <c r="BB67" i="1"/>
  <c r="BA68" i="1"/>
  <c r="BB68" i="1"/>
  <c r="BA69" i="1"/>
  <c r="BB69" i="1"/>
  <c r="BA70" i="1"/>
  <c r="BB70" i="1"/>
  <c r="BA71" i="1"/>
  <c r="BB71" i="1"/>
  <c r="BA72" i="1"/>
  <c r="BB72" i="1"/>
  <c r="BA73" i="1"/>
  <c r="BB73" i="1"/>
  <c r="BA74" i="1"/>
  <c r="BB74" i="1"/>
  <c r="BA75" i="1"/>
  <c r="BB75" i="1"/>
  <c r="BA76" i="1"/>
  <c r="BB76" i="1"/>
  <c r="BA77" i="1"/>
  <c r="BB77" i="1"/>
  <c r="BA78" i="1"/>
  <c r="BB78" i="1"/>
  <c r="BA79" i="1"/>
  <c r="BB79" i="1"/>
  <c r="BA80" i="1"/>
  <c r="BB80" i="1"/>
  <c r="BA81" i="1"/>
  <c r="BB81" i="1"/>
  <c r="BA82" i="1"/>
  <c r="BB82" i="1"/>
  <c r="BA83" i="1"/>
  <c r="BB83" i="1"/>
  <c r="BA84" i="1"/>
  <c r="BB84" i="1"/>
  <c r="BA85" i="1"/>
  <c r="BB85" i="1"/>
  <c r="BA86" i="1"/>
  <c r="BB86" i="1"/>
  <c r="BA87" i="1"/>
  <c r="BB87" i="1"/>
  <c r="BA88" i="1"/>
  <c r="BB88" i="1"/>
  <c r="BA89" i="1"/>
  <c r="BB89" i="1"/>
  <c r="BA90" i="1"/>
  <c r="BB90" i="1"/>
  <c r="BA91" i="1"/>
  <c r="BB91" i="1"/>
  <c r="BA92" i="1"/>
  <c r="BB92" i="1"/>
  <c r="BA93" i="1"/>
  <c r="BB93" i="1"/>
  <c r="BA94" i="1"/>
  <c r="BB94" i="1"/>
  <c r="BA95" i="1"/>
  <c r="BB95" i="1"/>
  <c r="BA96" i="1"/>
  <c r="BB96" i="1"/>
  <c r="BA97" i="1"/>
  <c r="BB97" i="1"/>
  <c r="BA98" i="1"/>
  <c r="BB98" i="1"/>
  <c r="BA99" i="1"/>
  <c r="BB99" i="1"/>
  <c r="BA100" i="1"/>
  <c r="BB100" i="1"/>
  <c r="BA101" i="1"/>
  <c r="BB101" i="1"/>
  <c r="BA102" i="1"/>
  <c r="BB102" i="1"/>
  <c r="BA103" i="1"/>
  <c r="BB103" i="1"/>
  <c r="BA104" i="1"/>
  <c r="BB104" i="1"/>
  <c r="BA105" i="1"/>
  <c r="BB105" i="1"/>
  <c r="BA106" i="1"/>
  <c r="BB106" i="1"/>
  <c r="BA107" i="1"/>
  <c r="BB107" i="1"/>
  <c r="BA108" i="1"/>
  <c r="BB108" i="1"/>
  <c r="BA109" i="1"/>
  <c r="BB109" i="1"/>
  <c r="BA110" i="1"/>
  <c r="BB110" i="1"/>
  <c r="BA111" i="1"/>
  <c r="BB111" i="1"/>
  <c r="BA112" i="1"/>
  <c r="BB112" i="1"/>
  <c r="BA113" i="1"/>
  <c r="BB113" i="1"/>
  <c r="BA114" i="1"/>
  <c r="BB114" i="1"/>
  <c r="BA115" i="1"/>
  <c r="BB115" i="1"/>
  <c r="BA116" i="1"/>
  <c r="BB116" i="1"/>
  <c r="BA117" i="1"/>
  <c r="BB117" i="1"/>
  <c r="BA118" i="1"/>
  <c r="BB118" i="1"/>
  <c r="BA119" i="1"/>
  <c r="BB119" i="1"/>
  <c r="BA120" i="1"/>
  <c r="BB120" i="1"/>
  <c r="BA121" i="1"/>
  <c r="BB121" i="1"/>
  <c r="BA122" i="1"/>
  <c r="BB122" i="1"/>
  <c r="BA123" i="1"/>
  <c r="BB123" i="1"/>
  <c r="BA124" i="1"/>
  <c r="BB124" i="1"/>
  <c r="BA125" i="1"/>
  <c r="BB125" i="1"/>
  <c r="BA126" i="1"/>
  <c r="BB126" i="1"/>
  <c r="BA127" i="1"/>
  <c r="BB127" i="1"/>
  <c r="BA128" i="1"/>
  <c r="BB128" i="1"/>
  <c r="BA129" i="1"/>
  <c r="BB129" i="1"/>
  <c r="BA130" i="1"/>
  <c r="BB130" i="1"/>
  <c r="BA131" i="1"/>
  <c r="BB131" i="1"/>
  <c r="BA132" i="1"/>
  <c r="BB132" i="1"/>
  <c r="BA133" i="1"/>
  <c r="BB133" i="1"/>
  <c r="BA134" i="1"/>
  <c r="BB134" i="1"/>
  <c r="BA135" i="1"/>
  <c r="BB135" i="1"/>
  <c r="BA136" i="1"/>
  <c r="BB136" i="1"/>
  <c r="BA137" i="1"/>
  <c r="BB137" i="1"/>
  <c r="BA138" i="1"/>
  <c r="BB138" i="1"/>
  <c r="BA139" i="1"/>
  <c r="BB139" i="1"/>
  <c r="BA140" i="1"/>
  <c r="BB140" i="1"/>
  <c r="BA141" i="1"/>
  <c r="BB141" i="1"/>
  <c r="BA142" i="1"/>
  <c r="BB142" i="1"/>
  <c r="BA143" i="1"/>
  <c r="BB143" i="1"/>
  <c r="BA144" i="1"/>
  <c r="BB144" i="1"/>
  <c r="BA145" i="1"/>
  <c r="BB145" i="1"/>
  <c r="BA146" i="1"/>
  <c r="BB146" i="1"/>
  <c r="BA147" i="1"/>
  <c r="BB147" i="1"/>
  <c r="BA148" i="1"/>
  <c r="BB148" i="1"/>
  <c r="BA149" i="1"/>
  <c r="BB149" i="1"/>
  <c r="BA150" i="1"/>
  <c r="BB150" i="1"/>
  <c r="BA151" i="1"/>
  <c r="BB151" i="1"/>
  <c r="BA152" i="1"/>
  <c r="BB152" i="1"/>
  <c r="BA153" i="1"/>
  <c r="BB153" i="1"/>
  <c r="BA154" i="1"/>
  <c r="BB154" i="1"/>
  <c r="BA155" i="1"/>
  <c r="BB155" i="1"/>
  <c r="BA156" i="1"/>
  <c r="BB156" i="1"/>
  <c r="BA157" i="1"/>
  <c r="BB157" i="1"/>
  <c r="BA158" i="1"/>
  <c r="BB158" i="1"/>
  <c r="BA159" i="1"/>
  <c r="BB159" i="1"/>
  <c r="BA160" i="1"/>
  <c r="BB160" i="1"/>
  <c r="BA161" i="1"/>
  <c r="BB161" i="1"/>
  <c r="BA162" i="1"/>
  <c r="BB162" i="1"/>
  <c r="BA163" i="1"/>
  <c r="BB163" i="1"/>
  <c r="BA164" i="1"/>
  <c r="BB164" i="1"/>
  <c r="BA165" i="1"/>
  <c r="BB165" i="1"/>
  <c r="BA166" i="1"/>
  <c r="BB166" i="1"/>
  <c r="BA167" i="1"/>
  <c r="BB167" i="1"/>
  <c r="BA168" i="1"/>
  <c r="BB168" i="1"/>
  <c r="BA169" i="1"/>
  <c r="BB169" i="1"/>
  <c r="BA170" i="1"/>
  <c r="BB170" i="1"/>
  <c r="BA171" i="1"/>
  <c r="BB171" i="1"/>
  <c r="BA172" i="1"/>
  <c r="BB172" i="1"/>
  <c r="BA173" i="1"/>
  <c r="BB173" i="1"/>
  <c r="BA174" i="1"/>
  <c r="BB174" i="1"/>
  <c r="BA175" i="1"/>
  <c r="BB175" i="1"/>
  <c r="BA176" i="1"/>
  <c r="BB176" i="1"/>
  <c r="BA177" i="1"/>
  <c r="BB177" i="1"/>
  <c r="BA178" i="1"/>
  <c r="BB178" i="1"/>
  <c r="BA179" i="1"/>
  <c r="BB179" i="1"/>
  <c r="BA180" i="1"/>
  <c r="BB180" i="1"/>
  <c r="BA181" i="1"/>
  <c r="BB181" i="1"/>
  <c r="BA182" i="1"/>
  <c r="BB182" i="1"/>
  <c r="BA183" i="1"/>
  <c r="BB183" i="1"/>
  <c r="BA184" i="1"/>
  <c r="BB184" i="1"/>
  <c r="BA185" i="1"/>
  <c r="BB185" i="1"/>
  <c r="BA186" i="1"/>
  <c r="BB186" i="1"/>
  <c r="BA187" i="1"/>
  <c r="BB187" i="1"/>
  <c r="BA188" i="1"/>
  <c r="BB188" i="1"/>
  <c r="BA189" i="1"/>
  <c r="BB189" i="1"/>
  <c r="BA190" i="1"/>
  <c r="BB190" i="1"/>
  <c r="BA191" i="1"/>
  <c r="BB191" i="1"/>
  <c r="BA192" i="1"/>
  <c r="BB192" i="1"/>
  <c r="BA193" i="1"/>
  <c r="BB193" i="1"/>
  <c r="BA194" i="1"/>
  <c r="BB194" i="1"/>
  <c r="BA195" i="1"/>
  <c r="BB195" i="1"/>
  <c r="BA196" i="1"/>
  <c r="BB196" i="1"/>
  <c r="BA197" i="1"/>
  <c r="BB197" i="1"/>
  <c r="BA198" i="1"/>
  <c r="BB198" i="1"/>
  <c r="BA199" i="1"/>
  <c r="BB199" i="1"/>
  <c r="BA200" i="1"/>
  <c r="BB200" i="1"/>
  <c r="BA201" i="1"/>
  <c r="BB201" i="1"/>
  <c r="BA202" i="1"/>
  <c r="BB202" i="1"/>
  <c r="BA203" i="1"/>
  <c r="BB203" i="1"/>
  <c r="BA204" i="1"/>
  <c r="BB204" i="1"/>
  <c r="BA205" i="1"/>
  <c r="BB205" i="1"/>
  <c r="BA206" i="1"/>
  <c r="BB206" i="1"/>
  <c r="BA207" i="1"/>
  <c r="BB207" i="1"/>
  <c r="BA208" i="1"/>
  <c r="BB208" i="1"/>
  <c r="BA209" i="1"/>
  <c r="BB209" i="1"/>
  <c r="BA210" i="1"/>
  <c r="BB210" i="1"/>
  <c r="BA211" i="1"/>
  <c r="BB211" i="1"/>
  <c r="BA212" i="1"/>
  <c r="BB212" i="1"/>
  <c r="BA213" i="1"/>
  <c r="BB213" i="1"/>
  <c r="BA214" i="1"/>
  <c r="BB214" i="1"/>
  <c r="BA215" i="1"/>
  <c r="BB215" i="1"/>
  <c r="BA216" i="1"/>
  <c r="BB216" i="1"/>
  <c r="BA217" i="1"/>
  <c r="BB217" i="1"/>
  <c r="BA218" i="1"/>
  <c r="BB218" i="1"/>
  <c r="BA219" i="1"/>
  <c r="BB219" i="1"/>
  <c r="BA220" i="1"/>
  <c r="BB220" i="1"/>
  <c r="BA221" i="1"/>
  <c r="BB221" i="1"/>
  <c r="BA222" i="1"/>
  <c r="BB222" i="1"/>
  <c r="BA223" i="1"/>
  <c r="BB223" i="1"/>
  <c r="BA224" i="1"/>
  <c r="BB224" i="1"/>
  <c r="BA225" i="1"/>
  <c r="BB225" i="1"/>
  <c r="BA226" i="1"/>
  <c r="BB226" i="1"/>
  <c r="BA227" i="1"/>
  <c r="BB227" i="1"/>
  <c r="BA228" i="1"/>
  <c r="BB228" i="1"/>
  <c r="BA229" i="1"/>
  <c r="BB229" i="1"/>
  <c r="BA230" i="1"/>
  <c r="BB230" i="1"/>
  <c r="BA231" i="1"/>
  <c r="BB231" i="1"/>
  <c r="BA232" i="1"/>
  <c r="BB232" i="1"/>
  <c r="BA233" i="1"/>
  <c r="BB233" i="1"/>
  <c r="BA234" i="1"/>
  <c r="BB234" i="1"/>
  <c r="BA235" i="1"/>
  <c r="BB235" i="1"/>
  <c r="BA236" i="1"/>
  <c r="BB236" i="1"/>
  <c r="BA237" i="1"/>
  <c r="BB237" i="1"/>
  <c r="BA238" i="1"/>
  <c r="BB238" i="1"/>
  <c r="BA239" i="1"/>
  <c r="BB239" i="1"/>
  <c r="BA240" i="1"/>
  <c r="BB240" i="1"/>
  <c r="BA241" i="1"/>
  <c r="BB241" i="1"/>
  <c r="BA242" i="1"/>
  <c r="BB242" i="1"/>
  <c r="BA243" i="1"/>
  <c r="BB243" i="1"/>
  <c r="BA244" i="1"/>
  <c r="BB244" i="1"/>
  <c r="BA245" i="1"/>
  <c r="BB245" i="1"/>
  <c r="BA246" i="1"/>
  <c r="BB246" i="1"/>
  <c r="BA247" i="1"/>
  <c r="BB247" i="1"/>
  <c r="BA248" i="1"/>
  <c r="BB248" i="1"/>
  <c r="BA249" i="1"/>
  <c r="BB249" i="1"/>
  <c r="BA250" i="1"/>
  <c r="BB250" i="1"/>
  <c r="BA251" i="1"/>
  <c r="BB251" i="1"/>
  <c r="BA252" i="1"/>
  <c r="BB252" i="1"/>
  <c r="BA253" i="1"/>
  <c r="BB253" i="1"/>
  <c r="BA254" i="1"/>
  <c r="BB254" i="1"/>
  <c r="BA255" i="1"/>
  <c r="BB255" i="1"/>
  <c r="BA256" i="1"/>
  <c r="BB256" i="1"/>
  <c r="BA257" i="1"/>
  <c r="BB257" i="1"/>
  <c r="BA258" i="1"/>
  <c r="BB258" i="1"/>
  <c r="BA259" i="1"/>
  <c r="BB259" i="1"/>
  <c r="BA260" i="1"/>
  <c r="BB260" i="1"/>
  <c r="BA261" i="1"/>
  <c r="BB261" i="1"/>
  <c r="BA262" i="1"/>
  <c r="BB262" i="1"/>
  <c r="BA263" i="1"/>
  <c r="BB263" i="1"/>
  <c r="BA264" i="1"/>
  <c r="BB264" i="1"/>
  <c r="BA265" i="1"/>
  <c r="BB265" i="1"/>
  <c r="BA266" i="1"/>
  <c r="BB266" i="1"/>
  <c r="BA267" i="1"/>
  <c r="BB267" i="1"/>
  <c r="BA268" i="1"/>
  <c r="BB268" i="1"/>
  <c r="BA269" i="1"/>
  <c r="BB269" i="1"/>
  <c r="BA270" i="1"/>
  <c r="BB270" i="1"/>
  <c r="BA271" i="1"/>
  <c r="BB271" i="1"/>
  <c r="BA272" i="1"/>
  <c r="BB272" i="1"/>
  <c r="BA273" i="1"/>
  <c r="BB273" i="1"/>
  <c r="BA274" i="1"/>
  <c r="BB274" i="1"/>
  <c r="BA275" i="1"/>
  <c r="BB275" i="1"/>
  <c r="BA276" i="1"/>
  <c r="BB276" i="1"/>
  <c r="BA277" i="1"/>
  <c r="BB277" i="1"/>
  <c r="BA278" i="1"/>
  <c r="BB278" i="1"/>
  <c r="BA279" i="1"/>
  <c r="BB279" i="1"/>
  <c r="BA280" i="1"/>
  <c r="BB280" i="1"/>
  <c r="BA281" i="1"/>
  <c r="BB281" i="1"/>
  <c r="BA282" i="1"/>
  <c r="BB282" i="1"/>
  <c r="BA283" i="1"/>
  <c r="BB283" i="1"/>
  <c r="BA284" i="1"/>
  <c r="BB284" i="1"/>
  <c r="BA285" i="1"/>
  <c r="BB285" i="1"/>
  <c r="BA286" i="1"/>
  <c r="BB286" i="1"/>
  <c r="BA287" i="1"/>
  <c r="BB287" i="1"/>
  <c r="BA288" i="1"/>
  <c r="BB288" i="1"/>
  <c r="BA289" i="1"/>
  <c r="BB289" i="1"/>
  <c r="BA290" i="1"/>
  <c r="BB290" i="1"/>
  <c r="BA291" i="1"/>
  <c r="BB291" i="1"/>
  <c r="BA292" i="1"/>
  <c r="BB292" i="1"/>
  <c r="BA293" i="1"/>
  <c r="BB293" i="1"/>
  <c r="BA294" i="1"/>
  <c r="BB294" i="1"/>
  <c r="BA295" i="1"/>
  <c r="BB295" i="1"/>
  <c r="BA296" i="1"/>
  <c r="BB296" i="1"/>
  <c r="BA297" i="1"/>
  <c r="BB297" i="1"/>
  <c r="BA298" i="1"/>
  <c r="BB298" i="1"/>
  <c r="BA299" i="1"/>
  <c r="BB299" i="1"/>
  <c r="BA300" i="1"/>
  <c r="BB300" i="1"/>
  <c r="BA301" i="1"/>
  <c r="BB301" i="1"/>
  <c r="BA302" i="1"/>
  <c r="BB302" i="1"/>
  <c r="BA303" i="1"/>
  <c r="BB303" i="1"/>
  <c r="BA304" i="1"/>
  <c r="BB304" i="1"/>
  <c r="BA305" i="1"/>
  <c r="BB305" i="1"/>
  <c r="BA306" i="1"/>
  <c r="BB306" i="1"/>
  <c r="BA307" i="1"/>
  <c r="BB307" i="1"/>
  <c r="BA308" i="1"/>
  <c r="BB308" i="1"/>
  <c r="BA309" i="1"/>
  <c r="BB309" i="1"/>
  <c r="BA310" i="1"/>
  <c r="BB310" i="1"/>
  <c r="BA311" i="1"/>
  <c r="BB311" i="1"/>
  <c r="BA312" i="1"/>
  <c r="BB312" i="1"/>
  <c r="BA313" i="1"/>
  <c r="BB313" i="1"/>
  <c r="BA314" i="1"/>
  <c r="BB314" i="1"/>
  <c r="BA315" i="1"/>
  <c r="BB315" i="1"/>
  <c r="BA316" i="1"/>
  <c r="BB316" i="1"/>
  <c r="BA317" i="1"/>
  <c r="BB317" i="1"/>
  <c r="BA318" i="1"/>
  <c r="BB318" i="1"/>
  <c r="BA319" i="1"/>
  <c r="BB319" i="1"/>
  <c r="BA320" i="1"/>
  <c r="BB320" i="1"/>
  <c r="BA321" i="1"/>
  <c r="BB321" i="1"/>
  <c r="BA322" i="1"/>
  <c r="BB322" i="1"/>
  <c r="BA323" i="1"/>
  <c r="BB323" i="1"/>
  <c r="BA324" i="1"/>
  <c r="BB324" i="1"/>
  <c r="BA325" i="1"/>
  <c r="BB325" i="1"/>
  <c r="BA326" i="1"/>
  <c r="BB326" i="1"/>
  <c r="BA327" i="1"/>
  <c r="BB327" i="1"/>
  <c r="BA328" i="1"/>
  <c r="BB328" i="1"/>
  <c r="BA329" i="1"/>
  <c r="BB329" i="1"/>
  <c r="BA330" i="1"/>
  <c r="BB330" i="1"/>
  <c r="BA331" i="1"/>
  <c r="BB331" i="1"/>
  <c r="BA332" i="1"/>
  <c r="BB332" i="1"/>
  <c r="BA333" i="1"/>
  <c r="BB333" i="1"/>
  <c r="BA334" i="1"/>
  <c r="BB334" i="1"/>
  <c r="BA335" i="1"/>
  <c r="BB335" i="1"/>
  <c r="BA336" i="1"/>
  <c r="BB336" i="1"/>
  <c r="BA337" i="1"/>
  <c r="BB337" i="1"/>
  <c r="BA338" i="1"/>
  <c r="BB338" i="1"/>
  <c r="BA339" i="1"/>
  <c r="BB339" i="1"/>
  <c r="BA340" i="1"/>
  <c r="BB340" i="1"/>
  <c r="BA341" i="1"/>
  <c r="BB341" i="1"/>
  <c r="BA342" i="1"/>
  <c r="BB342" i="1"/>
  <c r="BA343" i="1"/>
  <c r="BB343" i="1"/>
  <c r="BA344" i="1"/>
  <c r="BB344" i="1"/>
  <c r="BA345" i="1"/>
  <c r="BB345" i="1"/>
  <c r="BA346" i="1"/>
  <c r="BB346" i="1"/>
  <c r="BA347" i="1"/>
  <c r="BB347" i="1"/>
  <c r="BA348" i="1"/>
  <c r="BB348" i="1"/>
  <c r="BA349" i="1"/>
  <c r="BB349" i="1"/>
  <c r="BA350" i="1"/>
  <c r="BB350" i="1"/>
  <c r="BA351" i="1"/>
  <c r="BB351" i="1"/>
  <c r="BA352" i="1"/>
  <c r="BB352" i="1"/>
  <c r="BA353" i="1"/>
  <c r="BB353" i="1"/>
  <c r="BA354" i="1"/>
  <c r="BB354" i="1"/>
  <c r="BA355" i="1"/>
  <c r="BB355" i="1"/>
  <c r="BA356" i="1"/>
  <c r="BB356" i="1"/>
  <c r="BA357" i="1"/>
  <c r="BB357" i="1"/>
  <c r="BA358" i="1"/>
  <c r="BB358" i="1"/>
  <c r="BA359" i="1"/>
  <c r="BB359" i="1"/>
  <c r="BA360" i="1"/>
  <c r="BB360" i="1"/>
  <c r="BA361" i="1"/>
  <c r="BB361" i="1"/>
  <c r="BA362" i="1"/>
  <c r="BB362" i="1"/>
  <c r="BA363" i="1"/>
  <c r="BB363" i="1"/>
  <c r="BA364" i="1"/>
  <c r="BB364" i="1"/>
  <c r="BA365" i="1"/>
  <c r="BB365" i="1"/>
  <c r="BA366" i="1"/>
  <c r="BB366" i="1"/>
  <c r="BA367" i="1"/>
  <c r="BB367" i="1"/>
  <c r="BA368" i="1"/>
  <c r="BB368" i="1"/>
  <c r="BA369" i="1"/>
  <c r="BB369" i="1"/>
  <c r="BA370" i="1"/>
  <c r="BB370" i="1"/>
  <c r="BA371" i="1"/>
  <c r="BB371" i="1"/>
  <c r="BA372" i="1"/>
  <c r="BB372" i="1"/>
  <c r="BA373" i="1"/>
  <c r="BB373" i="1"/>
  <c r="BA374" i="1"/>
  <c r="BB374" i="1"/>
  <c r="BA375" i="1"/>
  <c r="BB375" i="1"/>
  <c r="BA376" i="1"/>
  <c r="BB376" i="1"/>
  <c r="BA377" i="1"/>
  <c r="BB377" i="1"/>
  <c r="BA378" i="1"/>
  <c r="BB378" i="1"/>
  <c r="BA379" i="1"/>
  <c r="BB379" i="1"/>
  <c r="BA380" i="1"/>
  <c r="BB380" i="1"/>
  <c r="BA381" i="1"/>
  <c r="BB381" i="1"/>
  <c r="BA382" i="1"/>
  <c r="BB382" i="1"/>
  <c r="BA383" i="1"/>
  <c r="BB383" i="1"/>
  <c r="BA384" i="1"/>
  <c r="BB384" i="1"/>
  <c r="BA385" i="1"/>
  <c r="BB385" i="1"/>
  <c r="BA386" i="1"/>
  <c r="BB386" i="1"/>
  <c r="BA387" i="1"/>
  <c r="BB387" i="1"/>
  <c r="BA388" i="1"/>
  <c r="BB388" i="1"/>
  <c r="BA389" i="1"/>
  <c r="BB389" i="1"/>
  <c r="BA390" i="1"/>
  <c r="BB390" i="1"/>
  <c r="BA391" i="1"/>
  <c r="BB391" i="1"/>
  <c r="BA392" i="1"/>
  <c r="BB392" i="1"/>
  <c r="BA393" i="1"/>
  <c r="BB393" i="1"/>
  <c r="BA394" i="1"/>
  <c r="BB394" i="1"/>
  <c r="BA395" i="1"/>
  <c r="BB395" i="1"/>
  <c r="BA396" i="1"/>
  <c r="BB396" i="1"/>
  <c r="BA397" i="1"/>
  <c r="BB397" i="1"/>
  <c r="BA398" i="1"/>
  <c r="BB398" i="1"/>
  <c r="BA399" i="1"/>
  <c r="BB399" i="1"/>
  <c r="BA400" i="1"/>
  <c r="BB400" i="1"/>
  <c r="BA401" i="1"/>
  <c r="BB401" i="1"/>
  <c r="BA402" i="1"/>
  <c r="BB402" i="1"/>
  <c r="BA403" i="1"/>
  <c r="BB403" i="1"/>
  <c r="BA404" i="1"/>
  <c r="BB404" i="1"/>
  <c r="BA405" i="1"/>
  <c r="BB405" i="1"/>
  <c r="BA406" i="1"/>
  <c r="BB406" i="1"/>
  <c r="BA407" i="1"/>
  <c r="BB407" i="1"/>
  <c r="BA408" i="1"/>
  <c r="BB408" i="1"/>
  <c r="BA409" i="1"/>
  <c r="BB409" i="1"/>
  <c r="BA410" i="1"/>
  <c r="BB410" i="1"/>
  <c r="BA411" i="1"/>
  <c r="BB411" i="1"/>
  <c r="BA412" i="1"/>
  <c r="BB412" i="1"/>
  <c r="BA413" i="1"/>
  <c r="BB413" i="1"/>
  <c r="BA414" i="1"/>
  <c r="BB414" i="1"/>
  <c r="BA415" i="1"/>
  <c r="BB415" i="1"/>
  <c r="BA416" i="1"/>
  <c r="BB416" i="1"/>
  <c r="BA417" i="1"/>
  <c r="BB417" i="1"/>
  <c r="BA418" i="1"/>
  <c r="BB418" i="1"/>
  <c r="BA419" i="1"/>
  <c r="BB419" i="1"/>
  <c r="BA420" i="1"/>
  <c r="BB420" i="1"/>
  <c r="BA421" i="1"/>
  <c r="BB421" i="1"/>
  <c r="BA422" i="1"/>
  <c r="BB422" i="1"/>
  <c r="BA423" i="1"/>
  <c r="BB423" i="1"/>
  <c r="BA424" i="1"/>
  <c r="BB424" i="1"/>
  <c r="BA425" i="1"/>
  <c r="BB425" i="1"/>
  <c r="BA426" i="1"/>
  <c r="BB426" i="1"/>
  <c r="BA427" i="1"/>
  <c r="BB427" i="1"/>
  <c r="BA428" i="1"/>
  <c r="BB428" i="1"/>
  <c r="BA429" i="1"/>
  <c r="BB429" i="1"/>
  <c r="BA430" i="1"/>
  <c r="BB430" i="1"/>
  <c r="BA431" i="1"/>
  <c r="BB431" i="1"/>
  <c r="BA432" i="1"/>
  <c r="BB432" i="1"/>
  <c r="BA433" i="1"/>
  <c r="BB433" i="1"/>
  <c r="BA434" i="1"/>
  <c r="BB434" i="1"/>
  <c r="BA435" i="1"/>
  <c r="BB435" i="1"/>
  <c r="BA436" i="1"/>
  <c r="BB436" i="1"/>
  <c r="BA437" i="1"/>
  <c r="BB437" i="1"/>
  <c r="BA438" i="1"/>
  <c r="BB438" i="1"/>
  <c r="BA439" i="1"/>
  <c r="BB439" i="1"/>
  <c r="BA440" i="1"/>
  <c r="BB440" i="1"/>
  <c r="BA441" i="1"/>
  <c r="BB441" i="1"/>
  <c r="BA442" i="1"/>
  <c r="BB442" i="1"/>
  <c r="BA443" i="1"/>
  <c r="BB443" i="1"/>
  <c r="BA444" i="1"/>
  <c r="BB444" i="1"/>
  <c r="BA445" i="1"/>
  <c r="BB445" i="1"/>
  <c r="BA446" i="1"/>
  <c r="BB446" i="1"/>
  <c r="BA447" i="1"/>
  <c r="BB447" i="1"/>
  <c r="BA448" i="1"/>
  <c r="BB448" i="1"/>
  <c r="BA449" i="1"/>
  <c r="BB449" i="1"/>
  <c r="BA450" i="1"/>
  <c r="BB450" i="1"/>
  <c r="BA451" i="1"/>
  <c r="BB451" i="1"/>
  <c r="BA452" i="1"/>
  <c r="BB452" i="1"/>
  <c r="BA453" i="1"/>
  <c r="BB453" i="1"/>
  <c r="BA454" i="1"/>
  <c r="BB454" i="1"/>
  <c r="BA455" i="1"/>
  <c r="BB455" i="1"/>
  <c r="BA456" i="1"/>
  <c r="BB456" i="1"/>
  <c r="BA457" i="1"/>
  <c r="BB457" i="1"/>
  <c r="BA458" i="1"/>
  <c r="BB458" i="1"/>
  <c r="BA459" i="1"/>
  <c r="BB459" i="1"/>
  <c r="BA460" i="1"/>
  <c r="BB460" i="1"/>
  <c r="BA461" i="1"/>
  <c r="BB461" i="1"/>
  <c r="BA462" i="1"/>
  <c r="BB462" i="1"/>
  <c r="BA463" i="1"/>
  <c r="BB463" i="1"/>
  <c r="BA464" i="1"/>
  <c r="BB464" i="1"/>
  <c r="BA465" i="1"/>
  <c r="BB465" i="1"/>
  <c r="BA466" i="1"/>
  <c r="BB466" i="1"/>
  <c r="BA467" i="1"/>
  <c r="BB467" i="1"/>
  <c r="BA468" i="1"/>
  <c r="BB468" i="1"/>
  <c r="BA469" i="1"/>
  <c r="BB469" i="1"/>
  <c r="BA470" i="1"/>
  <c r="BB470" i="1"/>
  <c r="BA471" i="1"/>
  <c r="BB471" i="1"/>
  <c r="BA472" i="1"/>
  <c r="BB472" i="1"/>
  <c r="BA473" i="1"/>
  <c r="BB473" i="1"/>
  <c r="BA474" i="1"/>
  <c r="BB474" i="1"/>
  <c r="BA475" i="1"/>
  <c r="BB475" i="1"/>
  <c r="BA476" i="1"/>
  <c r="BB476" i="1"/>
  <c r="BA477" i="1"/>
  <c r="BB477" i="1"/>
  <c r="BA478" i="1"/>
  <c r="BB478" i="1"/>
  <c r="BA479" i="1"/>
  <c r="BB479" i="1"/>
  <c r="BA480" i="1"/>
  <c r="BB480" i="1"/>
  <c r="BA481" i="1"/>
  <c r="BB481" i="1"/>
  <c r="BA482" i="1"/>
  <c r="BB482" i="1"/>
  <c r="BA483" i="1"/>
  <c r="BB483" i="1"/>
  <c r="BA484" i="1"/>
  <c r="BB484" i="1"/>
  <c r="BA485" i="1"/>
  <c r="BB485" i="1"/>
  <c r="BA486" i="1"/>
  <c r="BB486" i="1"/>
  <c r="BA487" i="1"/>
  <c r="BB487" i="1"/>
  <c r="BA488" i="1"/>
  <c r="BB488" i="1"/>
  <c r="BA489" i="1"/>
  <c r="BB489" i="1"/>
  <c r="BA490" i="1"/>
  <c r="BB490" i="1"/>
  <c r="BA491" i="1"/>
  <c r="BB491" i="1"/>
  <c r="BA492" i="1"/>
  <c r="BB492" i="1"/>
  <c r="BA493" i="1"/>
  <c r="BB493" i="1"/>
  <c r="BA494" i="1"/>
  <c r="BB494" i="1"/>
  <c r="BA495" i="1"/>
  <c r="BB495" i="1"/>
  <c r="BA496" i="1"/>
  <c r="BB496" i="1"/>
  <c r="BA497" i="1"/>
  <c r="BB497" i="1"/>
  <c r="BA498" i="1"/>
  <c r="BB498" i="1"/>
  <c r="BA499" i="1"/>
  <c r="BB499" i="1"/>
  <c r="BA500" i="1"/>
  <c r="BB500" i="1"/>
  <c r="BA501" i="1"/>
  <c r="BB501" i="1"/>
  <c r="BA502" i="1"/>
  <c r="BB502" i="1"/>
  <c r="BA503" i="1"/>
  <c r="BB503" i="1"/>
  <c r="BA8" i="1"/>
  <c r="BB8" i="1"/>
  <c r="AN9" i="1"/>
  <c r="AO9" i="1"/>
  <c r="AN10" i="1"/>
  <c r="AO10" i="1"/>
  <c r="AN11" i="1"/>
  <c r="AO11" i="1"/>
  <c r="AN12" i="1"/>
  <c r="AO12" i="1"/>
  <c r="AN13" i="1"/>
  <c r="AO13" i="1"/>
  <c r="AN14" i="1"/>
  <c r="AO14" i="1"/>
  <c r="AN15" i="1"/>
  <c r="AO15" i="1"/>
  <c r="AN16" i="1"/>
  <c r="AO16" i="1"/>
  <c r="AN17" i="1"/>
  <c r="AO17" i="1"/>
  <c r="AN18" i="1"/>
  <c r="AO18" i="1"/>
  <c r="AN19" i="1"/>
  <c r="AO19" i="1"/>
  <c r="AN20" i="1"/>
  <c r="AO20" i="1"/>
  <c r="AN21" i="1"/>
  <c r="AO21" i="1"/>
  <c r="AN22" i="1"/>
  <c r="AO22" i="1"/>
  <c r="AN23" i="1"/>
  <c r="AO23" i="1"/>
  <c r="AN24" i="1"/>
  <c r="AO24" i="1"/>
  <c r="AN25" i="1"/>
  <c r="AO25" i="1"/>
  <c r="AN26" i="1"/>
  <c r="AO26" i="1"/>
  <c r="AN27" i="1"/>
  <c r="AO27" i="1"/>
  <c r="AN28" i="1"/>
  <c r="AO28" i="1"/>
  <c r="AN29" i="1"/>
  <c r="AO29" i="1"/>
  <c r="AN30" i="1"/>
  <c r="AO30" i="1"/>
  <c r="AN31" i="1"/>
  <c r="AO31" i="1"/>
  <c r="AN32" i="1"/>
  <c r="AO32" i="1"/>
  <c r="AN33" i="1"/>
  <c r="AO33" i="1"/>
  <c r="AN34" i="1"/>
  <c r="AO34" i="1"/>
  <c r="AN35" i="1"/>
  <c r="AO35" i="1"/>
  <c r="AN36" i="1"/>
  <c r="AO36" i="1"/>
  <c r="AN37" i="1"/>
  <c r="AO37" i="1"/>
  <c r="AN38" i="1"/>
  <c r="AO38" i="1"/>
  <c r="AN39" i="1"/>
  <c r="AO39" i="1"/>
  <c r="AN40" i="1"/>
  <c r="AO40" i="1"/>
  <c r="AN41" i="1"/>
  <c r="AO41" i="1"/>
  <c r="AN42" i="1"/>
  <c r="AO42" i="1"/>
  <c r="AN43" i="1"/>
  <c r="AO43" i="1"/>
  <c r="AN44" i="1"/>
  <c r="AO44" i="1"/>
  <c r="AN45" i="1"/>
  <c r="AO45" i="1"/>
  <c r="AN46" i="1"/>
  <c r="AO46" i="1"/>
  <c r="AN47" i="1"/>
  <c r="AO47" i="1"/>
  <c r="AN48" i="1"/>
  <c r="AO48" i="1"/>
  <c r="AN49" i="1"/>
  <c r="AO49" i="1"/>
  <c r="AN50" i="1"/>
  <c r="AO50" i="1"/>
  <c r="AN51" i="1"/>
  <c r="AO51" i="1"/>
  <c r="AN52" i="1"/>
  <c r="AO52" i="1"/>
  <c r="AN53" i="1"/>
  <c r="AO53" i="1"/>
  <c r="AN54" i="1"/>
  <c r="AO54" i="1"/>
  <c r="AN55" i="1"/>
  <c r="AO55" i="1"/>
  <c r="AN56" i="1"/>
  <c r="AO56" i="1"/>
  <c r="AN57" i="1"/>
  <c r="AO57" i="1"/>
  <c r="AN58" i="1"/>
  <c r="AO58" i="1"/>
  <c r="AN59" i="1"/>
  <c r="AO59" i="1"/>
  <c r="AN60" i="1"/>
  <c r="AO60" i="1"/>
  <c r="AN61" i="1"/>
  <c r="AO61" i="1"/>
  <c r="AN62" i="1"/>
  <c r="AO62" i="1"/>
  <c r="AN63" i="1"/>
  <c r="AO63" i="1"/>
  <c r="AN64" i="1"/>
  <c r="AO64" i="1"/>
  <c r="AN65" i="1"/>
  <c r="AO65" i="1"/>
  <c r="AN66" i="1"/>
  <c r="AO66" i="1"/>
  <c r="AN67" i="1"/>
  <c r="AO67" i="1"/>
  <c r="AN68" i="1"/>
  <c r="AO68" i="1"/>
  <c r="AN69" i="1"/>
  <c r="AO69" i="1"/>
  <c r="AN70" i="1"/>
  <c r="AO70" i="1"/>
  <c r="AN71" i="1"/>
  <c r="AO71" i="1"/>
  <c r="AN72" i="1"/>
  <c r="AO72" i="1"/>
  <c r="AN73" i="1"/>
  <c r="AO73" i="1"/>
  <c r="AN74" i="1"/>
  <c r="AO74" i="1"/>
  <c r="AN75" i="1"/>
  <c r="AO75" i="1"/>
  <c r="AN76" i="1"/>
  <c r="AO76" i="1"/>
  <c r="AN77" i="1"/>
  <c r="AO77" i="1"/>
  <c r="AN78" i="1"/>
  <c r="AO78" i="1"/>
  <c r="AN79" i="1"/>
  <c r="AO79" i="1"/>
  <c r="AN80" i="1"/>
  <c r="AO80" i="1"/>
  <c r="AN81" i="1"/>
  <c r="AO81" i="1"/>
  <c r="AN82" i="1"/>
  <c r="AO82" i="1"/>
  <c r="AN83" i="1"/>
  <c r="AO83" i="1"/>
  <c r="AN84" i="1"/>
  <c r="AO84" i="1"/>
  <c r="AN85" i="1"/>
  <c r="AO85" i="1"/>
  <c r="AN86" i="1"/>
  <c r="AO86" i="1"/>
  <c r="AN87" i="1"/>
  <c r="AO87" i="1"/>
  <c r="AN88" i="1"/>
  <c r="AO88" i="1"/>
  <c r="AN89" i="1"/>
  <c r="AO89" i="1"/>
  <c r="AN90" i="1"/>
  <c r="AO90" i="1"/>
  <c r="AN91" i="1"/>
  <c r="AO91" i="1"/>
  <c r="AN92" i="1"/>
  <c r="AO92" i="1"/>
  <c r="AN93" i="1"/>
  <c r="AO93" i="1"/>
  <c r="AN94" i="1"/>
  <c r="AO94" i="1"/>
  <c r="AN95" i="1"/>
  <c r="AO95" i="1"/>
  <c r="AN96" i="1"/>
  <c r="AO96" i="1"/>
  <c r="AN97" i="1"/>
  <c r="AO97" i="1"/>
  <c r="AN98" i="1"/>
  <c r="AO98" i="1"/>
  <c r="AN99" i="1"/>
  <c r="AO99" i="1"/>
  <c r="AN100" i="1"/>
  <c r="AO100" i="1"/>
  <c r="AN101" i="1"/>
  <c r="AO101" i="1"/>
  <c r="AN102" i="1"/>
  <c r="AO102" i="1"/>
  <c r="AN103" i="1"/>
  <c r="AO103" i="1"/>
  <c r="AN104" i="1"/>
  <c r="AO104" i="1"/>
  <c r="AN105" i="1"/>
  <c r="AO105" i="1"/>
  <c r="AN106" i="1"/>
  <c r="AO106" i="1"/>
  <c r="AN107" i="1"/>
  <c r="AO107" i="1"/>
  <c r="AN108" i="1"/>
  <c r="AO108" i="1"/>
  <c r="AN109" i="1"/>
  <c r="AO109" i="1"/>
  <c r="AN110" i="1"/>
  <c r="AO110" i="1"/>
  <c r="AN111" i="1"/>
  <c r="AO111" i="1"/>
  <c r="AN112" i="1"/>
  <c r="AO112" i="1"/>
  <c r="AN113" i="1"/>
  <c r="AO113" i="1"/>
  <c r="AN114" i="1"/>
  <c r="AO114" i="1"/>
  <c r="AN115" i="1"/>
  <c r="AO115" i="1"/>
  <c r="AN116" i="1"/>
  <c r="AO116" i="1"/>
  <c r="AN117" i="1"/>
  <c r="AO117" i="1"/>
  <c r="AN118" i="1"/>
  <c r="AO118" i="1"/>
  <c r="AN119" i="1"/>
  <c r="AO119" i="1"/>
  <c r="AN120" i="1"/>
  <c r="AO120" i="1"/>
  <c r="AN121" i="1"/>
  <c r="AO121" i="1"/>
  <c r="AN122" i="1"/>
  <c r="AO122" i="1"/>
  <c r="AN123" i="1"/>
  <c r="AO123" i="1"/>
  <c r="AN124" i="1"/>
  <c r="AO124" i="1"/>
  <c r="AN125" i="1"/>
  <c r="AO125" i="1"/>
  <c r="AN126" i="1"/>
  <c r="AO126" i="1"/>
  <c r="AN127" i="1"/>
  <c r="AO127" i="1"/>
  <c r="AN128" i="1"/>
  <c r="AO128" i="1"/>
  <c r="AN129" i="1"/>
  <c r="AO129" i="1"/>
  <c r="AN130" i="1"/>
  <c r="AO130" i="1"/>
  <c r="AN131" i="1"/>
  <c r="AO131" i="1"/>
  <c r="AN132" i="1"/>
  <c r="AO132" i="1"/>
  <c r="AN133" i="1"/>
  <c r="AO133" i="1"/>
  <c r="AN134" i="1"/>
  <c r="AO134" i="1"/>
  <c r="AN135" i="1"/>
  <c r="AO135" i="1"/>
  <c r="AN136" i="1"/>
  <c r="AO136" i="1"/>
  <c r="AN137" i="1"/>
  <c r="AO137" i="1"/>
  <c r="AN138" i="1"/>
  <c r="AO138" i="1"/>
  <c r="AN139" i="1"/>
  <c r="AO139" i="1"/>
  <c r="AN140" i="1"/>
  <c r="AO140" i="1"/>
  <c r="AN141" i="1"/>
  <c r="AO141" i="1"/>
  <c r="AN142" i="1"/>
  <c r="AO142" i="1"/>
  <c r="AN143" i="1"/>
  <c r="AO143" i="1"/>
  <c r="AN144" i="1"/>
  <c r="AO144" i="1"/>
  <c r="AN145" i="1"/>
  <c r="AO145" i="1"/>
  <c r="AN146" i="1"/>
  <c r="AO146" i="1"/>
  <c r="AN147" i="1"/>
  <c r="AO147" i="1"/>
  <c r="AN148" i="1"/>
  <c r="AO148" i="1"/>
  <c r="AN149" i="1"/>
  <c r="AO149" i="1"/>
  <c r="AN150" i="1"/>
  <c r="AO150" i="1"/>
  <c r="AN151" i="1"/>
  <c r="AO151" i="1"/>
  <c r="AN152" i="1"/>
  <c r="AO152" i="1"/>
  <c r="AN153" i="1"/>
  <c r="AO153" i="1"/>
  <c r="AN154" i="1"/>
  <c r="AO154" i="1"/>
  <c r="AN155" i="1"/>
  <c r="AO155" i="1"/>
  <c r="AN156" i="1"/>
  <c r="AO156" i="1"/>
  <c r="AN157" i="1"/>
  <c r="AO157" i="1"/>
  <c r="AN158" i="1"/>
  <c r="AO158" i="1"/>
  <c r="AN159" i="1"/>
  <c r="AO159" i="1"/>
  <c r="AN160" i="1"/>
  <c r="AO160" i="1"/>
  <c r="AN161" i="1"/>
  <c r="AO161" i="1"/>
  <c r="AN162" i="1"/>
  <c r="AO162" i="1"/>
  <c r="AN163" i="1"/>
  <c r="AO163" i="1"/>
  <c r="AN164" i="1"/>
  <c r="AO164" i="1"/>
  <c r="AN165" i="1"/>
  <c r="AO165" i="1"/>
  <c r="AN166" i="1"/>
  <c r="AO166" i="1"/>
  <c r="AN167" i="1"/>
  <c r="AO167" i="1"/>
  <c r="AN168" i="1"/>
  <c r="AO168" i="1"/>
  <c r="AN169" i="1"/>
  <c r="AO169" i="1"/>
  <c r="AN170" i="1"/>
  <c r="AO170" i="1"/>
  <c r="AN171" i="1"/>
  <c r="AO171" i="1"/>
  <c r="AN172" i="1"/>
  <c r="AO172" i="1"/>
  <c r="AN173" i="1"/>
  <c r="AO173" i="1"/>
  <c r="AN174" i="1"/>
  <c r="AO174" i="1"/>
  <c r="AN175" i="1"/>
  <c r="AO175" i="1"/>
  <c r="AN176" i="1"/>
  <c r="AO176" i="1"/>
  <c r="AN177" i="1"/>
  <c r="AO177" i="1"/>
  <c r="AN178" i="1"/>
  <c r="AO178" i="1"/>
  <c r="AN179" i="1"/>
  <c r="AO179" i="1"/>
  <c r="AN180" i="1"/>
  <c r="AO180" i="1"/>
  <c r="AN181" i="1"/>
  <c r="AO181" i="1"/>
  <c r="AN182" i="1"/>
  <c r="AO182" i="1"/>
  <c r="AN183" i="1"/>
  <c r="AO183" i="1"/>
  <c r="AN184" i="1"/>
  <c r="AO184" i="1"/>
  <c r="AN185" i="1"/>
  <c r="AO185" i="1"/>
  <c r="AN186" i="1"/>
  <c r="AO186" i="1"/>
  <c r="AN187" i="1"/>
  <c r="AO187" i="1"/>
  <c r="AN188" i="1"/>
  <c r="AO188" i="1"/>
  <c r="AN189" i="1"/>
  <c r="AO189" i="1"/>
  <c r="AN190" i="1"/>
  <c r="AO190" i="1"/>
  <c r="AN191" i="1"/>
  <c r="AO191" i="1"/>
  <c r="AN192" i="1"/>
  <c r="AO192" i="1"/>
  <c r="AN193" i="1"/>
  <c r="AO193" i="1"/>
  <c r="AN194" i="1"/>
  <c r="AO194" i="1"/>
  <c r="AN195" i="1"/>
  <c r="AO195" i="1"/>
  <c r="AN196" i="1"/>
  <c r="AO196" i="1"/>
  <c r="AN197" i="1"/>
  <c r="AO197" i="1"/>
  <c r="AN198" i="1"/>
  <c r="AO198" i="1"/>
  <c r="AN199" i="1"/>
  <c r="AO199" i="1"/>
  <c r="AN200" i="1"/>
  <c r="AO200" i="1"/>
  <c r="AN201" i="1"/>
  <c r="AO201" i="1"/>
  <c r="AN202" i="1"/>
  <c r="AO202" i="1"/>
  <c r="AN203" i="1"/>
  <c r="AO203" i="1"/>
  <c r="AN204" i="1"/>
  <c r="AO204" i="1"/>
  <c r="AN205" i="1"/>
  <c r="AO205" i="1"/>
  <c r="AN206" i="1"/>
  <c r="AO206" i="1"/>
  <c r="AN207" i="1"/>
  <c r="AO207" i="1"/>
  <c r="AN208" i="1"/>
  <c r="AO208" i="1"/>
  <c r="AN209" i="1"/>
  <c r="AO209" i="1"/>
  <c r="AN210" i="1"/>
  <c r="AO210" i="1"/>
  <c r="AN211" i="1"/>
  <c r="AO211" i="1"/>
  <c r="AN212" i="1"/>
  <c r="AO212" i="1"/>
  <c r="AN213" i="1"/>
  <c r="AO213" i="1"/>
  <c r="AN214" i="1"/>
  <c r="AO214" i="1"/>
  <c r="AN215" i="1"/>
  <c r="AO215" i="1"/>
  <c r="AN216" i="1"/>
  <c r="AO216" i="1"/>
  <c r="AN217" i="1"/>
  <c r="AO217" i="1"/>
  <c r="AN218" i="1"/>
  <c r="AO218" i="1"/>
  <c r="AN219" i="1"/>
  <c r="AO219" i="1"/>
  <c r="AN220" i="1"/>
  <c r="AO220" i="1"/>
  <c r="AN221" i="1"/>
  <c r="AO221" i="1"/>
  <c r="AN222" i="1"/>
  <c r="AO222" i="1"/>
  <c r="AN223" i="1"/>
  <c r="AO223" i="1"/>
  <c r="AN224" i="1"/>
  <c r="AO224" i="1"/>
  <c r="AN225" i="1"/>
  <c r="AO225" i="1"/>
  <c r="AN226" i="1"/>
  <c r="AO226" i="1"/>
  <c r="AN227" i="1"/>
  <c r="AO227" i="1"/>
  <c r="AN228" i="1"/>
  <c r="AO228" i="1"/>
  <c r="AN229" i="1"/>
  <c r="AO229" i="1"/>
  <c r="AN230" i="1"/>
  <c r="AO230" i="1"/>
  <c r="AN231" i="1"/>
  <c r="AO231" i="1"/>
  <c r="AN232" i="1"/>
  <c r="AO232" i="1"/>
  <c r="AN233" i="1"/>
  <c r="AO233" i="1"/>
  <c r="AN234" i="1"/>
  <c r="AO234" i="1"/>
  <c r="AN235" i="1"/>
  <c r="AO235" i="1"/>
  <c r="AN236" i="1"/>
  <c r="AO236" i="1"/>
  <c r="AN237" i="1"/>
  <c r="AO237" i="1"/>
  <c r="AN238" i="1"/>
  <c r="AO238" i="1"/>
  <c r="AN239" i="1"/>
  <c r="AO239" i="1"/>
  <c r="AN240" i="1"/>
  <c r="AO240" i="1"/>
  <c r="AN241" i="1"/>
  <c r="AO241" i="1"/>
  <c r="AN242" i="1"/>
  <c r="AO242" i="1"/>
  <c r="AN243" i="1"/>
  <c r="AO243" i="1"/>
  <c r="AN244" i="1"/>
  <c r="AO244" i="1"/>
  <c r="AN245" i="1"/>
  <c r="AO245" i="1"/>
  <c r="AN246" i="1"/>
  <c r="AO246" i="1"/>
  <c r="AN247" i="1"/>
  <c r="AO247" i="1"/>
  <c r="AN248" i="1"/>
  <c r="AO248" i="1"/>
  <c r="AN249" i="1"/>
  <c r="AO249" i="1"/>
  <c r="AN250" i="1"/>
  <c r="AO250" i="1"/>
  <c r="AN251" i="1"/>
  <c r="AO251" i="1"/>
  <c r="AN252" i="1"/>
  <c r="AO252" i="1"/>
  <c r="AN253" i="1"/>
  <c r="AO253" i="1"/>
  <c r="AN254" i="1"/>
  <c r="AO254" i="1"/>
  <c r="AN255" i="1"/>
  <c r="AO255" i="1"/>
  <c r="AN256" i="1"/>
  <c r="AO256" i="1"/>
  <c r="AN257" i="1"/>
  <c r="AO257" i="1"/>
  <c r="AN258" i="1"/>
  <c r="AO258" i="1"/>
  <c r="AN259" i="1"/>
  <c r="AO259" i="1"/>
  <c r="AN260" i="1"/>
  <c r="AO260" i="1"/>
  <c r="AN261" i="1"/>
  <c r="AO261" i="1"/>
  <c r="AN262" i="1"/>
  <c r="AO262" i="1"/>
  <c r="AN263" i="1"/>
  <c r="AO263" i="1"/>
  <c r="AN264" i="1"/>
  <c r="AO264" i="1"/>
  <c r="AN265" i="1"/>
  <c r="AO265" i="1"/>
  <c r="AN266" i="1"/>
  <c r="AO266" i="1"/>
  <c r="AN267" i="1"/>
  <c r="AO267" i="1"/>
  <c r="AN268" i="1"/>
  <c r="AO268" i="1"/>
  <c r="AN269" i="1"/>
  <c r="AO269" i="1"/>
  <c r="AN270" i="1"/>
  <c r="AO270" i="1"/>
  <c r="AN271" i="1"/>
  <c r="AO271" i="1"/>
  <c r="AN272" i="1"/>
  <c r="AO272" i="1"/>
  <c r="AN273" i="1"/>
  <c r="AO273" i="1"/>
  <c r="AN274" i="1"/>
  <c r="AO274" i="1"/>
  <c r="AN275" i="1"/>
  <c r="AO275" i="1"/>
  <c r="AN276" i="1"/>
  <c r="AO276" i="1"/>
  <c r="AN277" i="1"/>
  <c r="AO277" i="1"/>
  <c r="AN278" i="1"/>
  <c r="AO278" i="1"/>
  <c r="AN279" i="1"/>
  <c r="AO279" i="1"/>
  <c r="AN280" i="1"/>
  <c r="AO280" i="1"/>
  <c r="AN281" i="1"/>
  <c r="AO281" i="1"/>
  <c r="AN282" i="1"/>
  <c r="AO282" i="1"/>
  <c r="AN283" i="1"/>
  <c r="AO283" i="1"/>
  <c r="AN284" i="1"/>
  <c r="AO284" i="1"/>
  <c r="AN285" i="1"/>
  <c r="AO285" i="1"/>
  <c r="AN286" i="1"/>
  <c r="AO286" i="1"/>
  <c r="AN287" i="1"/>
  <c r="AO287" i="1"/>
  <c r="AN288" i="1"/>
  <c r="AO288" i="1"/>
  <c r="AN289" i="1"/>
  <c r="AO289" i="1"/>
  <c r="AN290" i="1"/>
  <c r="AO290" i="1"/>
  <c r="AN291" i="1"/>
  <c r="AO291" i="1"/>
  <c r="AN292" i="1"/>
  <c r="AO292" i="1"/>
  <c r="AN293" i="1"/>
  <c r="AO293" i="1"/>
  <c r="AN294" i="1"/>
  <c r="AO294" i="1"/>
  <c r="AN295" i="1"/>
  <c r="AO295" i="1"/>
  <c r="AN296" i="1"/>
  <c r="AO296" i="1"/>
  <c r="AN297" i="1"/>
  <c r="AO297" i="1"/>
  <c r="AN298" i="1"/>
  <c r="AO298" i="1"/>
  <c r="AN299" i="1"/>
  <c r="AO299" i="1"/>
  <c r="AN300" i="1"/>
  <c r="AO300" i="1"/>
  <c r="AN301" i="1"/>
  <c r="AO301" i="1"/>
  <c r="AN302" i="1"/>
  <c r="AO302" i="1"/>
  <c r="AN303" i="1"/>
  <c r="AO303" i="1"/>
  <c r="AN304" i="1"/>
  <c r="AO304" i="1"/>
  <c r="AN305" i="1"/>
  <c r="AO305" i="1"/>
  <c r="AN306" i="1"/>
  <c r="AO306" i="1"/>
  <c r="AN307" i="1"/>
  <c r="AO307" i="1"/>
  <c r="AN308" i="1"/>
  <c r="AO308" i="1"/>
  <c r="AN309" i="1"/>
  <c r="AO309" i="1"/>
  <c r="AN310" i="1"/>
  <c r="AO310" i="1"/>
  <c r="AN311" i="1"/>
  <c r="AO311" i="1"/>
  <c r="AN312" i="1"/>
  <c r="AO312" i="1"/>
  <c r="AN313" i="1"/>
  <c r="AO313" i="1"/>
  <c r="AN314" i="1"/>
  <c r="AO314" i="1"/>
  <c r="AN315" i="1"/>
  <c r="AO315" i="1"/>
  <c r="AN316" i="1"/>
  <c r="AO316" i="1"/>
  <c r="AN317" i="1"/>
  <c r="AO317" i="1"/>
  <c r="AN318" i="1"/>
  <c r="AO318" i="1"/>
  <c r="AN319" i="1"/>
  <c r="AO319" i="1"/>
  <c r="AN320" i="1"/>
  <c r="AO320" i="1"/>
  <c r="AN321" i="1"/>
  <c r="AO321" i="1"/>
  <c r="AN322" i="1"/>
  <c r="AO322" i="1"/>
  <c r="AN323" i="1"/>
  <c r="AO323" i="1"/>
  <c r="AN324" i="1"/>
  <c r="AO324" i="1"/>
  <c r="AN325" i="1"/>
  <c r="AO325" i="1"/>
  <c r="AN326" i="1"/>
  <c r="AO326" i="1"/>
  <c r="AN327" i="1"/>
  <c r="AO327" i="1"/>
  <c r="AN328" i="1"/>
  <c r="AO328" i="1"/>
  <c r="AN329" i="1"/>
  <c r="AO329" i="1"/>
  <c r="AN330" i="1"/>
  <c r="AO330" i="1"/>
  <c r="AN331" i="1"/>
  <c r="AO331" i="1"/>
  <c r="AN332" i="1"/>
  <c r="AO332" i="1"/>
  <c r="AN333" i="1"/>
  <c r="AO333" i="1"/>
  <c r="AN334" i="1"/>
  <c r="AO334" i="1"/>
  <c r="AN335" i="1"/>
  <c r="AO335" i="1"/>
  <c r="AN336" i="1"/>
  <c r="AO336" i="1"/>
  <c r="AN337" i="1"/>
  <c r="AO337" i="1"/>
  <c r="AN338" i="1"/>
  <c r="AO338" i="1"/>
  <c r="AN339" i="1"/>
  <c r="AO339" i="1"/>
  <c r="AN340" i="1"/>
  <c r="AO340" i="1"/>
  <c r="AN341" i="1"/>
  <c r="AO341" i="1"/>
  <c r="AN342" i="1"/>
  <c r="AO342" i="1"/>
  <c r="AN343" i="1"/>
  <c r="AO343" i="1"/>
  <c r="AN344" i="1"/>
  <c r="AO344" i="1"/>
  <c r="AN345" i="1"/>
  <c r="AO345" i="1"/>
  <c r="AN346" i="1"/>
  <c r="AO346" i="1"/>
  <c r="AN347" i="1"/>
  <c r="AO347" i="1"/>
  <c r="AN348" i="1"/>
  <c r="AO348" i="1"/>
  <c r="AN349" i="1"/>
  <c r="AO349" i="1"/>
  <c r="AN350" i="1"/>
  <c r="AO350" i="1"/>
  <c r="AN351" i="1"/>
  <c r="AO351" i="1"/>
  <c r="AN352" i="1"/>
  <c r="AO352" i="1"/>
  <c r="AN353" i="1"/>
  <c r="AO353" i="1"/>
  <c r="AN354" i="1"/>
  <c r="AO354" i="1"/>
  <c r="AN355" i="1"/>
  <c r="AO355" i="1"/>
  <c r="AN356" i="1"/>
  <c r="AO356" i="1"/>
  <c r="AN357" i="1"/>
  <c r="AO357" i="1"/>
  <c r="AN358" i="1"/>
  <c r="AO358" i="1"/>
  <c r="AN359" i="1"/>
  <c r="AO359" i="1"/>
  <c r="AN360" i="1"/>
  <c r="AO360" i="1"/>
  <c r="AN361" i="1"/>
  <c r="AO361" i="1"/>
  <c r="AN362" i="1"/>
  <c r="AO362" i="1"/>
  <c r="AN363" i="1"/>
  <c r="AO363" i="1"/>
  <c r="AN364" i="1"/>
  <c r="AO364" i="1"/>
  <c r="AN365" i="1"/>
  <c r="AO365" i="1"/>
  <c r="AN366" i="1"/>
  <c r="AO366" i="1"/>
  <c r="AN367" i="1"/>
  <c r="AO367" i="1"/>
  <c r="AN368" i="1"/>
  <c r="AO368" i="1"/>
  <c r="AN369" i="1"/>
  <c r="AO369" i="1"/>
  <c r="AN370" i="1"/>
  <c r="AO370" i="1"/>
  <c r="AN371" i="1"/>
  <c r="AO371" i="1"/>
  <c r="AN372" i="1"/>
  <c r="AO372" i="1"/>
  <c r="AN373" i="1"/>
  <c r="AO373" i="1"/>
  <c r="AN374" i="1"/>
  <c r="AO374" i="1"/>
  <c r="AN375" i="1"/>
  <c r="AO375" i="1"/>
  <c r="AN376" i="1"/>
  <c r="AO376" i="1"/>
  <c r="AN377" i="1"/>
  <c r="AO377" i="1"/>
  <c r="AN378" i="1"/>
  <c r="AO378" i="1"/>
  <c r="AN379" i="1"/>
  <c r="AO379" i="1"/>
  <c r="AN380" i="1"/>
  <c r="AO380" i="1"/>
  <c r="AN381" i="1"/>
  <c r="AO381" i="1"/>
  <c r="AN382" i="1"/>
  <c r="AO382" i="1"/>
  <c r="AN383" i="1"/>
  <c r="AO383" i="1"/>
  <c r="AN384" i="1"/>
  <c r="AO384" i="1"/>
  <c r="AN385" i="1"/>
  <c r="AO385" i="1"/>
  <c r="AN386" i="1"/>
  <c r="AO386" i="1"/>
  <c r="AN387" i="1"/>
  <c r="AO387" i="1"/>
  <c r="AN388" i="1"/>
  <c r="AO388" i="1"/>
  <c r="AN389" i="1"/>
  <c r="AO389" i="1"/>
  <c r="AN390" i="1"/>
  <c r="AO390" i="1"/>
  <c r="AN391" i="1"/>
  <c r="AO391" i="1"/>
  <c r="AN392" i="1"/>
  <c r="AO392" i="1"/>
  <c r="AN393" i="1"/>
  <c r="AO393" i="1"/>
  <c r="AN394" i="1"/>
  <c r="AO394" i="1"/>
  <c r="AN395" i="1"/>
  <c r="AO395" i="1"/>
  <c r="AN396" i="1"/>
  <c r="AO396" i="1"/>
  <c r="AN397" i="1"/>
  <c r="AO397" i="1"/>
  <c r="AN398" i="1"/>
  <c r="AO398" i="1"/>
  <c r="AN399" i="1"/>
  <c r="AO399" i="1"/>
  <c r="AN400" i="1"/>
  <c r="AO400" i="1"/>
  <c r="AN401" i="1"/>
  <c r="AO401" i="1"/>
  <c r="AN402" i="1"/>
  <c r="AO402" i="1"/>
  <c r="AN403" i="1"/>
  <c r="AO403" i="1"/>
  <c r="AN404" i="1"/>
  <c r="AO404" i="1"/>
  <c r="AN405" i="1"/>
  <c r="AO405" i="1"/>
  <c r="AN406" i="1"/>
  <c r="AO406" i="1"/>
  <c r="AN407" i="1"/>
  <c r="AO407" i="1"/>
  <c r="AN408" i="1"/>
  <c r="AO408" i="1"/>
  <c r="AN409" i="1"/>
  <c r="AO409" i="1"/>
  <c r="AN410" i="1"/>
  <c r="AO410" i="1"/>
  <c r="AN411" i="1"/>
  <c r="AO411" i="1"/>
  <c r="AN412" i="1"/>
  <c r="AO412" i="1"/>
  <c r="AN413" i="1"/>
  <c r="AO413" i="1"/>
  <c r="AN414" i="1"/>
  <c r="AO414" i="1"/>
  <c r="AN415" i="1"/>
  <c r="AO415" i="1"/>
  <c r="AN416" i="1"/>
  <c r="AO416" i="1"/>
  <c r="AN417" i="1"/>
  <c r="AO417" i="1"/>
  <c r="AN418" i="1"/>
  <c r="AO418" i="1"/>
  <c r="AN419" i="1"/>
  <c r="AO419" i="1"/>
  <c r="AN420" i="1"/>
  <c r="AO420" i="1"/>
  <c r="AN421" i="1"/>
  <c r="AO421" i="1"/>
  <c r="AN422" i="1"/>
  <c r="AO422" i="1"/>
  <c r="AN423" i="1"/>
  <c r="AO423" i="1"/>
  <c r="AN424" i="1"/>
  <c r="AO424" i="1"/>
  <c r="AN425" i="1"/>
  <c r="AO425" i="1"/>
  <c r="AN426" i="1"/>
  <c r="AO426" i="1"/>
  <c r="AN427" i="1"/>
  <c r="AO427" i="1"/>
  <c r="AN428" i="1"/>
  <c r="AO428" i="1"/>
  <c r="AN429" i="1"/>
  <c r="AO429" i="1"/>
  <c r="AN430" i="1"/>
  <c r="AO430" i="1"/>
  <c r="AN431" i="1"/>
  <c r="AO431" i="1"/>
  <c r="AN432" i="1"/>
  <c r="AO432" i="1"/>
  <c r="AN433" i="1"/>
  <c r="AO433" i="1"/>
  <c r="AN434" i="1"/>
  <c r="AO434" i="1"/>
  <c r="AN435" i="1"/>
  <c r="AO435" i="1"/>
  <c r="AN436" i="1"/>
  <c r="AO436" i="1"/>
  <c r="AN437" i="1"/>
  <c r="AO437" i="1"/>
  <c r="AN438" i="1"/>
  <c r="AO438" i="1"/>
  <c r="AN439" i="1"/>
  <c r="AO439" i="1"/>
  <c r="AN440" i="1"/>
  <c r="AO440" i="1"/>
  <c r="AN441" i="1"/>
  <c r="AO441" i="1"/>
  <c r="AN442" i="1"/>
  <c r="AO442" i="1"/>
  <c r="AN443" i="1"/>
  <c r="AO443" i="1"/>
  <c r="AN444" i="1"/>
  <c r="AO444" i="1"/>
  <c r="AN445" i="1"/>
  <c r="AO445" i="1"/>
  <c r="AN446" i="1"/>
  <c r="AO446" i="1"/>
  <c r="AN447" i="1"/>
  <c r="AO447" i="1"/>
  <c r="AN448" i="1"/>
  <c r="AO448" i="1"/>
  <c r="AN449" i="1"/>
  <c r="AO449" i="1"/>
  <c r="AN450" i="1"/>
  <c r="AO450" i="1"/>
  <c r="AN451" i="1"/>
  <c r="AO451" i="1"/>
  <c r="AN452" i="1"/>
  <c r="AO452" i="1"/>
  <c r="AN453" i="1"/>
  <c r="AO453" i="1"/>
  <c r="AN454" i="1"/>
  <c r="AO454" i="1"/>
  <c r="AN455" i="1"/>
  <c r="AO455" i="1"/>
  <c r="AN456" i="1"/>
  <c r="AO456" i="1"/>
  <c r="AN457" i="1"/>
  <c r="AO457" i="1"/>
  <c r="AN458" i="1"/>
  <c r="AO458" i="1"/>
  <c r="AN459" i="1"/>
  <c r="AO459" i="1"/>
  <c r="AN460" i="1"/>
  <c r="AO460" i="1"/>
  <c r="AN461" i="1"/>
  <c r="AO461" i="1"/>
  <c r="AN462" i="1"/>
  <c r="AO462" i="1"/>
  <c r="AN463" i="1"/>
  <c r="AO463" i="1"/>
  <c r="AN464" i="1"/>
  <c r="AO464" i="1"/>
  <c r="AN465" i="1"/>
  <c r="AO465" i="1"/>
  <c r="AN466" i="1"/>
  <c r="AO466" i="1"/>
  <c r="AN467" i="1"/>
  <c r="AO467" i="1"/>
  <c r="AN468" i="1"/>
  <c r="AO468" i="1"/>
  <c r="AN469" i="1"/>
  <c r="AO469" i="1"/>
  <c r="AN470" i="1"/>
  <c r="AO470" i="1"/>
  <c r="AN471" i="1"/>
  <c r="AO471" i="1"/>
  <c r="AN472" i="1"/>
  <c r="AO472" i="1"/>
  <c r="AN473" i="1"/>
  <c r="AO473" i="1"/>
  <c r="AN474" i="1"/>
  <c r="AO474" i="1"/>
  <c r="AN475" i="1"/>
  <c r="AO475" i="1"/>
  <c r="AN476" i="1"/>
  <c r="AO476" i="1"/>
  <c r="AN477" i="1"/>
  <c r="AO477" i="1"/>
  <c r="AN478" i="1"/>
  <c r="AO478" i="1"/>
  <c r="AN479" i="1"/>
  <c r="AO479" i="1"/>
  <c r="AN480" i="1"/>
  <c r="AO480" i="1"/>
  <c r="AN481" i="1"/>
  <c r="AO481" i="1"/>
  <c r="AN482" i="1"/>
  <c r="AO482" i="1"/>
  <c r="AN483" i="1"/>
  <c r="AO483" i="1"/>
  <c r="AN484" i="1"/>
  <c r="AO484" i="1"/>
  <c r="AN485" i="1"/>
  <c r="AO485" i="1"/>
  <c r="AN486" i="1"/>
  <c r="AO486" i="1"/>
  <c r="AN487" i="1"/>
  <c r="AO487" i="1"/>
  <c r="AN488" i="1"/>
  <c r="AO488" i="1"/>
  <c r="AN489" i="1"/>
  <c r="AO489" i="1"/>
  <c r="AN490" i="1"/>
  <c r="AO490" i="1"/>
  <c r="AN491" i="1"/>
  <c r="AO491" i="1"/>
  <c r="AN492" i="1"/>
  <c r="AO492" i="1"/>
  <c r="AN493" i="1"/>
  <c r="AO493" i="1"/>
  <c r="AN494" i="1"/>
  <c r="AO494" i="1"/>
  <c r="AN495" i="1"/>
  <c r="AO495" i="1"/>
  <c r="AN496" i="1"/>
  <c r="AO496" i="1"/>
  <c r="AN497" i="1"/>
  <c r="AO497" i="1"/>
  <c r="AN498" i="1"/>
  <c r="AO498" i="1"/>
  <c r="AN499" i="1"/>
  <c r="AO499" i="1"/>
  <c r="AN500" i="1"/>
  <c r="AO500" i="1"/>
  <c r="AN501" i="1"/>
  <c r="AO501" i="1"/>
  <c r="AN502" i="1"/>
  <c r="AO502" i="1"/>
  <c r="AN503" i="1"/>
  <c r="AO503" i="1"/>
  <c r="AO8" i="1"/>
  <c r="AN8" i="1"/>
  <c r="K10" i="1"/>
  <c r="K9" i="1"/>
  <c r="K8" i="1"/>
  <c r="M8" i="1" l="1"/>
  <c r="H2" i="1" l="1"/>
  <c r="H3" i="1"/>
  <c r="H4" i="1"/>
  <c r="H5" i="1"/>
  <c r="H6" i="1"/>
  <c r="H7" i="1"/>
  <c r="H8" i="1"/>
  <c r="AD8" i="1" s="1"/>
  <c r="H9" i="1"/>
  <c r="AD9" i="1" s="1"/>
  <c r="H10" i="1"/>
  <c r="AD10" i="1" s="1"/>
  <c r="H11" i="1"/>
  <c r="AD11" i="1" s="1"/>
  <c r="H12" i="1"/>
  <c r="AD12" i="1" s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AE456" i="1" s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AE480" i="1" s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AE496" i="1" s="1"/>
  <c r="H497" i="1"/>
  <c r="H498" i="1"/>
  <c r="H499" i="1"/>
  <c r="H500" i="1"/>
  <c r="H501" i="1"/>
  <c r="H502" i="1"/>
  <c r="H503" i="1"/>
  <c r="AE472" i="1" l="1"/>
  <c r="AE464" i="1"/>
  <c r="AE488" i="1"/>
  <c r="AE448" i="1"/>
  <c r="AD7" i="1"/>
  <c r="AE440" i="1"/>
  <c r="AE432" i="1"/>
  <c r="AE424" i="1"/>
  <c r="AE416" i="1"/>
  <c r="AE408" i="1"/>
  <c r="AE400" i="1"/>
  <c r="AE392" i="1"/>
  <c r="AE384" i="1"/>
  <c r="AE376" i="1"/>
  <c r="AE368" i="1"/>
  <c r="AE360" i="1"/>
  <c r="AE352" i="1"/>
  <c r="AE344" i="1"/>
  <c r="AE336" i="1"/>
  <c r="AE328" i="1"/>
  <c r="AE320" i="1"/>
  <c r="AE312" i="1"/>
  <c r="AE304" i="1"/>
  <c r="AE296" i="1"/>
  <c r="AE288" i="1"/>
  <c r="AE280" i="1"/>
  <c r="AE272" i="1"/>
  <c r="AE264" i="1"/>
  <c r="AE256" i="1"/>
  <c r="AE248" i="1"/>
  <c r="AE240" i="1"/>
  <c r="AE232" i="1"/>
  <c r="AE224" i="1"/>
  <c r="AE216" i="1"/>
  <c r="AE208" i="1"/>
  <c r="AE200" i="1"/>
  <c r="AE192" i="1"/>
  <c r="AE184" i="1"/>
  <c r="AE176" i="1"/>
  <c r="AE168" i="1"/>
  <c r="AE160" i="1"/>
  <c r="AE152" i="1"/>
  <c r="AE144" i="1"/>
  <c r="AE136" i="1"/>
  <c r="AE128" i="1"/>
  <c r="AE120" i="1"/>
  <c r="AE112" i="1"/>
  <c r="AE104" i="1"/>
  <c r="AE96" i="1"/>
  <c r="AE88" i="1"/>
  <c r="AE80" i="1"/>
  <c r="AE72" i="1"/>
  <c r="AE64" i="1"/>
  <c r="AE56" i="1"/>
  <c r="AE48" i="1"/>
  <c r="AE40" i="1"/>
  <c r="AE32" i="1"/>
  <c r="AE24" i="1"/>
  <c r="AE16" i="1"/>
  <c r="AE422" i="1"/>
  <c r="AE406" i="1"/>
  <c r="AE390" i="1"/>
  <c r="AE374" i="1"/>
  <c r="AE366" i="1"/>
  <c r="AE350" i="1"/>
  <c r="AE342" i="1"/>
  <c r="AE334" i="1"/>
  <c r="AE326" i="1"/>
  <c r="AE318" i="1"/>
  <c r="AE310" i="1"/>
  <c r="AE302" i="1"/>
  <c r="AE294" i="1"/>
  <c r="AE286" i="1"/>
  <c r="AE278" i="1"/>
  <c r="AE270" i="1"/>
  <c r="AE262" i="1"/>
  <c r="AE254" i="1"/>
  <c r="AE246" i="1"/>
  <c r="AE502" i="1"/>
  <c r="AE414" i="1"/>
  <c r="AE398" i="1"/>
  <c r="AE382" i="1"/>
  <c r="AE358" i="1"/>
  <c r="AE492" i="1"/>
  <c r="AE468" i="1"/>
  <c r="AE444" i="1"/>
  <c r="AE412" i="1"/>
  <c r="AE396" i="1"/>
  <c r="AE372" i="1"/>
  <c r="AE348" i="1"/>
  <c r="AE324" i="1"/>
  <c r="AE316" i="1"/>
  <c r="AE292" i="1"/>
  <c r="AE284" i="1"/>
  <c r="AE276" i="1"/>
  <c r="AE268" i="1"/>
  <c r="AE260" i="1"/>
  <c r="AE252" i="1"/>
  <c r="AE244" i="1"/>
  <c r="AE236" i="1"/>
  <c r="AE228" i="1"/>
  <c r="AE220" i="1"/>
  <c r="AE212" i="1"/>
  <c r="AE204" i="1"/>
  <c r="AE196" i="1"/>
  <c r="AE188" i="1"/>
  <c r="AE180" i="1"/>
  <c r="AE172" i="1"/>
  <c r="AE164" i="1"/>
  <c r="AE156" i="1"/>
  <c r="AE148" i="1"/>
  <c r="AE140" i="1"/>
  <c r="AE132" i="1"/>
  <c r="AE124" i="1"/>
  <c r="AE116" i="1"/>
  <c r="AE108" i="1"/>
  <c r="AE100" i="1"/>
  <c r="AE92" i="1"/>
  <c r="AE84" i="1"/>
  <c r="AE76" i="1"/>
  <c r="AE68" i="1"/>
  <c r="AE60" i="1"/>
  <c r="AE52" i="1"/>
  <c r="AE44" i="1"/>
  <c r="AE36" i="1"/>
  <c r="AE20" i="1"/>
  <c r="AE500" i="1"/>
  <c r="AE476" i="1"/>
  <c r="AE452" i="1"/>
  <c r="AE428" i="1"/>
  <c r="AE388" i="1"/>
  <c r="AE364" i="1"/>
  <c r="AE340" i="1"/>
  <c r="AE300" i="1"/>
  <c r="AE484" i="1"/>
  <c r="AE460" i="1"/>
  <c r="AE436" i="1"/>
  <c r="AE420" i="1"/>
  <c r="AE404" i="1"/>
  <c r="AE380" i="1"/>
  <c r="AE356" i="1"/>
  <c r="AE332" i="1"/>
  <c r="AE308" i="1"/>
  <c r="AE483" i="1"/>
  <c r="AE467" i="1"/>
  <c r="AE443" i="1"/>
  <c r="AE419" i="1"/>
  <c r="AE498" i="1"/>
  <c r="AE497" i="1"/>
  <c r="AE489" i="1"/>
  <c r="AE481" i="1"/>
  <c r="AE473" i="1"/>
  <c r="AE465" i="1"/>
  <c r="AE457" i="1"/>
  <c r="AE449" i="1"/>
  <c r="AE441" i="1"/>
  <c r="AE433" i="1"/>
  <c r="AE425" i="1"/>
  <c r="AE417" i="1"/>
  <c r="AE409" i="1"/>
  <c r="AE401" i="1"/>
  <c r="AE393" i="1"/>
  <c r="AE385" i="1"/>
  <c r="AE377" i="1"/>
  <c r="AE369" i="1"/>
  <c r="AE361" i="1"/>
  <c r="AE353" i="1"/>
  <c r="AE345" i="1"/>
  <c r="AE337" i="1"/>
  <c r="AE329" i="1"/>
  <c r="AE321" i="1"/>
  <c r="AE313" i="1"/>
  <c r="AE305" i="1"/>
  <c r="AE297" i="1"/>
  <c r="AE289" i="1"/>
  <c r="AE281" i="1"/>
  <c r="AE273" i="1"/>
  <c r="AE265" i="1"/>
  <c r="AE257" i="1"/>
  <c r="AE249" i="1"/>
  <c r="AE241" i="1"/>
  <c r="AE233" i="1"/>
  <c r="AE225" i="1"/>
  <c r="AE217" i="1"/>
  <c r="AE209" i="1"/>
  <c r="AE201" i="1"/>
  <c r="AE193" i="1"/>
  <c r="AE185" i="1"/>
  <c r="AE177" i="1"/>
  <c r="AE169" i="1"/>
  <c r="AE161" i="1"/>
  <c r="AE153" i="1"/>
  <c r="AE145" i="1"/>
  <c r="AE137" i="1"/>
  <c r="AE129" i="1"/>
  <c r="AE121" i="1"/>
  <c r="AE113" i="1"/>
  <c r="AE105" i="1"/>
  <c r="AE97" i="1"/>
  <c r="AE89" i="1"/>
  <c r="AE81" i="1"/>
  <c r="AE73" i="1"/>
  <c r="AE65" i="1"/>
  <c r="AE57" i="1"/>
  <c r="AE49" i="1"/>
  <c r="AE41" i="1"/>
  <c r="AE33" i="1"/>
  <c r="AE25" i="1"/>
  <c r="AE17" i="1"/>
  <c r="AE9" i="1"/>
  <c r="AE8" i="1"/>
  <c r="AE503" i="1"/>
  <c r="AE495" i="1"/>
  <c r="AE487" i="1"/>
  <c r="AE479" i="1"/>
  <c r="AE471" i="1"/>
  <c r="AE463" i="1"/>
  <c r="AE455" i="1"/>
  <c r="AE447" i="1"/>
  <c r="AE439" i="1"/>
  <c r="AE431" i="1"/>
  <c r="AE423" i="1"/>
  <c r="AE415" i="1"/>
  <c r="AE407" i="1"/>
  <c r="AE399" i="1"/>
  <c r="AE391" i="1"/>
  <c r="AE383" i="1"/>
  <c r="AE375" i="1"/>
  <c r="AE367" i="1"/>
  <c r="AE359" i="1"/>
  <c r="AE351" i="1"/>
  <c r="AE343" i="1"/>
  <c r="AE335" i="1"/>
  <c r="AE327" i="1"/>
  <c r="AE319" i="1"/>
  <c r="AE311" i="1"/>
  <c r="AE303" i="1"/>
  <c r="AE295" i="1"/>
  <c r="AE287" i="1"/>
  <c r="AE279" i="1"/>
  <c r="AE271" i="1"/>
  <c r="AE263" i="1"/>
  <c r="AE255" i="1"/>
  <c r="AE247" i="1"/>
  <c r="AE239" i="1"/>
  <c r="AE231" i="1"/>
  <c r="AE223" i="1"/>
  <c r="AE215" i="1"/>
  <c r="AE207" i="1"/>
  <c r="AE199" i="1"/>
  <c r="AE191" i="1"/>
  <c r="AE183" i="1"/>
  <c r="AE175" i="1"/>
  <c r="AE167" i="1"/>
  <c r="AE159" i="1"/>
  <c r="AE151" i="1"/>
  <c r="AE143" i="1"/>
  <c r="AE135" i="1"/>
  <c r="AE127" i="1"/>
  <c r="AE119" i="1"/>
  <c r="AE111" i="1"/>
  <c r="AE103" i="1"/>
  <c r="AE95" i="1"/>
  <c r="AE87" i="1"/>
  <c r="AE79" i="1"/>
  <c r="AE71" i="1"/>
  <c r="AE63" i="1"/>
  <c r="AE55" i="1"/>
  <c r="AE47" i="1"/>
  <c r="AE39" i="1"/>
  <c r="AE31" i="1"/>
  <c r="AE23" i="1"/>
  <c r="AE15" i="1"/>
  <c r="AE486" i="1"/>
  <c r="AE462" i="1"/>
  <c r="AE446" i="1"/>
  <c r="AE430" i="1"/>
  <c r="AE238" i="1"/>
  <c r="AE230" i="1"/>
  <c r="AE222" i="1"/>
  <c r="AE214" i="1"/>
  <c r="AE206" i="1"/>
  <c r="AE198" i="1"/>
  <c r="AE190" i="1"/>
  <c r="AE182" i="1"/>
  <c r="AE174" i="1"/>
  <c r="AE166" i="1"/>
  <c r="AE158" i="1"/>
  <c r="AE150" i="1"/>
  <c r="AE142" i="1"/>
  <c r="AE134" i="1"/>
  <c r="AE126" i="1"/>
  <c r="AE118" i="1"/>
  <c r="AE110" i="1"/>
  <c r="AE102" i="1"/>
  <c r="AE94" i="1"/>
  <c r="AE86" i="1"/>
  <c r="AE78" i="1"/>
  <c r="AE70" i="1"/>
  <c r="AE62" i="1"/>
  <c r="AE54" i="1"/>
  <c r="AE46" i="1"/>
  <c r="AE38" i="1"/>
  <c r="AE30" i="1"/>
  <c r="AE22" i="1"/>
  <c r="AE14" i="1"/>
  <c r="AE494" i="1"/>
  <c r="AE478" i="1"/>
  <c r="AE470" i="1"/>
  <c r="AE454" i="1"/>
  <c r="AE438" i="1"/>
  <c r="AE501" i="1"/>
  <c r="AE493" i="1"/>
  <c r="AE485" i="1"/>
  <c r="AE477" i="1"/>
  <c r="AE469" i="1"/>
  <c r="AE461" i="1"/>
  <c r="AE453" i="1"/>
  <c r="AE445" i="1"/>
  <c r="AE437" i="1"/>
  <c r="AE429" i="1"/>
  <c r="AE421" i="1"/>
  <c r="AE413" i="1"/>
  <c r="AE405" i="1"/>
  <c r="AE397" i="1"/>
  <c r="AE389" i="1"/>
  <c r="AE381" i="1"/>
  <c r="AE373" i="1"/>
  <c r="AE365" i="1"/>
  <c r="AE357" i="1"/>
  <c r="AE349" i="1"/>
  <c r="AE341" i="1"/>
  <c r="AE333" i="1"/>
  <c r="AE325" i="1"/>
  <c r="AE317" i="1"/>
  <c r="AE309" i="1"/>
  <c r="AE301" i="1"/>
  <c r="AE293" i="1"/>
  <c r="AE285" i="1"/>
  <c r="AE277" i="1"/>
  <c r="AE269" i="1"/>
  <c r="AE261" i="1"/>
  <c r="AE253" i="1"/>
  <c r="AE245" i="1"/>
  <c r="AE237" i="1"/>
  <c r="AE229" i="1"/>
  <c r="AE221" i="1"/>
  <c r="AE213" i="1"/>
  <c r="AE205" i="1"/>
  <c r="AE197" i="1"/>
  <c r="AE189" i="1"/>
  <c r="AE181" i="1"/>
  <c r="AE173" i="1"/>
  <c r="AE165" i="1"/>
  <c r="AE157" i="1"/>
  <c r="AE149" i="1"/>
  <c r="AE141" i="1"/>
  <c r="AE133" i="1"/>
  <c r="AE125" i="1"/>
  <c r="AE117" i="1"/>
  <c r="AE109" i="1"/>
  <c r="AE101" i="1"/>
  <c r="AE93" i="1"/>
  <c r="AE85" i="1"/>
  <c r="AE77" i="1"/>
  <c r="AE69" i="1"/>
  <c r="AE61" i="1"/>
  <c r="AE53" i="1"/>
  <c r="AE45" i="1"/>
  <c r="AE37" i="1"/>
  <c r="AE29" i="1"/>
  <c r="AE21" i="1"/>
  <c r="AE13" i="1"/>
  <c r="AE28" i="1"/>
  <c r="AE12" i="1"/>
  <c r="AE499" i="1"/>
  <c r="AE475" i="1"/>
  <c r="AE451" i="1"/>
  <c r="AE427" i="1"/>
  <c r="AE403" i="1"/>
  <c r="AE395" i="1"/>
  <c r="AE387" i="1"/>
  <c r="AE379" i="1"/>
  <c r="AE371" i="1"/>
  <c r="AE363" i="1"/>
  <c r="AE355" i="1"/>
  <c r="AE347" i="1"/>
  <c r="AE339" i="1"/>
  <c r="AE331" i="1"/>
  <c r="AE323" i="1"/>
  <c r="AE315" i="1"/>
  <c r="AE307" i="1"/>
  <c r="AE299" i="1"/>
  <c r="AE291" i="1"/>
  <c r="AE283" i="1"/>
  <c r="AE275" i="1"/>
  <c r="AE267" i="1"/>
  <c r="AE259" i="1"/>
  <c r="AE251" i="1"/>
  <c r="AE243" i="1"/>
  <c r="AE235" i="1"/>
  <c r="AE227" i="1"/>
  <c r="AE219" i="1"/>
  <c r="AE211" i="1"/>
  <c r="AE203" i="1"/>
  <c r="AE195" i="1"/>
  <c r="AE187" i="1"/>
  <c r="AE179" i="1"/>
  <c r="AE171" i="1"/>
  <c r="AE163" i="1"/>
  <c r="AE155" i="1"/>
  <c r="AE147" i="1"/>
  <c r="AE139" i="1"/>
  <c r="AE131" i="1"/>
  <c r="AE123" i="1"/>
  <c r="AE115" i="1"/>
  <c r="AE107" i="1"/>
  <c r="AE99" i="1"/>
  <c r="AE91" i="1"/>
  <c r="AE83" i="1"/>
  <c r="AE75" i="1"/>
  <c r="AE67" i="1"/>
  <c r="AE59" i="1"/>
  <c r="AE51" i="1"/>
  <c r="AE43" i="1"/>
  <c r="AE35" i="1"/>
  <c r="AE27" i="1"/>
  <c r="AE19" i="1"/>
  <c r="AE11" i="1"/>
  <c r="AE491" i="1"/>
  <c r="AE459" i="1"/>
  <c r="AE435" i="1"/>
  <c r="AE411" i="1"/>
  <c r="AE490" i="1"/>
  <c r="AE482" i="1"/>
  <c r="AE474" i="1"/>
  <c r="AE466" i="1"/>
  <c r="AE458" i="1"/>
  <c r="AE450" i="1"/>
  <c r="AE442" i="1"/>
  <c r="AE434" i="1"/>
  <c r="AE426" i="1"/>
  <c r="AE418" i="1"/>
  <c r="AE410" i="1"/>
  <c r="AE402" i="1"/>
  <c r="AE394" i="1"/>
  <c r="AE386" i="1"/>
  <c r="AE378" i="1"/>
  <c r="AE370" i="1"/>
  <c r="AE362" i="1"/>
  <c r="AE354" i="1"/>
  <c r="AE346" i="1"/>
  <c r="AE338" i="1"/>
  <c r="AE330" i="1"/>
  <c r="AE322" i="1"/>
  <c r="AE314" i="1"/>
  <c r="AE306" i="1"/>
  <c r="AE298" i="1"/>
  <c r="AE290" i="1"/>
  <c r="AE282" i="1"/>
  <c r="AE274" i="1"/>
  <c r="AE266" i="1"/>
  <c r="AE258" i="1"/>
  <c r="AE250" i="1"/>
  <c r="AE242" i="1"/>
  <c r="AE234" i="1"/>
  <c r="AE226" i="1"/>
  <c r="AE218" i="1"/>
  <c r="AE210" i="1"/>
  <c r="AE202" i="1"/>
  <c r="AE194" i="1"/>
  <c r="AE186" i="1"/>
  <c r="AE178" i="1"/>
  <c r="AE170" i="1"/>
  <c r="AE162" i="1"/>
  <c r="AE154" i="1"/>
  <c r="AE146" i="1"/>
  <c r="AE138" i="1"/>
  <c r="AE130" i="1"/>
  <c r="AE122" i="1"/>
  <c r="AE114" i="1"/>
  <c r="AE106" i="1"/>
  <c r="AE98" i="1"/>
  <c r="AE90" i="1"/>
  <c r="AE82" i="1"/>
  <c r="AE74" i="1"/>
  <c r="AE66" i="1"/>
  <c r="AE58" i="1"/>
  <c r="AE50" i="1"/>
  <c r="AE42" i="1"/>
  <c r="AE34" i="1"/>
  <c r="AE26" i="1"/>
  <c r="AE18" i="1"/>
  <c r="AE10" i="1"/>
  <c r="I502" i="1"/>
  <c r="I486" i="1"/>
  <c r="I478" i="1"/>
  <c r="I462" i="1"/>
  <c r="I454" i="1"/>
  <c r="I446" i="1"/>
  <c r="I438" i="1"/>
  <c r="I430" i="1"/>
  <c r="I422" i="1"/>
  <c r="I414" i="1"/>
  <c r="I406" i="1"/>
  <c r="I398" i="1"/>
  <c r="I390" i="1"/>
  <c r="I382" i="1"/>
  <c r="I374" i="1"/>
  <c r="I366" i="1"/>
  <c r="I358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494" i="1"/>
  <c r="I470" i="1"/>
  <c r="I25" i="1"/>
  <c r="I17" i="1"/>
  <c r="I9" i="1"/>
  <c r="I54" i="1"/>
  <c r="I46" i="1"/>
  <c r="I38" i="1"/>
  <c r="I30" i="1"/>
  <c r="I22" i="1"/>
  <c r="I14" i="1"/>
  <c r="I497" i="1"/>
  <c r="I481" i="1"/>
  <c r="I465" i="1"/>
  <c r="I449" i="1"/>
  <c r="I433" i="1"/>
  <c r="I417" i="1"/>
  <c r="I401" i="1"/>
  <c r="I385" i="1"/>
  <c r="I369" i="1"/>
  <c r="I353" i="1"/>
  <c r="I337" i="1"/>
  <c r="I321" i="1"/>
  <c r="I305" i="1"/>
  <c r="I289" i="1"/>
  <c r="I273" i="1"/>
  <c r="I257" i="1"/>
  <c r="I241" i="1"/>
  <c r="I225" i="1"/>
  <c r="I209" i="1"/>
  <c r="I193" i="1"/>
  <c r="I177" i="1"/>
  <c r="I161" i="1"/>
  <c r="I145" i="1"/>
  <c r="I129" i="1"/>
  <c r="I113" i="1"/>
  <c r="I97" i="1"/>
  <c r="I81" i="1"/>
  <c r="I65" i="1"/>
  <c r="I49" i="1"/>
  <c r="I496" i="1"/>
  <c r="I488" i="1"/>
  <c r="I480" i="1"/>
  <c r="I472" i="1"/>
  <c r="I464" i="1"/>
  <c r="I456" i="1"/>
  <c r="I448" i="1"/>
  <c r="I440" i="1"/>
  <c r="I432" i="1"/>
  <c r="I424" i="1"/>
  <c r="I416" i="1"/>
  <c r="I408" i="1"/>
  <c r="I400" i="1"/>
  <c r="I392" i="1"/>
  <c r="I384" i="1"/>
  <c r="I376" i="1"/>
  <c r="I368" i="1"/>
  <c r="I360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489" i="1"/>
  <c r="I473" i="1"/>
  <c r="I457" i="1"/>
  <c r="I441" i="1"/>
  <c r="I425" i="1"/>
  <c r="I409" i="1"/>
  <c r="I393" i="1"/>
  <c r="I377" i="1"/>
  <c r="I361" i="1"/>
  <c r="I345" i="1"/>
  <c r="I329" i="1"/>
  <c r="I313" i="1"/>
  <c r="I297" i="1"/>
  <c r="I281" i="1"/>
  <c r="I265" i="1"/>
  <c r="I249" i="1"/>
  <c r="I233" i="1"/>
  <c r="I217" i="1"/>
  <c r="I201" i="1"/>
  <c r="I185" i="1"/>
  <c r="I169" i="1"/>
  <c r="I153" i="1"/>
  <c r="I137" i="1"/>
  <c r="I121" i="1"/>
  <c r="I105" i="1"/>
  <c r="I89" i="1"/>
  <c r="I73" i="1"/>
  <c r="I57" i="1"/>
  <c r="I41" i="1"/>
  <c r="I33" i="1"/>
  <c r="I503" i="1"/>
  <c r="I495" i="1"/>
  <c r="I487" i="1"/>
  <c r="I479" i="1"/>
  <c r="I471" i="1"/>
  <c r="I463" i="1"/>
  <c r="I455" i="1"/>
  <c r="I447" i="1"/>
  <c r="I439" i="1"/>
  <c r="I431" i="1"/>
  <c r="I423" i="1"/>
  <c r="I415" i="1"/>
  <c r="I407" i="1"/>
  <c r="I399" i="1"/>
  <c r="I391" i="1"/>
  <c r="I383" i="1"/>
  <c r="I375" i="1"/>
  <c r="I367" i="1"/>
  <c r="I359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00" i="1"/>
  <c r="I492" i="1"/>
  <c r="I484" i="1"/>
  <c r="I476" i="1"/>
  <c r="I468" i="1"/>
  <c r="I460" i="1"/>
  <c r="I452" i="1"/>
  <c r="I444" i="1"/>
  <c r="I436" i="1"/>
  <c r="I428" i="1"/>
  <c r="I420" i="1"/>
  <c r="I412" i="1"/>
  <c r="I404" i="1"/>
  <c r="I396" i="1"/>
  <c r="I388" i="1"/>
  <c r="I380" i="1"/>
  <c r="I372" i="1"/>
  <c r="I364" i="1"/>
  <c r="I356" i="1"/>
  <c r="I348" i="1"/>
  <c r="I340" i="1"/>
  <c r="I332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99" i="1"/>
  <c r="I475" i="1"/>
  <c r="I451" i="1"/>
  <c r="I435" i="1"/>
  <c r="I419" i="1"/>
  <c r="I403" i="1"/>
  <c r="I395" i="1"/>
  <c r="I387" i="1"/>
  <c r="I379" i="1"/>
  <c r="I371" i="1"/>
  <c r="I363" i="1"/>
  <c r="I355" i="1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491" i="1"/>
  <c r="I483" i="1"/>
  <c r="I467" i="1"/>
  <c r="I459" i="1"/>
  <c r="I443" i="1"/>
  <c r="I427" i="1"/>
  <c r="I411" i="1"/>
  <c r="I498" i="1"/>
  <c r="I490" i="1"/>
  <c r="I482" i="1"/>
  <c r="I474" i="1"/>
  <c r="I466" i="1"/>
  <c r="I458" i="1"/>
  <c r="I450" i="1"/>
  <c r="I442" i="1"/>
  <c r="I434" i="1"/>
  <c r="I426" i="1"/>
  <c r="I418" i="1"/>
  <c r="I410" i="1"/>
  <c r="I402" i="1"/>
  <c r="I394" i="1"/>
  <c r="I386" i="1"/>
  <c r="I378" i="1"/>
  <c r="I370" i="1"/>
  <c r="I362" i="1"/>
  <c r="I354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AF9" i="1" l="1"/>
  <c r="J8" i="1"/>
  <c r="K11" i="1" s="1"/>
  <c r="AF12" i="1"/>
  <c r="AF10" i="1"/>
  <c r="AF11" i="1"/>
  <c r="AF8" i="1"/>
  <c r="L8" i="1" l="1"/>
  <c r="N8" i="1" s="1"/>
  <c r="P8" i="1" l="1"/>
  <c r="R8" i="1" s="1"/>
  <c r="O8" i="1"/>
  <c r="Q8" i="1" l="1"/>
  <c r="S8" i="1" s="1"/>
  <c r="U8" i="1" s="1"/>
  <c r="T8" i="1" l="1"/>
  <c r="V8" i="1" s="1"/>
  <c r="W8" i="1" s="1"/>
  <c r="X8" i="1" s="1"/>
  <c r="Y8" i="1" s="1"/>
  <c r="Z8" i="1" s="1"/>
  <c r="J9" i="1" l="1"/>
  <c r="K12" i="1" s="1"/>
  <c r="AA8" i="1"/>
  <c r="M9" i="1"/>
  <c r="L9" i="1" l="1"/>
  <c r="P9" i="1" s="1"/>
  <c r="R9" i="1" s="1"/>
  <c r="N9" i="1" l="1"/>
  <c r="O9" i="1" s="1"/>
  <c r="Q9" i="1" l="1"/>
  <c r="T9" i="1" s="1"/>
  <c r="V9" i="1" s="1"/>
  <c r="S9" i="1" l="1"/>
  <c r="U9" i="1" l="1"/>
  <c r="W9" i="1" l="1"/>
  <c r="X9" i="1" s="1"/>
  <c r="Y9" i="1" s="1"/>
  <c r="Z9" i="1" s="1"/>
  <c r="M10" i="1" l="1"/>
  <c r="J10" i="1"/>
  <c r="L10" i="1" s="1"/>
  <c r="N10" i="1" s="1"/>
  <c r="O10" i="1" s="1"/>
  <c r="Q10" i="1" s="1"/>
  <c r="AA9" i="1"/>
  <c r="AB9" i="1" l="1"/>
  <c r="AC9" i="1" s="1"/>
  <c r="K13" i="1"/>
  <c r="P10" i="1"/>
  <c r="R10" i="1" s="1"/>
  <c r="S10" i="1" s="1"/>
  <c r="U10" i="1" s="1"/>
  <c r="T10" i="1" l="1"/>
  <c r="V10" i="1" s="1"/>
  <c r="W10" i="1" s="1"/>
  <c r="X10" i="1" s="1"/>
  <c r="Y10" i="1" s="1"/>
  <c r="Z10" i="1" s="1"/>
  <c r="J11" i="1" l="1"/>
  <c r="K14" i="1" s="1"/>
  <c r="AA10" i="1"/>
  <c r="M11" i="1"/>
  <c r="L11" i="1" l="1"/>
  <c r="N11" i="1" s="1"/>
  <c r="O11" i="1" s="1"/>
  <c r="Q11" i="1" s="1"/>
  <c r="AB10" i="1"/>
  <c r="AC10" i="1" s="1"/>
  <c r="P11" i="1" l="1"/>
  <c r="R11" i="1" s="1"/>
  <c r="S11" i="1" s="1"/>
  <c r="U11" i="1" s="1"/>
  <c r="T11" i="1" l="1"/>
  <c r="V11" i="1" s="1"/>
  <c r="W11" i="1"/>
  <c r="X11" i="1" s="1"/>
  <c r="Y11" i="1" s="1"/>
  <c r="Z11" i="1" s="1"/>
  <c r="AA11" i="1" l="1"/>
  <c r="J12" i="1"/>
  <c r="K15" i="1" s="1"/>
  <c r="M12" i="1"/>
  <c r="AB11" i="1" l="1"/>
  <c r="AC11" i="1" s="1"/>
  <c r="L12" i="1"/>
  <c r="P12" i="1" s="1"/>
  <c r="R12" i="1" s="1"/>
  <c r="N12" i="1" l="1"/>
  <c r="O12" i="1" s="1"/>
  <c r="Q12" i="1" s="1"/>
  <c r="S12" i="1" s="1"/>
  <c r="U12" i="1" s="1"/>
  <c r="T12" i="1" l="1"/>
  <c r="V12" i="1" l="1"/>
  <c r="W12" i="1" s="1"/>
  <c r="X12" i="1" l="1"/>
  <c r="Y12" i="1" s="1"/>
  <c r="Z12" i="1" s="1"/>
  <c r="M13" i="1" l="1"/>
  <c r="AA12" i="1"/>
  <c r="J13" i="1"/>
  <c r="AB12" i="1" l="1"/>
  <c r="AC12" i="1" s="1"/>
  <c r="L13" i="1"/>
  <c r="K16" i="1"/>
  <c r="N13" i="1" l="1"/>
  <c r="O13" i="1" s="1"/>
  <c r="Q13" i="1" s="1"/>
  <c r="P13" i="1"/>
  <c r="R13" i="1" s="1"/>
  <c r="S13" i="1" l="1"/>
  <c r="U13" i="1" s="1"/>
  <c r="T13" i="1"/>
  <c r="V13" i="1" s="1"/>
  <c r="W13" i="1" l="1"/>
  <c r="X13" i="1" s="1"/>
  <c r="Y13" i="1" s="1"/>
  <c r="Z13" i="1" s="1"/>
  <c r="J14" i="1" l="1"/>
  <c r="M14" i="1"/>
  <c r="AA13" i="1"/>
  <c r="AB13" i="1" l="1"/>
  <c r="AC13" i="1" s="1"/>
  <c r="L14" i="1"/>
  <c r="K17" i="1"/>
  <c r="AD13" i="1" l="1"/>
  <c r="N14" i="1"/>
  <c r="O14" i="1" s="1"/>
  <c r="Q14" i="1" s="1"/>
  <c r="P14" i="1"/>
  <c r="R14" i="1" s="1"/>
  <c r="AF13" i="1" l="1"/>
  <c r="T14" i="1"/>
  <c r="V14" i="1" s="1"/>
  <c r="S14" i="1"/>
  <c r="U14" i="1" s="1"/>
  <c r="W14" i="1" l="1"/>
  <c r="X14" i="1" s="1"/>
  <c r="Y14" i="1" s="1"/>
  <c r="Z14" i="1" s="1"/>
  <c r="M15" i="1" l="1"/>
  <c r="AA14" i="1"/>
  <c r="J15" i="1"/>
  <c r="AB14" i="1" l="1"/>
  <c r="AC14" i="1" s="1"/>
  <c r="AD14" i="1" s="1"/>
  <c r="L15" i="1"/>
  <c r="K18" i="1"/>
  <c r="AF14" i="1" l="1"/>
  <c r="P15" i="1"/>
  <c r="R15" i="1" s="1"/>
  <c r="N15" i="1"/>
  <c r="O15" i="1" s="1"/>
  <c r="Q15" i="1" s="1"/>
  <c r="T15" i="1" l="1"/>
  <c r="V15" i="1" s="1"/>
  <c r="S15" i="1"/>
  <c r="U15" i="1" s="1"/>
  <c r="W15" i="1" l="1"/>
  <c r="X15" i="1" s="1"/>
  <c r="Y15" i="1" s="1"/>
  <c r="Z15" i="1" s="1"/>
  <c r="J16" i="1" l="1"/>
  <c r="AA15" i="1"/>
  <c r="M16" i="1"/>
  <c r="AB15" i="1" l="1"/>
  <c r="AC15" i="1" s="1"/>
  <c r="AD15" i="1" s="1"/>
  <c r="L16" i="1"/>
  <c r="K19" i="1"/>
  <c r="AF15" i="1" l="1"/>
  <c r="N16" i="1"/>
  <c r="O16" i="1" s="1"/>
  <c r="Q16" i="1" s="1"/>
  <c r="P16" i="1"/>
  <c r="R16" i="1" s="1"/>
  <c r="S16" i="1" l="1"/>
  <c r="U16" i="1" s="1"/>
  <c r="T16" i="1"/>
  <c r="V16" i="1" s="1"/>
  <c r="W16" i="1" l="1"/>
  <c r="X16" i="1" s="1"/>
  <c r="Y16" i="1" s="1"/>
  <c r="Z16" i="1" s="1"/>
  <c r="J17" i="1" l="1"/>
  <c r="AA16" i="1"/>
  <c r="M17" i="1"/>
  <c r="AB16" i="1" l="1"/>
  <c r="AC16" i="1" s="1"/>
  <c r="AD16" i="1" s="1"/>
  <c r="L17" i="1"/>
  <c r="K20" i="1"/>
  <c r="AF16" i="1" l="1"/>
  <c r="N17" i="1"/>
  <c r="O17" i="1" s="1"/>
  <c r="Q17" i="1" s="1"/>
  <c r="P17" i="1"/>
  <c r="R17" i="1" s="1"/>
  <c r="S17" i="1" l="1"/>
  <c r="U17" i="1" s="1"/>
  <c r="T17" i="1"/>
  <c r="V17" i="1" s="1"/>
  <c r="W17" i="1" l="1"/>
  <c r="X17" i="1" s="1"/>
  <c r="Y17" i="1" s="1"/>
  <c r="Z17" i="1" s="1"/>
  <c r="AA17" i="1" l="1"/>
  <c r="M18" i="1"/>
  <c r="J18" i="1"/>
  <c r="AB17" i="1" l="1"/>
  <c r="AC17" i="1" s="1"/>
  <c r="AD17" i="1" s="1"/>
  <c r="L18" i="1"/>
  <c r="K21" i="1"/>
  <c r="AF17" i="1" l="1"/>
  <c r="P18" i="1"/>
  <c r="R18" i="1" s="1"/>
  <c r="N18" i="1"/>
  <c r="O18" i="1" s="1"/>
  <c r="Q18" i="1" s="1"/>
  <c r="T18" i="1" l="1"/>
  <c r="V18" i="1" s="1"/>
  <c r="S18" i="1"/>
  <c r="U18" i="1" s="1"/>
  <c r="W18" i="1" l="1"/>
  <c r="X18" i="1" s="1"/>
  <c r="Y18" i="1" s="1"/>
  <c r="Z18" i="1" s="1"/>
  <c r="M19" i="1" l="1"/>
  <c r="AA18" i="1"/>
  <c r="J19" i="1"/>
  <c r="AB18" i="1" l="1"/>
  <c r="AC18" i="1" s="1"/>
  <c r="AD18" i="1" s="1"/>
  <c r="L19" i="1"/>
  <c r="K22" i="1"/>
  <c r="AF18" i="1" l="1"/>
  <c r="N19" i="1"/>
  <c r="O19" i="1" s="1"/>
  <c r="Q19" i="1" s="1"/>
  <c r="P19" i="1"/>
  <c r="R19" i="1" s="1"/>
  <c r="S19" i="1" l="1"/>
  <c r="U19" i="1" s="1"/>
  <c r="T19" i="1"/>
  <c r="V19" i="1" s="1"/>
  <c r="W19" i="1" l="1"/>
  <c r="X19" i="1" s="1"/>
  <c r="Y19" i="1" s="1"/>
  <c r="Z19" i="1" s="1"/>
  <c r="M20" i="1" l="1"/>
  <c r="AA19" i="1"/>
  <c r="J20" i="1"/>
  <c r="AB19" i="1" l="1"/>
  <c r="AC19" i="1" s="1"/>
  <c r="AD19" i="1" s="1"/>
  <c r="L20" i="1"/>
  <c r="K23" i="1"/>
  <c r="AF19" i="1" l="1"/>
  <c r="P20" i="1"/>
  <c r="R20" i="1" s="1"/>
  <c r="N20" i="1"/>
  <c r="O20" i="1" s="1"/>
  <c r="Q20" i="1" s="1"/>
  <c r="T20" i="1" l="1"/>
  <c r="V20" i="1" s="1"/>
  <c r="S20" i="1"/>
  <c r="U20" i="1" s="1"/>
  <c r="W20" i="1" l="1"/>
  <c r="X20" i="1" s="1"/>
  <c r="Y20" i="1" s="1"/>
  <c r="Z20" i="1" s="1"/>
  <c r="M21" i="1" l="1"/>
  <c r="AA20" i="1"/>
  <c r="J21" i="1"/>
  <c r="AB20" i="1" l="1"/>
  <c r="AC20" i="1" s="1"/>
  <c r="AD20" i="1" s="1"/>
  <c r="K24" i="1"/>
  <c r="L21" i="1"/>
  <c r="AF20" i="1" l="1"/>
  <c r="N21" i="1"/>
  <c r="O21" i="1" s="1"/>
  <c r="Q21" i="1" s="1"/>
  <c r="P21" i="1"/>
  <c r="R21" i="1" s="1"/>
  <c r="S21" i="1" l="1"/>
  <c r="U21" i="1" s="1"/>
  <c r="T21" i="1"/>
  <c r="V21" i="1" s="1"/>
  <c r="W21" i="1" l="1"/>
  <c r="X21" i="1" s="1"/>
  <c r="Y21" i="1" s="1"/>
  <c r="Z21" i="1" s="1"/>
  <c r="J22" i="1" l="1"/>
  <c r="M22" i="1"/>
  <c r="AA21" i="1"/>
  <c r="AB21" i="1" l="1"/>
  <c r="AC21" i="1" s="1"/>
  <c r="AD21" i="1" s="1"/>
  <c r="L22" i="1"/>
  <c r="K25" i="1"/>
  <c r="AF21" i="1" l="1"/>
  <c r="P22" i="1"/>
  <c r="R22" i="1" s="1"/>
  <c r="N22" i="1"/>
  <c r="O22" i="1" s="1"/>
  <c r="Q22" i="1" s="1"/>
  <c r="T22" i="1" l="1"/>
  <c r="V22" i="1" s="1"/>
  <c r="S22" i="1"/>
  <c r="U22" i="1" s="1"/>
  <c r="W22" i="1" s="1"/>
  <c r="X22" i="1" l="1"/>
  <c r="Y22" i="1" s="1"/>
  <c r="Z22" i="1" s="1"/>
  <c r="J23" i="1" l="1"/>
  <c r="AA22" i="1"/>
  <c r="M23" i="1"/>
  <c r="AB22" i="1" l="1"/>
  <c r="AC22" i="1" s="1"/>
  <c r="AD22" i="1" s="1"/>
  <c r="K26" i="1"/>
  <c r="L23" i="1"/>
  <c r="AF22" i="1" l="1"/>
  <c r="P23" i="1"/>
  <c r="R23" i="1" s="1"/>
  <c r="N23" i="1"/>
  <c r="O23" i="1" s="1"/>
  <c r="Q23" i="1" s="1"/>
  <c r="T23" i="1" l="1"/>
  <c r="V23" i="1" s="1"/>
  <c r="S23" i="1"/>
  <c r="U23" i="1" s="1"/>
  <c r="W23" i="1" s="1"/>
  <c r="X23" i="1" l="1"/>
  <c r="Y23" i="1" s="1"/>
  <c r="Z23" i="1" s="1"/>
  <c r="AA23" i="1" l="1"/>
  <c r="M24" i="1"/>
  <c r="J24" i="1"/>
  <c r="AB23" i="1" l="1"/>
  <c r="AC23" i="1" s="1"/>
  <c r="AD23" i="1" s="1"/>
  <c r="L24" i="1"/>
  <c r="K27" i="1"/>
  <c r="AF23" i="1" l="1"/>
  <c r="P24" i="1"/>
  <c r="R24" i="1" s="1"/>
  <c r="N24" i="1"/>
  <c r="O24" i="1" s="1"/>
  <c r="Q24" i="1" s="1"/>
  <c r="S24" i="1" l="1"/>
  <c r="U24" i="1" s="1"/>
  <c r="T24" i="1"/>
  <c r="V24" i="1" s="1"/>
  <c r="W24" i="1" l="1"/>
  <c r="X24" i="1" s="1"/>
  <c r="Y24" i="1" s="1"/>
  <c r="Z24" i="1" s="1"/>
  <c r="M25" i="1" l="1"/>
  <c r="AA24" i="1"/>
  <c r="J25" i="1"/>
  <c r="AB24" i="1" l="1"/>
  <c r="AC24" i="1" s="1"/>
  <c r="AD24" i="1" s="1"/>
  <c r="L25" i="1"/>
  <c r="K28" i="1"/>
  <c r="AF24" i="1" l="1"/>
  <c r="N25" i="1"/>
  <c r="O25" i="1" s="1"/>
  <c r="Q25" i="1" s="1"/>
  <c r="P25" i="1"/>
  <c r="R25" i="1" s="1"/>
  <c r="S25" i="1" l="1"/>
  <c r="U25" i="1" s="1"/>
  <c r="T25" i="1"/>
  <c r="V25" i="1" s="1"/>
  <c r="W25" i="1" l="1"/>
  <c r="X25" i="1" s="1"/>
  <c r="Y25" i="1" s="1"/>
  <c r="Z25" i="1" s="1"/>
  <c r="AA25" i="1" l="1"/>
  <c r="M26" i="1"/>
  <c r="J26" i="1"/>
  <c r="AB25" i="1" l="1"/>
  <c r="AC25" i="1" s="1"/>
  <c r="AD25" i="1" s="1"/>
  <c r="L26" i="1"/>
  <c r="K29" i="1"/>
  <c r="AF25" i="1" l="1"/>
  <c r="N26" i="1"/>
  <c r="O26" i="1" s="1"/>
  <c r="Q26" i="1" s="1"/>
  <c r="P26" i="1"/>
  <c r="R26" i="1" s="1"/>
  <c r="S26" i="1" l="1"/>
  <c r="U26" i="1" s="1"/>
  <c r="T26" i="1"/>
  <c r="V26" i="1" s="1"/>
  <c r="W26" i="1" l="1"/>
  <c r="X26" i="1" s="1"/>
  <c r="Y26" i="1" s="1"/>
  <c r="Z26" i="1" s="1"/>
  <c r="AA26" i="1" l="1"/>
  <c r="M27" i="1"/>
  <c r="J27" i="1"/>
  <c r="AB26" i="1" l="1"/>
  <c r="AC26" i="1" s="1"/>
  <c r="AD26" i="1" s="1"/>
  <c r="K30" i="1"/>
  <c r="L27" i="1"/>
  <c r="AF26" i="1" l="1"/>
  <c r="N27" i="1"/>
  <c r="O27" i="1" s="1"/>
  <c r="Q27" i="1" s="1"/>
  <c r="P27" i="1"/>
  <c r="R27" i="1" s="1"/>
  <c r="S27" i="1" l="1"/>
  <c r="U27" i="1" s="1"/>
  <c r="T27" i="1"/>
  <c r="V27" i="1" s="1"/>
  <c r="W27" i="1" l="1"/>
  <c r="X27" i="1" s="1"/>
  <c r="Y27" i="1" s="1"/>
  <c r="Z27" i="1" s="1"/>
  <c r="AA27" i="1" l="1"/>
  <c r="M28" i="1"/>
  <c r="J28" i="1"/>
  <c r="AB27" i="1" l="1"/>
  <c r="AC27" i="1" s="1"/>
  <c r="AD27" i="1" s="1"/>
  <c r="L28" i="1"/>
  <c r="K31" i="1"/>
  <c r="AF27" i="1" l="1"/>
  <c r="P28" i="1"/>
  <c r="R28" i="1" s="1"/>
  <c r="N28" i="1"/>
  <c r="O28" i="1" s="1"/>
  <c r="Q28" i="1" s="1"/>
  <c r="S28" i="1" l="1"/>
  <c r="U28" i="1" s="1"/>
  <c r="T28" i="1"/>
  <c r="V28" i="1" s="1"/>
  <c r="W28" i="1" l="1"/>
  <c r="X28" i="1" s="1"/>
  <c r="Y28" i="1" s="1"/>
  <c r="Z28" i="1" s="1"/>
  <c r="J29" i="1" l="1"/>
  <c r="M29" i="1"/>
  <c r="AA28" i="1"/>
  <c r="AB28" i="1" l="1"/>
  <c r="AC28" i="1" s="1"/>
  <c r="AD28" i="1" s="1"/>
  <c r="L29" i="1"/>
  <c r="K32" i="1"/>
  <c r="AF28" i="1" l="1"/>
  <c r="P29" i="1"/>
  <c r="R29" i="1" s="1"/>
  <c r="N29" i="1"/>
  <c r="O29" i="1" s="1"/>
  <c r="Q29" i="1" s="1"/>
  <c r="T29" i="1" l="1"/>
  <c r="V29" i="1" s="1"/>
  <c r="S29" i="1"/>
  <c r="U29" i="1" l="1"/>
  <c r="W29" i="1" s="1"/>
  <c r="X29" i="1" l="1"/>
  <c r="Y29" i="1" s="1"/>
  <c r="Z29" i="1" s="1"/>
  <c r="M30" i="1" l="1"/>
  <c r="AA29" i="1"/>
  <c r="J30" i="1"/>
  <c r="AB29" i="1" l="1"/>
  <c r="AC29" i="1" s="1"/>
  <c r="AD29" i="1" s="1"/>
  <c r="L30" i="1"/>
  <c r="K33" i="1"/>
  <c r="AF29" i="1" l="1"/>
  <c r="P30" i="1"/>
  <c r="R30" i="1" s="1"/>
  <c r="N30" i="1"/>
  <c r="O30" i="1" s="1"/>
  <c r="Q30" i="1" s="1"/>
  <c r="S30" i="1" l="1"/>
  <c r="T30" i="1"/>
  <c r="V30" i="1" s="1"/>
  <c r="U30" i="1" l="1"/>
  <c r="W30" i="1" s="1"/>
  <c r="X30" i="1" l="1"/>
  <c r="Y30" i="1" s="1"/>
  <c r="Z30" i="1" s="1"/>
  <c r="AA30" i="1" l="1"/>
  <c r="M31" i="1"/>
  <c r="J31" i="1"/>
  <c r="AB30" i="1" l="1"/>
  <c r="AC30" i="1" s="1"/>
  <c r="AD30" i="1" s="1"/>
  <c r="L31" i="1"/>
  <c r="K34" i="1"/>
  <c r="AF30" i="1" l="1"/>
  <c r="N31" i="1"/>
  <c r="O31" i="1" s="1"/>
  <c r="Q31" i="1" s="1"/>
  <c r="P31" i="1"/>
  <c r="R31" i="1" s="1"/>
  <c r="T31" i="1" l="1"/>
  <c r="V31" i="1" s="1"/>
  <c r="S31" i="1"/>
  <c r="U31" i="1" s="1"/>
  <c r="W31" i="1" l="1"/>
  <c r="X31" i="1" s="1"/>
  <c r="Y31" i="1" s="1"/>
  <c r="Z31" i="1" s="1"/>
  <c r="J32" i="1" l="1"/>
  <c r="M32" i="1"/>
  <c r="AA31" i="1"/>
  <c r="AB31" i="1" l="1"/>
  <c r="AC31" i="1" s="1"/>
  <c r="AD31" i="1" s="1"/>
  <c r="K35" i="1"/>
  <c r="L32" i="1"/>
  <c r="AF31" i="1" l="1"/>
  <c r="P32" i="1"/>
  <c r="R32" i="1" s="1"/>
  <c r="N32" i="1"/>
  <c r="O32" i="1" s="1"/>
  <c r="Q32" i="1" s="1"/>
  <c r="S32" i="1" l="1"/>
  <c r="U32" i="1" s="1"/>
  <c r="T32" i="1"/>
  <c r="V32" i="1" s="1"/>
  <c r="W32" i="1" l="1"/>
  <c r="X32" i="1" s="1"/>
  <c r="Y32" i="1" s="1"/>
  <c r="Z32" i="1" s="1"/>
  <c r="AA32" i="1" l="1"/>
  <c r="J33" i="1"/>
  <c r="M33" i="1"/>
  <c r="AB32" i="1" l="1"/>
  <c r="AC32" i="1" s="1"/>
  <c r="AD32" i="1" s="1"/>
  <c r="K36" i="1"/>
  <c r="L33" i="1"/>
  <c r="AF32" i="1" l="1"/>
  <c r="P33" i="1"/>
  <c r="R33" i="1" s="1"/>
  <c r="N33" i="1"/>
  <c r="O33" i="1" s="1"/>
  <c r="Q33" i="1" s="1"/>
  <c r="T33" i="1" l="1"/>
  <c r="V33" i="1" s="1"/>
  <c r="S33" i="1"/>
  <c r="U33" i="1" s="1"/>
  <c r="W33" i="1" l="1"/>
  <c r="X33" i="1" s="1"/>
  <c r="Y33" i="1" s="1"/>
  <c r="Z33" i="1" s="1"/>
  <c r="J34" i="1" l="1"/>
  <c r="M34" i="1"/>
  <c r="AA33" i="1"/>
  <c r="AB33" i="1" l="1"/>
  <c r="AC33" i="1" s="1"/>
  <c r="AD33" i="1" s="1"/>
  <c r="L34" i="1"/>
  <c r="K37" i="1"/>
  <c r="AF33" i="1" l="1"/>
  <c r="N34" i="1"/>
  <c r="O34" i="1" s="1"/>
  <c r="Q34" i="1" s="1"/>
  <c r="P34" i="1"/>
  <c r="R34" i="1" s="1"/>
  <c r="S34" i="1" l="1"/>
  <c r="U34" i="1" s="1"/>
  <c r="T34" i="1"/>
  <c r="V34" i="1" s="1"/>
  <c r="W34" i="1" l="1"/>
  <c r="X34" i="1" s="1"/>
  <c r="Y34" i="1" s="1"/>
  <c r="Z34" i="1" s="1"/>
  <c r="J35" i="1" l="1"/>
  <c r="M35" i="1"/>
  <c r="AA34" i="1"/>
  <c r="AB34" i="1" l="1"/>
  <c r="AC34" i="1" s="1"/>
  <c r="AD34" i="1" s="1"/>
  <c r="L35" i="1"/>
  <c r="K38" i="1"/>
  <c r="AF34" i="1" l="1"/>
  <c r="N35" i="1"/>
  <c r="O35" i="1" s="1"/>
  <c r="Q35" i="1" s="1"/>
  <c r="P35" i="1"/>
  <c r="R35" i="1" s="1"/>
  <c r="S35" i="1" l="1"/>
  <c r="U35" i="1" s="1"/>
  <c r="T35" i="1"/>
  <c r="V35" i="1" s="1"/>
  <c r="W35" i="1" l="1"/>
  <c r="X35" i="1" s="1"/>
  <c r="Y35" i="1" s="1"/>
  <c r="Z35" i="1" s="1"/>
  <c r="J36" i="1" l="1"/>
  <c r="M36" i="1"/>
  <c r="AA35" i="1"/>
  <c r="AB35" i="1" l="1"/>
  <c r="AC35" i="1" s="1"/>
  <c r="AD35" i="1" s="1"/>
  <c r="K39" i="1"/>
  <c r="L36" i="1"/>
  <c r="AF35" i="1" l="1"/>
  <c r="N36" i="1"/>
  <c r="O36" i="1" s="1"/>
  <c r="Q36" i="1" s="1"/>
  <c r="P36" i="1"/>
  <c r="R36" i="1" s="1"/>
  <c r="T36" i="1" l="1"/>
  <c r="V36" i="1" s="1"/>
  <c r="S36" i="1"/>
  <c r="U36" i="1" s="1"/>
  <c r="W36" i="1" l="1"/>
  <c r="X36" i="1" s="1"/>
  <c r="Y36" i="1" s="1"/>
  <c r="Z36" i="1" s="1"/>
  <c r="M37" i="1" l="1"/>
  <c r="J37" i="1"/>
  <c r="AA36" i="1"/>
  <c r="AB36" i="1" l="1"/>
  <c r="AC36" i="1" s="1"/>
  <c r="AD36" i="1" s="1"/>
  <c r="K40" i="1"/>
  <c r="L37" i="1"/>
  <c r="AF36" i="1" l="1"/>
  <c r="N37" i="1"/>
  <c r="O37" i="1" s="1"/>
  <c r="Q37" i="1" s="1"/>
  <c r="P37" i="1"/>
  <c r="R37" i="1" s="1"/>
  <c r="S37" i="1" l="1"/>
  <c r="U37" i="1" s="1"/>
  <c r="T37" i="1"/>
  <c r="V37" i="1" s="1"/>
  <c r="W37" i="1" l="1"/>
  <c r="X37" i="1" s="1"/>
  <c r="Y37" i="1" s="1"/>
  <c r="Z37" i="1" s="1"/>
  <c r="M38" i="1" l="1"/>
  <c r="J38" i="1"/>
  <c r="AA37" i="1"/>
  <c r="AB37" i="1" l="1"/>
  <c r="AC37" i="1" s="1"/>
  <c r="AD37" i="1" s="1"/>
  <c r="L38" i="1"/>
  <c r="K41" i="1"/>
  <c r="AF37" i="1" l="1"/>
  <c r="P38" i="1"/>
  <c r="R38" i="1" s="1"/>
  <c r="N38" i="1"/>
  <c r="O38" i="1" s="1"/>
  <c r="Q38" i="1" s="1"/>
  <c r="S38" i="1" l="1"/>
  <c r="U38" i="1" s="1"/>
  <c r="T38" i="1"/>
  <c r="V38" i="1" s="1"/>
  <c r="W38" i="1" l="1"/>
  <c r="X38" i="1" s="1"/>
  <c r="Y38" i="1" s="1"/>
  <c r="Z38" i="1" s="1"/>
  <c r="J39" i="1" l="1"/>
  <c r="M39" i="1"/>
  <c r="AA38" i="1"/>
  <c r="AB38" i="1" l="1"/>
  <c r="AC38" i="1" s="1"/>
  <c r="AD38" i="1" s="1"/>
  <c r="K42" i="1"/>
  <c r="L39" i="1"/>
  <c r="AF38" i="1" l="1"/>
  <c r="N39" i="1"/>
  <c r="O39" i="1" s="1"/>
  <c r="Q39" i="1" s="1"/>
  <c r="P39" i="1"/>
  <c r="R39" i="1" s="1"/>
  <c r="S39" i="1" l="1"/>
  <c r="U39" i="1" s="1"/>
  <c r="T39" i="1"/>
  <c r="V39" i="1" s="1"/>
  <c r="W39" i="1" l="1"/>
  <c r="X39" i="1" s="1"/>
  <c r="Y39" i="1" s="1"/>
  <c r="Z39" i="1" s="1"/>
  <c r="AA39" i="1" l="1"/>
  <c r="M40" i="1"/>
  <c r="J40" i="1"/>
  <c r="AB39" i="1" l="1"/>
  <c r="AC39" i="1" s="1"/>
  <c r="AD39" i="1" s="1"/>
  <c r="K43" i="1"/>
  <c r="L40" i="1"/>
  <c r="AF39" i="1" l="1"/>
  <c r="N40" i="1"/>
  <c r="O40" i="1" s="1"/>
  <c r="Q40" i="1" s="1"/>
  <c r="P40" i="1"/>
  <c r="R40" i="1" s="1"/>
  <c r="T40" i="1" l="1"/>
  <c r="V40" i="1" s="1"/>
  <c r="S40" i="1"/>
  <c r="U40" i="1" s="1"/>
  <c r="W40" i="1" s="1"/>
  <c r="X40" i="1" l="1"/>
  <c r="Y40" i="1" s="1"/>
  <c r="Z40" i="1" s="1"/>
  <c r="J41" i="1" l="1"/>
  <c r="AA40" i="1"/>
  <c r="M41" i="1"/>
  <c r="AB40" i="1" l="1"/>
  <c r="AC40" i="1" s="1"/>
  <c r="AD40" i="1" s="1"/>
  <c r="L41" i="1"/>
  <c r="K44" i="1"/>
  <c r="AF40" i="1" l="1"/>
  <c r="N41" i="1"/>
  <c r="O41" i="1" s="1"/>
  <c r="Q41" i="1" s="1"/>
  <c r="P41" i="1"/>
  <c r="R41" i="1" s="1"/>
  <c r="T41" i="1" l="1"/>
  <c r="V41" i="1" s="1"/>
  <c r="S41" i="1"/>
  <c r="U41" i="1" s="1"/>
  <c r="W41" i="1" l="1"/>
  <c r="X41" i="1" s="1"/>
  <c r="Y41" i="1" s="1"/>
  <c r="Z41" i="1" s="1"/>
  <c r="AA41" i="1" l="1"/>
  <c r="M42" i="1"/>
  <c r="J42" i="1"/>
  <c r="AB41" i="1" l="1"/>
  <c r="AC41" i="1" s="1"/>
  <c r="AD41" i="1" s="1"/>
  <c r="L42" i="1"/>
  <c r="K45" i="1"/>
  <c r="AF41" i="1" l="1"/>
  <c r="N42" i="1"/>
  <c r="O42" i="1" s="1"/>
  <c r="Q42" i="1" s="1"/>
  <c r="P42" i="1"/>
  <c r="R42" i="1" s="1"/>
  <c r="T42" i="1" l="1"/>
  <c r="V42" i="1" s="1"/>
  <c r="S42" i="1"/>
  <c r="U42" i="1" l="1"/>
  <c r="W42" i="1" l="1"/>
  <c r="X42" i="1" s="1"/>
  <c r="Y42" i="1" s="1"/>
  <c r="Z42" i="1" s="1"/>
  <c r="AA42" i="1" l="1"/>
  <c r="J43" i="1"/>
  <c r="K46" i="1" s="1"/>
  <c r="M43" i="1"/>
  <c r="AB42" i="1" l="1"/>
  <c r="AC42" i="1" s="1"/>
  <c r="AD42" i="1" s="1"/>
  <c r="L43" i="1"/>
  <c r="N43" i="1" s="1"/>
  <c r="O43" i="1" s="1"/>
  <c r="Q43" i="1" s="1"/>
  <c r="P43" i="1" l="1"/>
  <c r="R43" i="1" s="1"/>
  <c r="AF42" i="1"/>
  <c r="S43" i="1"/>
  <c r="U43" i="1" s="1"/>
  <c r="T43" i="1"/>
  <c r="V43" i="1" s="1"/>
  <c r="W43" i="1" l="1"/>
  <c r="X43" i="1" s="1"/>
  <c r="Y43" i="1" s="1"/>
  <c r="Z43" i="1" s="1"/>
  <c r="AA43" i="1" l="1"/>
  <c r="M44" i="1"/>
  <c r="J44" i="1"/>
  <c r="AB43" i="1" l="1"/>
  <c r="AC43" i="1" s="1"/>
  <c r="AD43" i="1" s="1"/>
  <c r="L44" i="1"/>
  <c r="K47" i="1"/>
  <c r="AF43" i="1" l="1"/>
  <c r="N44" i="1"/>
  <c r="O44" i="1" s="1"/>
  <c r="Q44" i="1" s="1"/>
  <c r="P44" i="1"/>
  <c r="R44" i="1" s="1"/>
  <c r="T44" i="1" l="1"/>
  <c r="V44" i="1" s="1"/>
  <c r="S44" i="1"/>
  <c r="U44" i="1" s="1"/>
  <c r="W44" i="1" l="1"/>
  <c r="X44" i="1"/>
  <c r="Y44" i="1" s="1"/>
  <c r="Z44" i="1" s="1"/>
  <c r="J45" i="1" l="1"/>
  <c r="AA44" i="1"/>
  <c r="M45" i="1"/>
  <c r="AB44" i="1" l="1"/>
  <c r="AC44" i="1" s="1"/>
  <c r="AD44" i="1" s="1"/>
  <c r="L45" i="1"/>
  <c r="K48" i="1"/>
  <c r="AF44" i="1" l="1"/>
  <c r="N45" i="1"/>
  <c r="O45" i="1" s="1"/>
  <c r="Q45" i="1" s="1"/>
  <c r="P45" i="1"/>
  <c r="R45" i="1" s="1"/>
  <c r="S45" i="1" l="1"/>
  <c r="U45" i="1" s="1"/>
  <c r="T45" i="1"/>
  <c r="V45" i="1" s="1"/>
  <c r="W45" i="1" l="1"/>
  <c r="X45" i="1" s="1"/>
  <c r="Y45" i="1" s="1"/>
  <c r="Z45" i="1" s="1"/>
  <c r="AA45" i="1" l="1"/>
  <c r="J46" i="1"/>
  <c r="M46" i="1"/>
  <c r="AB45" i="1" l="1"/>
  <c r="AC45" i="1" s="1"/>
  <c r="AD45" i="1" s="1"/>
  <c r="L46" i="1"/>
  <c r="K49" i="1"/>
  <c r="AF45" i="1" l="1"/>
  <c r="N46" i="1"/>
  <c r="O46" i="1" s="1"/>
  <c r="Q46" i="1" s="1"/>
  <c r="P46" i="1"/>
  <c r="R46" i="1" s="1"/>
  <c r="S46" i="1" l="1"/>
  <c r="U46" i="1" s="1"/>
  <c r="T46" i="1"/>
  <c r="V46" i="1" s="1"/>
  <c r="W46" i="1" l="1"/>
  <c r="X46" i="1" s="1"/>
  <c r="Y46" i="1" s="1"/>
  <c r="Z46" i="1" s="1"/>
  <c r="AA46" i="1" l="1"/>
  <c r="J47" i="1"/>
  <c r="M47" i="1"/>
  <c r="AB46" i="1" l="1"/>
  <c r="AC46" i="1" s="1"/>
  <c r="AD46" i="1" s="1"/>
  <c r="L47" i="1"/>
  <c r="K50" i="1"/>
  <c r="AF46" i="1" l="1"/>
  <c r="N47" i="1"/>
  <c r="O47" i="1" s="1"/>
  <c r="Q47" i="1" s="1"/>
  <c r="P47" i="1"/>
  <c r="R47" i="1" s="1"/>
  <c r="T47" i="1" l="1"/>
  <c r="V47" i="1" s="1"/>
  <c r="S47" i="1"/>
  <c r="U47" i="1" s="1"/>
  <c r="W47" i="1" l="1"/>
  <c r="X47" i="1" s="1"/>
  <c r="Y47" i="1" s="1"/>
  <c r="Z47" i="1" s="1"/>
  <c r="J48" i="1" l="1"/>
  <c r="AA47" i="1"/>
  <c r="M48" i="1"/>
  <c r="AB47" i="1" l="1"/>
  <c r="AC47" i="1" s="1"/>
  <c r="AD47" i="1" s="1"/>
  <c r="L48" i="1"/>
  <c r="K51" i="1"/>
  <c r="AF47" i="1" l="1"/>
  <c r="N48" i="1"/>
  <c r="O48" i="1" s="1"/>
  <c r="Q48" i="1" s="1"/>
  <c r="P48" i="1"/>
  <c r="R48" i="1" s="1"/>
  <c r="T48" i="1" l="1"/>
  <c r="V48" i="1" s="1"/>
  <c r="S48" i="1"/>
  <c r="U48" i="1" s="1"/>
  <c r="W48" i="1" l="1"/>
  <c r="X48" i="1" s="1"/>
  <c r="Y48" i="1" s="1"/>
  <c r="Z48" i="1" s="1"/>
  <c r="J49" i="1" l="1"/>
  <c r="AA48" i="1"/>
  <c r="M49" i="1"/>
  <c r="AB48" i="1" l="1"/>
  <c r="AC48" i="1" s="1"/>
  <c r="AD48" i="1" s="1"/>
  <c r="L49" i="1"/>
  <c r="K52" i="1"/>
  <c r="AF48" i="1" l="1"/>
  <c r="P49" i="1"/>
  <c r="R49" i="1" s="1"/>
  <c r="N49" i="1"/>
  <c r="O49" i="1" s="1"/>
  <c r="Q49" i="1" s="1"/>
  <c r="S49" i="1" l="1"/>
  <c r="T49" i="1"/>
  <c r="V49" i="1" s="1"/>
  <c r="U49" i="1" l="1"/>
  <c r="W49" i="1" s="1"/>
  <c r="X49" i="1" l="1"/>
  <c r="Y49" i="1" s="1"/>
  <c r="Z49" i="1" s="1"/>
  <c r="AA49" i="1" l="1"/>
  <c r="J50" i="1"/>
  <c r="M50" i="1"/>
  <c r="AB49" i="1" l="1"/>
  <c r="AC49" i="1" s="1"/>
  <c r="AD49" i="1" s="1"/>
  <c r="L50" i="1"/>
  <c r="K53" i="1"/>
  <c r="AF49" i="1" l="1"/>
  <c r="N50" i="1"/>
  <c r="O50" i="1" s="1"/>
  <c r="Q50" i="1" s="1"/>
  <c r="P50" i="1"/>
  <c r="R50" i="1" s="1"/>
  <c r="T50" i="1" l="1"/>
  <c r="V50" i="1" s="1"/>
  <c r="S50" i="1"/>
  <c r="U50" i="1" s="1"/>
  <c r="W50" i="1" l="1"/>
  <c r="X50" i="1" s="1"/>
  <c r="Y50" i="1" s="1"/>
  <c r="Z50" i="1" s="1"/>
  <c r="AA50" i="1" l="1"/>
  <c r="J51" i="1"/>
  <c r="M51" i="1"/>
  <c r="AB50" i="1" l="1"/>
  <c r="AC50" i="1" s="1"/>
  <c r="AD50" i="1" s="1"/>
  <c r="L51" i="1"/>
  <c r="K54" i="1"/>
  <c r="AF50" i="1" l="1"/>
  <c r="P51" i="1"/>
  <c r="R51" i="1" s="1"/>
  <c r="N51" i="1"/>
  <c r="O51" i="1" s="1"/>
  <c r="Q51" i="1" s="1"/>
  <c r="S51" i="1" l="1"/>
  <c r="T51" i="1"/>
  <c r="V51" i="1" s="1"/>
  <c r="U51" i="1" l="1"/>
  <c r="W51" i="1" s="1"/>
  <c r="X51" i="1" l="1"/>
  <c r="Y51" i="1" s="1"/>
  <c r="Z51" i="1" s="1"/>
  <c r="AA51" i="1" l="1"/>
  <c r="J52" i="1"/>
  <c r="M52" i="1"/>
  <c r="AB51" i="1" l="1"/>
  <c r="AC51" i="1" s="1"/>
  <c r="AD51" i="1" s="1"/>
  <c r="L52" i="1"/>
  <c r="K55" i="1"/>
  <c r="AF51" i="1" l="1"/>
  <c r="P52" i="1"/>
  <c r="R52" i="1" s="1"/>
  <c r="N52" i="1"/>
  <c r="O52" i="1" s="1"/>
  <c r="Q52" i="1" s="1"/>
  <c r="S52" i="1" l="1"/>
  <c r="U52" i="1" s="1"/>
  <c r="T52" i="1"/>
  <c r="V52" i="1" s="1"/>
  <c r="W52" i="1" l="1"/>
  <c r="X52" i="1" s="1"/>
  <c r="Y52" i="1" s="1"/>
  <c r="Z52" i="1" s="1"/>
  <c r="AA52" i="1" l="1"/>
  <c r="J53" i="1"/>
  <c r="M53" i="1"/>
  <c r="AB52" i="1" l="1"/>
  <c r="AC52" i="1" s="1"/>
  <c r="AD52" i="1" s="1"/>
  <c r="L53" i="1"/>
  <c r="K56" i="1"/>
  <c r="AF52" i="1" l="1"/>
  <c r="N53" i="1"/>
  <c r="O53" i="1" s="1"/>
  <c r="Q53" i="1" s="1"/>
  <c r="P53" i="1"/>
  <c r="R53" i="1" s="1"/>
  <c r="S53" i="1" l="1"/>
  <c r="U53" i="1" s="1"/>
  <c r="T53" i="1"/>
  <c r="V53" i="1" s="1"/>
  <c r="W53" i="1" l="1"/>
  <c r="X53" i="1" s="1"/>
  <c r="Y53" i="1" s="1"/>
  <c r="Z53" i="1" s="1"/>
  <c r="AA53" i="1" l="1"/>
  <c r="J54" i="1"/>
  <c r="M54" i="1"/>
  <c r="AB53" i="1" l="1"/>
  <c r="AC53" i="1" s="1"/>
  <c r="AD53" i="1" s="1"/>
  <c r="L54" i="1"/>
  <c r="K57" i="1"/>
  <c r="AF53" i="1" l="1"/>
  <c r="P54" i="1"/>
  <c r="R54" i="1" s="1"/>
  <c r="N54" i="1"/>
  <c r="O54" i="1" s="1"/>
  <c r="Q54" i="1" s="1"/>
  <c r="T54" i="1" l="1"/>
  <c r="V54" i="1" s="1"/>
  <c r="S54" i="1"/>
  <c r="U54" i="1" s="1"/>
  <c r="W54" i="1" l="1"/>
  <c r="X54" i="1" s="1"/>
  <c r="Y54" i="1" s="1"/>
  <c r="Z54" i="1" s="1"/>
  <c r="J55" i="1" l="1"/>
  <c r="AA54" i="1"/>
  <c r="M55" i="1"/>
  <c r="AB54" i="1" l="1"/>
  <c r="AC54" i="1" s="1"/>
  <c r="AD54" i="1" s="1"/>
  <c r="K58" i="1"/>
  <c r="L55" i="1"/>
  <c r="AF54" i="1" l="1"/>
  <c r="N55" i="1"/>
  <c r="O55" i="1" s="1"/>
  <c r="Q55" i="1" s="1"/>
  <c r="P55" i="1"/>
  <c r="R55" i="1" s="1"/>
  <c r="T55" i="1" l="1"/>
  <c r="V55" i="1" s="1"/>
  <c r="S55" i="1"/>
  <c r="U55" i="1" s="1"/>
  <c r="W55" i="1" l="1"/>
  <c r="X55" i="1" s="1"/>
  <c r="Y55" i="1" s="1"/>
  <c r="Z55" i="1" s="1"/>
  <c r="AA55" i="1" l="1"/>
  <c r="J56" i="1"/>
  <c r="M56" i="1"/>
  <c r="AB55" i="1" l="1"/>
  <c r="AC55" i="1" s="1"/>
  <c r="AD55" i="1" s="1"/>
  <c r="L56" i="1"/>
  <c r="K59" i="1"/>
  <c r="AF55" i="1" l="1"/>
  <c r="N56" i="1"/>
  <c r="O56" i="1" s="1"/>
  <c r="Q56" i="1" s="1"/>
  <c r="P56" i="1"/>
  <c r="R56" i="1" s="1"/>
  <c r="T56" i="1" l="1"/>
  <c r="V56" i="1" s="1"/>
  <c r="S56" i="1"/>
  <c r="U56" i="1" s="1"/>
  <c r="W56" i="1" l="1"/>
  <c r="X56" i="1" s="1"/>
  <c r="Y56" i="1" s="1"/>
  <c r="Z56" i="1" s="1"/>
  <c r="M57" i="1" l="1"/>
  <c r="AA56" i="1"/>
  <c r="J57" i="1"/>
  <c r="AB56" i="1" l="1"/>
  <c r="AC56" i="1" s="1"/>
  <c r="AD56" i="1" s="1"/>
  <c r="L57" i="1"/>
  <c r="K60" i="1"/>
  <c r="AF56" i="1" l="1"/>
  <c r="N57" i="1"/>
  <c r="O57" i="1" s="1"/>
  <c r="Q57" i="1" s="1"/>
  <c r="P57" i="1"/>
  <c r="R57" i="1" s="1"/>
  <c r="T57" i="1" l="1"/>
  <c r="V57" i="1" s="1"/>
  <c r="S57" i="1"/>
  <c r="U57" i="1" s="1"/>
  <c r="W57" i="1" l="1"/>
  <c r="X57" i="1" s="1"/>
  <c r="Y57" i="1" s="1"/>
  <c r="Z57" i="1" s="1"/>
  <c r="J58" i="1" l="1"/>
  <c r="AA57" i="1"/>
  <c r="M58" i="1"/>
  <c r="AB57" i="1" l="1"/>
  <c r="AC57" i="1" s="1"/>
  <c r="AD57" i="1" s="1"/>
  <c r="L58" i="1"/>
  <c r="K61" i="1"/>
  <c r="AF57" i="1" l="1"/>
  <c r="P58" i="1"/>
  <c r="R58" i="1" s="1"/>
  <c r="N58" i="1"/>
  <c r="O58" i="1" s="1"/>
  <c r="Q58" i="1" s="1"/>
  <c r="S58" i="1" l="1"/>
  <c r="U58" i="1" s="1"/>
  <c r="T58" i="1"/>
  <c r="V58" i="1" s="1"/>
  <c r="W58" i="1" l="1"/>
  <c r="X58" i="1" s="1"/>
  <c r="Y58" i="1" s="1"/>
  <c r="Z58" i="1" s="1"/>
  <c r="AA58" i="1" l="1"/>
  <c r="J59" i="1"/>
  <c r="M59" i="1"/>
  <c r="AB58" i="1" l="1"/>
  <c r="AC58" i="1" s="1"/>
  <c r="AD58" i="1" s="1"/>
  <c r="L59" i="1"/>
  <c r="K62" i="1"/>
  <c r="AF58" i="1" l="1"/>
  <c r="N59" i="1"/>
  <c r="O59" i="1" s="1"/>
  <c r="Q59" i="1" s="1"/>
  <c r="P59" i="1"/>
  <c r="R59" i="1" s="1"/>
  <c r="S59" i="1" l="1"/>
  <c r="U59" i="1" s="1"/>
  <c r="T59" i="1"/>
  <c r="V59" i="1" s="1"/>
  <c r="W59" i="1" l="1"/>
  <c r="X59" i="1" s="1"/>
  <c r="Y59" i="1" s="1"/>
  <c r="Z59" i="1" s="1"/>
  <c r="J60" i="1" l="1"/>
  <c r="AA59" i="1"/>
  <c r="M60" i="1"/>
  <c r="AB59" i="1" l="1"/>
  <c r="AC59" i="1" s="1"/>
  <c r="AD59" i="1" s="1"/>
  <c r="L60" i="1"/>
  <c r="K63" i="1"/>
  <c r="AF59" i="1" l="1"/>
  <c r="P60" i="1"/>
  <c r="R60" i="1" s="1"/>
  <c r="N60" i="1"/>
  <c r="O60" i="1" s="1"/>
  <c r="Q60" i="1" s="1"/>
  <c r="T60" i="1" l="1"/>
  <c r="V60" i="1" s="1"/>
  <c r="S60" i="1"/>
  <c r="U60" i="1" s="1"/>
  <c r="W60" i="1" l="1"/>
  <c r="X60" i="1" s="1"/>
  <c r="Y60" i="1" s="1"/>
  <c r="Z60" i="1" s="1"/>
  <c r="AA60" i="1" l="1"/>
  <c r="J61" i="1"/>
  <c r="M61" i="1"/>
  <c r="AB60" i="1" l="1"/>
  <c r="AC60" i="1" s="1"/>
  <c r="AD60" i="1" s="1"/>
  <c r="L61" i="1"/>
  <c r="K64" i="1"/>
  <c r="AF60" i="1" l="1"/>
  <c r="P61" i="1"/>
  <c r="R61" i="1" s="1"/>
  <c r="N61" i="1"/>
  <c r="O61" i="1" s="1"/>
  <c r="Q61" i="1" s="1"/>
  <c r="T61" i="1" l="1"/>
  <c r="V61" i="1" s="1"/>
  <c r="S61" i="1"/>
  <c r="U61" i="1" s="1"/>
  <c r="W61" i="1" l="1"/>
  <c r="X61" i="1" s="1"/>
  <c r="Y61" i="1" s="1"/>
  <c r="Z61" i="1" s="1"/>
  <c r="AA61" i="1" l="1"/>
  <c r="J62" i="1"/>
  <c r="M62" i="1"/>
  <c r="AB61" i="1" l="1"/>
  <c r="AC61" i="1" s="1"/>
  <c r="AD61" i="1" s="1"/>
  <c r="L62" i="1"/>
  <c r="K65" i="1"/>
  <c r="AF61" i="1" l="1"/>
  <c r="P62" i="1"/>
  <c r="R62" i="1" s="1"/>
  <c r="N62" i="1"/>
  <c r="O62" i="1" s="1"/>
  <c r="Q62" i="1" s="1"/>
  <c r="S62" i="1" l="1"/>
  <c r="U62" i="1" s="1"/>
  <c r="T62" i="1"/>
  <c r="V62" i="1" s="1"/>
  <c r="W62" i="1" l="1"/>
  <c r="X62" i="1" s="1"/>
  <c r="Y62" i="1" s="1"/>
  <c r="Z62" i="1" s="1"/>
  <c r="AA62" i="1" l="1"/>
  <c r="J63" i="1"/>
  <c r="M63" i="1"/>
  <c r="AB62" i="1" l="1"/>
  <c r="AC62" i="1" s="1"/>
  <c r="AD62" i="1" s="1"/>
  <c r="K66" i="1"/>
  <c r="L63" i="1"/>
  <c r="AF62" i="1" l="1"/>
  <c r="P63" i="1"/>
  <c r="R63" i="1" s="1"/>
  <c r="N63" i="1"/>
  <c r="O63" i="1" s="1"/>
  <c r="Q63" i="1" s="1"/>
  <c r="T63" i="1" l="1"/>
  <c r="V63" i="1" s="1"/>
  <c r="S63" i="1"/>
  <c r="U63" i="1" s="1"/>
  <c r="W63" i="1" l="1"/>
  <c r="X63" i="1" s="1"/>
  <c r="Y63" i="1" s="1"/>
  <c r="Z63" i="1" s="1"/>
  <c r="M64" i="1" l="1"/>
  <c r="J64" i="1"/>
  <c r="AA63" i="1"/>
  <c r="AB63" i="1" l="1"/>
  <c r="AC63" i="1" s="1"/>
  <c r="AD63" i="1" s="1"/>
  <c r="K67" i="1"/>
  <c r="L64" i="1"/>
  <c r="AF63" i="1" l="1"/>
  <c r="P64" i="1"/>
  <c r="R64" i="1" s="1"/>
  <c r="N64" i="1"/>
  <c r="O64" i="1" s="1"/>
  <c r="Q64" i="1" s="1"/>
  <c r="S64" i="1" l="1"/>
  <c r="T64" i="1"/>
  <c r="V64" i="1" s="1"/>
  <c r="U64" i="1" l="1"/>
  <c r="W64" i="1" s="1"/>
  <c r="X64" i="1" l="1"/>
  <c r="Y64" i="1" s="1"/>
  <c r="Z64" i="1" s="1"/>
  <c r="J65" i="1" l="1"/>
  <c r="AA64" i="1"/>
  <c r="M65" i="1"/>
  <c r="AB64" i="1" l="1"/>
  <c r="AC64" i="1" s="1"/>
  <c r="AD64" i="1" s="1"/>
  <c r="K68" i="1"/>
  <c r="L65" i="1"/>
  <c r="AF64" i="1" l="1"/>
  <c r="P65" i="1"/>
  <c r="R65" i="1" s="1"/>
  <c r="N65" i="1"/>
  <c r="O65" i="1" s="1"/>
  <c r="Q65" i="1" s="1"/>
  <c r="S65" i="1" l="1"/>
  <c r="U65" i="1" s="1"/>
  <c r="T65" i="1"/>
  <c r="V65" i="1" s="1"/>
  <c r="W65" i="1" l="1"/>
  <c r="X65" i="1" s="1"/>
  <c r="Y65" i="1" s="1"/>
  <c r="Z65" i="1" s="1"/>
  <c r="AA65" i="1" l="1"/>
  <c r="J66" i="1"/>
  <c r="M66" i="1"/>
  <c r="AB65" i="1" l="1"/>
  <c r="AC65" i="1" s="1"/>
  <c r="AD65" i="1" s="1"/>
  <c r="L66" i="1"/>
  <c r="K69" i="1"/>
  <c r="AF65" i="1" l="1"/>
  <c r="N66" i="1"/>
  <c r="O66" i="1" s="1"/>
  <c r="Q66" i="1" s="1"/>
  <c r="P66" i="1"/>
  <c r="R66" i="1" s="1"/>
  <c r="T66" i="1" l="1"/>
  <c r="V66" i="1" s="1"/>
  <c r="S66" i="1"/>
  <c r="U66" i="1" s="1"/>
  <c r="W66" i="1" l="1"/>
  <c r="X66" i="1" s="1"/>
  <c r="Y66" i="1" s="1"/>
  <c r="Z66" i="1" s="1"/>
  <c r="AA66" i="1" l="1"/>
  <c r="J67" i="1"/>
  <c r="M67" i="1"/>
  <c r="AB66" i="1" l="1"/>
  <c r="AC66" i="1" s="1"/>
  <c r="AD66" i="1" s="1"/>
  <c r="L67" i="1"/>
  <c r="K70" i="1"/>
  <c r="AF66" i="1" l="1"/>
  <c r="N67" i="1"/>
  <c r="O67" i="1" s="1"/>
  <c r="Q67" i="1" s="1"/>
  <c r="P67" i="1"/>
  <c r="R67" i="1" s="1"/>
  <c r="T67" i="1" l="1"/>
  <c r="V67" i="1" s="1"/>
  <c r="S67" i="1"/>
  <c r="U67" i="1" s="1"/>
  <c r="W67" i="1" l="1"/>
  <c r="X67" i="1" s="1"/>
  <c r="Y67" i="1" s="1"/>
  <c r="Z67" i="1" s="1"/>
  <c r="J68" i="1" l="1"/>
  <c r="AA67" i="1"/>
  <c r="M68" i="1"/>
  <c r="AB67" i="1" l="1"/>
  <c r="AC67" i="1" s="1"/>
  <c r="AD67" i="1" s="1"/>
  <c r="K71" i="1"/>
  <c r="L68" i="1"/>
  <c r="AF67" i="1" l="1"/>
  <c r="N68" i="1"/>
  <c r="O68" i="1" s="1"/>
  <c r="Q68" i="1" s="1"/>
  <c r="P68" i="1"/>
  <c r="R68" i="1" s="1"/>
  <c r="S68" i="1" l="1"/>
  <c r="U68" i="1" s="1"/>
  <c r="T68" i="1"/>
  <c r="V68" i="1" s="1"/>
  <c r="W68" i="1" l="1"/>
  <c r="X68" i="1" s="1"/>
  <c r="Y68" i="1" s="1"/>
  <c r="Z68" i="1" s="1"/>
  <c r="J69" i="1" l="1"/>
  <c r="AA68" i="1"/>
  <c r="M69" i="1"/>
  <c r="AB68" i="1" l="1"/>
  <c r="AC68" i="1" s="1"/>
  <c r="AD68" i="1" s="1"/>
  <c r="L69" i="1"/>
  <c r="K72" i="1"/>
  <c r="AF68" i="1" l="1"/>
  <c r="N69" i="1"/>
  <c r="O69" i="1" s="1"/>
  <c r="Q69" i="1" s="1"/>
  <c r="P69" i="1"/>
  <c r="R69" i="1" s="1"/>
  <c r="T69" i="1" l="1"/>
  <c r="V69" i="1" s="1"/>
  <c r="S69" i="1"/>
  <c r="U69" i="1" s="1"/>
  <c r="W69" i="1" l="1"/>
  <c r="X69" i="1" s="1"/>
  <c r="Y69" i="1" s="1"/>
  <c r="Z69" i="1" s="1"/>
  <c r="AA69" i="1" l="1"/>
  <c r="J70" i="1"/>
  <c r="M70" i="1"/>
  <c r="AB69" i="1" l="1"/>
  <c r="AC69" i="1" s="1"/>
  <c r="AD69" i="1" s="1"/>
  <c r="K73" i="1"/>
  <c r="L70" i="1"/>
  <c r="AF69" i="1" l="1"/>
  <c r="N70" i="1"/>
  <c r="O70" i="1" s="1"/>
  <c r="Q70" i="1" s="1"/>
  <c r="P70" i="1"/>
  <c r="R70" i="1" s="1"/>
  <c r="S70" i="1" l="1"/>
  <c r="U70" i="1" s="1"/>
  <c r="T70" i="1"/>
  <c r="V70" i="1" s="1"/>
  <c r="W70" i="1" l="1"/>
  <c r="X70" i="1" s="1"/>
  <c r="Y70" i="1" s="1"/>
  <c r="Z70" i="1" s="1"/>
  <c r="AA70" i="1" l="1"/>
  <c r="J71" i="1"/>
  <c r="M71" i="1"/>
  <c r="AB70" i="1" l="1"/>
  <c r="AC70" i="1" s="1"/>
  <c r="AD70" i="1" s="1"/>
  <c r="K74" i="1"/>
  <c r="L71" i="1"/>
  <c r="AF70" i="1" l="1"/>
  <c r="P71" i="1"/>
  <c r="R71" i="1" s="1"/>
  <c r="N71" i="1"/>
  <c r="O71" i="1" s="1"/>
  <c r="Q71" i="1" s="1"/>
  <c r="S71" i="1" l="1"/>
  <c r="U71" i="1" s="1"/>
  <c r="T71" i="1"/>
  <c r="V71" i="1" s="1"/>
  <c r="W71" i="1" l="1"/>
  <c r="X71" i="1" s="1"/>
  <c r="Y71" i="1" s="1"/>
  <c r="Z71" i="1" s="1"/>
  <c r="AA71" i="1" l="1"/>
  <c r="J72" i="1"/>
  <c r="M72" i="1"/>
  <c r="AB71" i="1" l="1"/>
  <c r="AC71" i="1" s="1"/>
  <c r="AD71" i="1" s="1"/>
  <c r="K75" i="1"/>
  <c r="L72" i="1"/>
  <c r="AF71" i="1" l="1"/>
  <c r="P72" i="1"/>
  <c r="R72" i="1" s="1"/>
  <c r="N72" i="1"/>
  <c r="O72" i="1" s="1"/>
  <c r="Q72" i="1" s="1"/>
  <c r="T72" i="1" l="1"/>
  <c r="V72" i="1" s="1"/>
  <c r="S72" i="1"/>
  <c r="U72" i="1" s="1"/>
  <c r="W72" i="1" l="1"/>
  <c r="X72" i="1" s="1"/>
  <c r="Y72" i="1" s="1"/>
  <c r="Z72" i="1" s="1"/>
  <c r="AA72" i="1" l="1"/>
  <c r="J73" i="1"/>
  <c r="M73" i="1"/>
  <c r="AB72" i="1" l="1"/>
  <c r="AC72" i="1" s="1"/>
  <c r="AD72" i="1" s="1"/>
  <c r="L73" i="1"/>
  <c r="K76" i="1"/>
  <c r="AF72" i="1" l="1"/>
  <c r="P73" i="1"/>
  <c r="R73" i="1" s="1"/>
  <c r="N73" i="1"/>
  <c r="O73" i="1" s="1"/>
  <c r="Q73" i="1" s="1"/>
  <c r="T73" i="1" l="1"/>
  <c r="V73" i="1" s="1"/>
  <c r="S73" i="1"/>
  <c r="U73" i="1" s="1"/>
  <c r="W73" i="1" l="1"/>
  <c r="X73" i="1" s="1"/>
  <c r="Y73" i="1" s="1"/>
  <c r="Z73" i="1" s="1"/>
  <c r="J74" i="1" l="1"/>
  <c r="AA73" i="1"/>
  <c r="M74" i="1"/>
  <c r="AB73" i="1" l="1"/>
  <c r="AC73" i="1" s="1"/>
  <c r="AD73" i="1" s="1"/>
  <c r="K77" i="1"/>
  <c r="L74" i="1"/>
  <c r="AF73" i="1" l="1"/>
  <c r="N74" i="1"/>
  <c r="O74" i="1" s="1"/>
  <c r="Q74" i="1" s="1"/>
  <c r="P74" i="1"/>
  <c r="R74" i="1" s="1"/>
  <c r="T74" i="1" l="1"/>
  <c r="V74" i="1" s="1"/>
  <c r="S74" i="1"/>
  <c r="U74" i="1" s="1"/>
  <c r="W74" i="1" s="1"/>
  <c r="X74" i="1" l="1"/>
  <c r="Y74" i="1" s="1"/>
  <c r="Z74" i="1" s="1"/>
  <c r="J75" i="1" l="1"/>
  <c r="AA74" i="1"/>
  <c r="M75" i="1"/>
  <c r="AB74" i="1" l="1"/>
  <c r="AC74" i="1" s="1"/>
  <c r="AD74" i="1" s="1"/>
  <c r="K78" i="1"/>
  <c r="L75" i="1"/>
  <c r="AF74" i="1" l="1"/>
  <c r="N75" i="1"/>
  <c r="O75" i="1" s="1"/>
  <c r="Q75" i="1" s="1"/>
  <c r="P75" i="1"/>
  <c r="R75" i="1" s="1"/>
  <c r="S75" i="1" l="1"/>
  <c r="U75" i="1" s="1"/>
  <c r="T75" i="1"/>
  <c r="V75" i="1" s="1"/>
  <c r="W75" i="1" l="1"/>
  <c r="X75" i="1" s="1"/>
  <c r="Y75" i="1" s="1"/>
  <c r="Z75" i="1" s="1"/>
  <c r="AA75" i="1" l="1"/>
  <c r="J76" i="1"/>
  <c r="M76" i="1"/>
  <c r="AB75" i="1" l="1"/>
  <c r="AC75" i="1" s="1"/>
  <c r="AD75" i="1" s="1"/>
  <c r="K79" i="1"/>
  <c r="L76" i="1"/>
  <c r="AF75" i="1" l="1"/>
  <c r="N76" i="1"/>
  <c r="O76" i="1" s="1"/>
  <c r="Q76" i="1" s="1"/>
  <c r="P76" i="1"/>
  <c r="R76" i="1" s="1"/>
  <c r="T76" i="1" l="1"/>
  <c r="V76" i="1" s="1"/>
  <c r="S76" i="1"/>
  <c r="U76" i="1" s="1"/>
  <c r="W76" i="1" l="1"/>
  <c r="X76" i="1" s="1"/>
  <c r="Y76" i="1" s="1"/>
  <c r="Z76" i="1" s="1"/>
  <c r="J77" i="1" l="1"/>
  <c r="AA76" i="1"/>
  <c r="M77" i="1"/>
  <c r="AB76" i="1" l="1"/>
  <c r="AC76" i="1" s="1"/>
  <c r="AD76" i="1" s="1"/>
  <c r="L77" i="1"/>
  <c r="K80" i="1"/>
  <c r="AF76" i="1" l="1"/>
  <c r="N77" i="1"/>
  <c r="O77" i="1" s="1"/>
  <c r="Q77" i="1" s="1"/>
  <c r="P77" i="1"/>
  <c r="R77" i="1" s="1"/>
  <c r="S77" i="1" l="1"/>
  <c r="U77" i="1" s="1"/>
  <c r="T77" i="1"/>
  <c r="V77" i="1" s="1"/>
  <c r="W77" i="1" l="1"/>
  <c r="X77" i="1" s="1"/>
  <c r="Y77" i="1" s="1"/>
  <c r="Z77" i="1" s="1"/>
  <c r="J78" i="1" l="1"/>
  <c r="AA77" i="1"/>
  <c r="M78" i="1"/>
  <c r="AB77" i="1" l="1"/>
  <c r="AC77" i="1" s="1"/>
  <c r="AD77" i="1" s="1"/>
  <c r="K81" i="1"/>
  <c r="L78" i="1"/>
  <c r="AF77" i="1" l="1"/>
  <c r="N78" i="1"/>
  <c r="O78" i="1" s="1"/>
  <c r="Q78" i="1" s="1"/>
  <c r="P78" i="1"/>
  <c r="R78" i="1" s="1"/>
  <c r="S78" i="1" l="1"/>
  <c r="U78" i="1" s="1"/>
  <c r="T78" i="1"/>
  <c r="V78" i="1" s="1"/>
  <c r="W78" i="1" l="1"/>
  <c r="X78" i="1" s="1"/>
  <c r="Y78" i="1" s="1"/>
  <c r="Z78" i="1" s="1"/>
  <c r="J79" i="1" l="1"/>
  <c r="AA78" i="1"/>
  <c r="M79" i="1"/>
  <c r="AB78" i="1" l="1"/>
  <c r="AC78" i="1" s="1"/>
  <c r="AD78" i="1" s="1"/>
  <c r="L79" i="1"/>
  <c r="K82" i="1"/>
  <c r="AF78" i="1" l="1"/>
  <c r="N79" i="1"/>
  <c r="O79" i="1" s="1"/>
  <c r="Q79" i="1" s="1"/>
  <c r="P79" i="1"/>
  <c r="R79" i="1" s="1"/>
  <c r="T79" i="1" l="1"/>
  <c r="V79" i="1" s="1"/>
  <c r="S79" i="1"/>
  <c r="U79" i="1" s="1"/>
  <c r="W79" i="1" s="1"/>
  <c r="X79" i="1" l="1"/>
  <c r="Y79" i="1" s="1"/>
  <c r="Z79" i="1" s="1"/>
  <c r="J80" i="1" l="1"/>
  <c r="AA79" i="1"/>
  <c r="M80" i="1"/>
  <c r="AB79" i="1" l="1"/>
  <c r="AC79" i="1" s="1"/>
  <c r="AD79" i="1" s="1"/>
  <c r="K83" i="1"/>
  <c r="L80" i="1"/>
  <c r="AF79" i="1" l="1"/>
  <c r="N80" i="1"/>
  <c r="O80" i="1" s="1"/>
  <c r="Q80" i="1" s="1"/>
  <c r="P80" i="1"/>
  <c r="R80" i="1" s="1"/>
  <c r="T80" i="1" l="1"/>
  <c r="V80" i="1" s="1"/>
  <c r="S80" i="1"/>
  <c r="U80" i="1" s="1"/>
  <c r="W80" i="1" l="1"/>
  <c r="X80" i="1" s="1"/>
  <c r="Y80" i="1" s="1"/>
  <c r="Z80" i="1" s="1"/>
  <c r="J81" i="1" l="1"/>
  <c r="AA80" i="1"/>
  <c r="M81" i="1"/>
  <c r="AB80" i="1" l="1"/>
  <c r="AC80" i="1" s="1"/>
  <c r="AD80" i="1" s="1"/>
  <c r="K84" i="1"/>
  <c r="L81" i="1"/>
  <c r="AF80" i="1" l="1"/>
  <c r="P81" i="1"/>
  <c r="R81" i="1" s="1"/>
  <c r="N81" i="1"/>
  <c r="O81" i="1" s="1"/>
  <c r="Q81" i="1" s="1"/>
  <c r="S81" i="1" l="1"/>
  <c r="U81" i="1" s="1"/>
  <c r="T81" i="1"/>
  <c r="V81" i="1" s="1"/>
  <c r="W81" i="1" l="1"/>
  <c r="X81" i="1" s="1"/>
  <c r="Y81" i="1" s="1"/>
  <c r="Z81" i="1" s="1"/>
  <c r="AA81" i="1" l="1"/>
  <c r="J82" i="1"/>
  <c r="M82" i="1"/>
  <c r="AB81" i="1" l="1"/>
  <c r="AC81" i="1" s="1"/>
  <c r="AD81" i="1" s="1"/>
  <c r="L82" i="1"/>
  <c r="K85" i="1"/>
  <c r="AF81" i="1" l="1"/>
  <c r="N82" i="1"/>
  <c r="O82" i="1" s="1"/>
  <c r="Q82" i="1" s="1"/>
  <c r="P82" i="1"/>
  <c r="R82" i="1" s="1"/>
  <c r="S82" i="1" l="1"/>
  <c r="U82" i="1" s="1"/>
  <c r="T82" i="1"/>
  <c r="V82" i="1" s="1"/>
  <c r="W82" i="1" l="1"/>
  <c r="X82" i="1" s="1"/>
  <c r="Y82" i="1" s="1"/>
  <c r="Z82" i="1" s="1"/>
  <c r="AA82" i="1" l="1"/>
  <c r="J83" i="1"/>
  <c r="M83" i="1"/>
  <c r="AB82" i="1" l="1"/>
  <c r="AC82" i="1" s="1"/>
  <c r="AD82" i="1" s="1"/>
  <c r="L83" i="1"/>
  <c r="K86" i="1"/>
  <c r="AF82" i="1" l="1"/>
  <c r="N83" i="1"/>
  <c r="O83" i="1" s="1"/>
  <c r="Q83" i="1" s="1"/>
  <c r="P83" i="1"/>
  <c r="R83" i="1" s="1"/>
  <c r="S83" i="1" l="1"/>
  <c r="U83" i="1" s="1"/>
  <c r="T83" i="1"/>
  <c r="V83" i="1" s="1"/>
  <c r="W83" i="1" l="1"/>
  <c r="X83" i="1" s="1"/>
  <c r="Y83" i="1" s="1"/>
  <c r="Z83" i="1" s="1"/>
  <c r="J84" i="1" l="1"/>
  <c r="AA83" i="1"/>
  <c r="M84" i="1"/>
  <c r="AB83" i="1" l="1"/>
  <c r="AC83" i="1" s="1"/>
  <c r="AD83" i="1" s="1"/>
  <c r="K87" i="1"/>
  <c r="L84" i="1"/>
  <c r="AF83" i="1" l="1"/>
  <c r="N84" i="1"/>
  <c r="O84" i="1" s="1"/>
  <c r="Q84" i="1" s="1"/>
  <c r="P84" i="1"/>
  <c r="R84" i="1" s="1"/>
  <c r="T84" i="1" l="1"/>
  <c r="V84" i="1" s="1"/>
  <c r="S84" i="1"/>
  <c r="U84" i="1" s="1"/>
  <c r="W84" i="1" l="1"/>
  <c r="X84" i="1" s="1"/>
  <c r="Y84" i="1" s="1"/>
  <c r="Z84" i="1" s="1"/>
  <c r="AA84" i="1" l="1"/>
  <c r="J85" i="1"/>
  <c r="M85" i="1"/>
  <c r="AB84" i="1" l="1"/>
  <c r="AC84" i="1" s="1"/>
  <c r="AD84" i="1" s="1"/>
  <c r="L85" i="1"/>
  <c r="K88" i="1"/>
  <c r="AF84" i="1" l="1"/>
  <c r="P85" i="1"/>
  <c r="R85" i="1" s="1"/>
  <c r="N85" i="1"/>
  <c r="O85" i="1" s="1"/>
  <c r="Q85" i="1" s="1"/>
  <c r="T85" i="1" l="1"/>
  <c r="V85" i="1" s="1"/>
  <c r="S85" i="1"/>
  <c r="U85" i="1" s="1"/>
  <c r="W85" i="1" l="1"/>
  <c r="X85" i="1" s="1"/>
  <c r="Y85" i="1" s="1"/>
  <c r="Z85" i="1" s="1"/>
  <c r="AA85" i="1" l="1"/>
  <c r="J86" i="1"/>
  <c r="M86" i="1"/>
  <c r="AB85" i="1" l="1"/>
  <c r="AC85" i="1" s="1"/>
  <c r="AD85" i="1" s="1"/>
  <c r="K89" i="1"/>
  <c r="L86" i="1"/>
  <c r="AF85" i="1" l="1"/>
  <c r="N86" i="1"/>
  <c r="O86" i="1" s="1"/>
  <c r="Q86" i="1" s="1"/>
  <c r="P86" i="1"/>
  <c r="R86" i="1" s="1"/>
  <c r="S86" i="1" l="1"/>
  <c r="U86" i="1" s="1"/>
  <c r="T86" i="1"/>
  <c r="V86" i="1" s="1"/>
  <c r="W86" i="1" l="1"/>
  <c r="X86" i="1" s="1"/>
  <c r="Y86" i="1" s="1"/>
  <c r="Z86" i="1" s="1"/>
  <c r="AA86" i="1" l="1"/>
  <c r="J87" i="1"/>
  <c r="M87" i="1"/>
  <c r="AB86" i="1" l="1"/>
  <c r="AC86" i="1" s="1"/>
  <c r="AD86" i="1" s="1"/>
  <c r="K90" i="1"/>
  <c r="L87" i="1"/>
  <c r="AF86" i="1" l="1"/>
  <c r="P87" i="1"/>
  <c r="R87" i="1" s="1"/>
  <c r="N87" i="1"/>
  <c r="O87" i="1" s="1"/>
  <c r="Q87" i="1" s="1"/>
  <c r="T87" i="1" l="1"/>
  <c r="V87" i="1" s="1"/>
  <c r="S87" i="1"/>
  <c r="U87" i="1" s="1"/>
  <c r="W87" i="1" s="1"/>
  <c r="X87" i="1" l="1"/>
  <c r="Y87" i="1" s="1"/>
  <c r="Z87" i="1" s="1"/>
  <c r="AA87" i="1" l="1"/>
  <c r="J88" i="1"/>
  <c r="M88" i="1"/>
  <c r="AB87" i="1" l="1"/>
  <c r="AC87" i="1" s="1"/>
  <c r="AD87" i="1" s="1"/>
  <c r="K91" i="1"/>
  <c r="L88" i="1"/>
  <c r="AF87" i="1" l="1"/>
  <c r="P88" i="1"/>
  <c r="R88" i="1" s="1"/>
  <c r="N88" i="1"/>
  <c r="O88" i="1" s="1"/>
  <c r="Q88" i="1" s="1"/>
  <c r="T88" i="1" l="1"/>
  <c r="V88" i="1" s="1"/>
  <c r="S88" i="1"/>
  <c r="U88" i="1" s="1"/>
  <c r="W88" i="1" l="1"/>
  <c r="X88" i="1" s="1"/>
  <c r="Y88" i="1" s="1"/>
  <c r="Z88" i="1" s="1"/>
  <c r="J89" i="1" l="1"/>
  <c r="AA88" i="1"/>
  <c r="M89" i="1"/>
  <c r="AB88" i="1" l="1"/>
  <c r="AC88" i="1" s="1"/>
  <c r="AD88" i="1" s="1"/>
  <c r="K92" i="1"/>
  <c r="L89" i="1"/>
  <c r="AF88" i="1" l="1"/>
  <c r="N89" i="1"/>
  <c r="O89" i="1" s="1"/>
  <c r="Q89" i="1" s="1"/>
  <c r="P89" i="1"/>
  <c r="R89" i="1" s="1"/>
  <c r="S89" i="1" l="1"/>
  <c r="U89" i="1" s="1"/>
  <c r="T89" i="1"/>
  <c r="V89" i="1" l="1"/>
  <c r="W89" i="1" s="1"/>
  <c r="X89" i="1" l="1"/>
  <c r="Y89" i="1" s="1"/>
  <c r="Z89" i="1" s="1"/>
  <c r="AA89" i="1" l="1"/>
  <c r="J90" i="1"/>
  <c r="M90" i="1"/>
  <c r="AB89" i="1" l="1"/>
  <c r="AC89" i="1" s="1"/>
  <c r="AD89" i="1" s="1"/>
  <c r="K93" i="1"/>
  <c r="L90" i="1"/>
  <c r="AF89" i="1" l="1"/>
  <c r="P90" i="1"/>
  <c r="R90" i="1" s="1"/>
  <c r="N90" i="1"/>
  <c r="O90" i="1" s="1"/>
  <c r="Q90" i="1" s="1"/>
  <c r="T90" i="1" l="1"/>
  <c r="V90" i="1" s="1"/>
  <c r="S90" i="1"/>
  <c r="U90" i="1" s="1"/>
  <c r="W90" i="1" s="1"/>
  <c r="X90" i="1" l="1"/>
  <c r="Y90" i="1" s="1"/>
  <c r="Z90" i="1" s="1"/>
  <c r="AA90" i="1" l="1"/>
  <c r="J91" i="1"/>
  <c r="M91" i="1"/>
  <c r="AB90" i="1" l="1"/>
  <c r="AC90" i="1" s="1"/>
  <c r="AD90" i="1" s="1"/>
  <c r="L91" i="1"/>
  <c r="K94" i="1"/>
  <c r="AF90" i="1" l="1"/>
  <c r="P91" i="1"/>
  <c r="R91" i="1" s="1"/>
  <c r="N91" i="1"/>
  <c r="O91" i="1" s="1"/>
  <c r="Q91" i="1" s="1"/>
  <c r="S91" i="1" l="1"/>
  <c r="U91" i="1" s="1"/>
  <c r="T91" i="1"/>
  <c r="V91" i="1" s="1"/>
  <c r="W91" i="1" l="1"/>
  <c r="X91" i="1" s="1"/>
  <c r="Y91" i="1" s="1"/>
  <c r="Z91" i="1" s="1"/>
  <c r="AA91" i="1" l="1"/>
  <c r="J92" i="1"/>
  <c r="M92" i="1"/>
  <c r="AB91" i="1" l="1"/>
  <c r="AC91" i="1" s="1"/>
  <c r="AD91" i="1" s="1"/>
  <c r="K95" i="1"/>
  <c r="L92" i="1"/>
  <c r="AF91" i="1" l="1"/>
  <c r="P92" i="1"/>
  <c r="R92" i="1" s="1"/>
  <c r="N92" i="1"/>
  <c r="O92" i="1" s="1"/>
  <c r="Q92" i="1" s="1"/>
  <c r="S92" i="1" l="1"/>
  <c r="U92" i="1" s="1"/>
  <c r="T92" i="1"/>
  <c r="V92" i="1" s="1"/>
  <c r="W92" i="1" l="1"/>
  <c r="X92" i="1" s="1"/>
  <c r="Y92" i="1" s="1"/>
  <c r="Z92" i="1" s="1"/>
  <c r="J93" i="1" l="1"/>
  <c r="AA92" i="1"/>
  <c r="M93" i="1"/>
  <c r="AB92" i="1" l="1"/>
  <c r="AC92" i="1" s="1"/>
  <c r="AD92" i="1" s="1"/>
  <c r="L93" i="1"/>
  <c r="K96" i="1"/>
  <c r="AF92" i="1" l="1"/>
  <c r="N93" i="1"/>
  <c r="O93" i="1" s="1"/>
  <c r="Q93" i="1" s="1"/>
  <c r="P93" i="1"/>
  <c r="R93" i="1" s="1"/>
  <c r="S93" i="1" l="1"/>
  <c r="U93" i="1" s="1"/>
  <c r="T93" i="1"/>
  <c r="V93" i="1" s="1"/>
  <c r="W93" i="1" l="1"/>
  <c r="X93" i="1" s="1"/>
  <c r="Y93" i="1" s="1"/>
  <c r="Z93" i="1" s="1"/>
  <c r="AA93" i="1" l="1"/>
  <c r="J94" i="1"/>
  <c r="M94" i="1"/>
  <c r="AB93" i="1" l="1"/>
  <c r="AC93" i="1" s="1"/>
  <c r="AD93" i="1" s="1"/>
  <c r="L94" i="1"/>
  <c r="K97" i="1"/>
  <c r="AF93" i="1" l="1"/>
  <c r="N94" i="1"/>
  <c r="O94" i="1" s="1"/>
  <c r="Q94" i="1" s="1"/>
  <c r="P94" i="1"/>
  <c r="R94" i="1" s="1"/>
  <c r="T94" i="1" l="1"/>
  <c r="V94" i="1" s="1"/>
  <c r="S94" i="1"/>
  <c r="U94" i="1" s="1"/>
  <c r="W94" i="1" l="1"/>
  <c r="X94" i="1" s="1"/>
  <c r="Y94" i="1" s="1"/>
  <c r="Z94" i="1" s="1"/>
  <c r="J95" i="1" l="1"/>
  <c r="AA94" i="1"/>
  <c r="M95" i="1"/>
  <c r="AB94" i="1" l="1"/>
  <c r="AC94" i="1" s="1"/>
  <c r="AD94" i="1" s="1"/>
  <c r="K98" i="1"/>
  <c r="L95" i="1"/>
  <c r="AF94" i="1" l="1"/>
  <c r="P95" i="1"/>
  <c r="R95" i="1" s="1"/>
  <c r="N95" i="1"/>
  <c r="O95" i="1" s="1"/>
  <c r="Q95" i="1" s="1"/>
  <c r="S95" i="1" l="1"/>
  <c r="U95" i="1" s="1"/>
  <c r="T95" i="1"/>
  <c r="V95" i="1" s="1"/>
  <c r="W95" i="1" l="1"/>
  <c r="X95" i="1" s="1"/>
  <c r="Y95" i="1" s="1"/>
  <c r="Z95" i="1" s="1"/>
  <c r="AA95" i="1" l="1"/>
  <c r="J96" i="1"/>
  <c r="M96" i="1"/>
  <c r="AB95" i="1" l="1"/>
  <c r="AC95" i="1" s="1"/>
  <c r="AD95" i="1" s="1"/>
  <c r="L96" i="1"/>
  <c r="K99" i="1"/>
  <c r="AF95" i="1" l="1"/>
  <c r="N96" i="1"/>
  <c r="O96" i="1" s="1"/>
  <c r="Q96" i="1" s="1"/>
  <c r="P96" i="1"/>
  <c r="R96" i="1" s="1"/>
  <c r="S96" i="1" l="1"/>
  <c r="U96" i="1" s="1"/>
  <c r="T96" i="1"/>
  <c r="V96" i="1" s="1"/>
  <c r="W96" i="1" l="1"/>
  <c r="X96" i="1" s="1"/>
  <c r="Y96" i="1" s="1"/>
  <c r="Z96" i="1" s="1"/>
  <c r="J97" i="1" l="1"/>
  <c r="AA96" i="1"/>
  <c r="M97" i="1"/>
  <c r="AB96" i="1" l="1"/>
  <c r="AC96" i="1" s="1"/>
  <c r="AD96" i="1" s="1"/>
  <c r="K100" i="1"/>
  <c r="L97" i="1"/>
  <c r="AF96" i="1" l="1"/>
  <c r="N97" i="1"/>
  <c r="O97" i="1" s="1"/>
  <c r="Q97" i="1" s="1"/>
  <c r="P97" i="1"/>
  <c r="R97" i="1" s="1"/>
  <c r="S97" i="1" l="1"/>
  <c r="U97" i="1" s="1"/>
  <c r="T97" i="1"/>
  <c r="V97" i="1" s="1"/>
  <c r="W97" i="1" l="1"/>
  <c r="X97" i="1" s="1"/>
  <c r="Y97" i="1" s="1"/>
  <c r="Z97" i="1" s="1"/>
  <c r="AA97" i="1" l="1"/>
  <c r="J98" i="1"/>
  <c r="M98" i="1"/>
  <c r="AB97" i="1" l="1"/>
  <c r="AC97" i="1" s="1"/>
  <c r="AD97" i="1" s="1"/>
  <c r="L98" i="1"/>
  <c r="K101" i="1"/>
  <c r="AF97" i="1" l="1"/>
  <c r="P98" i="1"/>
  <c r="R98" i="1" s="1"/>
  <c r="N98" i="1"/>
  <c r="O98" i="1" s="1"/>
  <c r="Q98" i="1" s="1"/>
  <c r="T98" i="1" l="1"/>
  <c r="V98" i="1" s="1"/>
  <c r="S98" i="1"/>
  <c r="U98" i="1" s="1"/>
  <c r="W98" i="1" l="1"/>
  <c r="X98" i="1" s="1"/>
  <c r="Y98" i="1" s="1"/>
  <c r="Z98" i="1" s="1"/>
  <c r="AA98" i="1" l="1"/>
  <c r="J99" i="1"/>
  <c r="M99" i="1"/>
  <c r="AB98" i="1" l="1"/>
  <c r="AC98" i="1" s="1"/>
  <c r="AD98" i="1" s="1"/>
  <c r="L99" i="1"/>
  <c r="K102" i="1"/>
  <c r="AF98" i="1" l="1"/>
  <c r="P99" i="1"/>
  <c r="R99" i="1" s="1"/>
  <c r="N99" i="1"/>
  <c r="O99" i="1" s="1"/>
  <c r="Q99" i="1" s="1"/>
  <c r="T99" i="1" l="1"/>
  <c r="V99" i="1" s="1"/>
  <c r="S99" i="1"/>
  <c r="U99" i="1" s="1"/>
  <c r="W99" i="1" l="1"/>
  <c r="X99" i="1" s="1"/>
  <c r="Y99" i="1" s="1"/>
  <c r="Z99" i="1" s="1"/>
  <c r="J100" i="1" l="1"/>
  <c r="AA99" i="1"/>
  <c r="M100" i="1"/>
  <c r="AB99" i="1" l="1"/>
  <c r="AC99" i="1" s="1"/>
  <c r="AD99" i="1" s="1"/>
  <c r="L100" i="1"/>
  <c r="K103" i="1"/>
  <c r="AF99" i="1" l="1"/>
  <c r="P100" i="1"/>
  <c r="R100" i="1" s="1"/>
  <c r="N100" i="1"/>
  <c r="O100" i="1" s="1"/>
  <c r="Q100" i="1" s="1"/>
  <c r="S100" i="1" l="1"/>
  <c r="U100" i="1" s="1"/>
  <c r="T100" i="1"/>
  <c r="V100" i="1" s="1"/>
  <c r="W100" i="1" l="1"/>
  <c r="X100" i="1" s="1"/>
  <c r="Y100" i="1" s="1"/>
  <c r="Z100" i="1" s="1"/>
  <c r="AA100" i="1" l="1"/>
  <c r="J101" i="1"/>
  <c r="M101" i="1"/>
  <c r="AB100" i="1" l="1"/>
  <c r="AC100" i="1" s="1"/>
  <c r="AD100" i="1" s="1"/>
  <c r="K104" i="1"/>
  <c r="L101" i="1"/>
  <c r="AF100" i="1" l="1"/>
  <c r="P101" i="1"/>
  <c r="R101" i="1" s="1"/>
  <c r="N101" i="1"/>
  <c r="O101" i="1" s="1"/>
  <c r="Q101" i="1" s="1"/>
  <c r="S101" i="1" l="1"/>
  <c r="U101" i="1" s="1"/>
  <c r="T101" i="1"/>
  <c r="V101" i="1" s="1"/>
  <c r="W101" i="1" l="1"/>
  <c r="X101" i="1" s="1"/>
  <c r="Y101" i="1" s="1"/>
  <c r="Z101" i="1" s="1"/>
  <c r="J102" i="1" l="1"/>
  <c r="AA101" i="1"/>
  <c r="M102" i="1"/>
  <c r="AB101" i="1" l="1"/>
  <c r="AC101" i="1" s="1"/>
  <c r="AD101" i="1" s="1"/>
  <c r="L102" i="1"/>
  <c r="K105" i="1"/>
  <c r="AF101" i="1" l="1"/>
  <c r="N102" i="1"/>
  <c r="O102" i="1" s="1"/>
  <c r="Q102" i="1" s="1"/>
  <c r="P102" i="1"/>
  <c r="R102" i="1" s="1"/>
  <c r="T102" i="1" l="1"/>
  <c r="V102" i="1" s="1"/>
  <c r="S102" i="1"/>
  <c r="U102" i="1" l="1"/>
  <c r="W102" i="1" s="1"/>
  <c r="X102" i="1" l="1"/>
  <c r="Y102" i="1" s="1"/>
  <c r="Z102" i="1" s="1"/>
  <c r="J103" i="1" l="1"/>
  <c r="AA102" i="1"/>
  <c r="M103" i="1"/>
  <c r="AB102" i="1" l="1"/>
  <c r="AC102" i="1" s="1"/>
  <c r="AD102" i="1" s="1"/>
  <c r="L103" i="1"/>
  <c r="K106" i="1"/>
  <c r="AF102" i="1" l="1"/>
  <c r="N103" i="1"/>
  <c r="O103" i="1" s="1"/>
  <c r="Q103" i="1" s="1"/>
  <c r="P103" i="1"/>
  <c r="R103" i="1" s="1"/>
  <c r="S103" i="1" l="1"/>
  <c r="U103" i="1" s="1"/>
  <c r="T103" i="1"/>
  <c r="V103" i="1" s="1"/>
  <c r="W103" i="1" l="1"/>
  <c r="X103" i="1" s="1"/>
  <c r="Y103" i="1" s="1"/>
  <c r="Z103" i="1" s="1"/>
  <c r="J104" i="1" l="1"/>
  <c r="AA103" i="1"/>
  <c r="M104" i="1"/>
  <c r="AB103" i="1" l="1"/>
  <c r="AC103" i="1" s="1"/>
  <c r="AD103" i="1" s="1"/>
  <c r="L104" i="1"/>
  <c r="K107" i="1"/>
  <c r="AF103" i="1" l="1"/>
  <c r="N104" i="1"/>
  <c r="O104" i="1" s="1"/>
  <c r="Q104" i="1" s="1"/>
  <c r="P104" i="1"/>
  <c r="R104" i="1" s="1"/>
  <c r="T104" i="1" l="1"/>
  <c r="V104" i="1" s="1"/>
  <c r="S104" i="1"/>
  <c r="U104" i="1" s="1"/>
  <c r="W104" i="1" l="1"/>
  <c r="X104" i="1" s="1"/>
  <c r="Y104" i="1" s="1"/>
  <c r="Z104" i="1" s="1"/>
  <c r="J105" i="1" l="1"/>
  <c r="AA104" i="1"/>
  <c r="M105" i="1"/>
  <c r="AB104" i="1" l="1"/>
  <c r="AC104" i="1" s="1"/>
  <c r="AD104" i="1" s="1"/>
  <c r="K108" i="1"/>
  <c r="L105" i="1"/>
  <c r="AF104" i="1" l="1"/>
  <c r="N105" i="1"/>
  <c r="O105" i="1" s="1"/>
  <c r="Q105" i="1" s="1"/>
  <c r="P105" i="1"/>
  <c r="R105" i="1" s="1"/>
  <c r="S105" i="1" l="1"/>
  <c r="U105" i="1" s="1"/>
  <c r="T105" i="1"/>
  <c r="V105" i="1" s="1"/>
  <c r="W105" i="1" l="1"/>
  <c r="X105" i="1" s="1"/>
  <c r="Y105" i="1" s="1"/>
  <c r="Z105" i="1" s="1"/>
  <c r="AA105" i="1" l="1"/>
  <c r="J106" i="1"/>
  <c r="M106" i="1"/>
  <c r="AB105" i="1" l="1"/>
  <c r="AC105" i="1" s="1"/>
  <c r="AD105" i="1" s="1"/>
  <c r="L106" i="1"/>
  <c r="K109" i="1"/>
  <c r="AF105" i="1" l="1"/>
  <c r="N106" i="1"/>
  <c r="O106" i="1" s="1"/>
  <c r="Q106" i="1" s="1"/>
  <c r="P106" i="1"/>
  <c r="R106" i="1" s="1"/>
  <c r="T106" i="1" l="1"/>
  <c r="V106" i="1" s="1"/>
  <c r="S106" i="1"/>
  <c r="U106" i="1" s="1"/>
  <c r="W106" i="1" l="1"/>
  <c r="X106" i="1" s="1"/>
  <c r="Y106" i="1" s="1"/>
  <c r="Z106" i="1" s="1"/>
  <c r="AA106" i="1" l="1"/>
  <c r="J107" i="1"/>
  <c r="M107" i="1"/>
  <c r="AB106" i="1" l="1"/>
  <c r="AC106" i="1" s="1"/>
  <c r="AD106" i="1" s="1"/>
  <c r="L107" i="1"/>
  <c r="K110" i="1"/>
  <c r="AF106" i="1" l="1"/>
  <c r="P107" i="1"/>
  <c r="R107" i="1" s="1"/>
  <c r="N107" i="1"/>
  <c r="O107" i="1" s="1"/>
  <c r="Q107" i="1" s="1"/>
  <c r="T107" i="1" l="1"/>
  <c r="V107" i="1" s="1"/>
  <c r="S107" i="1"/>
  <c r="U107" i="1" s="1"/>
  <c r="W107" i="1" l="1"/>
  <c r="X107" i="1" s="1"/>
  <c r="Y107" i="1" s="1"/>
  <c r="Z107" i="1" s="1"/>
  <c r="J108" i="1" l="1"/>
  <c r="AA107" i="1"/>
  <c r="M108" i="1"/>
  <c r="AB107" i="1" l="1"/>
  <c r="AC107" i="1" s="1"/>
  <c r="AD107" i="1" s="1"/>
  <c r="L108" i="1"/>
  <c r="K111" i="1"/>
  <c r="AF107" i="1" l="1"/>
  <c r="N108" i="1"/>
  <c r="O108" i="1" s="1"/>
  <c r="Q108" i="1" s="1"/>
  <c r="P108" i="1"/>
  <c r="R108" i="1" s="1"/>
  <c r="S108" i="1" l="1"/>
  <c r="U108" i="1" s="1"/>
  <c r="T108" i="1"/>
  <c r="V108" i="1" s="1"/>
  <c r="W108" i="1" l="1"/>
  <c r="X108" i="1" s="1"/>
  <c r="Y108" i="1" s="1"/>
  <c r="Z108" i="1" s="1"/>
  <c r="AA108" i="1" l="1"/>
  <c r="J109" i="1"/>
  <c r="M109" i="1"/>
  <c r="AB108" i="1" l="1"/>
  <c r="AC108" i="1" s="1"/>
  <c r="AD108" i="1" s="1"/>
  <c r="L109" i="1"/>
  <c r="K112" i="1"/>
  <c r="AF108" i="1" l="1"/>
  <c r="N109" i="1"/>
  <c r="O109" i="1" s="1"/>
  <c r="Q109" i="1" s="1"/>
  <c r="P109" i="1"/>
  <c r="R109" i="1" s="1"/>
  <c r="S109" i="1" l="1"/>
  <c r="U109" i="1" s="1"/>
  <c r="T109" i="1"/>
  <c r="V109" i="1" s="1"/>
  <c r="W109" i="1" l="1"/>
  <c r="X109" i="1" s="1"/>
  <c r="Y109" i="1" s="1"/>
  <c r="Z109" i="1" s="1"/>
  <c r="J110" i="1" l="1"/>
  <c r="AA109" i="1"/>
  <c r="M110" i="1"/>
  <c r="AB109" i="1" l="1"/>
  <c r="AC109" i="1" s="1"/>
  <c r="AD109" i="1" s="1"/>
  <c r="L110" i="1"/>
  <c r="K113" i="1"/>
  <c r="AF109" i="1" l="1"/>
  <c r="N110" i="1"/>
  <c r="O110" i="1" s="1"/>
  <c r="Q110" i="1" s="1"/>
  <c r="P110" i="1"/>
  <c r="R110" i="1" s="1"/>
  <c r="T110" i="1" l="1"/>
  <c r="V110" i="1" s="1"/>
  <c r="S110" i="1"/>
  <c r="U110" i="1" s="1"/>
  <c r="W110" i="1" s="1"/>
  <c r="X110" i="1" l="1"/>
  <c r="Y110" i="1" s="1"/>
  <c r="Z110" i="1" s="1"/>
  <c r="AA110" i="1" l="1"/>
  <c r="J111" i="1"/>
  <c r="M111" i="1"/>
  <c r="AB110" i="1" l="1"/>
  <c r="AC110" i="1" s="1"/>
  <c r="AD110" i="1" s="1"/>
  <c r="L111" i="1"/>
  <c r="K114" i="1"/>
  <c r="AF110" i="1" l="1"/>
  <c r="N111" i="1"/>
  <c r="O111" i="1" s="1"/>
  <c r="Q111" i="1" s="1"/>
  <c r="P111" i="1"/>
  <c r="R111" i="1" s="1"/>
  <c r="T111" i="1" l="1"/>
  <c r="V111" i="1" s="1"/>
  <c r="S111" i="1"/>
  <c r="U111" i="1" s="1"/>
  <c r="W111" i="1" l="1"/>
  <c r="X111" i="1" s="1"/>
  <c r="Y111" i="1" s="1"/>
  <c r="Z111" i="1" s="1"/>
  <c r="AA111" i="1" l="1"/>
  <c r="J112" i="1"/>
  <c r="M112" i="1"/>
  <c r="AB111" i="1" l="1"/>
  <c r="AC111" i="1" s="1"/>
  <c r="AD111" i="1" s="1"/>
  <c r="L112" i="1"/>
  <c r="K115" i="1"/>
  <c r="AF111" i="1" l="1"/>
  <c r="N112" i="1"/>
  <c r="O112" i="1" s="1"/>
  <c r="Q112" i="1" s="1"/>
  <c r="P112" i="1"/>
  <c r="R112" i="1" s="1"/>
  <c r="T112" i="1" l="1"/>
  <c r="V112" i="1" s="1"/>
  <c r="S112" i="1"/>
  <c r="U112" i="1" s="1"/>
  <c r="W112" i="1" s="1"/>
  <c r="X112" i="1" l="1"/>
  <c r="Y112" i="1" s="1"/>
  <c r="Z112" i="1" s="1"/>
  <c r="J113" i="1" l="1"/>
  <c r="AA112" i="1"/>
  <c r="M113" i="1"/>
  <c r="AB112" i="1" l="1"/>
  <c r="AC112" i="1" s="1"/>
  <c r="AD112" i="1" s="1"/>
  <c r="L113" i="1"/>
  <c r="K116" i="1"/>
  <c r="AF112" i="1" l="1"/>
  <c r="N113" i="1"/>
  <c r="O113" i="1" s="1"/>
  <c r="Q113" i="1" s="1"/>
  <c r="P113" i="1"/>
  <c r="R113" i="1" s="1"/>
  <c r="T113" i="1" l="1"/>
  <c r="V113" i="1" s="1"/>
  <c r="S113" i="1"/>
  <c r="U113" i="1" s="1"/>
  <c r="W113" i="1" s="1"/>
  <c r="X113" i="1" l="1"/>
  <c r="Y113" i="1" s="1"/>
  <c r="Z113" i="1" s="1"/>
  <c r="AA113" i="1" l="1"/>
  <c r="J114" i="1"/>
  <c r="M114" i="1"/>
  <c r="AB113" i="1" l="1"/>
  <c r="AC113" i="1" s="1"/>
  <c r="AD113" i="1" s="1"/>
  <c r="L114" i="1"/>
  <c r="K117" i="1"/>
  <c r="AF113" i="1" l="1"/>
  <c r="N114" i="1"/>
  <c r="O114" i="1" s="1"/>
  <c r="Q114" i="1" s="1"/>
  <c r="P114" i="1"/>
  <c r="R114" i="1" s="1"/>
  <c r="T114" i="1" l="1"/>
  <c r="V114" i="1" s="1"/>
  <c r="S114" i="1"/>
  <c r="U114" i="1" l="1"/>
  <c r="W114" i="1" s="1"/>
  <c r="X114" i="1" l="1"/>
  <c r="Y114" i="1" s="1"/>
  <c r="Z114" i="1" s="1"/>
  <c r="J115" i="1" l="1"/>
  <c r="AA114" i="1"/>
  <c r="M115" i="1"/>
  <c r="AB114" i="1" l="1"/>
  <c r="AC114" i="1" s="1"/>
  <c r="AD114" i="1" s="1"/>
  <c r="L115" i="1"/>
  <c r="K118" i="1"/>
  <c r="AF114" i="1" l="1"/>
  <c r="P115" i="1"/>
  <c r="R115" i="1" s="1"/>
  <c r="N115" i="1"/>
  <c r="O115" i="1" s="1"/>
  <c r="Q115" i="1" s="1"/>
  <c r="T115" i="1" l="1"/>
  <c r="V115" i="1" s="1"/>
  <c r="S115" i="1"/>
  <c r="U115" i="1" s="1"/>
  <c r="W115" i="1" s="1"/>
  <c r="X115" i="1" l="1"/>
  <c r="Y115" i="1" s="1"/>
  <c r="Z115" i="1" s="1"/>
  <c r="AA115" i="1" l="1"/>
  <c r="J116" i="1"/>
  <c r="M116" i="1"/>
  <c r="AB115" i="1" l="1"/>
  <c r="AC115" i="1" s="1"/>
  <c r="AD115" i="1" s="1"/>
  <c r="L116" i="1"/>
  <c r="K119" i="1"/>
  <c r="AF115" i="1" l="1"/>
  <c r="N116" i="1"/>
  <c r="O116" i="1" s="1"/>
  <c r="Q116" i="1" s="1"/>
  <c r="P116" i="1"/>
  <c r="R116" i="1" s="1"/>
  <c r="T116" i="1" l="1"/>
  <c r="V116" i="1" s="1"/>
  <c r="S116" i="1"/>
  <c r="U116" i="1" s="1"/>
  <c r="W116" i="1" l="1"/>
  <c r="X116" i="1" s="1"/>
  <c r="Y116" i="1" s="1"/>
  <c r="Z116" i="1" s="1"/>
  <c r="AA116" i="1" l="1"/>
  <c r="J117" i="1"/>
  <c r="M117" i="1"/>
  <c r="AB116" i="1" l="1"/>
  <c r="AC116" i="1" s="1"/>
  <c r="AD116" i="1" s="1"/>
  <c r="L117" i="1"/>
  <c r="K120" i="1"/>
  <c r="AF116" i="1" l="1"/>
  <c r="P117" i="1"/>
  <c r="R117" i="1" s="1"/>
  <c r="N117" i="1"/>
  <c r="O117" i="1" s="1"/>
  <c r="Q117" i="1" s="1"/>
  <c r="S117" i="1" l="1"/>
  <c r="U117" i="1" s="1"/>
  <c r="T117" i="1"/>
  <c r="V117" i="1" s="1"/>
  <c r="W117" i="1" l="1"/>
  <c r="X117" i="1" s="1"/>
  <c r="Y117" i="1" s="1"/>
  <c r="Z117" i="1" s="1"/>
  <c r="AA117" i="1" l="1"/>
  <c r="J118" i="1"/>
  <c r="M118" i="1"/>
  <c r="AB117" i="1" l="1"/>
  <c r="AC117" i="1" s="1"/>
  <c r="AD117" i="1" s="1"/>
  <c r="K121" i="1"/>
  <c r="L118" i="1"/>
  <c r="AF117" i="1" l="1"/>
  <c r="N118" i="1"/>
  <c r="O118" i="1" s="1"/>
  <c r="Q118" i="1" s="1"/>
  <c r="P118" i="1"/>
  <c r="R118" i="1" s="1"/>
  <c r="T118" i="1" l="1"/>
  <c r="V118" i="1" s="1"/>
  <c r="S118" i="1"/>
  <c r="U118" i="1" l="1"/>
  <c r="W118" i="1" s="1"/>
  <c r="X118" i="1" l="1"/>
  <c r="Y118" i="1" s="1"/>
  <c r="Z118" i="1" s="1"/>
  <c r="J119" i="1" l="1"/>
  <c r="AA118" i="1"/>
  <c r="M119" i="1"/>
  <c r="AB118" i="1" l="1"/>
  <c r="AC118" i="1" s="1"/>
  <c r="AD118" i="1" s="1"/>
  <c r="L119" i="1"/>
  <c r="K122" i="1"/>
  <c r="AF118" i="1" l="1"/>
  <c r="N119" i="1"/>
  <c r="O119" i="1" s="1"/>
  <c r="Q119" i="1" s="1"/>
  <c r="P119" i="1"/>
  <c r="R119" i="1" s="1"/>
  <c r="T119" i="1" l="1"/>
  <c r="V119" i="1" s="1"/>
  <c r="S119" i="1"/>
  <c r="U119" i="1" s="1"/>
  <c r="W119" i="1" l="1"/>
  <c r="X119" i="1" s="1"/>
  <c r="Y119" i="1" s="1"/>
  <c r="Z119" i="1" s="1"/>
  <c r="AA119" i="1" l="1"/>
  <c r="J120" i="1"/>
  <c r="M120" i="1"/>
  <c r="AB119" i="1" l="1"/>
  <c r="AC119" i="1" s="1"/>
  <c r="AD119" i="1" s="1"/>
  <c r="L120" i="1"/>
  <c r="K123" i="1"/>
  <c r="AF119" i="1" l="1"/>
  <c r="N120" i="1"/>
  <c r="O120" i="1" s="1"/>
  <c r="Q120" i="1" s="1"/>
  <c r="P120" i="1"/>
  <c r="R120" i="1" s="1"/>
  <c r="S120" i="1" l="1"/>
  <c r="U120" i="1" s="1"/>
  <c r="T120" i="1"/>
  <c r="V120" i="1" s="1"/>
  <c r="W120" i="1" l="1"/>
  <c r="X120" i="1" s="1"/>
  <c r="Y120" i="1" s="1"/>
  <c r="Z120" i="1" s="1"/>
  <c r="J121" i="1" l="1"/>
  <c r="AA120" i="1"/>
  <c r="M121" i="1"/>
  <c r="AB120" i="1" l="1"/>
  <c r="AC120" i="1" s="1"/>
  <c r="AD120" i="1" s="1"/>
  <c r="L121" i="1"/>
  <c r="K124" i="1"/>
  <c r="AF120" i="1" l="1"/>
  <c r="P121" i="1"/>
  <c r="R121" i="1" s="1"/>
  <c r="N121" i="1"/>
  <c r="O121" i="1" s="1"/>
  <c r="Q121" i="1" s="1"/>
  <c r="S121" i="1" l="1"/>
  <c r="U121" i="1" s="1"/>
  <c r="T121" i="1"/>
  <c r="V121" i="1" s="1"/>
  <c r="W121" i="1" l="1"/>
  <c r="X121" i="1" s="1"/>
  <c r="Y121" i="1" s="1"/>
  <c r="Z121" i="1" s="1"/>
  <c r="AA121" i="1" l="1"/>
  <c r="J122" i="1"/>
  <c r="M122" i="1"/>
  <c r="AB121" i="1" l="1"/>
  <c r="AC121" i="1" s="1"/>
  <c r="AD121" i="1" s="1"/>
  <c r="K125" i="1"/>
  <c r="L122" i="1"/>
  <c r="AF121" i="1" l="1"/>
  <c r="P122" i="1"/>
  <c r="R122" i="1" s="1"/>
  <c r="N122" i="1"/>
  <c r="O122" i="1" s="1"/>
  <c r="Q122" i="1" s="1"/>
  <c r="S122" i="1" l="1"/>
  <c r="U122" i="1" s="1"/>
  <c r="T122" i="1"/>
  <c r="V122" i="1" s="1"/>
  <c r="W122" i="1" l="1"/>
  <c r="X122" i="1" s="1"/>
  <c r="Y122" i="1" s="1"/>
  <c r="Z122" i="1" s="1"/>
  <c r="J123" i="1" l="1"/>
  <c r="AA122" i="1"/>
  <c r="M123" i="1"/>
  <c r="AB122" i="1" l="1"/>
  <c r="AC122" i="1" s="1"/>
  <c r="AD122" i="1" s="1"/>
  <c r="K126" i="1"/>
  <c r="L123" i="1"/>
  <c r="AF122" i="1" l="1"/>
  <c r="P123" i="1"/>
  <c r="R123" i="1" s="1"/>
  <c r="N123" i="1"/>
  <c r="O123" i="1" s="1"/>
  <c r="Q123" i="1" s="1"/>
  <c r="S123" i="1" l="1"/>
  <c r="U123" i="1" s="1"/>
  <c r="T123" i="1"/>
  <c r="V123" i="1" s="1"/>
  <c r="W123" i="1" l="1"/>
  <c r="X123" i="1" s="1"/>
  <c r="Y123" i="1" s="1"/>
  <c r="Z123" i="1" s="1"/>
  <c r="AA123" i="1" l="1"/>
  <c r="J124" i="1"/>
  <c r="M124" i="1"/>
  <c r="AB123" i="1" l="1"/>
  <c r="AC123" i="1" s="1"/>
  <c r="AD123" i="1" s="1"/>
  <c r="L124" i="1"/>
  <c r="K127" i="1"/>
  <c r="AF123" i="1" l="1"/>
  <c r="P124" i="1"/>
  <c r="R124" i="1" s="1"/>
  <c r="N124" i="1"/>
  <c r="O124" i="1" s="1"/>
  <c r="Q124" i="1" s="1"/>
  <c r="T124" i="1" l="1"/>
  <c r="V124" i="1" s="1"/>
  <c r="S124" i="1"/>
  <c r="U124" i="1" s="1"/>
  <c r="W124" i="1" s="1"/>
  <c r="X124" i="1" l="1"/>
  <c r="Y124" i="1" s="1"/>
  <c r="Z124" i="1" s="1"/>
  <c r="AA124" i="1" l="1"/>
  <c r="J125" i="1"/>
  <c r="M125" i="1"/>
  <c r="AB124" i="1" l="1"/>
  <c r="AC124" i="1" s="1"/>
  <c r="AD124" i="1" s="1"/>
  <c r="L125" i="1"/>
  <c r="K128" i="1"/>
  <c r="AF124" i="1" l="1"/>
  <c r="P125" i="1"/>
  <c r="R125" i="1" s="1"/>
  <c r="N125" i="1"/>
  <c r="O125" i="1" s="1"/>
  <c r="Q125" i="1" s="1"/>
  <c r="S125" i="1" l="1"/>
  <c r="U125" i="1" s="1"/>
  <c r="T125" i="1"/>
  <c r="V125" i="1" s="1"/>
  <c r="W125" i="1" l="1"/>
  <c r="X125" i="1" s="1"/>
  <c r="Y125" i="1" s="1"/>
  <c r="Z125" i="1" s="1"/>
  <c r="AA125" i="1" l="1"/>
  <c r="J126" i="1"/>
  <c r="M126" i="1"/>
  <c r="AB125" i="1" l="1"/>
  <c r="AC125" i="1" s="1"/>
  <c r="AD125" i="1" s="1"/>
  <c r="L126" i="1"/>
  <c r="K129" i="1"/>
  <c r="AF125" i="1" l="1"/>
  <c r="N126" i="1"/>
  <c r="O126" i="1" s="1"/>
  <c r="Q126" i="1" s="1"/>
  <c r="P126" i="1"/>
  <c r="R126" i="1" s="1"/>
  <c r="S126" i="1" l="1"/>
  <c r="U126" i="1" s="1"/>
  <c r="T126" i="1"/>
  <c r="V126" i="1" s="1"/>
  <c r="W126" i="1" l="1"/>
  <c r="X126" i="1" s="1"/>
  <c r="Y126" i="1" s="1"/>
  <c r="Z126" i="1" s="1"/>
  <c r="AA126" i="1" l="1"/>
  <c r="J127" i="1"/>
  <c r="M127" i="1"/>
  <c r="AB126" i="1" l="1"/>
  <c r="AC126" i="1" s="1"/>
  <c r="AD126" i="1" s="1"/>
  <c r="L127" i="1"/>
  <c r="K130" i="1"/>
  <c r="AF126" i="1" l="1"/>
  <c r="P127" i="1"/>
  <c r="R127" i="1" s="1"/>
  <c r="N127" i="1"/>
  <c r="O127" i="1" s="1"/>
  <c r="Q127" i="1" s="1"/>
  <c r="T127" i="1" l="1"/>
  <c r="V127" i="1" s="1"/>
  <c r="S127" i="1"/>
  <c r="U127" i="1" s="1"/>
  <c r="W127" i="1" s="1"/>
  <c r="X127" i="1" l="1"/>
  <c r="Y127" i="1" s="1"/>
  <c r="Z127" i="1" s="1"/>
  <c r="AA127" i="1" l="1"/>
  <c r="J128" i="1"/>
  <c r="M128" i="1"/>
  <c r="AB127" i="1" l="1"/>
  <c r="AC127" i="1" s="1"/>
  <c r="AD127" i="1" s="1"/>
  <c r="K131" i="1"/>
  <c r="L128" i="1"/>
  <c r="AF127" i="1" l="1"/>
  <c r="N128" i="1"/>
  <c r="O128" i="1" s="1"/>
  <c r="Q128" i="1" s="1"/>
  <c r="P128" i="1"/>
  <c r="R128" i="1" s="1"/>
  <c r="S128" i="1" l="1"/>
  <c r="U128" i="1" s="1"/>
  <c r="T128" i="1"/>
  <c r="V128" i="1" s="1"/>
  <c r="W128" i="1" l="1"/>
  <c r="X128" i="1" s="1"/>
  <c r="Y128" i="1" s="1"/>
  <c r="Z128" i="1" s="1"/>
  <c r="AA128" i="1" l="1"/>
  <c r="J129" i="1"/>
  <c r="M129" i="1"/>
  <c r="AB128" i="1" l="1"/>
  <c r="AC128" i="1" s="1"/>
  <c r="AD128" i="1" s="1"/>
  <c r="K132" i="1"/>
  <c r="L129" i="1"/>
  <c r="AF128" i="1" l="1"/>
  <c r="N129" i="1"/>
  <c r="O129" i="1" s="1"/>
  <c r="Q129" i="1" s="1"/>
  <c r="P129" i="1"/>
  <c r="R129" i="1" s="1"/>
  <c r="T129" i="1" l="1"/>
  <c r="V129" i="1" s="1"/>
  <c r="S129" i="1"/>
  <c r="U129" i="1" s="1"/>
  <c r="W129" i="1" l="1"/>
  <c r="X129" i="1" s="1"/>
  <c r="Y129" i="1" s="1"/>
  <c r="Z129" i="1" s="1"/>
  <c r="J130" i="1" l="1"/>
  <c r="AA129" i="1"/>
  <c r="M130" i="1"/>
  <c r="AB129" i="1" l="1"/>
  <c r="AC129" i="1" s="1"/>
  <c r="AD129" i="1" s="1"/>
  <c r="L130" i="1"/>
  <c r="K133" i="1"/>
  <c r="AF129" i="1" l="1"/>
  <c r="P130" i="1"/>
  <c r="R130" i="1" s="1"/>
  <c r="N130" i="1"/>
  <c r="O130" i="1" s="1"/>
  <c r="Q130" i="1" s="1"/>
  <c r="T130" i="1" l="1"/>
  <c r="V130" i="1" s="1"/>
  <c r="S130" i="1"/>
  <c r="U130" i="1" s="1"/>
  <c r="W130" i="1" l="1"/>
  <c r="X130" i="1" s="1"/>
  <c r="Y130" i="1" s="1"/>
  <c r="Z130" i="1" s="1"/>
  <c r="J131" i="1" l="1"/>
  <c r="AA130" i="1"/>
  <c r="M131" i="1"/>
  <c r="AB130" i="1" l="1"/>
  <c r="AC130" i="1" s="1"/>
  <c r="AD130" i="1" s="1"/>
  <c r="K134" i="1"/>
  <c r="L131" i="1"/>
  <c r="AF130" i="1" l="1"/>
  <c r="N131" i="1"/>
  <c r="O131" i="1" s="1"/>
  <c r="Q131" i="1" s="1"/>
  <c r="P131" i="1"/>
  <c r="R131" i="1" s="1"/>
  <c r="S131" i="1" l="1"/>
  <c r="T131" i="1"/>
  <c r="V131" i="1" s="1"/>
  <c r="U131" i="1" l="1"/>
  <c r="W131" i="1" s="1"/>
  <c r="X131" i="1" l="1"/>
  <c r="Y131" i="1" s="1"/>
  <c r="Z131" i="1" s="1"/>
  <c r="AA131" i="1" l="1"/>
  <c r="J132" i="1"/>
  <c r="M132" i="1"/>
  <c r="AB131" i="1" l="1"/>
  <c r="AC131" i="1" s="1"/>
  <c r="AD131" i="1" s="1"/>
  <c r="K135" i="1"/>
  <c r="L132" i="1"/>
  <c r="AF131" i="1" l="1"/>
  <c r="N132" i="1"/>
  <c r="O132" i="1" s="1"/>
  <c r="Q132" i="1" s="1"/>
  <c r="P132" i="1"/>
  <c r="R132" i="1" s="1"/>
  <c r="S132" i="1" l="1"/>
  <c r="U132" i="1" s="1"/>
  <c r="T132" i="1"/>
  <c r="V132" i="1" s="1"/>
  <c r="W132" i="1" l="1"/>
  <c r="X132" i="1" s="1"/>
  <c r="Y132" i="1" s="1"/>
  <c r="Z132" i="1" s="1"/>
  <c r="AA132" i="1" l="1"/>
  <c r="J133" i="1"/>
  <c r="M133" i="1"/>
  <c r="AB132" i="1" l="1"/>
  <c r="AC132" i="1" s="1"/>
  <c r="AD132" i="1" s="1"/>
  <c r="K136" i="1"/>
  <c r="L133" i="1"/>
  <c r="AF132" i="1" l="1"/>
  <c r="P133" i="1"/>
  <c r="R133" i="1" s="1"/>
  <c r="N133" i="1"/>
  <c r="O133" i="1" s="1"/>
  <c r="Q133" i="1" s="1"/>
  <c r="T133" i="1" l="1"/>
  <c r="V133" i="1" s="1"/>
  <c r="S133" i="1"/>
  <c r="U133" i="1" s="1"/>
  <c r="W133" i="1" l="1"/>
  <c r="X133" i="1" s="1"/>
  <c r="Y133" i="1" s="1"/>
  <c r="Z133" i="1" s="1"/>
  <c r="AA133" i="1" l="1"/>
  <c r="J134" i="1"/>
  <c r="M134" i="1"/>
  <c r="AB133" i="1" l="1"/>
  <c r="AC133" i="1" s="1"/>
  <c r="AD133" i="1" s="1"/>
  <c r="L134" i="1"/>
  <c r="K137" i="1"/>
  <c r="AF133" i="1" l="1"/>
  <c r="P134" i="1"/>
  <c r="R134" i="1" s="1"/>
  <c r="N134" i="1"/>
  <c r="O134" i="1" s="1"/>
  <c r="Q134" i="1" s="1"/>
  <c r="T134" i="1" l="1"/>
  <c r="V134" i="1" s="1"/>
  <c r="S134" i="1"/>
  <c r="U134" i="1" s="1"/>
  <c r="W134" i="1" l="1"/>
  <c r="X134" i="1" s="1"/>
  <c r="Y134" i="1" s="1"/>
  <c r="Z134" i="1" s="1"/>
  <c r="J135" i="1" l="1"/>
  <c r="AA134" i="1"/>
  <c r="M135" i="1"/>
  <c r="AB134" i="1" l="1"/>
  <c r="AC134" i="1" s="1"/>
  <c r="AD134" i="1" s="1"/>
  <c r="L135" i="1"/>
  <c r="K138" i="1"/>
  <c r="AF134" i="1" l="1"/>
  <c r="N135" i="1"/>
  <c r="O135" i="1" s="1"/>
  <c r="Q135" i="1" s="1"/>
  <c r="P135" i="1"/>
  <c r="R135" i="1" s="1"/>
  <c r="S135" i="1" l="1"/>
  <c r="U135" i="1" s="1"/>
  <c r="T135" i="1"/>
  <c r="V135" i="1" s="1"/>
  <c r="W135" i="1" l="1"/>
  <c r="X135" i="1" s="1"/>
  <c r="Y135" i="1" s="1"/>
  <c r="Z135" i="1" s="1"/>
  <c r="AA135" i="1" l="1"/>
  <c r="J136" i="1"/>
  <c r="M136" i="1"/>
  <c r="AB135" i="1" l="1"/>
  <c r="AC135" i="1" s="1"/>
  <c r="AD135" i="1" s="1"/>
  <c r="L136" i="1"/>
  <c r="K139" i="1"/>
  <c r="AF135" i="1" l="1"/>
  <c r="N136" i="1"/>
  <c r="O136" i="1" s="1"/>
  <c r="Q136" i="1" s="1"/>
  <c r="P136" i="1"/>
  <c r="R136" i="1" s="1"/>
  <c r="S136" i="1" l="1"/>
  <c r="U136" i="1" s="1"/>
  <c r="T136" i="1"/>
  <c r="V136" i="1" s="1"/>
  <c r="W136" i="1" l="1"/>
  <c r="X136" i="1" s="1"/>
  <c r="Y136" i="1" s="1"/>
  <c r="Z136" i="1" s="1"/>
  <c r="AA136" i="1" l="1"/>
  <c r="J137" i="1"/>
  <c r="M137" i="1"/>
  <c r="AB136" i="1" l="1"/>
  <c r="AC136" i="1" s="1"/>
  <c r="AD136" i="1" s="1"/>
  <c r="L137" i="1"/>
  <c r="K140" i="1"/>
  <c r="AF136" i="1" l="1"/>
  <c r="P137" i="1"/>
  <c r="R137" i="1" s="1"/>
  <c r="N137" i="1"/>
  <c r="O137" i="1" s="1"/>
  <c r="Q137" i="1" s="1"/>
  <c r="S137" i="1" l="1"/>
  <c r="U137" i="1" s="1"/>
  <c r="T137" i="1"/>
  <c r="V137" i="1" s="1"/>
  <c r="W137" i="1" l="1"/>
  <c r="X137" i="1" s="1"/>
  <c r="Y137" i="1" s="1"/>
  <c r="Z137" i="1" s="1"/>
  <c r="AA137" i="1" l="1"/>
  <c r="J138" i="1"/>
  <c r="M138" i="1"/>
  <c r="AB137" i="1" l="1"/>
  <c r="AC137" i="1" s="1"/>
  <c r="AD137" i="1" s="1"/>
  <c r="L138" i="1"/>
  <c r="K141" i="1"/>
  <c r="AF137" i="1" l="1"/>
  <c r="P138" i="1"/>
  <c r="R138" i="1" s="1"/>
  <c r="N138" i="1"/>
  <c r="O138" i="1" s="1"/>
  <c r="Q138" i="1" s="1"/>
  <c r="S138" i="1" l="1"/>
  <c r="U138" i="1" s="1"/>
  <c r="T138" i="1"/>
  <c r="V138" i="1" s="1"/>
  <c r="W138" i="1" l="1"/>
  <c r="X138" i="1" s="1"/>
  <c r="Y138" i="1" s="1"/>
  <c r="Z138" i="1" s="1"/>
  <c r="AA138" i="1" l="1"/>
  <c r="J139" i="1"/>
  <c r="M139" i="1"/>
  <c r="AB138" i="1" l="1"/>
  <c r="AC138" i="1" s="1"/>
  <c r="AD138" i="1" s="1"/>
  <c r="L139" i="1"/>
  <c r="K142" i="1"/>
  <c r="AF138" i="1" l="1"/>
  <c r="P139" i="1"/>
  <c r="R139" i="1" s="1"/>
  <c r="N139" i="1"/>
  <c r="O139" i="1" s="1"/>
  <c r="Q139" i="1" s="1"/>
  <c r="S139" i="1" l="1"/>
  <c r="U139" i="1" s="1"/>
  <c r="T139" i="1"/>
  <c r="V139" i="1" s="1"/>
  <c r="W139" i="1" l="1"/>
  <c r="X139" i="1" s="1"/>
  <c r="Y139" i="1" s="1"/>
  <c r="Z139" i="1" s="1"/>
  <c r="AA139" i="1" l="1"/>
  <c r="J140" i="1"/>
  <c r="M140" i="1"/>
  <c r="AB139" i="1" l="1"/>
  <c r="AC139" i="1" s="1"/>
  <c r="AD139" i="1" s="1"/>
  <c r="L140" i="1"/>
  <c r="K143" i="1"/>
  <c r="AF139" i="1" l="1"/>
  <c r="P140" i="1"/>
  <c r="R140" i="1" s="1"/>
  <c r="N140" i="1"/>
  <c r="O140" i="1" s="1"/>
  <c r="Q140" i="1" s="1"/>
  <c r="T140" i="1" l="1"/>
  <c r="V140" i="1" s="1"/>
  <c r="S140" i="1"/>
  <c r="U140" i="1" s="1"/>
  <c r="W140" i="1" l="1"/>
  <c r="X140" i="1" s="1"/>
  <c r="Y140" i="1" s="1"/>
  <c r="Z140" i="1" s="1"/>
  <c r="AA140" i="1" l="1"/>
  <c r="J141" i="1"/>
  <c r="M141" i="1"/>
  <c r="AB140" i="1" l="1"/>
  <c r="AC140" i="1" s="1"/>
  <c r="AD140" i="1" s="1"/>
  <c r="L141" i="1"/>
  <c r="K144" i="1"/>
  <c r="AF140" i="1" l="1"/>
  <c r="N141" i="1"/>
  <c r="O141" i="1" s="1"/>
  <c r="Q141" i="1" s="1"/>
  <c r="P141" i="1"/>
  <c r="R141" i="1" s="1"/>
  <c r="S141" i="1" l="1"/>
  <c r="U141" i="1" s="1"/>
  <c r="T141" i="1"/>
  <c r="V141" i="1" s="1"/>
  <c r="W141" i="1" l="1"/>
  <c r="X141" i="1" s="1"/>
  <c r="Y141" i="1" s="1"/>
  <c r="Z141" i="1" s="1"/>
  <c r="AA141" i="1" l="1"/>
  <c r="J142" i="1"/>
  <c r="M142" i="1"/>
  <c r="AB141" i="1" l="1"/>
  <c r="AC141" i="1" s="1"/>
  <c r="AD141" i="1" s="1"/>
  <c r="K145" i="1"/>
  <c r="L142" i="1"/>
  <c r="AF141" i="1" l="1"/>
  <c r="P142" i="1"/>
  <c r="R142" i="1" s="1"/>
  <c r="N142" i="1"/>
  <c r="O142" i="1" s="1"/>
  <c r="Q142" i="1" s="1"/>
  <c r="S142" i="1" l="1"/>
  <c r="U142" i="1" s="1"/>
  <c r="T142" i="1"/>
  <c r="V142" i="1" s="1"/>
  <c r="W142" i="1" l="1"/>
  <c r="X142" i="1" s="1"/>
  <c r="Y142" i="1" s="1"/>
  <c r="Z142" i="1" s="1"/>
  <c r="AA142" i="1" l="1"/>
  <c r="J143" i="1"/>
  <c r="M143" i="1"/>
  <c r="AB142" i="1" l="1"/>
  <c r="AC142" i="1" s="1"/>
  <c r="AD142" i="1" s="1"/>
  <c r="L143" i="1"/>
  <c r="K146" i="1"/>
  <c r="AF142" i="1" l="1"/>
  <c r="P143" i="1"/>
  <c r="R143" i="1" s="1"/>
  <c r="N143" i="1"/>
  <c r="O143" i="1" s="1"/>
  <c r="Q143" i="1" s="1"/>
  <c r="T143" i="1" l="1"/>
  <c r="V143" i="1" s="1"/>
  <c r="S143" i="1"/>
  <c r="U143" i="1" s="1"/>
  <c r="W143" i="1" l="1"/>
  <c r="X143" i="1" s="1"/>
  <c r="Y143" i="1" s="1"/>
  <c r="Z143" i="1" s="1"/>
  <c r="J144" i="1" l="1"/>
  <c r="AA143" i="1"/>
  <c r="M144" i="1"/>
  <c r="AB143" i="1" l="1"/>
  <c r="AC143" i="1" s="1"/>
  <c r="AD143" i="1" s="1"/>
  <c r="K147" i="1"/>
  <c r="L144" i="1"/>
  <c r="AF143" i="1" l="1"/>
  <c r="N144" i="1"/>
  <c r="O144" i="1" s="1"/>
  <c r="Q144" i="1" s="1"/>
  <c r="P144" i="1"/>
  <c r="R144" i="1" s="1"/>
  <c r="S144" i="1" l="1"/>
  <c r="U144" i="1" s="1"/>
  <c r="T144" i="1"/>
  <c r="V144" i="1" s="1"/>
  <c r="W144" i="1" l="1"/>
  <c r="X144" i="1" s="1"/>
  <c r="Y144" i="1" s="1"/>
  <c r="Z144" i="1" s="1"/>
  <c r="J145" i="1" l="1"/>
  <c r="AA144" i="1"/>
  <c r="M145" i="1"/>
  <c r="AB144" i="1" l="1"/>
  <c r="AC144" i="1" s="1"/>
  <c r="AD144" i="1" s="1"/>
  <c r="L145" i="1"/>
  <c r="K148" i="1"/>
  <c r="AF144" i="1" l="1"/>
  <c r="N145" i="1"/>
  <c r="O145" i="1" s="1"/>
  <c r="Q145" i="1" s="1"/>
  <c r="P145" i="1"/>
  <c r="R145" i="1" s="1"/>
  <c r="S145" i="1" l="1"/>
  <c r="U145" i="1" s="1"/>
  <c r="T145" i="1"/>
  <c r="V145" i="1" s="1"/>
  <c r="W145" i="1" l="1"/>
  <c r="X145" i="1" s="1"/>
  <c r="Y145" i="1" s="1"/>
  <c r="Z145" i="1" s="1"/>
  <c r="AA145" i="1" l="1"/>
  <c r="J146" i="1"/>
  <c r="M146" i="1"/>
  <c r="AB145" i="1" l="1"/>
  <c r="AC145" i="1" s="1"/>
  <c r="AD145" i="1" s="1"/>
  <c r="L146" i="1"/>
  <c r="K149" i="1"/>
  <c r="AF145" i="1" l="1"/>
  <c r="N146" i="1"/>
  <c r="O146" i="1" s="1"/>
  <c r="Q146" i="1" s="1"/>
  <c r="P146" i="1"/>
  <c r="R146" i="1" s="1"/>
  <c r="S146" i="1" l="1"/>
  <c r="U146" i="1" s="1"/>
  <c r="T146" i="1"/>
  <c r="V146" i="1" s="1"/>
  <c r="W146" i="1" l="1"/>
  <c r="X146" i="1" s="1"/>
  <c r="Y146" i="1" s="1"/>
  <c r="Z146" i="1" s="1"/>
  <c r="AA146" i="1" l="1"/>
  <c r="J147" i="1"/>
  <c r="M147" i="1"/>
  <c r="AB146" i="1" l="1"/>
  <c r="AC146" i="1" s="1"/>
  <c r="AD146" i="1" s="1"/>
  <c r="L147" i="1"/>
  <c r="K150" i="1"/>
  <c r="AF146" i="1" l="1"/>
  <c r="P147" i="1"/>
  <c r="R147" i="1" s="1"/>
  <c r="N147" i="1"/>
  <c r="O147" i="1" s="1"/>
  <c r="Q147" i="1" s="1"/>
  <c r="S147" i="1" l="1"/>
  <c r="U147" i="1" s="1"/>
  <c r="T147" i="1"/>
  <c r="V147" i="1" s="1"/>
  <c r="W147" i="1" l="1"/>
  <c r="X147" i="1" s="1"/>
  <c r="Y147" i="1" s="1"/>
  <c r="Z147" i="1" s="1"/>
  <c r="AA147" i="1" l="1"/>
  <c r="J148" i="1"/>
  <c r="M148" i="1"/>
  <c r="AB147" i="1" l="1"/>
  <c r="AC147" i="1" s="1"/>
  <c r="AD147" i="1" s="1"/>
  <c r="L148" i="1"/>
  <c r="K151" i="1"/>
  <c r="AF147" i="1" l="1"/>
  <c r="N148" i="1"/>
  <c r="O148" i="1" s="1"/>
  <c r="Q148" i="1" s="1"/>
  <c r="P148" i="1"/>
  <c r="R148" i="1" s="1"/>
  <c r="T148" i="1" l="1"/>
  <c r="V148" i="1" s="1"/>
  <c r="S148" i="1"/>
  <c r="U148" i="1" s="1"/>
  <c r="W148" i="1" l="1"/>
  <c r="X148" i="1" s="1"/>
  <c r="Y148" i="1" s="1"/>
  <c r="Z148" i="1" s="1"/>
  <c r="AA148" i="1" l="1"/>
  <c r="J149" i="1"/>
  <c r="M149" i="1"/>
  <c r="AB148" i="1" l="1"/>
  <c r="AC148" i="1" s="1"/>
  <c r="AD148" i="1" s="1"/>
  <c r="K152" i="1"/>
  <c r="L149" i="1"/>
  <c r="AF148" i="1" l="1"/>
  <c r="P149" i="1"/>
  <c r="R149" i="1" s="1"/>
  <c r="N149" i="1"/>
  <c r="O149" i="1" s="1"/>
  <c r="Q149" i="1" s="1"/>
  <c r="S149" i="1" l="1"/>
  <c r="U149" i="1" s="1"/>
  <c r="T149" i="1"/>
  <c r="V149" i="1" s="1"/>
  <c r="W149" i="1" l="1"/>
  <c r="X149" i="1" s="1"/>
  <c r="Y149" i="1" s="1"/>
  <c r="Z149" i="1" s="1"/>
  <c r="AA149" i="1" l="1"/>
  <c r="J150" i="1"/>
  <c r="M150" i="1"/>
  <c r="AB149" i="1" l="1"/>
  <c r="AC149" i="1" s="1"/>
  <c r="AD149" i="1" s="1"/>
  <c r="L150" i="1"/>
  <c r="K153" i="1"/>
  <c r="AF149" i="1" l="1"/>
  <c r="P150" i="1"/>
  <c r="R150" i="1" s="1"/>
  <c r="N150" i="1"/>
  <c r="O150" i="1" s="1"/>
  <c r="Q150" i="1" s="1"/>
  <c r="T150" i="1" l="1"/>
  <c r="V150" i="1" s="1"/>
  <c r="S150" i="1"/>
  <c r="U150" i="1" s="1"/>
  <c r="W150" i="1" l="1"/>
  <c r="X150" i="1" s="1"/>
  <c r="Y150" i="1" s="1"/>
  <c r="Z150" i="1" s="1"/>
  <c r="J151" i="1" l="1"/>
  <c r="AA150" i="1"/>
  <c r="M151" i="1"/>
  <c r="AB150" i="1" l="1"/>
  <c r="AC150" i="1" s="1"/>
  <c r="AD150" i="1" s="1"/>
  <c r="L151" i="1"/>
  <c r="K154" i="1"/>
  <c r="AF150" i="1" l="1"/>
  <c r="N151" i="1"/>
  <c r="O151" i="1" s="1"/>
  <c r="Q151" i="1" s="1"/>
  <c r="P151" i="1"/>
  <c r="R151" i="1" s="1"/>
  <c r="T151" i="1" l="1"/>
  <c r="V151" i="1" s="1"/>
  <c r="S151" i="1"/>
  <c r="U151" i="1" s="1"/>
  <c r="W151" i="1" s="1"/>
  <c r="X151" i="1" l="1"/>
  <c r="Y151" i="1" s="1"/>
  <c r="Z151" i="1" s="1"/>
  <c r="AA151" i="1" l="1"/>
  <c r="J152" i="1"/>
  <c r="M152" i="1"/>
  <c r="AB151" i="1" l="1"/>
  <c r="AC151" i="1" s="1"/>
  <c r="AD151" i="1" s="1"/>
  <c r="K155" i="1"/>
  <c r="L152" i="1"/>
  <c r="AF151" i="1" l="1"/>
  <c r="P152" i="1"/>
  <c r="R152" i="1" s="1"/>
  <c r="N152" i="1"/>
  <c r="O152" i="1" s="1"/>
  <c r="Q152" i="1" s="1"/>
  <c r="S152" i="1" l="1"/>
  <c r="U152" i="1" s="1"/>
  <c r="T152" i="1"/>
  <c r="V152" i="1" s="1"/>
  <c r="W152" i="1" l="1"/>
  <c r="X152" i="1" s="1"/>
  <c r="Y152" i="1" s="1"/>
  <c r="Z152" i="1" s="1"/>
  <c r="J153" i="1" l="1"/>
  <c r="AA152" i="1"/>
  <c r="M153" i="1"/>
  <c r="AB152" i="1" l="1"/>
  <c r="AC152" i="1" s="1"/>
  <c r="AD152" i="1" s="1"/>
  <c r="L153" i="1"/>
  <c r="K156" i="1"/>
  <c r="AF152" i="1" l="1"/>
  <c r="P153" i="1"/>
  <c r="R153" i="1" s="1"/>
  <c r="N153" i="1"/>
  <c r="O153" i="1" s="1"/>
  <c r="Q153" i="1" s="1"/>
  <c r="S153" i="1" l="1"/>
  <c r="U153" i="1" s="1"/>
  <c r="T153" i="1"/>
  <c r="V153" i="1" s="1"/>
  <c r="W153" i="1" l="1"/>
  <c r="X153" i="1" s="1"/>
  <c r="Y153" i="1" s="1"/>
  <c r="Z153" i="1" s="1"/>
  <c r="AA153" i="1" l="1"/>
  <c r="J154" i="1"/>
  <c r="M154" i="1"/>
  <c r="AB153" i="1" l="1"/>
  <c r="AC153" i="1" s="1"/>
  <c r="AD153" i="1" s="1"/>
  <c r="L154" i="1"/>
  <c r="K157" i="1"/>
  <c r="AF153" i="1" l="1"/>
  <c r="P154" i="1"/>
  <c r="R154" i="1" s="1"/>
  <c r="N154" i="1"/>
  <c r="O154" i="1" s="1"/>
  <c r="Q154" i="1" s="1"/>
  <c r="S154" i="1" l="1"/>
  <c r="U154" i="1" s="1"/>
  <c r="T154" i="1"/>
  <c r="V154" i="1" s="1"/>
  <c r="W154" i="1" l="1"/>
  <c r="X154" i="1" s="1"/>
  <c r="Y154" i="1" s="1"/>
  <c r="Z154" i="1" s="1"/>
  <c r="J155" i="1" l="1"/>
  <c r="AA154" i="1"/>
  <c r="M155" i="1"/>
  <c r="AB154" i="1" l="1"/>
  <c r="AC154" i="1" s="1"/>
  <c r="AD154" i="1" s="1"/>
  <c r="L155" i="1"/>
  <c r="K158" i="1"/>
  <c r="AF154" i="1" l="1"/>
  <c r="N155" i="1"/>
  <c r="O155" i="1" s="1"/>
  <c r="Q155" i="1" s="1"/>
  <c r="P155" i="1"/>
  <c r="R155" i="1" s="1"/>
  <c r="T155" i="1" l="1"/>
  <c r="V155" i="1" s="1"/>
  <c r="S155" i="1"/>
  <c r="U155" i="1" l="1"/>
  <c r="W155" i="1" s="1"/>
  <c r="X155" i="1" l="1"/>
  <c r="Y155" i="1" s="1"/>
  <c r="Z155" i="1" s="1"/>
  <c r="AA155" i="1" l="1"/>
  <c r="J156" i="1"/>
  <c r="M156" i="1"/>
  <c r="AB155" i="1" l="1"/>
  <c r="AC155" i="1" s="1"/>
  <c r="AD155" i="1" s="1"/>
  <c r="L156" i="1"/>
  <c r="K159" i="1"/>
  <c r="AF155" i="1" l="1"/>
  <c r="P156" i="1"/>
  <c r="R156" i="1" s="1"/>
  <c r="N156" i="1"/>
  <c r="O156" i="1" s="1"/>
  <c r="Q156" i="1" s="1"/>
  <c r="T156" i="1" l="1"/>
  <c r="V156" i="1" s="1"/>
  <c r="S156" i="1"/>
  <c r="U156" i="1" s="1"/>
  <c r="W156" i="1" l="1"/>
  <c r="X156" i="1" s="1"/>
  <c r="Y156" i="1" s="1"/>
  <c r="Z156" i="1" s="1"/>
  <c r="AA156" i="1" l="1"/>
  <c r="J157" i="1"/>
  <c r="M157" i="1"/>
  <c r="AB156" i="1" l="1"/>
  <c r="AC156" i="1" s="1"/>
  <c r="AD156" i="1" s="1"/>
  <c r="L157" i="1"/>
  <c r="K160" i="1"/>
  <c r="AF156" i="1" l="1"/>
  <c r="N157" i="1"/>
  <c r="O157" i="1" s="1"/>
  <c r="Q157" i="1" s="1"/>
  <c r="P157" i="1"/>
  <c r="R157" i="1" s="1"/>
  <c r="S157" i="1" l="1"/>
  <c r="U157" i="1" s="1"/>
  <c r="T157" i="1"/>
  <c r="V157" i="1" s="1"/>
  <c r="W157" i="1" l="1"/>
  <c r="X157" i="1" s="1"/>
  <c r="Y157" i="1" s="1"/>
  <c r="Z157" i="1" s="1"/>
  <c r="J158" i="1" l="1"/>
  <c r="AA157" i="1"/>
  <c r="M158" i="1"/>
  <c r="AB157" i="1" l="1"/>
  <c r="AC157" i="1" s="1"/>
  <c r="AD157" i="1" s="1"/>
  <c r="K161" i="1"/>
  <c r="L158" i="1"/>
  <c r="AF157" i="1" l="1"/>
  <c r="N158" i="1"/>
  <c r="O158" i="1" s="1"/>
  <c r="Q158" i="1" s="1"/>
  <c r="P158" i="1"/>
  <c r="R158" i="1" s="1"/>
  <c r="T158" i="1" l="1"/>
  <c r="V158" i="1" s="1"/>
  <c r="S158" i="1"/>
  <c r="U158" i="1" s="1"/>
  <c r="W158" i="1" l="1"/>
  <c r="X158" i="1" s="1"/>
  <c r="Y158" i="1" s="1"/>
  <c r="Z158" i="1" s="1"/>
  <c r="AA158" i="1" l="1"/>
  <c r="J159" i="1"/>
  <c r="M159" i="1"/>
  <c r="AB158" i="1" l="1"/>
  <c r="AC158" i="1" s="1"/>
  <c r="AD158" i="1" s="1"/>
  <c r="L159" i="1"/>
  <c r="K162" i="1"/>
  <c r="AF158" i="1" l="1"/>
  <c r="P159" i="1"/>
  <c r="R159" i="1" s="1"/>
  <c r="N159" i="1"/>
  <c r="O159" i="1" s="1"/>
  <c r="Q159" i="1" s="1"/>
  <c r="T159" i="1" l="1"/>
  <c r="V159" i="1" s="1"/>
  <c r="S159" i="1"/>
  <c r="U159" i="1" s="1"/>
  <c r="W159" i="1" l="1"/>
  <c r="X159" i="1" s="1"/>
  <c r="Y159" i="1" s="1"/>
  <c r="Z159" i="1" s="1"/>
  <c r="AA159" i="1" l="1"/>
  <c r="J160" i="1"/>
  <c r="M160" i="1"/>
  <c r="AB159" i="1" l="1"/>
  <c r="AC159" i="1" s="1"/>
  <c r="AD159" i="1" s="1"/>
  <c r="L160" i="1"/>
  <c r="K163" i="1"/>
  <c r="AF159" i="1" l="1"/>
  <c r="P160" i="1"/>
  <c r="R160" i="1" s="1"/>
  <c r="N160" i="1"/>
  <c r="O160" i="1" s="1"/>
  <c r="Q160" i="1" s="1"/>
  <c r="S160" i="1" l="1"/>
  <c r="U160" i="1" s="1"/>
  <c r="T160" i="1"/>
  <c r="V160" i="1" s="1"/>
  <c r="W160" i="1" l="1"/>
  <c r="X160" i="1" s="1"/>
  <c r="Y160" i="1" s="1"/>
  <c r="Z160" i="1" s="1"/>
  <c r="AA160" i="1" l="1"/>
  <c r="J161" i="1"/>
  <c r="M161" i="1"/>
  <c r="AB160" i="1" l="1"/>
  <c r="AC160" i="1" s="1"/>
  <c r="AD160" i="1" s="1"/>
  <c r="K164" i="1"/>
  <c r="L161" i="1"/>
  <c r="AF160" i="1" l="1"/>
  <c r="N161" i="1"/>
  <c r="O161" i="1" s="1"/>
  <c r="Q161" i="1" s="1"/>
  <c r="P161" i="1"/>
  <c r="R161" i="1" s="1"/>
  <c r="T161" i="1" l="1"/>
  <c r="V161" i="1" s="1"/>
  <c r="S161" i="1"/>
  <c r="U161" i="1" s="1"/>
  <c r="W161" i="1" l="1"/>
  <c r="X161" i="1" s="1"/>
  <c r="Y161" i="1" s="1"/>
  <c r="Z161" i="1" s="1"/>
  <c r="J162" i="1" l="1"/>
  <c r="AA161" i="1"/>
  <c r="M162" i="1"/>
  <c r="AB161" i="1" l="1"/>
  <c r="AC161" i="1" s="1"/>
  <c r="AD161" i="1" s="1"/>
  <c r="L162" i="1"/>
  <c r="K165" i="1"/>
  <c r="AF161" i="1" l="1"/>
  <c r="N162" i="1"/>
  <c r="O162" i="1" s="1"/>
  <c r="Q162" i="1" s="1"/>
  <c r="P162" i="1"/>
  <c r="R162" i="1" s="1"/>
  <c r="T162" i="1" l="1"/>
  <c r="V162" i="1" s="1"/>
  <c r="S162" i="1"/>
  <c r="U162" i="1" s="1"/>
  <c r="W162" i="1" l="1"/>
  <c r="X162" i="1" s="1"/>
  <c r="Y162" i="1" s="1"/>
  <c r="Z162" i="1" s="1"/>
  <c r="AA162" i="1" l="1"/>
  <c r="J163" i="1"/>
  <c r="M163" i="1"/>
  <c r="AB162" i="1" l="1"/>
  <c r="AC162" i="1" s="1"/>
  <c r="AD162" i="1" s="1"/>
  <c r="K166" i="1"/>
  <c r="L163" i="1"/>
  <c r="AF162" i="1" l="1"/>
  <c r="P163" i="1"/>
  <c r="R163" i="1" s="1"/>
  <c r="N163" i="1"/>
  <c r="O163" i="1" s="1"/>
  <c r="Q163" i="1" s="1"/>
  <c r="T163" i="1" l="1"/>
  <c r="S163" i="1"/>
  <c r="U163" i="1" s="1"/>
  <c r="V163" i="1" l="1"/>
  <c r="W163" i="1" s="1"/>
  <c r="X163" i="1" l="1"/>
  <c r="Y163" i="1" s="1"/>
  <c r="Z163" i="1" s="1"/>
  <c r="J164" i="1" l="1"/>
  <c r="AA163" i="1"/>
  <c r="M164" i="1"/>
  <c r="AB163" i="1" l="1"/>
  <c r="AC163" i="1" s="1"/>
  <c r="AD163" i="1" s="1"/>
  <c r="L164" i="1"/>
  <c r="K167" i="1"/>
  <c r="AF163" i="1" l="1"/>
  <c r="N164" i="1"/>
  <c r="O164" i="1" s="1"/>
  <c r="Q164" i="1" s="1"/>
  <c r="P164" i="1"/>
  <c r="R164" i="1" s="1"/>
  <c r="T164" i="1" l="1"/>
  <c r="V164" i="1" s="1"/>
  <c r="S164" i="1"/>
  <c r="U164" i="1" s="1"/>
  <c r="W164" i="1" s="1"/>
  <c r="X164" i="1" l="1"/>
  <c r="Y164" i="1" s="1"/>
  <c r="Z164" i="1" s="1"/>
  <c r="AA164" i="1" l="1"/>
  <c r="J165" i="1"/>
  <c r="M165" i="1"/>
  <c r="AB164" i="1" l="1"/>
  <c r="AC164" i="1" s="1"/>
  <c r="AD164" i="1" s="1"/>
  <c r="L165" i="1"/>
  <c r="K168" i="1"/>
  <c r="AF164" i="1" l="1"/>
  <c r="P165" i="1"/>
  <c r="R165" i="1" s="1"/>
  <c r="N165" i="1"/>
  <c r="O165" i="1" s="1"/>
  <c r="Q165" i="1" s="1"/>
  <c r="S165" i="1" l="1"/>
  <c r="U165" i="1" s="1"/>
  <c r="T165" i="1"/>
  <c r="V165" i="1" s="1"/>
  <c r="W165" i="1" l="1"/>
  <c r="X165" i="1" s="1"/>
  <c r="Y165" i="1" s="1"/>
  <c r="Z165" i="1" s="1"/>
  <c r="J166" i="1" l="1"/>
  <c r="AA165" i="1"/>
  <c r="M166" i="1"/>
  <c r="AB165" i="1" l="1"/>
  <c r="AC165" i="1" s="1"/>
  <c r="AD165" i="1" s="1"/>
  <c r="L166" i="1"/>
  <c r="K169" i="1"/>
  <c r="AF165" i="1" l="1"/>
  <c r="N166" i="1"/>
  <c r="O166" i="1" s="1"/>
  <c r="Q166" i="1" s="1"/>
  <c r="P166" i="1"/>
  <c r="R166" i="1" s="1"/>
  <c r="S166" i="1" l="1"/>
  <c r="U166" i="1" s="1"/>
  <c r="T166" i="1"/>
  <c r="V166" i="1" s="1"/>
  <c r="W166" i="1" l="1"/>
  <c r="X166" i="1" s="1"/>
  <c r="Y166" i="1" s="1"/>
  <c r="Z166" i="1" s="1"/>
  <c r="AA166" i="1" l="1"/>
  <c r="J167" i="1"/>
  <c r="M167" i="1"/>
  <c r="AB166" i="1" l="1"/>
  <c r="AC166" i="1" s="1"/>
  <c r="AD166" i="1" s="1"/>
  <c r="L167" i="1"/>
  <c r="K170" i="1"/>
  <c r="AF166" i="1" l="1"/>
  <c r="N167" i="1"/>
  <c r="O167" i="1" s="1"/>
  <c r="Q167" i="1" s="1"/>
  <c r="P167" i="1"/>
  <c r="R167" i="1" s="1"/>
  <c r="T167" i="1" l="1"/>
  <c r="V167" i="1" s="1"/>
  <c r="S167" i="1"/>
  <c r="U167" i="1" s="1"/>
  <c r="W167" i="1" l="1"/>
  <c r="X167" i="1" s="1"/>
  <c r="Y167" i="1" s="1"/>
  <c r="Z167" i="1" s="1"/>
  <c r="AA167" i="1" l="1"/>
  <c r="J168" i="1"/>
  <c r="M168" i="1"/>
  <c r="AB167" i="1" l="1"/>
  <c r="AC167" i="1" s="1"/>
  <c r="AD167" i="1" s="1"/>
  <c r="L168" i="1"/>
  <c r="K171" i="1"/>
  <c r="AF167" i="1" l="1"/>
  <c r="N168" i="1"/>
  <c r="O168" i="1" s="1"/>
  <c r="Q168" i="1" s="1"/>
  <c r="P168" i="1"/>
  <c r="R168" i="1" s="1"/>
  <c r="S168" i="1" l="1"/>
  <c r="U168" i="1" s="1"/>
  <c r="T168" i="1"/>
  <c r="V168" i="1" s="1"/>
  <c r="W168" i="1" l="1"/>
  <c r="X168" i="1" s="1"/>
  <c r="Y168" i="1" s="1"/>
  <c r="Z168" i="1" s="1"/>
  <c r="AA168" i="1" l="1"/>
  <c r="J169" i="1"/>
  <c r="M169" i="1"/>
  <c r="AB168" i="1" l="1"/>
  <c r="AC168" i="1" s="1"/>
  <c r="AD168" i="1" s="1"/>
  <c r="K172" i="1"/>
  <c r="L169" i="1"/>
  <c r="AF168" i="1" l="1"/>
  <c r="P169" i="1"/>
  <c r="R169" i="1" s="1"/>
  <c r="N169" i="1"/>
  <c r="O169" i="1" s="1"/>
  <c r="Q169" i="1" s="1"/>
  <c r="S169" i="1" l="1"/>
  <c r="U169" i="1" s="1"/>
  <c r="T169" i="1"/>
  <c r="V169" i="1" s="1"/>
  <c r="W169" i="1" l="1"/>
  <c r="X169" i="1" s="1"/>
  <c r="Y169" i="1" s="1"/>
  <c r="Z169" i="1" s="1"/>
  <c r="J170" i="1" l="1"/>
  <c r="AA169" i="1"/>
  <c r="M170" i="1"/>
  <c r="AB169" i="1" l="1"/>
  <c r="AC169" i="1" s="1"/>
  <c r="AD169" i="1" s="1"/>
  <c r="L170" i="1"/>
  <c r="K173" i="1"/>
  <c r="AF169" i="1" l="1"/>
  <c r="P170" i="1"/>
  <c r="R170" i="1" s="1"/>
  <c r="N170" i="1"/>
  <c r="O170" i="1" s="1"/>
  <c r="Q170" i="1" s="1"/>
  <c r="S170" i="1" l="1"/>
  <c r="U170" i="1" s="1"/>
  <c r="T170" i="1"/>
  <c r="V170" i="1" s="1"/>
  <c r="W170" i="1" l="1"/>
  <c r="X170" i="1" s="1"/>
  <c r="Y170" i="1" s="1"/>
  <c r="Z170" i="1" s="1"/>
  <c r="J171" i="1" l="1"/>
  <c r="AA170" i="1"/>
  <c r="M171" i="1"/>
  <c r="AB170" i="1" l="1"/>
  <c r="AC170" i="1" s="1"/>
  <c r="AD170" i="1" s="1"/>
  <c r="L171" i="1"/>
  <c r="K174" i="1"/>
  <c r="AF170" i="1" l="1"/>
  <c r="N171" i="1"/>
  <c r="O171" i="1" s="1"/>
  <c r="Q171" i="1" s="1"/>
  <c r="P171" i="1"/>
  <c r="R171" i="1" s="1"/>
  <c r="S171" i="1" l="1"/>
  <c r="U171" i="1" s="1"/>
  <c r="T171" i="1"/>
  <c r="V171" i="1" s="1"/>
  <c r="W171" i="1" l="1"/>
  <c r="X171" i="1" s="1"/>
  <c r="Y171" i="1" s="1"/>
  <c r="Z171" i="1" s="1"/>
  <c r="J172" i="1" l="1"/>
  <c r="AA171" i="1"/>
  <c r="M172" i="1"/>
  <c r="AB171" i="1" l="1"/>
  <c r="AC171" i="1" s="1"/>
  <c r="AD171" i="1" s="1"/>
  <c r="K175" i="1"/>
  <c r="L172" i="1"/>
  <c r="AF171" i="1" l="1"/>
  <c r="N172" i="1"/>
  <c r="O172" i="1" s="1"/>
  <c r="Q172" i="1" s="1"/>
  <c r="P172" i="1"/>
  <c r="R172" i="1" s="1"/>
  <c r="T172" i="1" l="1"/>
  <c r="V172" i="1" s="1"/>
  <c r="S172" i="1"/>
  <c r="U172" i="1" s="1"/>
  <c r="W172" i="1" l="1"/>
  <c r="X172" i="1" s="1"/>
  <c r="Y172" i="1" s="1"/>
  <c r="Z172" i="1" s="1"/>
  <c r="AA172" i="1" l="1"/>
  <c r="J173" i="1"/>
  <c r="M173" i="1"/>
  <c r="AB172" i="1" l="1"/>
  <c r="AC172" i="1" s="1"/>
  <c r="AD172" i="1" s="1"/>
  <c r="L173" i="1"/>
  <c r="K176" i="1"/>
  <c r="AF172" i="1" l="1"/>
  <c r="P173" i="1"/>
  <c r="R173" i="1" s="1"/>
  <c r="N173" i="1"/>
  <c r="O173" i="1" s="1"/>
  <c r="Q173" i="1" s="1"/>
  <c r="S173" i="1" l="1"/>
  <c r="U173" i="1" s="1"/>
  <c r="T173" i="1"/>
  <c r="V173" i="1" s="1"/>
  <c r="W173" i="1" l="1"/>
  <c r="X173" i="1" s="1"/>
  <c r="Y173" i="1" s="1"/>
  <c r="Z173" i="1" s="1"/>
  <c r="AA173" i="1" l="1"/>
  <c r="J174" i="1"/>
  <c r="M174" i="1"/>
  <c r="AB173" i="1" l="1"/>
  <c r="AC173" i="1" s="1"/>
  <c r="AD173" i="1" s="1"/>
  <c r="L174" i="1"/>
  <c r="K177" i="1"/>
  <c r="AF173" i="1" l="1"/>
  <c r="N174" i="1"/>
  <c r="O174" i="1" s="1"/>
  <c r="Q174" i="1" s="1"/>
  <c r="P174" i="1"/>
  <c r="R174" i="1" s="1"/>
  <c r="T174" i="1" l="1"/>
  <c r="V174" i="1" s="1"/>
  <c r="S174" i="1"/>
  <c r="U174" i="1" s="1"/>
  <c r="W174" i="1" l="1"/>
  <c r="X174" i="1" s="1"/>
  <c r="Y174" i="1" s="1"/>
  <c r="Z174" i="1" s="1"/>
  <c r="AA174" i="1" l="1"/>
  <c r="J175" i="1"/>
  <c r="M175" i="1"/>
  <c r="AB174" i="1" l="1"/>
  <c r="AC174" i="1" s="1"/>
  <c r="AD174" i="1" s="1"/>
  <c r="L175" i="1"/>
  <c r="K178" i="1"/>
  <c r="AF174" i="1" l="1"/>
  <c r="N175" i="1"/>
  <c r="O175" i="1" s="1"/>
  <c r="Q175" i="1" s="1"/>
  <c r="P175" i="1"/>
  <c r="R175" i="1" s="1"/>
  <c r="T175" i="1" l="1"/>
  <c r="V175" i="1" s="1"/>
  <c r="S175" i="1"/>
  <c r="U175" i="1" l="1"/>
  <c r="W175" i="1" s="1"/>
  <c r="X175" i="1" l="1"/>
  <c r="Y175" i="1" s="1"/>
  <c r="Z175" i="1" s="1"/>
  <c r="J176" i="1" l="1"/>
  <c r="AA175" i="1"/>
  <c r="M176" i="1"/>
  <c r="AB175" i="1" l="1"/>
  <c r="AC175" i="1" s="1"/>
  <c r="AD175" i="1" s="1"/>
  <c r="L176" i="1"/>
  <c r="K179" i="1"/>
  <c r="AF175" i="1" l="1"/>
  <c r="N176" i="1"/>
  <c r="O176" i="1" s="1"/>
  <c r="Q176" i="1" s="1"/>
  <c r="P176" i="1"/>
  <c r="R176" i="1" s="1"/>
  <c r="S176" i="1" l="1"/>
  <c r="U176" i="1" s="1"/>
  <c r="T176" i="1"/>
  <c r="V176" i="1" s="1"/>
  <c r="W176" i="1" l="1"/>
  <c r="X176" i="1" s="1"/>
  <c r="Y176" i="1" s="1"/>
  <c r="Z176" i="1" s="1"/>
  <c r="AA176" i="1" l="1"/>
  <c r="J177" i="1"/>
  <c r="M177" i="1"/>
  <c r="AB176" i="1" l="1"/>
  <c r="AC176" i="1" s="1"/>
  <c r="AD176" i="1" s="1"/>
  <c r="L177" i="1"/>
  <c r="K180" i="1"/>
  <c r="AF176" i="1" l="1"/>
  <c r="N177" i="1"/>
  <c r="O177" i="1" s="1"/>
  <c r="Q177" i="1" s="1"/>
  <c r="P177" i="1"/>
  <c r="R177" i="1" s="1"/>
  <c r="T177" i="1" l="1"/>
  <c r="V177" i="1" s="1"/>
  <c r="S177" i="1"/>
  <c r="U177" i="1" s="1"/>
  <c r="W177" i="1" l="1"/>
  <c r="X177" i="1" s="1"/>
  <c r="Y177" i="1" s="1"/>
  <c r="Z177" i="1" s="1"/>
  <c r="AA177" i="1" l="1"/>
  <c r="J178" i="1"/>
  <c r="M178" i="1"/>
  <c r="AB177" i="1" l="1"/>
  <c r="AC177" i="1" s="1"/>
  <c r="AD177" i="1" s="1"/>
  <c r="L178" i="1"/>
  <c r="K181" i="1"/>
  <c r="AF177" i="1" l="1"/>
  <c r="P178" i="1"/>
  <c r="R178" i="1" s="1"/>
  <c r="N178" i="1"/>
  <c r="O178" i="1" s="1"/>
  <c r="Q178" i="1" s="1"/>
  <c r="S178" i="1" l="1"/>
  <c r="U178" i="1" s="1"/>
  <c r="T178" i="1"/>
  <c r="V178" i="1" s="1"/>
  <c r="W178" i="1" l="1"/>
  <c r="X178" i="1" s="1"/>
  <c r="Y178" i="1" s="1"/>
  <c r="Z178" i="1" s="1"/>
  <c r="AA178" i="1" l="1"/>
  <c r="J179" i="1"/>
  <c r="M179" i="1"/>
  <c r="AB178" i="1" l="1"/>
  <c r="AC178" i="1" s="1"/>
  <c r="AD178" i="1" s="1"/>
  <c r="L179" i="1"/>
  <c r="K182" i="1"/>
  <c r="AF178" i="1" l="1"/>
  <c r="P179" i="1"/>
  <c r="R179" i="1" s="1"/>
  <c r="N179" i="1"/>
  <c r="O179" i="1" s="1"/>
  <c r="Q179" i="1" s="1"/>
  <c r="S179" i="1" l="1"/>
  <c r="U179" i="1" s="1"/>
  <c r="T179" i="1"/>
  <c r="V179" i="1" s="1"/>
  <c r="W179" i="1" l="1"/>
  <c r="X179" i="1" s="1"/>
  <c r="Y179" i="1" s="1"/>
  <c r="Z179" i="1" s="1"/>
  <c r="J180" i="1" l="1"/>
  <c r="AA179" i="1"/>
  <c r="M180" i="1"/>
  <c r="AB179" i="1" l="1"/>
  <c r="AC179" i="1" s="1"/>
  <c r="AD179" i="1" s="1"/>
  <c r="L180" i="1"/>
  <c r="K183" i="1"/>
  <c r="AF179" i="1" l="1"/>
  <c r="P180" i="1"/>
  <c r="R180" i="1" s="1"/>
  <c r="N180" i="1"/>
  <c r="O180" i="1" s="1"/>
  <c r="Q180" i="1" s="1"/>
  <c r="S180" i="1" l="1"/>
  <c r="U180" i="1" s="1"/>
  <c r="T180" i="1"/>
  <c r="V180" i="1" s="1"/>
  <c r="W180" i="1" l="1"/>
  <c r="X180" i="1" s="1"/>
  <c r="Y180" i="1" s="1"/>
  <c r="Z180" i="1" s="1"/>
  <c r="M181" i="1" l="1"/>
  <c r="J181" i="1"/>
  <c r="AA180" i="1"/>
  <c r="AB180" i="1" l="1"/>
  <c r="AC180" i="1" s="1"/>
  <c r="AD180" i="1" s="1"/>
  <c r="K184" i="1"/>
  <c r="L181" i="1"/>
  <c r="AF180" i="1" l="1"/>
  <c r="P181" i="1"/>
  <c r="R181" i="1" s="1"/>
  <c r="N181" i="1"/>
  <c r="O181" i="1" s="1"/>
  <c r="Q181" i="1" s="1"/>
  <c r="T181" i="1" l="1"/>
  <c r="V181" i="1" s="1"/>
  <c r="S181" i="1"/>
  <c r="U181" i="1" s="1"/>
  <c r="W181" i="1" l="1"/>
  <c r="X181" i="1" s="1"/>
  <c r="Y181" i="1" s="1"/>
  <c r="Z181" i="1" s="1"/>
  <c r="J182" i="1" l="1"/>
  <c r="AA181" i="1"/>
  <c r="M182" i="1"/>
  <c r="AB181" i="1" l="1"/>
  <c r="L182" i="1"/>
  <c r="K185" i="1"/>
  <c r="AC181" i="1" l="1"/>
  <c r="AD181" i="1" s="1"/>
  <c r="P182" i="1"/>
  <c r="R182" i="1" s="1"/>
  <c r="N182" i="1"/>
  <c r="O182" i="1" s="1"/>
  <c r="Q182" i="1" s="1"/>
  <c r="AF181" i="1" l="1"/>
  <c r="S182" i="1"/>
  <c r="U182" i="1" s="1"/>
  <c r="T182" i="1"/>
  <c r="V182" i="1" s="1"/>
  <c r="W182" i="1" l="1"/>
  <c r="X182" i="1" s="1"/>
  <c r="Y182" i="1" s="1"/>
  <c r="Z182" i="1" s="1"/>
  <c r="AA182" i="1" l="1"/>
  <c r="J183" i="1"/>
  <c r="M183" i="1"/>
  <c r="AB182" i="1" l="1"/>
  <c r="AC182" i="1" s="1"/>
  <c r="AD182" i="1" s="1"/>
  <c r="L183" i="1"/>
  <c r="K186" i="1"/>
  <c r="AF182" i="1" l="1"/>
  <c r="N183" i="1"/>
  <c r="O183" i="1" s="1"/>
  <c r="Q183" i="1" s="1"/>
  <c r="P183" i="1"/>
  <c r="R183" i="1" s="1"/>
  <c r="T183" i="1" l="1"/>
  <c r="V183" i="1" s="1"/>
  <c r="S183" i="1"/>
  <c r="U183" i="1" s="1"/>
  <c r="W183" i="1" l="1"/>
  <c r="X183" i="1" s="1"/>
  <c r="Y183" i="1" s="1"/>
  <c r="Z183" i="1" s="1"/>
  <c r="AA183" i="1" l="1"/>
  <c r="J184" i="1"/>
  <c r="M184" i="1"/>
  <c r="AB183" i="1" l="1"/>
  <c r="AC183" i="1" s="1"/>
  <c r="AD183" i="1" s="1"/>
  <c r="K187" i="1"/>
  <c r="L184" i="1"/>
  <c r="AF183" i="1" l="1"/>
  <c r="P184" i="1"/>
  <c r="R184" i="1" s="1"/>
  <c r="N184" i="1"/>
  <c r="O184" i="1" s="1"/>
  <c r="Q184" i="1" s="1"/>
  <c r="T184" i="1" l="1"/>
  <c r="V184" i="1" s="1"/>
  <c r="S184" i="1"/>
  <c r="U184" i="1" s="1"/>
  <c r="W184" i="1" l="1"/>
  <c r="X184" i="1" s="1"/>
  <c r="Y184" i="1" s="1"/>
  <c r="Z184" i="1" s="1"/>
  <c r="AA184" i="1" l="1"/>
  <c r="J185" i="1"/>
  <c r="M185" i="1"/>
  <c r="AB184" i="1" l="1"/>
  <c r="AC184" i="1" s="1"/>
  <c r="AD184" i="1" s="1"/>
  <c r="L185" i="1"/>
  <c r="K188" i="1"/>
  <c r="AF184" i="1" l="1"/>
  <c r="P185" i="1"/>
  <c r="R185" i="1" s="1"/>
  <c r="N185" i="1"/>
  <c r="O185" i="1" s="1"/>
  <c r="Q185" i="1" s="1"/>
  <c r="T185" i="1" l="1"/>
  <c r="V185" i="1" s="1"/>
  <c r="S185" i="1"/>
  <c r="U185" i="1" s="1"/>
  <c r="W185" i="1" l="1"/>
  <c r="X185" i="1" s="1"/>
  <c r="Y185" i="1" s="1"/>
  <c r="Z185" i="1" s="1"/>
  <c r="J186" i="1" l="1"/>
  <c r="AA185" i="1"/>
  <c r="M186" i="1"/>
  <c r="AB185" i="1" l="1"/>
  <c r="AC185" i="1" s="1"/>
  <c r="AD185" i="1" s="1"/>
  <c r="L186" i="1"/>
  <c r="K189" i="1"/>
  <c r="AF185" i="1" l="1"/>
  <c r="P186" i="1"/>
  <c r="R186" i="1" s="1"/>
  <c r="N186" i="1"/>
  <c r="O186" i="1" s="1"/>
  <c r="Q186" i="1" s="1"/>
  <c r="S186" i="1" l="1"/>
  <c r="U186" i="1" s="1"/>
  <c r="T186" i="1"/>
  <c r="V186" i="1" s="1"/>
  <c r="W186" i="1" l="1"/>
  <c r="X186" i="1" s="1"/>
  <c r="Y186" i="1" s="1"/>
  <c r="Z186" i="1" s="1"/>
  <c r="J187" i="1" l="1"/>
  <c r="AA186" i="1"/>
  <c r="M187" i="1"/>
  <c r="AB186" i="1" l="1"/>
  <c r="AC186" i="1" s="1"/>
  <c r="AD186" i="1" s="1"/>
  <c r="L187" i="1"/>
  <c r="K190" i="1"/>
  <c r="AF186" i="1" l="1"/>
  <c r="P187" i="1"/>
  <c r="R187" i="1" s="1"/>
  <c r="N187" i="1"/>
  <c r="O187" i="1" s="1"/>
  <c r="Q187" i="1" s="1"/>
  <c r="T187" i="1" l="1"/>
  <c r="V187" i="1" s="1"/>
  <c r="S187" i="1"/>
  <c r="U187" i="1" s="1"/>
  <c r="W187" i="1" s="1"/>
  <c r="X187" i="1" l="1"/>
  <c r="Y187" i="1" s="1"/>
  <c r="Z187" i="1" s="1"/>
  <c r="AA187" i="1" l="1"/>
  <c r="J188" i="1"/>
  <c r="M188" i="1"/>
  <c r="AB187" i="1" l="1"/>
  <c r="AC187" i="1" s="1"/>
  <c r="AD187" i="1" s="1"/>
  <c r="L188" i="1"/>
  <c r="K191" i="1"/>
  <c r="AF187" i="1" l="1"/>
  <c r="N188" i="1"/>
  <c r="O188" i="1" s="1"/>
  <c r="Q188" i="1" s="1"/>
  <c r="P188" i="1"/>
  <c r="R188" i="1" s="1"/>
  <c r="S188" i="1" l="1"/>
  <c r="U188" i="1" s="1"/>
  <c r="T188" i="1"/>
  <c r="V188" i="1" s="1"/>
  <c r="W188" i="1" l="1"/>
  <c r="X188" i="1" s="1"/>
  <c r="Y188" i="1" s="1"/>
  <c r="Z188" i="1" s="1"/>
  <c r="AA188" i="1" l="1"/>
  <c r="J189" i="1"/>
  <c r="M189" i="1"/>
  <c r="AB188" i="1" l="1"/>
  <c r="AC188" i="1" s="1"/>
  <c r="AD188" i="1" s="1"/>
  <c r="L189" i="1"/>
  <c r="K192" i="1"/>
  <c r="AF188" i="1" l="1"/>
  <c r="N189" i="1"/>
  <c r="O189" i="1" s="1"/>
  <c r="Q189" i="1" s="1"/>
  <c r="P189" i="1"/>
  <c r="R189" i="1" s="1"/>
  <c r="T189" i="1" l="1"/>
  <c r="V189" i="1" s="1"/>
  <c r="S189" i="1"/>
  <c r="U189" i="1" s="1"/>
  <c r="W189" i="1" l="1"/>
  <c r="X189" i="1" s="1"/>
  <c r="Y189" i="1" s="1"/>
  <c r="Z189" i="1" s="1"/>
  <c r="AA189" i="1" l="1"/>
  <c r="J190" i="1"/>
  <c r="M190" i="1"/>
  <c r="AB189" i="1" l="1"/>
  <c r="AC189" i="1" s="1"/>
  <c r="AD189" i="1" s="1"/>
  <c r="L190" i="1"/>
  <c r="K193" i="1"/>
  <c r="AF189" i="1" l="1"/>
  <c r="N190" i="1"/>
  <c r="O190" i="1" s="1"/>
  <c r="Q190" i="1" s="1"/>
  <c r="P190" i="1"/>
  <c r="R190" i="1" s="1"/>
  <c r="T190" i="1" l="1"/>
  <c r="V190" i="1" s="1"/>
  <c r="S190" i="1"/>
  <c r="U190" i="1" s="1"/>
  <c r="W190" i="1" s="1"/>
  <c r="X190" i="1" l="1"/>
  <c r="Y190" i="1" s="1"/>
  <c r="Z190" i="1" s="1"/>
  <c r="M191" i="1" l="1"/>
  <c r="AA190" i="1"/>
  <c r="J191" i="1"/>
  <c r="AB190" i="1" l="1"/>
  <c r="AC190" i="1" s="1"/>
  <c r="AD190" i="1" s="1"/>
  <c r="K194" i="1"/>
  <c r="L191" i="1"/>
  <c r="AF190" i="1" l="1"/>
  <c r="P191" i="1"/>
  <c r="R191" i="1" s="1"/>
  <c r="N191" i="1"/>
  <c r="O191" i="1" s="1"/>
  <c r="Q191" i="1" s="1"/>
  <c r="T191" i="1" l="1"/>
  <c r="V191" i="1" s="1"/>
  <c r="S191" i="1"/>
  <c r="U191" i="1" s="1"/>
  <c r="W191" i="1" l="1"/>
  <c r="X191" i="1" s="1"/>
  <c r="Y191" i="1" s="1"/>
  <c r="Z191" i="1" s="1"/>
  <c r="AA191" i="1" l="1"/>
  <c r="J192" i="1"/>
  <c r="M192" i="1"/>
  <c r="AB191" i="1" l="1"/>
  <c r="AC191" i="1" s="1"/>
  <c r="AD191" i="1" s="1"/>
  <c r="L192" i="1"/>
  <c r="K195" i="1"/>
  <c r="AF191" i="1" l="1"/>
  <c r="P192" i="1"/>
  <c r="R192" i="1" s="1"/>
  <c r="N192" i="1"/>
  <c r="O192" i="1" s="1"/>
  <c r="Q192" i="1" s="1"/>
  <c r="T192" i="1" l="1"/>
  <c r="V192" i="1" s="1"/>
  <c r="S192" i="1"/>
  <c r="U192" i="1" l="1"/>
  <c r="W192" i="1" l="1"/>
  <c r="X192" i="1" s="1"/>
  <c r="Y192" i="1" s="1"/>
  <c r="Z192" i="1" s="1"/>
  <c r="J193" i="1" l="1"/>
  <c r="L193" i="1" s="1"/>
  <c r="M193" i="1"/>
  <c r="AA192" i="1"/>
  <c r="K196" i="1" l="1"/>
  <c r="AB192" i="1"/>
  <c r="AC192" i="1" s="1"/>
  <c r="AD192" i="1" s="1"/>
  <c r="N193" i="1"/>
  <c r="O193" i="1" s="1"/>
  <c r="Q193" i="1" s="1"/>
  <c r="P193" i="1"/>
  <c r="R193" i="1" s="1"/>
  <c r="AF192" i="1" l="1"/>
  <c r="S193" i="1"/>
  <c r="U193" i="1" s="1"/>
  <c r="T193" i="1"/>
  <c r="V193" i="1" s="1"/>
  <c r="W193" i="1" l="1"/>
  <c r="X193" i="1" s="1"/>
  <c r="Y193" i="1" s="1"/>
  <c r="Z193" i="1" s="1"/>
  <c r="AA193" i="1" l="1"/>
  <c r="J194" i="1"/>
  <c r="M194" i="1"/>
  <c r="AB193" i="1" l="1"/>
  <c r="AC193" i="1" s="1"/>
  <c r="AD193" i="1" s="1"/>
  <c r="K197" i="1"/>
  <c r="L194" i="1"/>
  <c r="AF193" i="1" l="1"/>
  <c r="P194" i="1"/>
  <c r="R194" i="1" s="1"/>
  <c r="N194" i="1"/>
  <c r="O194" i="1" s="1"/>
  <c r="Q194" i="1" s="1"/>
  <c r="S194" i="1" l="1"/>
  <c r="U194" i="1" s="1"/>
  <c r="T194" i="1"/>
  <c r="V194" i="1" s="1"/>
  <c r="W194" i="1" l="1"/>
  <c r="X194" i="1" s="1"/>
  <c r="Y194" i="1" s="1"/>
  <c r="Z194" i="1" s="1"/>
  <c r="AA194" i="1" l="1"/>
  <c r="J195" i="1"/>
  <c r="M195" i="1"/>
  <c r="AB194" i="1" l="1"/>
  <c r="AC194" i="1" s="1"/>
  <c r="AD194" i="1" s="1"/>
  <c r="K198" i="1"/>
  <c r="L195" i="1"/>
  <c r="AF194" i="1" l="1"/>
  <c r="N195" i="1"/>
  <c r="O195" i="1" s="1"/>
  <c r="Q195" i="1" s="1"/>
  <c r="P195" i="1"/>
  <c r="R195" i="1" s="1"/>
  <c r="T195" i="1" l="1"/>
  <c r="V195" i="1" s="1"/>
  <c r="S195" i="1"/>
  <c r="U195" i="1" s="1"/>
  <c r="W195" i="1" s="1"/>
  <c r="X195" i="1" l="1"/>
  <c r="Y195" i="1" s="1"/>
  <c r="Z195" i="1" s="1"/>
  <c r="J196" i="1" l="1"/>
  <c r="AA195" i="1"/>
  <c r="M196" i="1"/>
  <c r="AB195" i="1" l="1"/>
  <c r="AC195" i="1" s="1"/>
  <c r="AD195" i="1" s="1"/>
  <c r="L196" i="1"/>
  <c r="K199" i="1"/>
  <c r="AF195" i="1" l="1"/>
  <c r="N196" i="1"/>
  <c r="O196" i="1" s="1"/>
  <c r="Q196" i="1" s="1"/>
  <c r="P196" i="1"/>
  <c r="R196" i="1" s="1"/>
  <c r="T196" i="1" l="1"/>
  <c r="V196" i="1" s="1"/>
  <c r="S196" i="1"/>
  <c r="U196" i="1" s="1"/>
  <c r="W196" i="1" l="1"/>
  <c r="X196" i="1" s="1"/>
  <c r="Y196" i="1" s="1"/>
  <c r="Z196" i="1" s="1"/>
  <c r="AA196" i="1" l="1"/>
  <c r="J197" i="1"/>
  <c r="M197" i="1"/>
  <c r="AB196" i="1" l="1"/>
  <c r="AC196" i="1" s="1"/>
  <c r="AD196" i="1" s="1"/>
  <c r="L197" i="1"/>
  <c r="K200" i="1"/>
  <c r="AF196" i="1" l="1"/>
  <c r="P197" i="1"/>
  <c r="R197" i="1" s="1"/>
  <c r="N197" i="1"/>
  <c r="O197" i="1" s="1"/>
  <c r="Q197" i="1" s="1"/>
  <c r="S197" i="1" l="1"/>
  <c r="U197" i="1" s="1"/>
  <c r="T197" i="1"/>
  <c r="V197" i="1" s="1"/>
  <c r="W197" i="1" l="1"/>
  <c r="X197" i="1" s="1"/>
  <c r="Y197" i="1" s="1"/>
  <c r="Z197" i="1" s="1"/>
  <c r="AA197" i="1" l="1"/>
  <c r="J198" i="1"/>
  <c r="M198" i="1"/>
  <c r="AB197" i="1" l="1"/>
  <c r="AC197" i="1" s="1"/>
  <c r="AD197" i="1" s="1"/>
  <c r="L198" i="1"/>
  <c r="K201" i="1"/>
  <c r="AF197" i="1" l="1"/>
  <c r="P198" i="1"/>
  <c r="R198" i="1" s="1"/>
  <c r="N198" i="1"/>
  <c r="O198" i="1" s="1"/>
  <c r="Q198" i="1" s="1"/>
  <c r="T198" i="1" l="1"/>
  <c r="V198" i="1" s="1"/>
  <c r="S198" i="1"/>
  <c r="U198" i="1" s="1"/>
  <c r="W198" i="1" l="1"/>
  <c r="X198" i="1" s="1"/>
  <c r="Y198" i="1" s="1"/>
  <c r="Z198" i="1" s="1"/>
  <c r="AA198" i="1" l="1"/>
  <c r="J199" i="1"/>
  <c r="M199" i="1"/>
  <c r="AB198" i="1" l="1"/>
  <c r="AC198" i="1" s="1"/>
  <c r="AD198" i="1" s="1"/>
  <c r="L199" i="1"/>
  <c r="K202" i="1"/>
  <c r="AF198" i="1" l="1"/>
  <c r="P199" i="1"/>
  <c r="R199" i="1" s="1"/>
  <c r="N199" i="1"/>
  <c r="O199" i="1" s="1"/>
  <c r="Q199" i="1" s="1"/>
  <c r="S199" i="1" l="1"/>
  <c r="U199" i="1" s="1"/>
  <c r="T199" i="1"/>
  <c r="V199" i="1" s="1"/>
  <c r="W199" i="1" l="1"/>
  <c r="X199" i="1" s="1"/>
  <c r="Y199" i="1" s="1"/>
  <c r="Z199" i="1" s="1"/>
  <c r="J200" i="1" l="1"/>
  <c r="AA199" i="1"/>
  <c r="M200" i="1"/>
  <c r="AB199" i="1" l="1"/>
  <c r="AC199" i="1" s="1"/>
  <c r="AD199" i="1" s="1"/>
  <c r="L200" i="1"/>
  <c r="K203" i="1"/>
  <c r="AF199" i="1" l="1"/>
  <c r="N200" i="1"/>
  <c r="O200" i="1" s="1"/>
  <c r="Q200" i="1" s="1"/>
  <c r="P200" i="1"/>
  <c r="R200" i="1" s="1"/>
  <c r="S200" i="1" l="1"/>
  <c r="U200" i="1" s="1"/>
  <c r="T200" i="1"/>
  <c r="V200" i="1" s="1"/>
  <c r="W200" i="1" l="1"/>
  <c r="X200" i="1" s="1"/>
  <c r="Y200" i="1" s="1"/>
  <c r="Z200" i="1" s="1"/>
  <c r="J201" i="1" l="1"/>
  <c r="AA200" i="1"/>
  <c r="M201" i="1"/>
  <c r="AB200" i="1" l="1"/>
  <c r="AC200" i="1" s="1"/>
  <c r="AD200" i="1" s="1"/>
  <c r="L201" i="1"/>
  <c r="K204" i="1"/>
  <c r="AF200" i="1" l="1"/>
  <c r="P201" i="1"/>
  <c r="R201" i="1" s="1"/>
  <c r="N201" i="1"/>
  <c r="O201" i="1" s="1"/>
  <c r="Q201" i="1" s="1"/>
  <c r="T201" i="1" l="1"/>
  <c r="V201" i="1" s="1"/>
  <c r="S201" i="1"/>
  <c r="U201" i="1" s="1"/>
  <c r="W201" i="1" l="1"/>
  <c r="X201" i="1" s="1"/>
  <c r="Y201" i="1" s="1"/>
  <c r="Z201" i="1" s="1"/>
  <c r="AA201" i="1" l="1"/>
  <c r="J202" i="1"/>
  <c r="M202" i="1"/>
  <c r="AB201" i="1" l="1"/>
  <c r="AC201" i="1" s="1"/>
  <c r="AD201" i="1" s="1"/>
  <c r="K205" i="1"/>
  <c r="L202" i="1"/>
  <c r="AF201" i="1" l="1"/>
  <c r="N202" i="1"/>
  <c r="O202" i="1" s="1"/>
  <c r="Q202" i="1" s="1"/>
  <c r="P202" i="1"/>
  <c r="R202" i="1" s="1"/>
  <c r="T202" i="1" l="1"/>
  <c r="V202" i="1" s="1"/>
  <c r="S202" i="1"/>
  <c r="U202" i="1" s="1"/>
  <c r="W202" i="1" l="1"/>
  <c r="X202" i="1" s="1"/>
  <c r="Y202" i="1" s="1"/>
  <c r="Z202" i="1" s="1"/>
  <c r="J203" i="1" l="1"/>
  <c r="AA202" i="1"/>
  <c r="M203" i="1"/>
  <c r="AB202" i="1" l="1"/>
  <c r="AC202" i="1" s="1"/>
  <c r="AD202" i="1" s="1"/>
  <c r="L203" i="1"/>
  <c r="K206" i="1"/>
  <c r="AF202" i="1" l="1"/>
  <c r="N203" i="1"/>
  <c r="O203" i="1" s="1"/>
  <c r="Q203" i="1" s="1"/>
  <c r="P203" i="1"/>
  <c r="R203" i="1" s="1"/>
  <c r="T203" i="1" l="1"/>
  <c r="V203" i="1" s="1"/>
  <c r="S203" i="1"/>
  <c r="U203" i="1" l="1"/>
  <c r="W203" i="1" l="1"/>
  <c r="X203" i="1" s="1"/>
  <c r="Y203" i="1" s="1"/>
  <c r="Z203" i="1" s="1"/>
  <c r="AA203" i="1" l="1"/>
  <c r="J204" i="1"/>
  <c r="K207" i="1" s="1"/>
  <c r="M204" i="1"/>
  <c r="AB203" i="1" l="1"/>
  <c r="AC203" i="1" s="1"/>
  <c r="AD203" i="1" s="1"/>
  <c r="L204" i="1"/>
  <c r="P204" i="1" s="1"/>
  <c r="R204" i="1" s="1"/>
  <c r="AF203" i="1" l="1"/>
  <c r="N204" i="1"/>
  <c r="O204" i="1" s="1"/>
  <c r="Q204" i="1" s="1"/>
  <c r="S204" i="1" s="1"/>
  <c r="U204" i="1" s="1"/>
  <c r="T204" i="1" l="1"/>
  <c r="V204" i="1" s="1"/>
  <c r="W204" i="1" s="1"/>
  <c r="X204" i="1" s="1"/>
  <c r="Y204" i="1" s="1"/>
  <c r="Z204" i="1" s="1"/>
  <c r="AA204" i="1" l="1"/>
  <c r="J205" i="1"/>
  <c r="M205" i="1"/>
  <c r="AB204" i="1" l="1"/>
  <c r="AC204" i="1" s="1"/>
  <c r="AD204" i="1" s="1"/>
  <c r="L205" i="1"/>
  <c r="K208" i="1"/>
  <c r="AF204" i="1" l="1"/>
  <c r="P205" i="1"/>
  <c r="R205" i="1" s="1"/>
  <c r="N205" i="1"/>
  <c r="O205" i="1" s="1"/>
  <c r="Q205" i="1" s="1"/>
  <c r="S205" i="1" l="1"/>
  <c r="U205" i="1" s="1"/>
  <c r="T205" i="1"/>
  <c r="V205" i="1" s="1"/>
  <c r="W205" i="1" l="1"/>
  <c r="X205" i="1" s="1"/>
  <c r="Y205" i="1" s="1"/>
  <c r="Z205" i="1" s="1"/>
  <c r="AA205" i="1" l="1"/>
  <c r="J206" i="1"/>
  <c r="M206" i="1"/>
  <c r="AB205" i="1" l="1"/>
  <c r="AC205" i="1" s="1"/>
  <c r="AD205" i="1" s="1"/>
  <c r="L206" i="1"/>
  <c r="K209" i="1"/>
  <c r="AF205" i="1" l="1"/>
  <c r="N206" i="1"/>
  <c r="O206" i="1" s="1"/>
  <c r="Q206" i="1" s="1"/>
  <c r="P206" i="1"/>
  <c r="R206" i="1" s="1"/>
  <c r="S206" i="1" l="1"/>
  <c r="U206" i="1" s="1"/>
  <c r="T206" i="1"/>
  <c r="V206" i="1" s="1"/>
  <c r="W206" i="1" l="1"/>
  <c r="X206" i="1" s="1"/>
  <c r="Y206" i="1" s="1"/>
  <c r="Z206" i="1" s="1"/>
  <c r="AA206" i="1" l="1"/>
  <c r="J207" i="1"/>
  <c r="M207" i="1"/>
  <c r="AB206" i="1" l="1"/>
  <c r="AC206" i="1" s="1"/>
  <c r="AD206" i="1" s="1"/>
  <c r="L207" i="1"/>
  <c r="K210" i="1"/>
  <c r="AF206" i="1" l="1"/>
  <c r="N207" i="1"/>
  <c r="O207" i="1" s="1"/>
  <c r="Q207" i="1" s="1"/>
  <c r="P207" i="1"/>
  <c r="R207" i="1" s="1"/>
  <c r="S207" i="1" l="1"/>
  <c r="U207" i="1" s="1"/>
  <c r="T207" i="1"/>
  <c r="V207" i="1" s="1"/>
  <c r="W207" i="1" l="1"/>
  <c r="X207" i="1" s="1"/>
  <c r="Y207" i="1" s="1"/>
  <c r="Z207" i="1" s="1"/>
  <c r="AA207" i="1" l="1"/>
  <c r="J208" i="1"/>
  <c r="M208" i="1"/>
  <c r="AB207" i="1" l="1"/>
  <c r="AC207" i="1" s="1"/>
  <c r="AD207" i="1" s="1"/>
  <c r="L208" i="1"/>
  <c r="K211" i="1"/>
  <c r="AF207" i="1" l="1"/>
  <c r="P208" i="1"/>
  <c r="R208" i="1" s="1"/>
  <c r="N208" i="1"/>
  <c r="O208" i="1" s="1"/>
  <c r="Q208" i="1" s="1"/>
  <c r="T208" i="1" l="1"/>
  <c r="V208" i="1" s="1"/>
  <c r="S208" i="1"/>
  <c r="U208" i="1" s="1"/>
  <c r="W208" i="1" l="1"/>
  <c r="X208" i="1"/>
  <c r="Y208" i="1" s="1"/>
  <c r="Z208" i="1" s="1"/>
  <c r="AA208" i="1" l="1"/>
  <c r="J209" i="1"/>
  <c r="M209" i="1"/>
  <c r="AB208" i="1" l="1"/>
  <c r="AC208" i="1" s="1"/>
  <c r="AD208" i="1" s="1"/>
  <c r="K212" i="1"/>
  <c r="L209" i="1"/>
  <c r="AF208" i="1" l="1"/>
  <c r="N209" i="1"/>
  <c r="O209" i="1" s="1"/>
  <c r="Q209" i="1" s="1"/>
  <c r="P209" i="1"/>
  <c r="R209" i="1" s="1"/>
  <c r="S209" i="1" l="1"/>
  <c r="U209" i="1" s="1"/>
  <c r="T209" i="1"/>
  <c r="V209" i="1" s="1"/>
  <c r="W209" i="1" l="1"/>
  <c r="X209" i="1" s="1"/>
  <c r="Y209" i="1" s="1"/>
  <c r="Z209" i="1" s="1"/>
  <c r="AA209" i="1" l="1"/>
  <c r="J210" i="1"/>
  <c r="M210" i="1"/>
  <c r="AB209" i="1" l="1"/>
  <c r="AC209" i="1" s="1"/>
  <c r="AD209" i="1" s="1"/>
  <c r="K213" i="1"/>
  <c r="L210" i="1"/>
  <c r="AF209" i="1" l="1"/>
  <c r="N210" i="1"/>
  <c r="O210" i="1" s="1"/>
  <c r="Q210" i="1" s="1"/>
  <c r="P210" i="1"/>
  <c r="R210" i="1" s="1"/>
  <c r="T210" i="1" l="1"/>
  <c r="V210" i="1" s="1"/>
  <c r="S210" i="1"/>
  <c r="U210" i="1" s="1"/>
  <c r="W210" i="1" l="1"/>
  <c r="X210" i="1" s="1"/>
  <c r="Y210" i="1" s="1"/>
  <c r="Z210" i="1" s="1"/>
  <c r="AA210" i="1" l="1"/>
  <c r="J211" i="1"/>
  <c r="M211" i="1"/>
  <c r="AB210" i="1" l="1"/>
  <c r="AC210" i="1" s="1"/>
  <c r="AD210" i="1" s="1"/>
  <c r="K214" i="1"/>
  <c r="L211" i="1"/>
  <c r="AF210" i="1" l="1"/>
  <c r="N211" i="1"/>
  <c r="O211" i="1" s="1"/>
  <c r="Q211" i="1" s="1"/>
  <c r="P211" i="1"/>
  <c r="R211" i="1" s="1"/>
  <c r="S211" i="1" l="1"/>
  <c r="U211" i="1" s="1"/>
  <c r="T211" i="1"/>
  <c r="V211" i="1" s="1"/>
  <c r="W211" i="1" l="1"/>
  <c r="X211" i="1" s="1"/>
  <c r="Y211" i="1" s="1"/>
  <c r="Z211" i="1" s="1"/>
  <c r="AA211" i="1" l="1"/>
  <c r="J212" i="1"/>
  <c r="M212" i="1"/>
  <c r="AB211" i="1" l="1"/>
  <c r="AC211" i="1" s="1"/>
  <c r="AD211" i="1" s="1"/>
  <c r="L212" i="1"/>
  <c r="K215" i="1"/>
  <c r="AF211" i="1" l="1"/>
  <c r="N212" i="1"/>
  <c r="O212" i="1" s="1"/>
  <c r="Q212" i="1" s="1"/>
  <c r="P212" i="1"/>
  <c r="R212" i="1" s="1"/>
  <c r="T212" i="1" l="1"/>
  <c r="V212" i="1" s="1"/>
  <c r="S212" i="1"/>
  <c r="U212" i="1" s="1"/>
  <c r="W212" i="1" l="1"/>
  <c r="X212" i="1" s="1"/>
  <c r="Y212" i="1" s="1"/>
  <c r="Z212" i="1" s="1"/>
  <c r="AA212" i="1" l="1"/>
  <c r="J213" i="1"/>
  <c r="M213" i="1"/>
  <c r="AB212" i="1" l="1"/>
  <c r="AC212" i="1" s="1"/>
  <c r="AD212" i="1" s="1"/>
  <c r="L213" i="1"/>
  <c r="K216" i="1"/>
  <c r="AF212" i="1" l="1"/>
  <c r="N213" i="1"/>
  <c r="O213" i="1" s="1"/>
  <c r="Q213" i="1" s="1"/>
  <c r="P213" i="1"/>
  <c r="R213" i="1" s="1"/>
  <c r="T213" i="1" l="1"/>
  <c r="V213" i="1" s="1"/>
  <c r="S213" i="1"/>
  <c r="U213" i="1" s="1"/>
  <c r="W213" i="1" s="1"/>
  <c r="X213" i="1" l="1"/>
  <c r="Y213" i="1" s="1"/>
  <c r="Z213" i="1" s="1"/>
  <c r="AA213" i="1" l="1"/>
  <c r="J214" i="1"/>
  <c r="M214" i="1"/>
  <c r="AB213" i="1" l="1"/>
  <c r="AC213" i="1" s="1"/>
  <c r="AD213" i="1" s="1"/>
  <c r="K217" i="1"/>
  <c r="L214" i="1"/>
  <c r="AF213" i="1" l="1"/>
  <c r="P214" i="1"/>
  <c r="R214" i="1" s="1"/>
  <c r="N214" i="1"/>
  <c r="O214" i="1" s="1"/>
  <c r="Q214" i="1" s="1"/>
  <c r="T214" i="1" l="1"/>
  <c r="V214" i="1" s="1"/>
  <c r="S214" i="1"/>
  <c r="U214" i="1" s="1"/>
  <c r="W214" i="1" s="1"/>
  <c r="X214" i="1" l="1"/>
  <c r="Y214" i="1" s="1"/>
  <c r="Z214" i="1" s="1"/>
  <c r="J215" i="1" l="1"/>
  <c r="AA214" i="1"/>
  <c r="M215" i="1"/>
  <c r="AB214" i="1" l="1"/>
  <c r="AC214" i="1" s="1"/>
  <c r="AD214" i="1" s="1"/>
  <c r="K218" i="1"/>
  <c r="L215" i="1"/>
  <c r="AF214" i="1" l="1"/>
  <c r="P215" i="1"/>
  <c r="R215" i="1" s="1"/>
  <c r="N215" i="1"/>
  <c r="O215" i="1" s="1"/>
  <c r="Q215" i="1" s="1"/>
  <c r="T215" i="1" l="1"/>
  <c r="V215" i="1" s="1"/>
  <c r="S215" i="1"/>
  <c r="U215" i="1" s="1"/>
  <c r="W215" i="1" l="1"/>
  <c r="X215" i="1" s="1"/>
  <c r="Y215" i="1" s="1"/>
  <c r="Z215" i="1" s="1"/>
  <c r="AA215" i="1" l="1"/>
  <c r="J216" i="1"/>
  <c r="M216" i="1"/>
  <c r="AB215" i="1" l="1"/>
  <c r="AC215" i="1" s="1"/>
  <c r="AD215" i="1" s="1"/>
  <c r="K219" i="1"/>
  <c r="L216" i="1"/>
  <c r="AF215" i="1" l="1"/>
  <c r="P216" i="1"/>
  <c r="R216" i="1" s="1"/>
  <c r="N216" i="1"/>
  <c r="O216" i="1" s="1"/>
  <c r="Q216" i="1" s="1"/>
  <c r="S216" i="1" l="1"/>
  <c r="U216" i="1" s="1"/>
  <c r="T216" i="1"/>
  <c r="V216" i="1" s="1"/>
  <c r="W216" i="1" l="1"/>
  <c r="X216" i="1" s="1"/>
  <c r="Y216" i="1" s="1"/>
  <c r="Z216" i="1" s="1"/>
  <c r="AA216" i="1" l="1"/>
  <c r="J217" i="1"/>
  <c r="M217" i="1"/>
  <c r="AB216" i="1" l="1"/>
  <c r="AC216" i="1" s="1"/>
  <c r="AD216" i="1" s="1"/>
  <c r="K220" i="1"/>
  <c r="L217" i="1"/>
  <c r="AF216" i="1" l="1"/>
  <c r="N217" i="1"/>
  <c r="O217" i="1" s="1"/>
  <c r="Q217" i="1" s="1"/>
  <c r="P217" i="1"/>
  <c r="R217" i="1" s="1"/>
  <c r="T217" i="1" l="1"/>
  <c r="V217" i="1" s="1"/>
  <c r="S217" i="1"/>
  <c r="U217" i="1" s="1"/>
  <c r="W217" i="1" l="1"/>
  <c r="X217" i="1" s="1"/>
  <c r="Y217" i="1" s="1"/>
  <c r="Z217" i="1" s="1"/>
  <c r="AA217" i="1" l="1"/>
  <c r="J218" i="1"/>
  <c r="M218" i="1"/>
  <c r="AB217" i="1" l="1"/>
  <c r="AC217" i="1" s="1"/>
  <c r="AD217" i="1" s="1"/>
  <c r="L218" i="1"/>
  <c r="K221" i="1"/>
  <c r="AF217" i="1" l="1"/>
  <c r="N218" i="1"/>
  <c r="O218" i="1" s="1"/>
  <c r="Q218" i="1" s="1"/>
  <c r="P218" i="1"/>
  <c r="R218" i="1" s="1"/>
  <c r="T218" i="1" l="1"/>
  <c r="V218" i="1" s="1"/>
  <c r="S218" i="1"/>
  <c r="U218" i="1" s="1"/>
  <c r="W218" i="1" s="1"/>
  <c r="X218" i="1" l="1"/>
  <c r="Y218" i="1" s="1"/>
  <c r="Z218" i="1" s="1"/>
  <c r="J219" i="1" l="1"/>
  <c r="AA218" i="1"/>
  <c r="M219" i="1"/>
  <c r="AB218" i="1" l="1"/>
  <c r="AC218" i="1" s="1"/>
  <c r="AD218" i="1" s="1"/>
  <c r="K222" i="1"/>
  <c r="L219" i="1"/>
  <c r="AF218" i="1" l="1"/>
  <c r="N219" i="1"/>
  <c r="O219" i="1" s="1"/>
  <c r="Q219" i="1" s="1"/>
  <c r="P219" i="1"/>
  <c r="R219" i="1" s="1"/>
  <c r="S219" i="1" l="1"/>
  <c r="U219" i="1" s="1"/>
  <c r="T219" i="1"/>
  <c r="V219" i="1" s="1"/>
  <c r="W219" i="1" l="1"/>
  <c r="X219" i="1" s="1"/>
  <c r="Y219" i="1" s="1"/>
  <c r="Z219" i="1" s="1"/>
  <c r="AA219" i="1" l="1"/>
  <c r="J220" i="1"/>
  <c r="M220" i="1"/>
  <c r="AB219" i="1" l="1"/>
  <c r="AC219" i="1" s="1"/>
  <c r="AD219" i="1" s="1"/>
  <c r="K223" i="1"/>
  <c r="L220" i="1"/>
  <c r="AF219" i="1" l="1"/>
  <c r="N220" i="1"/>
  <c r="O220" i="1" s="1"/>
  <c r="Q220" i="1" s="1"/>
  <c r="P220" i="1"/>
  <c r="R220" i="1" s="1"/>
  <c r="T220" i="1" l="1"/>
  <c r="V220" i="1" s="1"/>
  <c r="S220" i="1"/>
  <c r="U220" i="1" s="1"/>
  <c r="W220" i="1" l="1"/>
  <c r="X220" i="1" s="1"/>
  <c r="Y220" i="1" s="1"/>
  <c r="Z220" i="1" s="1"/>
  <c r="J221" i="1" l="1"/>
  <c r="AA220" i="1"/>
  <c r="M221" i="1"/>
  <c r="AB220" i="1" l="1"/>
  <c r="AC220" i="1" s="1"/>
  <c r="AD220" i="1" s="1"/>
  <c r="K224" i="1"/>
  <c r="L221" i="1"/>
  <c r="AF220" i="1" l="1"/>
  <c r="N221" i="1"/>
  <c r="O221" i="1" s="1"/>
  <c r="Q221" i="1" s="1"/>
  <c r="P221" i="1"/>
  <c r="R221" i="1" s="1"/>
  <c r="S221" i="1" l="1"/>
  <c r="U221" i="1" s="1"/>
  <c r="T221" i="1"/>
  <c r="V221" i="1" s="1"/>
  <c r="W221" i="1" l="1"/>
  <c r="X221" i="1" s="1"/>
  <c r="Y221" i="1" s="1"/>
  <c r="Z221" i="1" s="1"/>
  <c r="AA221" i="1" l="1"/>
  <c r="J222" i="1"/>
  <c r="M222" i="1"/>
  <c r="AB221" i="1" l="1"/>
  <c r="AC221" i="1" s="1"/>
  <c r="AD221" i="1" s="1"/>
  <c r="L222" i="1"/>
  <c r="K225" i="1"/>
  <c r="AF221" i="1" l="1"/>
  <c r="P222" i="1"/>
  <c r="R222" i="1" s="1"/>
  <c r="N222" i="1"/>
  <c r="O222" i="1" s="1"/>
  <c r="Q222" i="1" s="1"/>
  <c r="T222" i="1" l="1"/>
  <c r="V222" i="1" s="1"/>
  <c r="S222" i="1"/>
  <c r="U222" i="1" s="1"/>
  <c r="W222" i="1" l="1"/>
  <c r="X222" i="1" s="1"/>
  <c r="Y222" i="1" s="1"/>
  <c r="Z222" i="1" s="1"/>
  <c r="AA222" i="1" l="1"/>
  <c r="J223" i="1"/>
  <c r="M223" i="1"/>
  <c r="AB222" i="1" l="1"/>
  <c r="AC222" i="1" s="1"/>
  <c r="AD222" i="1" s="1"/>
  <c r="K226" i="1"/>
  <c r="L223" i="1"/>
  <c r="AF222" i="1" l="1"/>
  <c r="P223" i="1"/>
  <c r="R223" i="1" s="1"/>
  <c r="N223" i="1"/>
  <c r="O223" i="1" s="1"/>
  <c r="Q223" i="1" s="1"/>
  <c r="T223" i="1" l="1"/>
  <c r="V223" i="1" s="1"/>
  <c r="S223" i="1"/>
  <c r="U223" i="1" s="1"/>
  <c r="W223" i="1" l="1"/>
  <c r="X223" i="1" s="1"/>
  <c r="Y223" i="1" s="1"/>
  <c r="Z223" i="1" s="1"/>
  <c r="J224" i="1" l="1"/>
  <c r="AA223" i="1"/>
  <c r="M224" i="1"/>
  <c r="AB223" i="1" l="1"/>
  <c r="AC223" i="1" s="1"/>
  <c r="AD223" i="1" s="1"/>
  <c r="K227" i="1"/>
  <c r="L224" i="1"/>
  <c r="AF223" i="1" l="1"/>
  <c r="N224" i="1"/>
  <c r="O224" i="1" s="1"/>
  <c r="Q224" i="1" s="1"/>
  <c r="P224" i="1"/>
  <c r="R224" i="1" s="1"/>
  <c r="T224" i="1" l="1"/>
  <c r="V224" i="1" s="1"/>
  <c r="S224" i="1"/>
  <c r="U224" i="1" s="1"/>
  <c r="W224" i="1" l="1"/>
  <c r="X224" i="1"/>
  <c r="Y224" i="1" s="1"/>
  <c r="Z224" i="1" s="1"/>
  <c r="AA224" i="1" l="1"/>
  <c r="J225" i="1"/>
  <c r="M225" i="1"/>
  <c r="AB224" i="1" l="1"/>
  <c r="AC224" i="1" s="1"/>
  <c r="AD224" i="1" s="1"/>
  <c r="K228" i="1"/>
  <c r="L225" i="1"/>
  <c r="AF224" i="1" l="1"/>
  <c r="P225" i="1"/>
  <c r="R225" i="1" s="1"/>
  <c r="N225" i="1"/>
  <c r="O225" i="1" s="1"/>
  <c r="Q225" i="1" s="1"/>
  <c r="T225" i="1" l="1"/>
  <c r="V225" i="1" s="1"/>
  <c r="S225" i="1"/>
  <c r="U225" i="1" l="1"/>
  <c r="W225" i="1" s="1"/>
  <c r="X225" i="1" l="1"/>
  <c r="Y225" i="1" s="1"/>
  <c r="Z225" i="1" s="1"/>
  <c r="AA225" i="1" l="1"/>
  <c r="J226" i="1"/>
  <c r="M226" i="1"/>
  <c r="AB225" i="1" l="1"/>
  <c r="AC225" i="1" s="1"/>
  <c r="AD225" i="1" s="1"/>
  <c r="K229" i="1"/>
  <c r="L226" i="1"/>
  <c r="AF225" i="1" l="1"/>
  <c r="N226" i="1"/>
  <c r="O226" i="1" s="1"/>
  <c r="Q226" i="1" s="1"/>
  <c r="P226" i="1"/>
  <c r="R226" i="1" s="1"/>
  <c r="T226" i="1" l="1"/>
  <c r="V226" i="1" s="1"/>
  <c r="S226" i="1"/>
  <c r="U226" i="1" l="1"/>
  <c r="W226" i="1" s="1"/>
  <c r="X226" i="1" l="1"/>
  <c r="Y226" i="1" s="1"/>
  <c r="Z226" i="1" s="1"/>
  <c r="AA226" i="1" l="1"/>
  <c r="J227" i="1"/>
  <c r="M227" i="1"/>
  <c r="AB226" i="1" l="1"/>
  <c r="AC226" i="1" s="1"/>
  <c r="AD226" i="1" s="1"/>
  <c r="L227" i="1"/>
  <c r="K230" i="1"/>
  <c r="AF226" i="1" l="1"/>
  <c r="P227" i="1"/>
  <c r="R227" i="1" s="1"/>
  <c r="N227" i="1"/>
  <c r="O227" i="1" s="1"/>
  <c r="Q227" i="1" s="1"/>
  <c r="T227" i="1" l="1"/>
  <c r="V227" i="1" s="1"/>
  <c r="S227" i="1"/>
  <c r="U227" i="1" s="1"/>
  <c r="W227" i="1" l="1"/>
  <c r="X227" i="1" s="1"/>
  <c r="Y227" i="1" s="1"/>
  <c r="Z227" i="1" s="1"/>
  <c r="AA227" i="1" l="1"/>
  <c r="J228" i="1"/>
  <c r="M228" i="1"/>
  <c r="AB227" i="1" l="1"/>
  <c r="AC227" i="1" s="1"/>
  <c r="AD227" i="1" s="1"/>
  <c r="L228" i="1"/>
  <c r="K231" i="1"/>
  <c r="AF227" i="1" l="1"/>
  <c r="N228" i="1"/>
  <c r="O228" i="1" s="1"/>
  <c r="Q228" i="1" s="1"/>
  <c r="P228" i="1"/>
  <c r="R228" i="1" s="1"/>
  <c r="S228" i="1" l="1"/>
  <c r="U228" i="1" s="1"/>
  <c r="T228" i="1"/>
  <c r="V228" i="1" s="1"/>
  <c r="W228" i="1" l="1"/>
  <c r="X228" i="1" s="1"/>
  <c r="Y228" i="1" s="1"/>
  <c r="Z228" i="1" s="1"/>
  <c r="AA228" i="1" l="1"/>
  <c r="J229" i="1"/>
  <c r="M229" i="1"/>
  <c r="AB228" i="1" l="1"/>
  <c r="AC228" i="1" s="1"/>
  <c r="AD228" i="1" s="1"/>
  <c r="L229" i="1"/>
  <c r="K232" i="1"/>
  <c r="AF228" i="1" l="1"/>
  <c r="N229" i="1"/>
  <c r="O229" i="1" s="1"/>
  <c r="Q229" i="1" s="1"/>
  <c r="P229" i="1"/>
  <c r="R229" i="1" s="1"/>
  <c r="T229" i="1" l="1"/>
  <c r="V229" i="1" s="1"/>
  <c r="S229" i="1"/>
  <c r="U229" i="1" s="1"/>
  <c r="W229" i="1" l="1"/>
  <c r="X229" i="1" s="1"/>
  <c r="Y229" i="1" s="1"/>
  <c r="Z229" i="1" s="1"/>
  <c r="AA229" i="1" l="1"/>
  <c r="J230" i="1"/>
  <c r="M230" i="1"/>
  <c r="AB229" i="1" l="1"/>
  <c r="AC229" i="1" s="1"/>
  <c r="AD229" i="1" s="1"/>
  <c r="L230" i="1"/>
  <c r="K233" i="1"/>
  <c r="AF229" i="1" l="1"/>
  <c r="P230" i="1"/>
  <c r="R230" i="1" s="1"/>
  <c r="N230" i="1"/>
  <c r="O230" i="1" s="1"/>
  <c r="Q230" i="1" s="1"/>
  <c r="S230" i="1" l="1"/>
  <c r="U230" i="1" s="1"/>
  <c r="T230" i="1"/>
  <c r="V230" i="1" s="1"/>
  <c r="W230" i="1" l="1"/>
  <c r="X230" i="1" s="1"/>
  <c r="Y230" i="1" s="1"/>
  <c r="Z230" i="1" s="1"/>
  <c r="AA230" i="1" l="1"/>
  <c r="J231" i="1"/>
  <c r="M231" i="1"/>
  <c r="AB230" i="1" l="1"/>
  <c r="AC230" i="1" s="1"/>
  <c r="AD230" i="1" s="1"/>
  <c r="L231" i="1"/>
  <c r="K234" i="1"/>
  <c r="AF230" i="1" l="1"/>
  <c r="P231" i="1"/>
  <c r="R231" i="1" s="1"/>
  <c r="N231" i="1"/>
  <c r="O231" i="1" s="1"/>
  <c r="Q231" i="1" s="1"/>
  <c r="S231" i="1" l="1"/>
  <c r="U231" i="1" s="1"/>
  <c r="T231" i="1"/>
  <c r="V231" i="1" s="1"/>
  <c r="W231" i="1" l="1"/>
  <c r="X231" i="1" s="1"/>
  <c r="Y231" i="1" s="1"/>
  <c r="Z231" i="1" s="1"/>
  <c r="AA231" i="1" l="1"/>
  <c r="J232" i="1"/>
  <c r="M232" i="1"/>
  <c r="AB231" i="1" l="1"/>
  <c r="AC231" i="1" s="1"/>
  <c r="AD231" i="1" s="1"/>
  <c r="L232" i="1"/>
  <c r="K235" i="1"/>
  <c r="AF231" i="1" l="1"/>
  <c r="P232" i="1"/>
  <c r="R232" i="1" s="1"/>
  <c r="N232" i="1"/>
  <c r="O232" i="1" s="1"/>
  <c r="Q232" i="1" s="1"/>
  <c r="T232" i="1" l="1"/>
  <c r="V232" i="1" s="1"/>
  <c r="S232" i="1"/>
  <c r="U232" i="1" l="1"/>
  <c r="W232" i="1" s="1"/>
  <c r="X232" i="1" l="1"/>
  <c r="Y232" i="1" s="1"/>
  <c r="Z232" i="1" s="1"/>
  <c r="J233" i="1" l="1"/>
  <c r="AA232" i="1"/>
  <c r="M233" i="1"/>
  <c r="AB232" i="1" l="1"/>
  <c r="AC232" i="1" s="1"/>
  <c r="AD232" i="1" s="1"/>
  <c r="K236" i="1"/>
  <c r="L233" i="1"/>
  <c r="AF232" i="1" l="1"/>
  <c r="P233" i="1"/>
  <c r="R233" i="1" s="1"/>
  <c r="N233" i="1"/>
  <c r="O233" i="1" s="1"/>
  <c r="Q233" i="1" s="1"/>
  <c r="S233" i="1" l="1"/>
  <c r="U233" i="1" s="1"/>
  <c r="T233" i="1"/>
  <c r="V233" i="1" s="1"/>
  <c r="W233" i="1" l="1"/>
  <c r="X233" i="1" s="1"/>
  <c r="Y233" i="1" s="1"/>
  <c r="Z233" i="1" s="1"/>
  <c r="AA233" i="1" l="1"/>
  <c r="J234" i="1"/>
  <c r="M234" i="1"/>
  <c r="AB233" i="1" l="1"/>
  <c r="AC233" i="1" s="1"/>
  <c r="AD233" i="1" s="1"/>
  <c r="L234" i="1"/>
  <c r="K237" i="1"/>
  <c r="AF233" i="1" l="1"/>
  <c r="P234" i="1"/>
  <c r="R234" i="1" s="1"/>
  <c r="N234" i="1"/>
  <c r="O234" i="1" s="1"/>
  <c r="Q234" i="1" s="1"/>
  <c r="T234" i="1" l="1"/>
  <c r="V234" i="1" s="1"/>
  <c r="S234" i="1"/>
  <c r="U234" i="1" s="1"/>
  <c r="W234" i="1" l="1"/>
  <c r="X234" i="1" s="1"/>
  <c r="Y234" i="1" s="1"/>
  <c r="Z234" i="1" s="1"/>
  <c r="AA234" i="1" l="1"/>
  <c r="J235" i="1"/>
  <c r="M235" i="1"/>
  <c r="AB234" i="1" l="1"/>
  <c r="AC234" i="1" s="1"/>
  <c r="AD234" i="1" s="1"/>
  <c r="K238" i="1"/>
  <c r="L235" i="1"/>
  <c r="AF234" i="1" l="1"/>
  <c r="N235" i="1"/>
  <c r="O235" i="1" s="1"/>
  <c r="Q235" i="1" s="1"/>
  <c r="P235" i="1"/>
  <c r="R235" i="1" s="1"/>
  <c r="T235" i="1" l="1"/>
  <c r="V235" i="1" s="1"/>
  <c r="S235" i="1"/>
  <c r="U235" i="1" s="1"/>
  <c r="W235" i="1" s="1"/>
  <c r="X235" i="1" l="1"/>
  <c r="Y235" i="1" s="1"/>
  <c r="Z235" i="1" s="1"/>
  <c r="AA235" i="1" l="1"/>
  <c r="J236" i="1"/>
  <c r="M236" i="1"/>
  <c r="AB235" i="1" l="1"/>
  <c r="AC235" i="1" s="1"/>
  <c r="AD235" i="1" s="1"/>
  <c r="L236" i="1"/>
  <c r="K239" i="1"/>
  <c r="AF235" i="1" l="1"/>
  <c r="P236" i="1"/>
  <c r="R236" i="1" s="1"/>
  <c r="N236" i="1"/>
  <c r="O236" i="1" s="1"/>
  <c r="Q236" i="1" s="1"/>
  <c r="T236" i="1" l="1"/>
  <c r="V236" i="1" s="1"/>
  <c r="S236" i="1"/>
  <c r="U236" i="1" l="1"/>
  <c r="W236" i="1" l="1"/>
  <c r="X236" i="1" s="1"/>
  <c r="Y236" i="1" s="1"/>
  <c r="Z236" i="1" s="1"/>
  <c r="AA236" i="1" l="1"/>
  <c r="J237" i="1"/>
  <c r="L237" i="1" s="1"/>
  <c r="M237" i="1"/>
  <c r="AB236" i="1" l="1"/>
  <c r="AC236" i="1" s="1"/>
  <c r="AD236" i="1" s="1"/>
  <c r="K240" i="1"/>
  <c r="N237" i="1"/>
  <c r="O237" i="1" s="1"/>
  <c r="Q237" i="1" s="1"/>
  <c r="P237" i="1"/>
  <c r="R237" i="1" s="1"/>
  <c r="AF236" i="1" l="1"/>
  <c r="S237" i="1"/>
  <c r="U237" i="1" s="1"/>
  <c r="T237" i="1"/>
  <c r="V237" i="1" s="1"/>
  <c r="W237" i="1" l="1"/>
  <c r="X237" i="1" s="1"/>
  <c r="Y237" i="1" s="1"/>
  <c r="Z237" i="1" s="1"/>
  <c r="AA237" i="1" l="1"/>
  <c r="J238" i="1"/>
  <c r="M238" i="1"/>
  <c r="AB237" i="1" l="1"/>
  <c r="AC237" i="1" s="1"/>
  <c r="AD237" i="1" s="1"/>
  <c r="L238" i="1"/>
  <c r="K241" i="1"/>
  <c r="AF237" i="1" l="1"/>
  <c r="N238" i="1"/>
  <c r="O238" i="1" s="1"/>
  <c r="Q238" i="1" s="1"/>
  <c r="P238" i="1"/>
  <c r="R238" i="1" s="1"/>
  <c r="T238" i="1" l="1"/>
  <c r="V238" i="1" s="1"/>
  <c r="S238" i="1"/>
  <c r="U238" i="1" s="1"/>
  <c r="W238" i="1" l="1"/>
  <c r="X238" i="1" s="1"/>
  <c r="Y238" i="1" s="1"/>
  <c r="Z238" i="1" s="1"/>
  <c r="J239" i="1" l="1"/>
  <c r="AA238" i="1"/>
  <c r="M239" i="1"/>
  <c r="AB238" i="1" l="1"/>
  <c r="AC238" i="1" s="1"/>
  <c r="AD238" i="1" s="1"/>
  <c r="L239" i="1"/>
  <c r="K242" i="1"/>
  <c r="AF238" i="1" l="1"/>
  <c r="P239" i="1"/>
  <c r="R239" i="1" s="1"/>
  <c r="N239" i="1"/>
  <c r="O239" i="1" s="1"/>
  <c r="Q239" i="1" s="1"/>
  <c r="S239" i="1" l="1"/>
  <c r="U239" i="1" s="1"/>
  <c r="T239" i="1"/>
  <c r="V239" i="1" s="1"/>
  <c r="W239" i="1" l="1"/>
  <c r="X239" i="1" s="1"/>
  <c r="Y239" i="1" s="1"/>
  <c r="Z239" i="1" s="1"/>
  <c r="AA239" i="1" l="1"/>
  <c r="J240" i="1"/>
  <c r="M240" i="1"/>
  <c r="AB239" i="1" l="1"/>
  <c r="AC239" i="1" s="1"/>
  <c r="AD239" i="1" s="1"/>
  <c r="L240" i="1"/>
  <c r="K243" i="1"/>
  <c r="AF239" i="1" l="1"/>
  <c r="N240" i="1"/>
  <c r="O240" i="1" s="1"/>
  <c r="Q240" i="1" s="1"/>
  <c r="P240" i="1"/>
  <c r="R240" i="1" s="1"/>
  <c r="S240" i="1" l="1"/>
  <c r="U240" i="1" s="1"/>
  <c r="T240" i="1"/>
  <c r="V240" i="1" s="1"/>
  <c r="W240" i="1" l="1"/>
  <c r="X240" i="1" s="1"/>
  <c r="Y240" i="1" s="1"/>
  <c r="Z240" i="1" s="1"/>
  <c r="AA240" i="1" l="1"/>
  <c r="J241" i="1"/>
  <c r="M241" i="1"/>
  <c r="AB240" i="1" l="1"/>
  <c r="AC240" i="1" s="1"/>
  <c r="AD240" i="1" s="1"/>
  <c r="L241" i="1"/>
  <c r="K244" i="1"/>
  <c r="AF240" i="1" l="1"/>
  <c r="N241" i="1"/>
  <c r="O241" i="1" s="1"/>
  <c r="Q241" i="1" s="1"/>
  <c r="P241" i="1"/>
  <c r="R241" i="1" s="1"/>
  <c r="T241" i="1" l="1"/>
  <c r="V241" i="1" s="1"/>
  <c r="S241" i="1"/>
  <c r="U241" i="1" s="1"/>
  <c r="W241" i="1" l="1"/>
  <c r="X241" i="1"/>
  <c r="Y241" i="1" s="1"/>
  <c r="Z241" i="1" s="1"/>
  <c r="J242" i="1" l="1"/>
  <c r="AA241" i="1"/>
  <c r="M242" i="1"/>
  <c r="AB241" i="1" l="1"/>
  <c r="AC241" i="1" s="1"/>
  <c r="AD241" i="1" s="1"/>
  <c r="K245" i="1"/>
  <c r="L242" i="1"/>
  <c r="AF241" i="1" l="1"/>
  <c r="P242" i="1"/>
  <c r="R242" i="1" s="1"/>
  <c r="N242" i="1"/>
  <c r="O242" i="1" s="1"/>
  <c r="Q242" i="1" s="1"/>
  <c r="S242" i="1" l="1"/>
  <c r="U242" i="1" s="1"/>
  <c r="T242" i="1"/>
  <c r="V242" i="1" s="1"/>
  <c r="W242" i="1" l="1"/>
  <c r="X242" i="1" s="1"/>
  <c r="Y242" i="1" s="1"/>
  <c r="Z242" i="1" s="1"/>
  <c r="J243" i="1" l="1"/>
  <c r="AA242" i="1"/>
  <c r="M243" i="1"/>
  <c r="AB242" i="1" l="1"/>
  <c r="AC242" i="1" s="1"/>
  <c r="AD242" i="1" s="1"/>
  <c r="K246" i="1"/>
  <c r="L243" i="1"/>
  <c r="AF242" i="1" l="1"/>
  <c r="P243" i="1"/>
  <c r="R243" i="1" s="1"/>
  <c r="N243" i="1"/>
  <c r="O243" i="1" s="1"/>
  <c r="Q243" i="1" s="1"/>
  <c r="S243" i="1" l="1"/>
  <c r="U243" i="1" s="1"/>
  <c r="T243" i="1"/>
  <c r="V243" i="1" s="1"/>
  <c r="W243" i="1" l="1"/>
  <c r="X243" i="1" s="1"/>
  <c r="Y243" i="1" s="1"/>
  <c r="Z243" i="1" s="1"/>
  <c r="AA243" i="1" l="1"/>
  <c r="J244" i="1"/>
  <c r="M244" i="1"/>
  <c r="AB243" i="1" l="1"/>
  <c r="AC243" i="1" s="1"/>
  <c r="AD243" i="1" s="1"/>
  <c r="L244" i="1"/>
  <c r="K247" i="1"/>
  <c r="AF243" i="1" l="1"/>
  <c r="N244" i="1"/>
  <c r="O244" i="1" s="1"/>
  <c r="Q244" i="1" s="1"/>
  <c r="P244" i="1"/>
  <c r="R244" i="1" s="1"/>
  <c r="S244" i="1" l="1"/>
  <c r="U244" i="1" s="1"/>
  <c r="T244" i="1"/>
  <c r="V244" i="1" s="1"/>
  <c r="W244" i="1" l="1"/>
  <c r="X244" i="1" s="1"/>
  <c r="Y244" i="1" s="1"/>
  <c r="Z244" i="1" s="1"/>
  <c r="AA244" i="1" l="1"/>
  <c r="J245" i="1"/>
  <c r="M245" i="1"/>
  <c r="AB244" i="1" l="1"/>
  <c r="AC244" i="1" s="1"/>
  <c r="AD244" i="1" s="1"/>
  <c r="L245" i="1"/>
  <c r="K248" i="1"/>
  <c r="AF244" i="1" l="1"/>
  <c r="N245" i="1"/>
  <c r="O245" i="1" s="1"/>
  <c r="Q245" i="1" s="1"/>
  <c r="P245" i="1"/>
  <c r="R245" i="1" s="1"/>
  <c r="S245" i="1" l="1"/>
  <c r="U245" i="1" s="1"/>
  <c r="T245" i="1"/>
  <c r="V245" i="1" s="1"/>
  <c r="W245" i="1" l="1"/>
  <c r="X245" i="1" s="1"/>
  <c r="Y245" i="1" s="1"/>
  <c r="Z245" i="1" s="1"/>
  <c r="AA245" i="1" l="1"/>
  <c r="J246" i="1"/>
  <c r="M246" i="1"/>
  <c r="AB245" i="1" l="1"/>
  <c r="AC245" i="1" s="1"/>
  <c r="AD245" i="1" s="1"/>
  <c r="L246" i="1"/>
  <c r="K249" i="1"/>
  <c r="AF245" i="1" l="1"/>
  <c r="P246" i="1"/>
  <c r="R246" i="1" s="1"/>
  <c r="N246" i="1"/>
  <c r="O246" i="1" s="1"/>
  <c r="Q246" i="1" s="1"/>
  <c r="S246" i="1" l="1"/>
  <c r="U246" i="1" s="1"/>
  <c r="T246" i="1"/>
  <c r="V246" i="1" s="1"/>
  <c r="W246" i="1" l="1"/>
  <c r="X246" i="1" s="1"/>
  <c r="Y246" i="1" s="1"/>
  <c r="Z246" i="1" s="1"/>
  <c r="J247" i="1" l="1"/>
  <c r="AA246" i="1"/>
  <c r="M247" i="1"/>
  <c r="AB246" i="1" l="1"/>
  <c r="AC246" i="1" s="1"/>
  <c r="AD246" i="1" s="1"/>
  <c r="L247" i="1"/>
  <c r="K250" i="1"/>
  <c r="AF246" i="1" l="1"/>
  <c r="N247" i="1"/>
  <c r="O247" i="1" s="1"/>
  <c r="Q247" i="1" s="1"/>
  <c r="P247" i="1"/>
  <c r="R247" i="1" s="1"/>
  <c r="T247" i="1" l="1"/>
  <c r="V247" i="1" s="1"/>
  <c r="S247" i="1"/>
  <c r="U247" i="1" s="1"/>
  <c r="W247" i="1" s="1"/>
  <c r="X247" i="1" l="1"/>
  <c r="Y247" i="1" s="1"/>
  <c r="Z247" i="1" s="1"/>
  <c r="J248" i="1" l="1"/>
  <c r="AA247" i="1"/>
  <c r="M248" i="1"/>
  <c r="AB247" i="1" l="1"/>
  <c r="AC247" i="1" s="1"/>
  <c r="AD247" i="1" s="1"/>
  <c r="L248" i="1"/>
  <c r="K251" i="1"/>
  <c r="AF247" i="1" l="1"/>
  <c r="P248" i="1"/>
  <c r="R248" i="1" s="1"/>
  <c r="N248" i="1"/>
  <c r="O248" i="1" s="1"/>
  <c r="Q248" i="1" s="1"/>
  <c r="T248" i="1" l="1"/>
  <c r="V248" i="1" s="1"/>
  <c r="S248" i="1"/>
  <c r="U248" i="1" s="1"/>
  <c r="W248" i="1" l="1"/>
  <c r="X248" i="1" s="1"/>
  <c r="Y248" i="1" s="1"/>
  <c r="Z248" i="1" s="1"/>
  <c r="J249" i="1" l="1"/>
  <c r="AA248" i="1"/>
  <c r="M249" i="1"/>
  <c r="AB248" i="1" l="1"/>
  <c r="AC248" i="1" s="1"/>
  <c r="AD248" i="1" s="1"/>
  <c r="K252" i="1"/>
  <c r="L249" i="1"/>
  <c r="AF248" i="1" l="1"/>
  <c r="P249" i="1"/>
  <c r="R249" i="1" s="1"/>
  <c r="N249" i="1"/>
  <c r="O249" i="1" s="1"/>
  <c r="Q249" i="1" s="1"/>
  <c r="T249" i="1" l="1"/>
  <c r="V249" i="1" s="1"/>
  <c r="S249" i="1"/>
  <c r="U249" i="1" s="1"/>
  <c r="W249" i="1" l="1"/>
  <c r="X249" i="1" s="1"/>
  <c r="Y249" i="1" s="1"/>
  <c r="Z249" i="1" s="1"/>
  <c r="J250" i="1" l="1"/>
  <c r="AA249" i="1"/>
  <c r="M250" i="1"/>
  <c r="AB249" i="1" l="1"/>
  <c r="AC249" i="1" s="1"/>
  <c r="AD249" i="1" s="1"/>
  <c r="L250" i="1"/>
  <c r="K253" i="1"/>
  <c r="AF249" i="1" l="1"/>
  <c r="N250" i="1"/>
  <c r="O250" i="1" s="1"/>
  <c r="Q250" i="1" s="1"/>
  <c r="P250" i="1"/>
  <c r="R250" i="1" s="1"/>
  <c r="T250" i="1" l="1"/>
  <c r="S250" i="1"/>
  <c r="U250" i="1" s="1"/>
  <c r="V250" i="1" l="1"/>
  <c r="W250" i="1" s="1"/>
  <c r="X250" i="1" l="1"/>
  <c r="Y250" i="1" s="1"/>
  <c r="Z250" i="1" s="1"/>
  <c r="J251" i="1" l="1"/>
  <c r="AA250" i="1"/>
  <c r="M251" i="1"/>
  <c r="AB250" i="1" l="1"/>
  <c r="AC250" i="1" s="1"/>
  <c r="AD250" i="1" s="1"/>
  <c r="K254" i="1"/>
  <c r="L251" i="1"/>
  <c r="AF250" i="1" l="1"/>
  <c r="P251" i="1"/>
  <c r="R251" i="1" s="1"/>
  <c r="N251" i="1"/>
  <c r="O251" i="1" s="1"/>
  <c r="Q251" i="1" s="1"/>
  <c r="S251" i="1" l="1"/>
  <c r="U251" i="1" s="1"/>
  <c r="T251" i="1"/>
  <c r="V251" i="1" s="1"/>
  <c r="W251" i="1" l="1"/>
  <c r="X251" i="1" s="1"/>
  <c r="Y251" i="1" s="1"/>
  <c r="Z251" i="1" s="1"/>
  <c r="AA251" i="1" l="1"/>
  <c r="J252" i="1"/>
  <c r="M252" i="1"/>
  <c r="AB251" i="1" l="1"/>
  <c r="AC251" i="1" s="1"/>
  <c r="AD251" i="1" s="1"/>
  <c r="K255" i="1"/>
  <c r="L252" i="1"/>
  <c r="AF251" i="1" l="1"/>
  <c r="N252" i="1"/>
  <c r="O252" i="1" s="1"/>
  <c r="Q252" i="1" s="1"/>
  <c r="P252" i="1"/>
  <c r="R252" i="1" s="1"/>
  <c r="T252" i="1" l="1"/>
  <c r="V252" i="1" s="1"/>
  <c r="S252" i="1"/>
  <c r="U252" i="1" s="1"/>
  <c r="W252" i="1" l="1"/>
  <c r="X252" i="1" s="1"/>
  <c r="Y252" i="1" s="1"/>
  <c r="Z252" i="1" s="1"/>
  <c r="AA252" i="1" l="1"/>
  <c r="J253" i="1"/>
  <c r="M253" i="1"/>
  <c r="AB252" i="1" l="1"/>
  <c r="AC252" i="1" s="1"/>
  <c r="AD252" i="1" s="1"/>
  <c r="L253" i="1"/>
  <c r="K256" i="1"/>
  <c r="AF252" i="1" l="1"/>
  <c r="P253" i="1"/>
  <c r="R253" i="1" s="1"/>
  <c r="N253" i="1"/>
  <c r="O253" i="1" s="1"/>
  <c r="Q253" i="1" s="1"/>
  <c r="S253" i="1" l="1"/>
  <c r="U253" i="1" s="1"/>
  <c r="T253" i="1"/>
  <c r="V253" i="1" s="1"/>
  <c r="W253" i="1" l="1"/>
  <c r="X253" i="1" s="1"/>
  <c r="Y253" i="1" s="1"/>
  <c r="Z253" i="1" s="1"/>
  <c r="J254" i="1" l="1"/>
  <c r="AA253" i="1"/>
  <c r="M254" i="1"/>
  <c r="AB253" i="1" l="1"/>
  <c r="AC253" i="1" s="1"/>
  <c r="AD253" i="1" s="1"/>
  <c r="L254" i="1"/>
  <c r="K257" i="1"/>
  <c r="AF253" i="1" l="1"/>
  <c r="P254" i="1"/>
  <c r="R254" i="1" s="1"/>
  <c r="N254" i="1"/>
  <c r="O254" i="1" s="1"/>
  <c r="Q254" i="1" s="1"/>
  <c r="S254" i="1" l="1"/>
  <c r="U254" i="1" s="1"/>
  <c r="T254" i="1"/>
  <c r="V254" i="1" s="1"/>
  <c r="W254" i="1" l="1"/>
  <c r="X254" i="1" s="1"/>
  <c r="Y254" i="1" s="1"/>
  <c r="Z254" i="1" s="1"/>
  <c r="AA254" i="1" l="1"/>
  <c r="J255" i="1"/>
  <c r="M255" i="1"/>
  <c r="AB254" i="1" l="1"/>
  <c r="AC254" i="1" s="1"/>
  <c r="AD254" i="1" s="1"/>
  <c r="K258" i="1"/>
  <c r="L255" i="1"/>
  <c r="AF254" i="1" l="1"/>
  <c r="N255" i="1"/>
  <c r="O255" i="1" s="1"/>
  <c r="Q255" i="1" s="1"/>
  <c r="P255" i="1"/>
  <c r="R255" i="1" s="1"/>
  <c r="S255" i="1" l="1"/>
  <c r="U255" i="1" s="1"/>
  <c r="T255" i="1"/>
  <c r="V255" i="1" s="1"/>
  <c r="W255" i="1" l="1"/>
  <c r="X255" i="1" s="1"/>
  <c r="Y255" i="1" s="1"/>
  <c r="Z255" i="1" s="1"/>
  <c r="AA255" i="1" l="1"/>
  <c r="J256" i="1"/>
  <c r="M256" i="1"/>
  <c r="AB255" i="1" l="1"/>
  <c r="AC255" i="1" s="1"/>
  <c r="AD255" i="1" s="1"/>
  <c r="L256" i="1"/>
  <c r="K259" i="1"/>
  <c r="AF255" i="1" l="1"/>
  <c r="P256" i="1"/>
  <c r="R256" i="1" s="1"/>
  <c r="N256" i="1"/>
  <c r="O256" i="1" s="1"/>
  <c r="Q256" i="1" s="1"/>
  <c r="T256" i="1" l="1"/>
  <c r="V256" i="1" s="1"/>
  <c r="S256" i="1"/>
  <c r="U256" i="1" s="1"/>
  <c r="W256" i="1" l="1"/>
  <c r="X256" i="1" s="1"/>
  <c r="Y256" i="1" s="1"/>
  <c r="Z256" i="1" s="1"/>
  <c r="AA256" i="1" l="1"/>
  <c r="J257" i="1"/>
  <c r="M257" i="1"/>
  <c r="AB256" i="1" l="1"/>
  <c r="AC256" i="1" s="1"/>
  <c r="AD256" i="1" s="1"/>
  <c r="L257" i="1"/>
  <c r="K260" i="1"/>
  <c r="AF256" i="1" l="1"/>
  <c r="N257" i="1"/>
  <c r="O257" i="1" s="1"/>
  <c r="Q257" i="1" s="1"/>
  <c r="P257" i="1"/>
  <c r="R257" i="1" s="1"/>
  <c r="S257" i="1" l="1"/>
  <c r="U257" i="1" s="1"/>
  <c r="T257" i="1"/>
  <c r="V257" i="1" s="1"/>
  <c r="W257" i="1" l="1"/>
  <c r="X257" i="1" s="1"/>
  <c r="Y257" i="1" s="1"/>
  <c r="Z257" i="1" s="1"/>
  <c r="J258" i="1" l="1"/>
  <c r="AA257" i="1"/>
  <c r="M258" i="1"/>
  <c r="AB257" i="1" l="1"/>
  <c r="AC257" i="1" s="1"/>
  <c r="AD257" i="1" s="1"/>
  <c r="L258" i="1"/>
  <c r="K261" i="1"/>
  <c r="AF257" i="1" l="1"/>
  <c r="P258" i="1"/>
  <c r="R258" i="1" s="1"/>
  <c r="N258" i="1"/>
  <c r="O258" i="1" s="1"/>
  <c r="Q258" i="1" s="1"/>
  <c r="S258" i="1" l="1"/>
  <c r="U258" i="1" s="1"/>
  <c r="T258" i="1"/>
  <c r="V258" i="1" s="1"/>
  <c r="W258" i="1" l="1"/>
  <c r="X258" i="1" s="1"/>
  <c r="Y258" i="1" s="1"/>
  <c r="Z258" i="1" s="1"/>
  <c r="J259" i="1" l="1"/>
  <c r="AA258" i="1"/>
  <c r="M259" i="1"/>
  <c r="AB258" i="1" l="1"/>
  <c r="AC258" i="1" s="1"/>
  <c r="AD258" i="1" s="1"/>
  <c r="L259" i="1"/>
  <c r="K262" i="1"/>
  <c r="AF258" i="1" l="1"/>
  <c r="N259" i="1"/>
  <c r="O259" i="1" s="1"/>
  <c r="Q259" i="1" s="1"/>
  <c r="P259" i="1"/>
  <c r="R259" i="1" s="1"/>
  <c r="T259" i="1" l="1"/>
  <c r="V259" i="1" s="1"/>
  <c r="S259" i="1"/>
  <c r="U259" i="1" s="1"/>
  <c r="W259" i="1" s="1"/>
  <c r="X259" i="1" l="1"/>
  <c r="Y259" i="1" s="1"/>
  <c r="Z259" i="1" s="1"/>
  <c r="AA259" i="1" l="1"/>
  <c r="J260" i="1"/>
  <c r="M260" i="1"/>
  <c r="AB259" i="1" l="1"/>
  <c r="AC259" i="1" s="1"/>
  <c r="AD259" i="1" s="1"/>
  <c r="K263" i="1"/>
  <c r="L260" i="1"/>
  <c r="AF259" i="1" l="1"/>
  <c r="P260" i="1"/>
  <c r="R260" i="1" s="1"/>
  <c r="N260" i="1"/>
  <c r="O260" i="1" s="1"/>
  <c r="Q260" i="1" s="1"/>
  <c r="S260" i="1" l="1"/>
  <c r="U260" i="1" s="1"/>
  <c r="T260" i="1"/>
  <c r="V260" i="1" s="1"/>
  <c r="W260" i="1" l="1"/>
  <c r="X260" i="1" s="1"/>
  <c r="Y260" i="1" s="1"/>
  <c r="Z260" i="1" s="1"/>
  <c r="AA260" i="1" l="1"/>
  <c r="J261" i="1"/>
  <c r="M261" i="1"/>
  <c r="AB260" i="1" l="1"/>
  <c r="AC260" i="1" s="1"/>
  <c r="AD260" i="1" s="1"/>
  <c r="K264" i="1"/>
  <c r="L261" i="1"/>
  <c r="AF260" i="1" l="1"/>
  <c r="P261" i="1"/>
  <c r="R261" i="1" s="1"/>
  <c r="N261" i="1"/>
  <c r="O261" i="1" s="1"/>
  <c r="Q261" i="1" s="1"/>
  <c r="S261" i="1" l="1"/>
  <c r="U261" i="1" s="1"/>
  <c r="T261" i="1"/>
  <c r="V261" i="1" s="1"/>
  <c r="W261" i="1" l="1"/>
  <c r="X261" i="1" s="1"/>
  <c r="Y261" i="1" s="1"/>
  <c r="Z261" i="1" s="1"/>
  <c r="AA261" i="1" l="1"/>
  <c r="J262" i="1"/>
  <c r="M262" i="1"/>
  <c r="AB261" i="1" l="1"/>
  <c r="AC261" i="1" s="1"/>
  <c r="AD261" i="1" s="1"/>
  <c r="K265" i="1"/>
  <c r="L262" i="1"/>
  <c r="AF261" i="1" l="1"/>
  <c r="N262" i="1"/>
  <c r="O262" i="1" s="1"/>
  <c r="Q262" i="1" s="1"/>
  <c r="P262" i="1"/>
  <c r="R262" i="1" s="1"/>
  <c r="S262" i="1" l="1"/>
  <c r="U262" i="1" s="1"/>
  <c r="T262" i="1"/>
  <c r="V262" i="1" s="1"/>
  <c r="W262" i="1" l="1"/>
  <c r="X262" i="1" s="1"/>
  <c r="Y262" i="1" s="1"/>
  <c r="Z262" i="1" s="1"/>
  <c r="AA262" i="1" l="1"/>
  <c r="J263" i="1"/>
  <c r="M263" i="1"/>
  <c r="AB262" i="1" l="1"/>
  <c r="AC262" i="1" s="1"/>
  <c r="AD262" i="1" s="1"/>
  <c r="K266" i="1"/>
  <c r="L263" i="1"/>
  <c r="AF262" i="1" l="1"/>
  <c r="N263" i="1"/>
  <c r="O263" i="1" s="1"/>
  <c r="Q263" i="1" s="1"/>
  <c r="P263" i="1"/>
  <c r="R263" i="1" s="1"/>
  <c r="S263" i="1" l="1"/>
  <c r="U263" i="1" s="1"/>
  <c r="T263" i="1"/>
  <c r="V263" i="1" s="1"/>
  <c r="W263" i="1" l="1"/>
  <c r="X263" i="1" s="1"/>
  <c r="Y263" i="1" s="1"/>
  <c r="Z263" i="1" s="1"/>
  <c r="AA263" i="1" l="1"/>
  <c r="J264" i="1"/>
  <c r="M264" i="1"/>
  <c r="AB263" i="1" l="1"/>
  <c r="AC263" i="1" s="1"/>
  <c r="AD263" i="1" s="1"/>
  <c r="L264" i="1"/>
  <c r="K267" i="1"/>
  <c r="AF263" i="1" l="1"/>
  <c r="N264" i="1"/>
  <c r="O264" i="1" s="1"/>
  <c r="Q264" i="1" s="1"/>
  <c r="P264" i="1"/>
  <c r="R264" i="1" s="1"/>
  <c r="S264" i="1" l="1"/>
  <c r="U264" i="1" s="1"/>
  <c r="T264" i="1"/>
  <c r="V264" i="1" s="1"/>
  <c r="W264" i="1" l="1"/>
  <c r="X264" i="1" s="1"/>
  <c r="Y264" i="1" s="1"/>
  <c r="Z264" i="1" s="1"/>
  <c r="J265" i="1" l="1"/>
  <c r="AA264" i="1"/>
  <c r="M265" i="1"/>
  <c r="AB264" i="1" l="1"/>
  <c r="AC264" i="1" s="1"/>
  <c r="AD264" i="1" s="1"/>
  <c r="L265" i="1"/>
  <c r="K268" i="1"/>
  <c r="AF264" i="1" l="1"/>
  <c r="N265" i="1"/>
  <c r="O265" i="1" s="1"/>
  <c r="Q265" i="1" s="1"/>
  <c r="P265" i="1"/>
  <c r="R265" i="1" s="1"/>
  <c r="T265" i="1" l="1"/>
  <c r="V265" i="1" s="1"/>
  <c r="S265" i="1"/>
  <c r="U265" i="1" s="1"/>
  <c r="W265" i="1" l="1"/>
  <c r="X265" i="1" s="1"/>
  <c r="Y265" i="1" s="1"/>
  <c r="Z265" i="1" s="1"/>
  <c r="AA265" i="1" l="1"/>
  <c r="J266" i="1"/>
  <c r="M266" i="1"/>
  <c r="AB265" i="1" l="1"/>
  <c r="AC265" i="1" s="1"/>
  <c r="AD265" i="1" s="1"/>
  <c r="L266" i="1"/>
  <c r="K269" i="1"/>
  <c r="AF265" i="1" l="1"/>
  <c r="P266" i="1"/>
  <c r="R266" i="1" s="1"/>
  <c r="N266" i="1"/>
  <c r="O266" i="1" s="1"/>
  <c r="Q266" i="1" s="1"/>
  <c r="T266" i="1" l="1"/>
  <c r="V266" i="1" s="1"/>
  <c r="S266" i="1"/>
  <c r="U266" i="1" s="1"/>
  <c r="W266" i="1" s="1"/>
  <c r="X266" i="1" l="1"/>
  <c r="Y266" i="1" s="1"/>
  <c r="Z266" i="1" s="1"/>
  <c r="M267" i="1" l="1"/>
  <c r="AA266" i="1"/>
  <c r="J267" i="1"/>
  <c r="AB266" i="1" l="1"/>
  <c r="AC266" i="1" s="1"/>
  <c r="AD266" i="1" s="1"/>
  <c r="K270" i="1"/>
  <c r="L267" i="1"/>
  <c r="AF266" i="1" l="1"/>
  <c r="N267" i="1"/>
  <c r="O267" i="1" s="1"/>
  <c r="Q267" i="1" s="1"/>
  <c r="P267" i="1"/>
  <c r="R267" i="1" s="1"/>
  <c r="S267" i="1" l="1"/>
  <c r="U267" i="1" s="1"/>
  <c r="T267" i="1"/>
  <c r="V267" i="1" l="1"/>
  <c r="W267" i="1" s="1"/>
  <c r="X267" i="1" l="1"/>
  <c r="Y267" i="1" s="1"/>
  <c r="Z267" i="1" s="1"/>
  <c r="J268" i="1" l="1"/>
  <c r="AA267" i="1"/>
  <c r="M268" i="1"/>
  <c r="AB267" i="1" l="1"/>
  <c r="AC267" i="1" s="1"/>
  <c r="AD267" i="1" s="1"/>
  <c r="L268" i="1"/>
  <c r="K271" i="1"/>
  <c r="AF267" i="1" l="1"/>
  <c r="P268" i="1"/>
  <c r="R268" i="1" s="1"/>
  <c r="N268" i="1"/>
  <c r="O268" i="1" s="1"/>
  <c r="Q268" i="1" s="1"/>
  <c r="T268" i="1" l="1"/>
  <c r="V268" i="1" s="1"/>
  <c r="S268" i="1"/>
  <c r="U268" i="1" l="1"/>
  <c r="W268" i="1" s="1"/>
  <c r="X268" i="1" l="1"/>
  <c r="Y268" i="1" s="1"/>
  <c r="Z268" i="1" s="1"/>
  <c r="J269" i="1" l="1"/>
  <c r="AA268" i="1"/>
  <c r="M269" i="1"/>
  <c r="AB268" i="1" l="1"/>
  <c r="AC268" i="1" s="1"/>
  <c r="AD268" i="1" s="1"/>
  <c r="K272" i="1"/>
  <c r="L269" i="1"/>
  <c r="AF268" i="1" l="1"/>
  <c r="N269" i="1"/>
  <c r="O269" i="1" s="1"/>
  <c r="Q269" i="1" s="1"/>
  <c r="P269" i="1"/>
  <c r="R269" i="1" s="1"/>
  <c r="S269" i="1" l="1"/>
  <c r="U269" i="1" s="1"/>
  <c r="T269" i="1"/>
  <c r="V269" i="1" s="1"/>
  <c r="W269" i="1" l="1"/>
  <c r="X269" i="1" s="1"/>
  <c r="Y269" i="1" s="1"/>
  <c r="Z269" i="1" s="1"/>
  <c r="AA269" i="1" l="1"/>
  <c r="J270" i="1"/>
  <c r="M270" i="1"/>
  <c r="AB269" i="1" l="1"/>
  <c r="AC269" i="1" s="1"/>
  <c r="AD269" i="1" s="1"/>
  <c r="L270" i="1"/>
  <c r="K273" i="1"/>
  <c r="AF269" i="1" l="1"/>
  <c r="N270" i="1"/>
  <c r="O270" i="1" s="1"/>
  <c r="Q270" i="1" s="1"/>
  <c r="P270" i="1"/>
  <c r="R270" i="1" s="1"/>
  <c r="S270" i="1" l="1"/>
  <c r="U270" i="1" s="1"/>
  <c r="T270" i="1"/>
  <c r="V270" i="1" s="1"/>
  <c r="W270" i="1" l="1"/>
  <c r="X270" i="1" s="1"/>
  <c r="Y270" i="1" s="1"/>
  <c r="Z270" i="1" s="1"/>
  <c r="J271" i="1" l="1"/>
  <c r="AA270" i="1"/>
  <c r="M271" i="1"/>
  <c r="AB270" i="1" l="1"/>
  <c r="AC270" i="1" s="1"/>
  <c r="AD270" i="1" s="1"/>
  <c r="L271" i="1"/>
  <c r="K274" i="1"/>
  <c r="AF270" i="1" l="1"/>
  <c r="N271" i="1"/>
  <c r="O271" i="1" s="1"/>
  <c r="Q271" i="1" s="1"/>
  <c r="P271" i="1"/>
  <c r="R271" i="1" s="1"/>
  <c r="S271" i="1" l="1"/>
  <c r="U271" i="1" s="1"/>
  <c r="T271" i="1"/>
  <c r="V271" i="1" s="1"/>
  <c r="W271" i="1" l="1"/>
  <c r="X271" i="1" s="1"/>
  <c r="Y271" i="1" s="1"/>
  <c r="Z271" i="1" s="1"/>
  <c r="AA271" i="1" l="1"/>
  <c r="J272" i="1"/>
  <c r="M272" i="1"/>
  <c r="AB271" i="1" l="1"/>
  <c r="AC271" i="1" s="1"/>
  <c r="AD271" i="1" s="1"/>
  <c r="L272" i="1"/>
  <c r="K275" i="1"/>
  <c r="AF271" i="1" l="1"/>
  <c r="N272" i="1"/>
  <c r="O272" i="1" s="1"/>
  <c r="Q272" i="1" s="1"/>
  <c r="P272" i="1"/>
  <c r="R272" i="1" s="1"/>
  <c r="S272" i="1" l="1"/>
  <c r="U272" i="1" s="1"/>
  <c r="T272" i="1"/>
  <c r="V272" i="1" s="1"/>
  <c r="W272" i="1" l="1"/>
  <c r="X272" i="1" s="1"/>
  <c r="Y272" i="1" s="1"/>
  <c r="Z272" i="1" s="1"/>
  <c r="AA272" i="1" l="1"/>
  <c r="J273" i="1"/>
  <c r="M273" i="1"/>
  <c r="AB272" i="1" l="1"/>
  <c r="AC272" i="1" s="1"/>
  <c r="AD272" i="1" s="1"/>
  <c r="L273" i="1"/>
  <c r="K276" i="1"/>
  <c r="AF272" i="1" l="1"/>
  <c r="P273" i="1"/>
  <c r="R273" i="1" s="1"/>
  <c r="N273" i="1"/>
  <c r="O273" i="1" s="1"/>
  <c r="Q273" i="1" s="1"/>
  <c r="T273" i="1" l="1"/>
  <c r="V273" i="1" s="1"/>
  <c r="S273" i="1"/>
  <c r="U273" i="1" s="1"/>
  <c r="W273" i="1" s="1"/>
  <c r="X273" i="1" l="1"/>
  <c r="Y273" i="1" s="1"/>
  <c r="Z273" i="1" s="1"/>
  <c r="AA273" i="1" l="1"/>
  <c r="J274" i="1"/>
  <c r="M274" i="1"/>
  <c r="AB273" i="1" l="1"/>
  <c r="AC273" i="1" s="1"/>
  <c r="AD273" i="1" s="1"/>
  <c r="L274" i="1"/>
  <c r="K277" i="1"/>
  <c r="AF273" i="1" l="1"/>
  <c r="N274" i="1"/>
  <c r="O274" i="1" s="1"/>
  <c r="Q274" i="1" s="1"/>
  <c r="P274" i="1"/>
  <c r="R274" i="1" s="1"/>
  <c r="S274" i="1" l="1"/>
  <c r="U274" i="1" s="1"/>
  <c r="T274" i="1"/>
  <c r="V274" i="1" s="1"/>
  <c r="W274" i="1" l="1"/>
  <c r="X274" i="1" s="1"/>
  <c r="Y274" i="1" s="1"/>
  <c r="Z274" i="1" s="1"/>
  <c r="AA274" i="1" l="1"/>
  <c r="J275" i="1"/>
  <c r="M275" i="1"/>
  <c r="AB274" i="1" l="1"/>
  <c r="AC274" i="1" s="1"/>
  <c r="AD274" i="1" s="1"/>
  <c r="L275" i="1"/>
  <c r="K278" i="1"/>
  <c r="AF274" i="1" l="1"/>
  <c r="N275" i="1"/>
  <c r="O275" i="1" s="1"/>
  <c r="Q275" i="1" s="1"/>
  <c r="P275" i="1"/>
  <c r="R275" i="1" s="1"/>
  <c r="S275" i="1" l="1"/>
  <c r="U275" i="1" s="1"/>
  <c r="T275" i="1"/>
  <c r="V275" i="1" s="1"/>
  <c r="W275" i="1" l="1"/>
  <c r="X275" i="1" s="1"/>
  <c r="Y275" i="1" s="1"/>
  <c r="Z275" i="1" s="1"/>
  <c r="AA275" i="1" l="1"/>
  <c r="J276" i="1"/>
  <c r="M276" i="1"/>
  <c r="AB275" i="1" l="1"/>
  <c r="L276" i="1"/>
  <c r="K279" i="1"/>
  <c r="AC275" i="1" l="1"/>
  <c r="AD275" i="1" s="1"/>
  <c r="P276" i="1"/>
  <c r="R276" i="1" s="1"/>
  <c r="N276" i="1"/>
  <c r="O276" i="1" s="1"/>
  <c r="Q276" i="1" s="1"/>
  <c r="AF275" i="1" l="1"/>
  <c r="S276" i="1"/>
  <c r="U276" i="1" s="1"/>
  <c r="T276" i="1"/>
  <c r="V276" i="1" s="1"/>
  <c r="W276" i="1" l="1"/>
  <c r="X276" i="1" s="1"/>
  <c r="Y276" i="1" s="1"/>
  <c r="Z276" i="1" s="1"/>
  <c r="J277" i="1" l="1"/>
  <c r="AA276" i="1"/>
  <c r="M277" i="1"/>
  <c r="AB276" i="1" l="1"/>
  <c r="AC276" i="1" s="1"/>
  <c r="AD276" i="1" s="1"/>
  <c r="L277" i="1"/>
  <c r="K280" i="1"/>
  <c r="AF276" i="1" l="1"/>
  <c r="N277" i="1"/>
  <c r="O277" i="1" s="1"/>
  <c r="Q277" i="1" s="1"/>
  <c r="P277" i="1"/>
  <c r="R277" i="1" s="1"/>
  <c r="S277" i="1" l="1"/>
  <c r="U277" i="1" s="1"/>
  <c r="T277" i="1"/>
  <c r="V277" i="1" s="1"/>
  <c r="W277" i="1" l="1"/>
  <c r="X277" i="1" s="1"/>
  <c r="Y277" i="1" s="1"/>
  <c r="Z277" i="1" s="1"/>
  <c r="AA277" i="1" l="1"/>
  <c r="J278" i="1"/>
  <c r="M278" i="1"/>
  <c r="AB277" i="1" l="1"/>
  <c r="AC277" i="1" s="1"/>
  <c r="AD277" i="1" s="1"/>
  <c r="L278" i="1"/>
  <c r="K281" i="1"/>
  <c r="AF277" i="1" l="1"/>
  <c r="N278" i="1"/>
  <c r="O278" i="1" s="1"/>
  <c r="Q278" i="1" s="1"/>
  <c r="P278" i="1"/>
  <c r="R278" i="1" s="1"/>
  <c r="S278" i="1" l="1"/>
  <c r="U278" i="1" s="1"/>
  <c r="T278" i="1"/>
  <c r="V278" i="1" s="1"/>
  <c r="W278" i="1" l="1"/>
  <c r="X278" i="1" s="1"/>
  <c r="Y278" i="1" s="1"/>
  <c r="Z278" i="1" s="1"/>
  <c r="J279" i="1" l="1"/>
  <c r="AA278" i="1"/>
  <c r="M279" i="1"/>
  <c r="AB278" i="1" l="1"/>
  <c r="K282" i="1"/>
  <c r="L279" i="1"/>
  <c r="AC278" i="1" l="1"/>
  <c r="AD278" i="1" s="1"/>
  <c r="N279" i="1"/>
  <c r="O279" i="1" s="1"/>
  <c r="Q279" i="1" s="1"/>
  <c r="P279" i="1"/>
  <c r="R279" i="1" s="1"/>
  <c r="AF278" i="1" l="1"/>
  <c r="T279" i="1"/>
  <c r="V279" i="1" s="1"/>
  <c r="S279" i="1"/>
  <c r="U279" i="1" s="1"/>
  <c r="W279" i="1" l="1"/>
  <c r="X279" i="1" s="1"/>
  <c r="Y279" i="1" s="1"/>
  <c r="Z279" i="1" s="1"/>
  <c r="J280" i="1" l="1"/>
  <c r="AA279" i="1"/>
  <c r="M280" i="1"/>
  <c r="AB279" i="1" l="1"/>
  <c r="K283" i="1"/>
  <c r="L280" i="1"/>
  <c r="AC279" i="1" l="1"/>
  <c r="AD279" i="1" s="1"/>
  <c r="P280" i="1"/>
  <c r="R280" i="1" s="1"/>
  <c r="N280" i="1"/>
  <c r="O280" i="1" s="1"/>
  <c r="Q280" i="1" s="1"/>
  <c r="AF279" i="1" l="1"/>
  <c r="S280" i="1"/>
  <c r="U280" i="1" s="1"/>
  <c r="T280" i="1"/>
  <c r="V280" i="1" s="1"/>
  <c r="W280" i="1" l="1"/>
  <c r="X280" i="1" s="1"/>
  <c r="Y280" i="1" s="1"/>
  <c r="Z280" i="1" s="1"/>
  <c r="AA280" i="1" l="1"/>
  <c r="J281" i="1"/>
  <c r="M281" i="1"/>
  <c r="AB280" i="1" l="1"/>
  <c r="AC280" i="1" s="1"/>
  <c r="AD280" i="1" s="1"/>
  <c r="L281" i="1"/>
  <c r="K284" i="1"/>
  <c r="AF280" i="1" l="1"/>
  <c r="P281" i="1"/>
  <c r="R281" i="1" s="1"/>
  <c r="N281" i="1"/>
  <c r="O281" i="1" s="1"/>
  <c r="Q281" i="1" s="1"/>
  <c r="S281" i="1" l="1"/>
  <c r="U281" i="1" s="1"/>
  <c r="T281" i="1"/>
  <c r="V281" i="1" s="1"/>
  <c r="W281" i="1" l="1"/>
  <c r="X281" i="1" s="1"/>
  <c r="Y281" i="1" s="1"/>
  <c r="Z281" i="1" s="1"/>
  <c r="AA281" i="1" l="1"/>
  <c r="J282" i="1"/>
  <c r="M282" i="1"/>
  <c r="AB281" i="1" l="1"/>
  <c r="AC281" i="1" s="1"/>
  <c r="AD281" i="1" s="1"/>
  <c r="L282" i="1"/>
  <c r="K285" i="1"/>
  <c r="AF281" i="1" l="1"/>
  <c r="P282" i="1"/>
  <c r="R282" i="1" s="1"/>
  <c r="N282" i="1"/>
  <c r="O282" i="1" s="1"/>
  <c r="Q282" i="1" s="1"/>
  <c r="T282" i="1" l="1"/>
  <c r="V282" i="1" s="1"/>
  <c r="S282" i="1"/>
  <c r="U282" i="1" s="1"/>
  <c r="W282" i="1" l="1"/>
  <c r="X282" i="1" s="1"/>
  <c r="Y282" i="1" s="1"/>
  <c r="Z282" i="1" s="1"/>
  <c r="AA282" i="1" l="1"/>
  <c r="J283" i="1"/>
  <c r="M283" i="1"/>
  <c r="AB282" i="1" l="1"/>
  <c r="AC282" i="1" s="1"/>
  <c r="AD282" i="1" s="1"/>
  <c r="L283" i="1"/>
  <c r="K286" i="1"/>
  <c r="AF282" i="1" l="1"/>
  <c r="N283" i="1"/>
  <c r="O283" i="1" s="1"/>
  <c r="Q283" i="1" s="1"/>
  <c r="P283" i="1"/>
  <c r="R283" i="1" s="1"/>
  <c r="T283" i="1" l="1"/>
  <c r="V283" i="1" s="1"/>
  <c r="S283" i="1"/>
  <c r="U283" i="1" l="1"/>
  <c r="W283" i="1" s="1"/>
  <c r="X283" i="1" l="1"/>
  <c r="Y283" i="1" s="1"/>
  <c r="Z283" i="1" s="1"/>
  <c r="AA283" i="1" l="1"/>
  <c r="J284" i="1"/>
  <c r="M284" i="1"/>
  <c r="AB283" i="1" l="1"/>
  <c r="AC283" i="1" s="1"/>
  <c r="AD283" i="1" s="1"/>
  <c r="L284" i="1"/>
  <c r="K287" i="1"/>
  <c r="AF283" i="1" l="1"/>
  <c r="P284" i="1"/>
  <c r="R284" i="1" s="1"/>
  <c r="N284" i="1"/>
  <c r="O284" i="1" s="1"/>
  <c r="Q284" i="1" s="1"/>
  <c r="T284" i="1" l="1"/>
  <c r="V284" i="1" s="1"/>
  <c r="S284" i="1"/>
  <c r="U284" i="1" s="1"/>
  <c r="W284" i="1" l="1"/>
  <c r="X284" i="1" s="1"/>
  <c r="Y284" i="1" s="1"/>
  <c r="Z284" i="1" s="1"/>
  <c r="AA284" i="1" l="1"/>
  <c r="J285" i="1"/>
  <c r="M285" i="1"/>
  <c r="AB284" i="1" l="1"/>
  <c r="AC284" i="1" s="1"/>
  <c r="AD284" i="1" s="1"/>
  <c r="K288" i="1"/>
  <c r="L285" i="1"/>
  <c r="AF284" i="1" l="1"/>
  <c r="N285" i="1"/>
  <c r="O285" i="1" s="1"/>
  <c r="Q285" i="1" s="1"/>
  <c r="P285" i="1"/>
  <c r="R285" i="1" s="1"/>
  <c r="T285" i="1" l="1"/>
  <c r="V285" i="1" s="1"/>
  <c r="S285" i="1"/>
  <c r="U285" i="1" s="1"/>
  <c r="W285" i="1" s="1"/>
  <c r="X285" i="1" l="1"/>
  <c r="Y285" i="1" s="1"/>
  <c r="Z285" i="1" s="1"/>
  <c r="AA285" i="1" l="1"/>
  <c r="J286" i="1"/>
  <c r="M286" i="1"/>
  <c r="AB285" i="1" l="1"/>
  <c r="AC285" i="1" s="1"/>
  <c r="AD285" i="1" s="1"/>
  <c r="L286" i="1"/>
  <c r="K289" i="1"/>
  <c r="AF285" i="1" l="1"/>
  <c r="N286" i="1"/>
  <c r="O286" i="1" s="1"/>
  <c r="Q286" i="1" s="1"/>
  <c r="P286" i="1"/>
  <c r="R286" i="1" s="1"/>
  <c r="S286" i="1" l="1"/>
  <c r="U286" i="1" s="1"/>
  <c r="T286" i="1"/>
  <c r="V286" i="1" s="1"/>
  <c r="W286" i="1" l="1"/>
  <c r="X286" i="1" s="1"/>
  <c r="Y286" i="1" s="1"/>
  <c r="Z286" i="1" s="1"/>
  <c r="J287" i="1" l="1"/>
  <c r="AA286" i="1"/>
  <c r="M287" i="1"/>
  <c r="AB286" i="1" l="1"/>
  <c r="AC286" i="1" s="1"/>
  <c r="AD286" i="1" s="1"/>
  <c r="L287" i="1"/>
  <c r="K290" i="1"/>
  <c r="AF286" i="1" l="1"/>
  <c r="P287" i="1"/>
  <c r="R287" i="1" s="1"/>
  <c r="N287" i="1"/>
  <c r="O287" i="1" s="1"/>
  <c r="Q287" i="1" s="1"/>
  <c r="T287" i="1" l="1"/>
  <c r="V287" i="1" s="1"/>
  <c r="S287" i="1"/>
  <c r="U287" i="1" s="1"/>
  <c r="W287" i="1" l="1"/>
  <c r="X287" i="1" s="1"/>
  <c r="Y287" i="1" s="1"/>
  <c r="Z287" i="1" s="1"/>
  <c r="AA287" i="1" l="1"/>
  <c r="J288" i="1"/>
  <c r="M288" i="1"/>
  <c r="AB287" i="1" l="1"/>
  <c r="AC287" i="1" s="1"/>
  <c r="AD287" i="1" s="1"/>
  <c r="L288" i="1"/>
  <c r="K291" i="1"/>
  <c r="AF287" i="1" l="1"/>
  <c r="P288" i="1"/>
  <c r="R288" i="1" s="1"/>
  <c r="N288" i="1"/>
  <c r="O288" i="1" s="1"/>
  <c r="Q288" i="1" s="1"/>
  <c r="T288" i="1" l="1"/>
  <c r="V288" i="1" s="1"/>
  <c r="S288" i="1"/>
  <c r="U288" i="1" s="1"/>
  <c r="W288" i="1" s="1"/>
  <c r="X288" i="1" l="1"/>
  <c r="Y288" i="1" s="1"/>
  <c r="Z288" i="1" s="1"/>
  <c r="J289" i="1" l="1"/>
  <c r="AA288" i="1"/>
  <c r="M289" i="1"/>
  <c r="AB288" i="1" l="1"/>
  <c r="AC288" i="1" s="1"/>
  <c r="AD288" i="1" s="1"/>
  <c r="L289" i="1"/>
  <c r="K292" i="1"/>
  <c r="AF288" i="1" l="1"/>
  <c r="N289" i="1"/>
  <c r="O289" i="1" s="1"/>
  <c r="Q289" i="1" s="1"/>
  <c r="P289" i="1"/>
  <c r="R289" i="1" s="1"/>
  <c r="T289" i="1" l="1"/>
  <c r="V289" i="1" s="1"/>
  <c r="S289" i="1"/>
  <c r="U289" i="1" s="1"/>
  <c r="W289" i="1" s="1"/>
  <c r="X289" i="1" l="1"/>
  <c r="Y289" i="1" s="1"/>
  <c r="Z289" i="1" s="1"/>
  <c r="J290" i="1" l="1"/>
  <c r="AA289" i="1"/>
  <c r="M290" i="1"/>
  <c r="AB289" i="1" l="1"/>
  <c r="AC289" i="1" s="1"/>
  <c r="AD289" i="1" s="1"/>
  <c r="L290" i="1"/>
  <c r="K293" i="1"/>
  <c r="AF289" i="1" l="1"/>
  <c r="N290" i="1"/>
  <c r="O290" i="1" s="1"/>
  <c r="Q290" i="1" s="1"/>
  <c r="P290" i="1"/>
  <c r="R290" i="1" s="1"/>
  <c r="T290" i="1" l="1"/>
  <c r="V290" i="1" s="1"/>
  <c r="S290" i="1"/>
  <c r="U290" i="1" l="1"/>
  <c r="W290" i="1" s="1"/>
  <c r="X290" i="1" l="1"/>
  <c r="Y290" i="1" s="1"/>
  <c r="Z290" i="1" s="1"/>
  <c r="J291" i="1" l="1"/>
  <c r="AA290" i="1"/>
  <c r="M291" i="1"/>
  <c r="AB290" i="1" l="1"/>
  <c r="AC290" i="1" s="1"/>
  <c r="AD290" i="1" s="1"/>
  <c r="L291" i="1"/>
  <c r="K294" i="1"/>
  <c r="AF290" i="1" l="1"/>
  <c r="N291" i="1"/>
  <c r="O291" i="1" s="1"/>
  <c r="Q291" i="1" s="1"/>
  <c r="P291" i="1"/>
  <c r="R291" i="1" s="1"/>
  <c r="T291" i="1" l="1"/>
  <c r="V291" i="1" s="1"/>
  <c r="S291" i="1"/>
  <c r="U291" i="1" s="1"/>
  <c r="W291" i="1" s="1"/>
  <c r="X291" i="1" l="1"/>
  <c r="Y291" i="1" s="1"/>
  <c r="Z291" i="1" s="1"/>
  <c r="AA291" i="1" l="1"/>
  <c r="J292" i="1"/>
  <c r="M292" i="1"/>
  <c r="AB291" i="1" l="1"/>
  <c r="AC291" i="1" s="1"/>
  <c r="AD291" i="1" s="1"/>
  <c r="L292" i="1"/>
  <c r="K295" i="1"/>
  <c r="AF291" i="1" l="1"/>
  <c r="P292" i="1"/>
  <c r="R292" i="1" s="1"/>
  <c r="N292" i="1"/>
  <c r="O292" i="1" s="1"/>
  <c r="Q292" i="1" s="1"/>
  <c r="T292" i="1" l="1"/>
  <c r="V292" i="1" s="1"/>
  <c r="S292" i="1"/>
  <c r="U292" i="1" s="1"/>
  <c r="W292" i="1" s="1"/>
  <c r="X292" i="1" l="1"/>
  <c r="Y292" i="1" s="1"/>
  <c r="Z292" i="1" s="1"/>
  <c r="AA292" i="1" l="1"/>
  <c r="J293" i="1"/>
  <c r="M293" i="1"/>
  <c r="AB292" i="1" l="1"/>
  <c r="AC292" i="1" s="1"/>
  <c r="AD292" i="1" s="1"/>
  <c r="L293" i="1"/>
  <c r="K296" i="1"/>
  <c r="AF292" i="1" l="1"/>
  <c r="P293" i="1"/>
  <c r="R293" i="1" s="1"/>
  <c r="N293" i="1"/>
  <c r="O293" i="1" s="1"/>
  <c r="Q293" i="1" s="1"/>
  <c r="S293" i="1" l="1"/>
  <c r="U293" i="1" s="1"/>
  <c r="T293" i="1"/>
  <c r="V293" i="1" s="1"/>
  <c r="W293" i="1" l="1"/>
  <c r="X293" i="1" s="1"/>
  <c r="Y293" i="1" s="1"/>
  <c r="Z293" i="1" s="1"/>
  <c r="AA293" i="1" l="1"/>
  <c r="J294" i="1"/>
  <c r="M294" i="1"/>
  <c r="AB293" i="1" l="1"/>
  <c r="AC293" i="1" s="1"/>
  <c r="AD293" i="1" s="1"/>
  <c r="L294" i="1"/>
  <c r="K297" i="1"/>
  <c r="AF293" i="1" l="1"/>
  <c r="P294" i="1"/>
  <c r="R294" i="1" s="1"/>
  <c r="N294" i="1"/>
  <c r="O294" i="1" s="1"/>
  <c r="Q294" i="1" s="1"/>
  <c r="S294" i="1" l="1"/>
  <c r="U294" i="1" s="1"/>
  <c r="T294" i="1"/>
  <c r="V294" i="1" s="1"/>
  <c r="W294" i="1" l="1"/>
  <c r="X294" i="1" s="1"/>
  <c r="Y294" i="1" s="1"/>
  <c r="Z294" i="1" s="1"/>
  <c r="AA294" i="1" l="1"/>
  <c r="J295" i="1"/>
  <c r="M295" i="1"/>
  <c r="AB294" i="1" l="1"/>
  <c r="AC294" i="1" s="1"/>
  <c r="AD294" i="1" s="1"/>
  <c r="L295" i="1"/>
  <c r="K298" i="1"/>
  <c r="AF294" i="1" l="1"/>
  <c r="N295" i="1"/>
  <c r="O295" i="1" s="1"/>
  <c r="Q295" i="1" s="1"/>
  <c r="P295" i="1"/>
  <c r="R295" i="1" s="1"/>
  <c r="S295" i="1" l="1"/>
  <c r="U295" i="1" s="1"/>
  <c r="T295" i="1"/>
  <c r="V295" i="1" s="1"/>
  <c r="W295" i="1" l="1"/>
  <c r="X295" i="1" s="1"/>
  <c r="Y295" i="1" s="1"/>
  <c r="Z295" i="1" s="1"/>
  <c r="AA295" i="1" l="1"/>
  <c r="J296" i="1"/>
  <c r="M296" i="1"/>
  <c r="AB295" i="1" l="1"/>
  <c r="AC295" i="1" s="1"/>
  <c r="AD295" i="1" s="1"/>
  <c r="L296" i="1"/>
  <c r="K299" i="1"/>
  <c r="AF295" i="1" l="1"/>
  <c r="P296" i="1"/>
  <c r="R296" i="1" s="1"/>
  <c r="N296" i="1"/>
  <c r="O296" i="1" s="1"/>
  <c r="Q296" i="1" s="1"/>
  <c r="S296" i="1" l="1"/>
  <c r="U296" i="1" s="1"/>
  <c r="T296" i="1"/>
  <c r="V296" i="1" s="1"/>
  <c r="W296" i="1" l="1"/>
  <c r="X296" i="1" s="1"/>
  <c r="Y296" i="1" s="1"/>
  <c r="Z296" i="1" s="1"/>
  <c r="AA296" i="1" l="1"/>
  <c r="J297" i="1"/>
  <c r="M297" i="1"/>
  <c r="AB296" i="1" l="1"/>
  <c r="AC296" i="1" s="1"/>
  <c r="AD296" i="1" s="1"/>
  <c r="L297" i="1"/>
  <c r="K300" i="1"/>
  <c r="AF296" i="1" l="1"/>
  <c r="P297" i="1"/>
  <c r="R297" i="1" s="1"/>
  <c r="N297" i="1"/>
  <c r="O297" i="1" s="1"/>
  <c r="Q297" i="1" s="1"/>
  <c r="S297" i="1" l="1"/>
  <c r="U297" i="1" s="1"/>
  <c r="T297" i="1"/>
  <c r="V297" i="1" s="1"/>
  <c r="W297" i="1" l="1"/>
  <c r="X297" i="1" s="1"/>
  <c r="Y297" i="1" s="1"/>
  <c r="Z297" i="1" s="1"/>
  <c r="AA297" i="1" l="1"/>
  <c r="J298" i="1"/>
  <c r="M298" i="1"/>
  <c r="AB297" i="1" l="1"/>
  <c r="AC297" i="1" s="1"/>
  <c r="AD297" i="1" s="1"/>
  <c r="K301" i="1"/>
  <c r="L298" i="1"/>
  <c r="AF297" i="1" l="1"/>
  <c r="P298" i="1"/>
  <c r="R298" i="1" s="1"/>
  <c r="N298" i="1"/>
  <c r="O298" i="1" s="1"/>
  <c r="Q298" i="1" s="1"/>
  <c r="S298" i="1" l="1"/>
  <c r="U298" i="1" s="1"/>
  <c r="T298" i="1"/>
  <c r="V298" i="1" s="1"/>
  <c r="W298" i="1" l="1"/>
  <c r="X298" i="1" s="1"/>
  <c r="Y298" i="1" s="1"/>
  <c r="Z298" i="1" s="1"/>
  <c r="AA298" i="1" l="1"/>
  <c r="J299" i="1"/>
  <c r="M299" i="1"/>
  <c r="AB298" i="1" l="1"/>
  <c r="AC298" i="1" s="1"/>
  <c r="AD298" i="1" s="1"/>
  <c r="K302" i="1"/>
  <c r="L299" i="1"/>
  <c r="AF298" i="1" l="1"/>
  <c r="P299" i="1"/>
  <c r="R299" i="1" s="1"/>
  <c r="N299" i="1"/>
  <c r="O299" i="1" s="1"/>
  <c r="Q299" i="1" s="1"/>
  <c r="T299" i="1" l="1"/>
  <c r="V299" i="1" s="1"/>
  <c r="S299" i="1"/>
  <c r="U299" i="1" l="1"/>
  <c r="W299" i="1" s="1"/>
  <c r="X299" i="1" l="1"/>
  <c r="Y299" i="1" s="1"/>
  <c r="Z299" i="1" s="1"/>
  <c r="AA299" i="1" l="1"/>
  <c r="J300" i="1"/>
  <c r="M300" i="1"/>
  <c r="AB299" i="1" l="1"/>
  <c r="AC299" i="1" s="1"/>
  <c r="AD299" i="1" s="1"/>
  <c r="K303" i="1"/>
  <c r="L300" i="1"/>
  <c r="AF299" i="1" l="1"/>
  <c r="P300" i="1"/>
  <c r="R300" i="1" s="1"/>
  <c r="N300" i="1"/>
  <c r="O300" i="1" s="1"/>
  <c r="Q300" i="1" s="1"/>
  <c r="S300" i="1" l="1"/>
  <c r="U300" i="1" s="1"/>
  <c r="T300" i="1"/>
  <c r="V300" i="1" s="1"/>
  <c r="W300" i="1" l="1"/>
  <c r="X300" i="1" s="1"/>
  <c r="Y300" i="1" s="1"/>
  <c r="Z300" i="1" s="1"/>
  <c r="AA300" i="1" l="1"/>
  <c r="J301" i="1"/>
  <c r="M301" i="1"/>
  <c r="AB300" i="1" l="1"/>
  <c r="L301" i="1"/>
  <c r="K304" i="1"/>
  <c r="AC300" i="1" l="1"/>
  <c r="AD300" i="1" s="1"/>
  <c r="N301" i="1"/>
  <c r="O301" i="1" s="1"/>
  <c r="Q301" i="1" s="1"/>
  <c r="P301" i="1"/>
  <c r="R301" i="1" s="1"/>
  <c r="AF300" i="1" l="1"/>
  <c r="T301" i="1"/>
  <c r="V301" i="1" s="1"/>
  <c r="S301" i="1"/>
  <c r="U301" i="1" s="1"/>
  <c r="W301" i="1" l="1"/>
  <c r="X301" i="1" s="1"/>
  <c r="Y301" i="1" s="1"/>
  <c r="Z301" i="1" s="1"/>
  <c r="AA301" i="1" l="1"/>
  <c r="J302" i="1"/>
  <c r="M302" i="1"/>
  <c r="AB301" i="1" l="1"/>
  <c r="AC301" i="1" s="1"/>
  <c r="AD301" i="1" s="1"/>
  <c r="K305" i="1"/>
  <c r="L302" i="1"/>
  <c r="AF301" i="1" l="1"/>
  <c r="N302" i="1"/>
  <c r="O302" i="1" s="1"/>
  <c r="Q302" i="1" s="1"/>
  <c r="P302" i="1"/>
  <c r="R302" i="1" s="1"/>
  <c r="S302" i="1" l="1"/>
  <c r="U302" i="1" s="1"/>
  <c r="T302" i="1"/>
  <c r="V302" i="1" s="1"/>
  <c r="W302" i="1" l="1"/>
  <c r="X302" i="1" s="1"/>
  <c r="Y302" i="1" s="1"/>
  <c r="Z302" i="1" s="1"/>
  <c r="J303" i="1" l="1"/>
  <c r="L303" i="1" s="1"/>
  <c r="M303" i="1"/>
  <c r="AA302" i="1"/>
  <c r="AB302" i="1" l="1"/>
  <c r="AC302" i="1" s="1"/>
  <c r="AD302" i="1" s="1"/>
  <c r="K306" i="1"/>
  <c r="P303" i="1"/>
  <c r="R303" i="1" s="1"/>
  <c r="N303" i="1"/>
  <c r="O303" i="1" s="1"/>
  <c r="Q303" i="1" s="1"/>
  <c r="AF302" i="1" l="1"/>
  <c r="S303" i="1"/>
  <c r="U303" i="1" s="1"/>
  <c r="T303" i="1"/>
  <c r="V303" i="1" s="1"/>
  <c r="W303" i="1" l="1"/>
  <c r="X303" i="1" s="1"/>
  <c r="Y303" i="1" s="1"/>
  <c r="Z303" i="1" s="1"/>
  <c r="AA303" i="1" l="1"/>
  <c r="J304" i="1"/>
  <c r="M304" i="1"/>
  <c r="AB303" i="1" l="1"/>
  <c r="AC303" i="1" s="1"/>
  <c r="AD303" i="1" s="1"/>
  <c r="L304" i="1"/>
  <c r="K307" i="1"/>
  <c r="AF303" i="1" l="1"/>
  <c r="P304" i="1"/>
  <c r="R304" i="1" s="1"/>
  <c r="N304" i="1"/>
  <c r="O304" i="1" s="1"/>
  <c r="Q304" i="1" s="1"/>
  <c r="S304" i="1" l="1"/>
  <c r="U304" i="1" s="1"/>
  <c r="T304" i="1"/>
  <c r="V304" i="1" s="1"/>
  <c r="W304" i="1" l="1"/>
  <c r="X304" i="1" s="1"/>
  <c r="Y304" i="1" s="1"/>
  <c r="Z304" i="1" s="1"/>
  <c r="AA304" i="1" l="1"/>
  <c r="J305" i="1"/>
  <c r="M305" i="1"/>
  <c r="AB304" i="1" l="1"/>
  <c r="AC304" i="1" s="1"/>
  <c r="AD304" i="1" s="1"/>
  <c r="L305" i="1"/>
  <c r="K308" i="1"/>
  <c r="AF304" i="1" l="1"/>
  <c r="N305" i="1"/>
  <c r="O305" i="1" s="1"/>
  <c r="Q305" i="1" s="1"/>
  <c r="P305" i="1"/>
  <c r="R305" i="1" s="1"/>
  <c r="T305" i="1" l="1"/>
  <c r="V305" i="1" s="1"/>
  <c r="S305" i="1"/>
  <c r="U305" i="1" s="1"/>
  <c r="W305" i="1" l="1"/>
  <c r="X305" i="1" s="1"/>
  <c r="Y305" i="1" s="1"/>
  <c r="Z305" i="1" s="1"/>
  <c r="AA305" i="1" l="1"/>
  <c r="J306" i="1"/>
  <c r="M306" i="1"/>
  <c r="AB305" i="1" l="1"/>
  <c r="AC305" i="1" s="1"/>
  <c r="AD305" i="1" s="1"/>
  <c r="L306" i="1"/>
  <c r="K309" i="1"/>
  <c r="AF305" i="1" l="1"/>
  <c r="P306" i="1"/>
  <c r="R306" i="1" s="1"/>
  <c r="N306" i="1"/>
  <c r="O306" i="1" s="1"/>
  <c r="Q306" i="1" s="1"/>
  <c r="T306" i="1" l="1"/>
  <c r="V306" i="1" s="1"/>
  <c r="S306" i="1"/>
  <c r="U306" i="1" l="1"/>
  <c r="W306" i="1" s="1"/>
  <c r="X306" i="1" l="1"/>
  <c r="Y306" i="1" s="1"/>
  <c r="Z306" i="1" s="1"/>
  <c r="AA306" i="1" l="1"/>
  <c r="J307" i="1"/>
  <c r="M307" i="1"/>
  <c r="AB306" i="1" l="1"/>
  <c r="AC306" i="1" s="1"/>
  <c r="AD306" i="1" s="1"/>
  <c r="L307" i="1"/>
  <c r="K310" i="1"/>
  <c r="AF306" i="1" l="1"/>
  <c r="N307" i="1"/>
  <c r="O307" i="1" s="1"/>
  <c r="Q307" i="1" s="1"/>
  <c r="P307" i="1"/>
  <c r="R307" i="1" s="1"/>
  <c r="S307" i="1" l="1"/>
  <c r="U307" i="1" s="1"/>
  <c r="T307" i="1"/>
  <c r="V307" i="1" s="1"/>
  <c r="W307" i="1" l="1"/>
  <c r="X307" i="1" s="1"/>
  <c r="Y307" i="1" s="1"/>
  <c r="Z307" i="1" s="1"/>
  <c r="J308" i="1" l="1"/>
  <c r="AA307" i="1"/>
  <c r="M308" i="1"/>
  <c r="AB307" i="1" l="1"/>
  <c r="AC307" i="1" s="1"/>
  <c r="AD307" i="1" s="1"/>
  <c r="L308" i="1"/>
  <c r="K311" i="1"/>
  <c r="AF307" i="1" l="1"/>
  <c r="N308" i="1"/>
  <c r="O308" i="1" s="1"/>
  <c r="Q308" i="1" s="1"/>
  <c r="P308" i="1"/>
  <c r="R308" i="1" s="1"/>
  <c r="S308" i="1" l="1"/>
  <c r="U308" i="1" s="1"/>
  <c r="T308" i="1"/>
  <c r="V308" i="1" s="1"/>
  <c r="W308" i="1" l="1"/>
  <c r="X308" i="1" s="1"/>
  <c r="Y308" i="1" s="1"/>
  <c r="Z308" i="1" s="1"/>
  <c r="J309" i="1" l="1"/>
  <c r="AA308" i="1"/>
  <c r="M309" i="1"/>
  <c r="AB308" i="1" l="1"/>
  <c r="AC308" i="1" s="1"/>
  <c r="AD308" i="1" s="1"/>
  <c r="K312" i="1"/>
  <c r="L309" i="1"/>
  <c r="AF308" i="1" l="1"/>
  <c r="N309" i="1"/>
  <c r="O309" i="1" s="1"/>
  <c r="Q309" i="1" s="1"/>
  <c r="P309" i="1"/>
  <c r="R309" i="1" s="1"/>
  <c r="T309" i="1" l="1"/>
  <c r="V309" i="1" s="1"/>
  <c r="S309" i="1"/>
  <c r="U309" i="1" s="1"/>
  <c r="W309" i="1" s="1"/>
  <c r="X309" i="1" l="1"/>
  <c r="Y309" i="1" s="1"/>
  <c r="Z309" i="1" s="1"/>
  <c r="AA309" i="1" l="1"/>
  <c r="J310" i="1"/>
  <c r="M310" i="1"/>
  <c r="AB309" i="1" l="1"/>
  <c r="AC309" i="1" s="1"/>
  <c r="AD309" i="1" s="1"/>
  <c r="L310" i="1"/>
  <c r="K313" i="1"/>
  <c r="AF309" i="1" l="1"/>
  <c r="P310" i="1"/>
  <c r="R310" i="1" s="1"/>
  <c r="N310" i="1"/>
  <c r="O310" i="1" s="1"/>
  <c r="Q310" i="1" s="1"/>
  <c r="T310" i="1" l="1"/>
  <c r="V310" i="1" s="1"/>
  <c r="S310" i="1"/>
  <c r="U310" i="1" s="1"/>
  <c r="W310" i="1" l="1"/>
  <c r="X310" i="1" s="1"/>
  <c r="Y310" i="1" s="1"/>
  <c r="Z310" i="1" s="1"/>
  <c r="AA310" i="1" l="1"/>
  <c r="J311" i="1"/>
  <c r="M311" i="1"/>
  <c r="AB310" i="1" l="1"/>
  <c r="AC310" i="1" s="1"/>
  <c r="AD310" i="1" s="1"/>
  <c r="L311" i="1"/>
  <c r="K314" i="1"/>
  <c r="AF310" i="1" l="1"/>
  <c r="N311" i="1"/>
  <c r="O311" i="1" s="1"/>
  <c r="Q311" i="1" s="1"/>
  <c r="P311" i="1"/>
  <c r="R311" i="1" s="1"/>
  <c r="T311" i="1" l="1"/>
  <c r="V311" i="1" s="1"/>
  <c r="S311" i="1"/>
  <c r="U311" i="1" s="1"/>
  <c r="W311" i="1" s="1"/>
  <c r="X311" i="1" l="1"/>
  <c r="Y311" i="1" s="1"/>
  <c r="Z311" i="1" s="1"/>
  <c r="AA311" i="1" l="1"/>
  <c r="J312" i="1"/>
  <c r="M312" i="1"/>
  <c r="AB311" i="1" l="1"/>
  <c r="AC311" i="1" s="1"/>
  <c r="AD311" i="1" s="1"/>
  <c r="K315" i="1"/>
  <c r="L312" i="1"/>
  <c r="AF311" i="1" l="1"/>
  <c r="P312" i="1"/>
  <c r="R312" i="1" s="1"/>
  <c r="N312" i="1"/>
  <c r="O312" i="1" s="1"/>
  <c r="Q312" i="1" s="1"/>
  <c r="T312" i="1" l="1"/>
  <c r="V312" i="1" s="1"/>
  <c r="S312" i="1"/>
  <c r="U312" i="1" s="1"/>
  <c r="W312" i="1" l="1"/>
  <c r="X312" i="1" s="1"/>
  <c r="Y312" i="1" s="1"/>
  <c r="Z312" i="1" s="1"/>
  <c r="J313" i="1" l="1"/>
  <c r="AA312" i="1"/>
  <c r="M313" i="1"/>
  <c r="AB312" i="1" l="1"/>
  <c r="AC312" i="1" s="1"/>
  <c r="AD312" i="1" s="1"/>
  <c r="L313" i="1"/>
  <c r="K316" i="1"/>
  <c r="AF312" i="1" l="1"/>
  <c r="P313" i="1"/>
  <c r="R313" i="1" s="1"/>
  <c r="N313" i="1"/>
  <c r="O313" i="1" s="1"/>
  <c r="Q313" i="1" s="1"/>
  <c r="S313" i="1" l="1"/>
  <c r="U313" i="1" s="1"/>
  <c r="T313" i="1"/>
  <c r="V313" i="1" s="1"/>
  <c r="W313" i="1" l="1"/>
  <c r="X313" i="1" s="1"/>
  <c r="Y313" i="1" s="1"/>
  <c r="Z313" i="1" s="1"/>
  <c r="J314" i="1" l="1"/>
  <c r="AA313" i="1"/>
  <c r="M314" i="1"/>
  <c r="AB313" i="1" l="1"/>
  <c r="AC313" i="1" s="1"/>
  <c r="AD313" i="1" s="1"/>
  <c r="K317" i="1"/>
  <c r="L314" i="1"/>
  <c r="AF313" i="1" l="1"/>
  <c r="N314" i="1"/>
  <c r="O314" i="1" s="1"/>
  <c r="Q314" i="1" s="1"/>
  <c r="P314" i="1"/>
  <c r="R314" i="1" s="1"/>
  <c r="T314" i="1" l="1"/>
  <c r="V314" i="1" s="1"/>
  <c r="S314" i="1"/>
  <c r="U314" i="1" s="1"/>
  <c r="W314" i="1" l="1"/>
  <c r="X314" i="1" s="1"/>
  <c r="Y314" i="1" s="1"/>
  <c r="Z314" i="1" s="1"/>
  <c r="J315" i="1" l="1"/>
  <c r="AA314" i="1"/>
  <c r="M315" i="1"/>
  <c r="AB314" i="1" l="1"/>
  <c r="AC314" i="1" s="1"/>
  <c r="AD314" i="1" s="1"/>
  <c r="L315" i="1"/>
  <c r="K318" i="1"/>
  <c r="AF314" i="1" l="1"/>
  <c r="P315" i="1"/>
  <c r="R315" i="1" s="1"/>
  <c r="N315" i="1"/>
  <c r="O315" i="1" s="1"/>
  <c r="Q315" i="1" s="1"/>
  <c r="T315" i="1" l="1"/>
  <c r="V315" i="1" s="1"/>
  <c r="S315" i="1"/>
  <c r="U315" i="1" s="1"/>
  <c r="W315" i="1" l="1"/>
  <c r="X315" i="1" s="1"/>
  <c r="Y315" i="1" s="1"/>
  <c r="Z315" i="1" s="1"/>
  <c r="AA315" i="1" l="1"/>
  <c r="J316" i="1"/>
  <c r="M316" i="1"/>
  <c r="AB315" i="1" l="1"/>
  <c r="AC315" i="1" s="1"/>
  <c r="AD315" i="1" s="1"/>
  <c r="K319" i="1"/>
  <c r="L316" i="1"/>
  <c r="AF315" i="1" l="1"/>
  <c r="N316" i="1"/>
  <c r="O316" i="1" s="1"/>
  <c r="Q316" i="1" s="1"/>
  <c r="P316" i="1"/>
  <c r="R316" i="1" s="1"/>
  <c r="S316" i="1" l="1"/>
  <c r="U316" i="1" s="1"/>
  <c r="T316" i="1"/>
  <c r="V316" i="1" s="1"/>
  <c r="W316" i="1" l="1"/>
  <c r="X316" i="1" s="1"/>
  <c r="Y316" i="1" s="1"/>
  <c r="Z316" i="1" s="1"/>
  <c r="AA316" i="1" l="1"/>
  <c r="J317" i="1"/>
  <c r="M317" i="1"/>
  <c r="AB316" i="1" l="1"/>
  <c r="AC316" i="1" s="1"/>
  <c r="AD316" i="1" s="1"/>
  <c r="L317" i="1"/>
  <c r="K320" i="1"/>
  <c r="AF316" i="1" l="1"/>
  <c r="P317" i="1"/>
  <c r="R317" i="1" s="1"/>
  <c r="N317" i="1"/>
  <c r="O317" i="1" s="1"/>
  <c r="Q317" i="1" s="1"/>
  <c r="T317" i="1" l="1"/>
  <c r="V317" i="1" s="1"/>
  <c r="S317" i="1"/>
  <c r="U317" i="1" s="1"/>
  <c r="W317" i="1" l="1"/>
  <c r="X317" i="1" s="1"/>
  <c r="Y317" i="1" s="1"/>
  <c r="Z317" i="1" s="1"/>
  <c r="AA317" i="1" l="1"/>
  <c r="J318" i="1"/>
  <c r="M318" i="1"/>
  <c r="AB317" i="1" l="1"/>
  <c r="AC317" i="1" s="1"/>
  <c r="AD317" i="1" s="1"/>
  <c r="K321" i="1"/>
  <c r="L318" i="1"/>
  <c r="AF317" i="1" l="1"/>
  <c r="N318" i="1"/>
  <c r="O318" i="1" s="1"/>
  <c r="Q318" i="1" s="1"/>
  <c r="P318" i="1"/>
  <c r="R318" i="1" s="1"/>
  <c r="T318" i="1" l="1"/>
  <c r="V318" i="1" s="1"/>
  <c r="S318" i="1"/>
  <c r="U318" i="1" s="1"/>
  <c r="W318" i="1" l="1"/>
  <c r="X318" i="1" s="1"/>
  <c r="Y318" i="1" s="1"/>
  <c r="Z318" i="1" s="1"/>
  <c r="J319" i="1" l="1"/>
  <c r="AA318" i="1"/>
  <c r="M319" i="1"/>
  <c r="AB318" i="1" l="1"/>
  <c r="AC318" i="1" s="1"/>
  <c r="AD318" i="1" s="1"/>
  <c r="L319" i="1"/>
  <c r="K322" i="1"/>
  <c r="AF318" i="1" l="1"/>
  <c r="N319" i="1"/>
  <c r="O319" i="1" s="1"/>
  <c r="Q319" i="1" s="1"/>
  <c r="P319" i="1"/>
  <c r="R319" i="1" s="1"/>
  <c r="S319" i="1" l="1"/>
  <c r="U319" i="1" s="1"/>
  <c r="T319" i="1"/>
  <c r="V319" i="1" s="1"/>
  <c r="W319" i="1" l="1"/>
  <c r="X319" i="1" s="1"/>
  <c r="Y319" i="1" s="1"/>
  <c r="Z319" i="1" s="1"/>
  <c r="AA319" i="1" l="1"/>
  <c r="J320" i="1"/>
  <c r="M320" i="1"/>
  <c r="AB319" i="1" l="1"/>
  <c r="AC319" i="1" s="1"/>
  <c r="AD319" i="1" s="1"/>
  <c r="L320" i="1"/>
  <c r="K323" i="1"/>
  <c r="AF319" i="1" l="1"/>
  <c r="N320" i="1"/>
  <c r="O320" i="1" s="1"/>
  <c r="Q320" i="1" s="1"/>
  <c r="P320" i="1"/>
  <c r="R320" i="1" s="1"/>
  <c r="T320" i="1" l="1"/>
  <c r="V320" i="1" s="1"/>
  <c r="S320" i="1"/>
  <c r="U320" i="1" s="1"/>
  <c r="W320" i="1" l="1"/>
  <c r="X320" i="1" s="1"/>
  <c r="Y320" i="1" s="1"/>
  <c r="Z320" i="1" s="1"/>
  <c r="J321" i="1" l="1"/>
  <c r="AA320" i="1"/>
  <c r="M321" i="1"/>
  <c r="AB320" i="1" l="1"/>
  <c r="AC320" i="1" s="1"/>
  <c r="AD320" i="1" s="1"/>
  <c r="L321" i="1"/>
  <c r="K324" i="1"/>
  <c r="AF320" i="1" l="1"/>
  <c r="P321" i="1"/>
  <c r="R321" i="1" s="1"/>
  <c r="N321" i="1"/>
  <c r="O321" i="1" s="1"/>
  <c r="Q321" i="1" s="1"/>
  <c r="T321" i="1" l="1"/>
  <c r="V321" i="1" s="1"/>
  <c r="S321" i="1"/>
  <c r="U321" i="1" s="1"/>
  <c r="W321" i="1" l="1"/>
  <c r="X321" i="1" s="1"/>
  <c r="Y321" i="1" s="1"/>
  <c r="Z321" i="1" s="1"/>
  <c r="AA321" i="1" l="1"/>
  <c r="J322" i="1"/>
  <c r="M322" i="1"/>
  <c r="AB321" i="1" l="1"/>
  <c r="AC321" i="1" s="1"/>
  <c r="AD321" i="1" s="1"/>
  <c r="L322" i="1"/>
  <c r="K325" i="1"/>
  <c r="AF321" i="1" l="1"/>
  <c r="N322" i="1"/>
  <c r="O322" i="1" s="1"/>
  <c r="Q322" i="1" s="1"/>
  <c r="P322" i="1"/>
  <c r="R322" i="1" s="1"/>
  <c r="T322" i="1" l="1"/>
  <c r="V322" i="1" s="1"/>
  <c r="S322" i="1"/>
  <c r="U322" i="1" l="1"/>
  <c r="W322" i="1" s="1"/>
  <c r="X322" i="1" l="1"/>
  <c r="Y322" i="1" s="1"/>
  <c r="Z322" i="1" s="1"/>
  <c r="AA322" i="1" l="1"/>
  <c r="J323" i="1"/>
  <c r="M323" i="1"/>
  <c r="AB322" i="1" l="1"/>
  <c r="AC322" i="1" s="1"/>
  <c r="AD322" i="1" s="1"/>
  <c r="L323" i="1"/>
  <c r="K326" i="1"/>
  <c r="AF322" i="1" l="1"/>
  <c r="P323" i="1"/>
  <c r="R323" i="1" s="1"/>
  <c r="N323" i="1"/>
  <c r="O323" i="1" s="1"/>
  <c r="Q323" i="1" s="1"/>
  <c r="T323" i="1" l="1"/>
  <c r="V323" i="1" s="1"/>
  <c r="S323" i="1"/>
  <c r="U323" i="1" s="1"/>
  <c r="W323" i="1" l="1"/>
  <c r="X323" i="1" s="1"/>
  <c r="Y323" i="1" s="1"/>
  <c r="Z323" i="1" s="1"/>
  <c r="M324" i="1" l="1"/>
  <c r="AA323" i="1"/>
  <c r="J324" i="1"/>
  <c r="AB323" i="1" l="1"/>
  <c r="AC323" i="1" s="1"/>
  <c r="AD323" i="1" s="1"/>
  <c r="K327" i="1"/>
  <c r="L324" i="1"/>
  <c r="AF323" i="1" l="1"/>
  <c r="P324" i="1"/>
  <c r="R324" i="1" s="1"/>
  <c r="N324" i="1"/>
  <c r="O324" i="1" s="1"/>
  <c r="Q324" i="1" s="1"/>
  <c r="S324" i="1" l="1"/>
  <c r="U324" i="1" s="1"/>
  <c r="T324" i="1"/>
  <c r="V324" i="1" s="1"/>
  <c r="W324" i="1" l="1"/>
  <c r="X324" i="1" s="1"/>
  <c r="Y324" i="1" s="1"/>
  <c r="Z324" i="1" s="1"/>
  <c r="AA324" i="1" l="1"/>
  <c r="J325" i="1"/>
  <c r="M325" i="1"/>
  <c r="AB324" i="1" l="1"/>
  <c r="AC324" i="1" s="1"/>
  <c r="AD324" i="1" s="1"/>
  <c r="L325" i="1"/>
  <c r="K328" i="1"/>
  <c r="AF324" i="1" l="1"/>
  <c r="N325" i="1"/>
  <c r="O325" i="1" s="1"/>
  <c r="Q325" i="1" s="1"/>
  <c r="P325" i="1"/>
  <c r="R325" i="1" s="1"/>
  <c r="T325" i="1" l="1"/>
  <c r="V325" i="1" s="1"/>
  <c r="S325" i="1"/>
  <c r="U325" i="1" s="1"/>
  <c r="W325" i="1" l="1"/>
  <c r="X325" i="1" s="1"/>
  <c r="Y325" i="1" s="1"/>
  <c r="Z325" i="1" s="1"/>
  <c r="J326" i="1" l="1"/>
  <c r="AA325" i="1"/>
  <c r="M326" i="1"/>
  <c r="AB325" i="1" l="1"/>
  <c r="AC325" i="1" s="1"/>
  <c r="AD325" i="1" s="1"/>
  <c r="L326" i="1"/>
  <c r="K329" i="1"/>
  <c r="AF325" i="1" l="1"/>
  <c r="P326" i="1"/>
  <c r="R326" i="1" s="1"/>
  <c r="N326" i="1"/>
  <c r="O326" i="1" s="1"/>
  <c r="Q326" i="1" s="1"/>
  <c r="S326" i="1" l="1"/>
  <c r="U326" i="1" s="1"/>
  <c r="T326" i="1"/>
  <c r="V326" i="1" s="1"/>
  <c r="W326" i="1" l="1"/>
  <c r="X326" i="1" s="1"/>
  <c r="Y326" i="1" s="1"/>
  <c r="Z326" i="1" s="1"/>
  <c r="J327" i="1" l="1"/>
  <c r="AA326" i="1"/>
  <c r="M327" i="1"/>
  <c r="AB326" i="1" l="1"/>
  <c r="AC326" i="1" s="1"/>
  <c r="AD326" i="1" s="1"/>
  <c r="L327" i="1"/>
  <c r="K330" i="1"/>
  <c r="AF326" i="1" l="1"/>
  <c r="N327" i="1"/>
  <c r="O327" i="1" s="1"/>
  <c r="Q327" i="1" s="1"/>
  <c r="P327" i="1"/>
  <c r="R327" i="1" s="1"/>
  <c r="S327" i="1" l="1"/>
  <c r="T327" i="1"/>
  <c r="V327" i="1" s="1"/>
  <c r="U327" i="1" l="1"/>
  <c r="W327" i="1" s="1"/>
  <c r="X327" i="1" l="1"/>
  <c r="Y327" i="1" s="1"/>
  <c r="Z327" i="1" s="1"/>
  <c r="AA327" i="1" l="1"/>
  <c r="J328" i="1"/>
  <c r="M328" i="1"/>
  <c r="AB327" i="1" l="1"/>
  <c r="AC327" i="1" s="1"/>
  <c r="AD327" i="1" s="1"/>
  <c r="L328" i="1"/>
  <c r="K331" i="1"/>
  <c r="AF327" i="1" l="1"/>
  <c r="N328" i="1"/>
  <c r="O328" i="1" s="1"/>
  <c r="Q328" i="1" s="1"/>
  <c r="P328" i="1"/>
  <c r="R328" i="1" s="1"/>
  <c r="T328" i="1" l="1"/>
  <c r="V328" i="1" s="1"/>
  <c r="S328" i="1"/>
  <c r="U328" i="1" l="1"/>
  <c r="W328" i="1" s="1"/>
  <c r="X328" i="1" l="1"/>
  <c r="Y328" i="1" s="1"/>
  <c r="Z328" i="1" s="1"/>
  <c r="AA328" i="1" l="1"/>
  <c r="J329" i="1"/>
  <c r="M329" i="1"/>
  <c r="AB328" i="1" l="1"/>
  <c r="AC328" i="1" s="1"/>
  <c r="AD328" i="1" s="1"/>
  <c r="L329" i="1"/>
  <c r="K332" i="1"/>
  <c r="AF328" i="1" l="1"/>
  <c r="N329" i="1"/>
  <c r="O329" i="1" s="1"/>
  <c r="Q329" i="1" s="1"/>
  <c r="P329" i="1"/>
  <c r="R329" i="1" s="1"/>
  <c r="S329" i="1" l="1"/>
  <c r="U329" i="1" s="1"/>
  <c r="T329" i="1"/>
  <c r="V329" i="1" s="1"/>
  <c r="W329" i="1" l="1"/>
  <c r="X329" i="1" s="1"/>
  <c r="Y329" i="1" s="1"/>
  <c r="Z329" i="1" s="1"/>
  <c r="AA329" i="1" l="1"/>
  <c r="J330" i="1"/>
  <c r="M330" i="1"/>
  <c r="AB329" i="1" l="1"/>
  <c r="AC329" i="1" s="1"/>
  <c r="AD329" i="1" s="1"/>
  <c r="L330" i="1"/>
  <c r="K333" i="1"/>
  <c r="AF329" i="1" l="1"/>
  <c r="P330" i="1"/>
  <c r="R330" i="1" s="1"/>
  <c r="N330" i="1"/>
  <c r="O330" i="1" s="1"/>
  <c r="Q330" i="1" s="1"/>
  <c r="S330" i="1" l="1"/>
  <c r="U330" i="1" s="1"/>
  <c r="T330" i="1"/>
  <c r="V330" i="1" s="1"/>
  <c r="W330" i="1" l="1"/>
  <c r="X330" i="1" s="1"/>
  <c r="Y330" i="1" s="1"/>
  <c r="Z330" i="1" s="1"/>
  <c r="AA330" i="1" l="1"/>
  <c r="J331" i="1"/>
  <c r="M331" i="1"/>
  <c r="AB330" i="1" l="1"/>
  <c r="AC330" i="1" s="1"/>
  <c r="AD330" i="1" s="1"/>
  <c r="L331" i="1"/>
  <c r="K334" i="1"/>
  <c r="AF330" i="1" l="1"/>
  <c r="N331" i="1"/>
  <c r="O331" i="1" s="1"/>
  <c r="Q331" i="1" s="1"/>
  <c r="P331" i="1"/>
  <c r="R331" i="1" s="1"/>
  <c r="S331" i="1" l="1"/>
  <c r="U331" i="1" s="1"/>
  <c r="T331" i="1"/>
  <c r="V331" i="1" s="1"/>
  <c r="W331" i="1" l="1"/>
  <c r="X331" i="1" s="1"/>
  <c r="Y331" i="1" s="1"/>
  <c r="Z331" i="1" s="1"/>
  <c r="AA331" i="1" l="1"/>
  <c r="J332" i="1"/>
  <c r="M332" i="1"/>
  <c r="AB331" i="1" l="1"/>
  <c r="AC331" i="1" s="1"/>
  <c r="AD331" i="1" s="1"/>
  <c r="L332" i="1"/>
  <c r="K335" i="1"/>
  <c r="AF331" i="1" l="1"/>
  <c r="P332" i="1"/>
  <c r="R332" i="1" s="1"/>
  <c r="N332" i="1"/>
  <c r="O332" i="1" s="1"/>
  <c r="Q332" i="1" s="1"/>
  <c r="T332" i="1" l="1"/>
  <c r="V332" i="1" s="1"/>
  <c r="S332" i="1"/>
  <c r="U332" i="1" s="1"/>
  <c r="W332" i="1" s="1"/>
  <c r="X332" i="1" l="1"/>
  <c r="Y332" i="1" s="1"/>
  <c r="Z332" i="1" s="1"/>
  <c r="AA332" i="1" l="1"/>
  <c r="J333" i="1"/>
  <c r="M333" i="1"/>
  <c r="AB332" i="1" l="1"/>
  <c r="AC332" i="1" s="1"/>
  <c r="AD332" i="1" s="1"/>
  <c r="L333" i="1"/>
  <c r="K336" i="1"/>
  <c r="AF332" i="1" l="1"/>
  <c r="N333" i="1"/>
  <c r="O333" i="1" s="1"/>
  <c r="Q333" i="1" s="1"/>
  <c r="P333" i="1"/>
  <c r="R333" i="1" s="1"/>
  <c r="S333" i="1" l="1"/>
  <c r="U333" i="1" s="1"/>
  <c r="T333" i="1"/>
  <c r="V333" i="1" s="1"/>
  <c r="W333" i="1" l="1"/>
  <c r="X333" i="1" s="1"/>
  <c r="Y333" i="1" s="1"/>
  <c r="Z333" i="1" s="1"/>
  <c r="AA333" i="1" l="1"/>
  <c r="J334" i="1"/>
  <c r="M334" i="1"/>
  <c r="AB333" i="1" l="1"/>
  <c r="AC333" i="1" s="1"/>
  <c r="AD333" i="1" s="1"/>
  <c r="L334" i="1"/>
  <c r="K337" i="1"/>
  <c r="AF333" i="1" l="1"/>
  <c r="N334" i="1"/>
  <c r="O334" i="1" s="1"/>
  <c r="Q334" i="1" s="1"/>
  <c r="P334" i="1"/>
  <c r="R334" i="1" s="1"/>
  <c r="T334" i="1" l="1"/>
  <c r="V334" i="1" s="1"/>
  <c r="S334" i="1"/>
  <c r="U334" i="1" s="1"/>
  <c r="W334" i="1" l="1"/>
  <c r="X334" i="1" s="1"/>
  <c r="Y334" i="1" s="1"/>
  <c r="Z334" i="1" s="1"/>
  <c r="AA334" i="1" l="1"/>
  <c r="J335" i="1"/>
  <c r="M335" i="1"/>
  <c r="AB334" i="1" l="1"/>
  <c r="AC334" i="1" s="1"/>
  <c r="AD334" i="1" s="1"/>
  <c r="L335" i="1"/>
  <c r="K338" i="1"/>
  <c r="AF334" i="1" l="1"/>
  <c r="N335" i="1"/>
  <c r="O335" i="1" s="1"/>
  <c r="Q335" i="1" s="1"/>
  <c r="P335" i="1"/>
  <c r="R335" i="1" s="1"/>
  <c r="S335" i="1" l="1"/>
  <c r="U335" i="1" s="1"/>
  <c r="T335" i="1"/>
  <c r="V335" i="1" s="1"/>
  <c r="W335" i="1" l="1"/>
  <c r="X335" i="1" s="1"/>
  <c r="Y335" i="1" s="1"/>
  <c r="Z335" i="1" s="1"/>
  <c r="AA335" i="1" l="1"/>
  <c r="J336" i="1"/>
  <c r="M336" i="1"/>
  <c r="AB335" i="1" l="1"/>
  <c r="AC335" i="1" s="1"/>
  <c r="AD335" i="1" s="1"/>
  <c r="L336" i="1"/>
  <c r="K339" i="1"/>
  <c r="AF335" i="1" l="1"/>
  <c r="N336" i="1"/>
  <c r="O336" i="1" s="1"/>
  <c r="Q336" i="1" s="1"/>
  <c r="P336" i="1"/>
  <c r="R336" i="1" s="1"/>
  <c r="T336" i="1" l="1"/>
  <c r="V336" i="1" s="1"/>
  <c r="S336" i="1"/>
  <c r="U336" i="1" l="1"/>
  <c r="W336" i="1" s="1"/>
  <c r="X336" i="1" l="1"/>
  <c r="Y336" i="1" s="1"/>
  <c r="Z336" i="1" s="1"/>
  <c r="AA336" i="1" l="1"/>
  <c r="J337" i="1"/>
  <c r="M337" i="1"/>
  <c r="AB336" i="1" l="1"/>
  <c r="AC336" i="1" s="1"/>
  <c r="AD336" i="1" s="1"/>
  <c r="L337" i="1"/>
  <c r="K340" i="1"/>
  <c r="AF336" i="1" l="1"/>
  <c r="P337" i="1"/>
  <c r="R337" i="1" s="1"/>
  <c r="N337" i="1"/>
  <c r="O337" i="1" s="1"/>
  <c r="Q337" i="1" s="1"/>
  <c r="T337" i="1" l="1"/>
  <c r="V337" i="1" s="1"/>
  <c r="S337" i="1"/>
  <c r="U337" i="1" s="1"/>
  <c r="W337" i="1" l="1"/>
  <c r="X337" i="1" s="1"/>
  <c r="Y337" i="1" s="1"/>
  <c r="Z337" i="1" s="1"/>
  <c r="AA337" i="1" l="1"/>
  <c r="J338" i="1"/>
  <c r="M338" i="1"/>
  <c r="AB337" i="1" l="1"/>
  <c r="AC337" i="1" s="1"/>
  <c r="AD337" i="1" s="1"/>
  <c r="L338" i="1"/>
  <c r="K341" i="1"/>
  <c r="AF337" i="1" l="1"/>
  <c r="P338" i="1"/>
  <c r="R338" i="1" s="1"/>
  <c r="N338" i="1"/>
  <c r="O338" i="1" s="1"/>
  <c r="Q338" i="1" s="1"/>
  <c r="S338" i="1" l="1"/>
  <c r="U338" i="1" s="1"/>
  <c r="T338" i="1"/>
  <c r="V338" i="1" s="1"/>
  <c r="W338" i="1" l="1"/>
  <c r="X338" i="1" s="1"/>
  <c r="Y338" i="1" s="1"/>
  <c r="Z338" i="1" s="1"/>
  <c r="AA338" i="1" l="1"/>
  <c r="J339" i="1"/>
  <c r="M339" i="1"/>
  <c r="AB338" i="1" l="1"/>
  <c r="AC338" i="1" s="1"/>
  <c r="AD338" i="1" s="1"/>
  <c r="K342" i="1"/>
  <c r="L339" i="1"/>
  <c r="AF338" i="1" l="1"/>
  <c r="N339" i="1"/>
  <c r="O339" i="1" s="1"/>
  <c r="Q339" i="1" s="1"/>
  <c r="P339" i="1"/>
  <c r="R339" i="1" s="1"/>
  <c r="S339" i="1" l="1"/>
  <c r="T339" i="1"/>
  <c r="V339" i="1" s="1"/>
  <c r="U339" i="1" l="1"/>
  <c r="W339" i="1" s="1"/>
  <c r="X339" i="1" l="1"/>
  <c r="Y339" i="1" s="1"/>
  <c r="Z339" i="1" s="1"/>
  <c r="AA339" i="1" l="1"/>
  <c r="J340" i="1"/>
  <c r="M340" i="1"/>
  <c r="AB339" i="1" l="1"/>
  <c r="AC339" i="1" s="1"/>
  <c r="AD339" i="1" s="1"/>
  <c r="L340" i="1"/>
  <c r="K343" i="1"/>
  <c r="AF339" i="1" l="1"/>
  <c r="N340" i="1"/>
  <c r="O340" i="1" s="1"/>
  <c r="Q340" i="1" s="1"/>
  <c r="P340" i="1"/>
  <c r="R340" i="1" s="1"/>
  <c r="S340" i="1" l="1"/>
  <c r="U340" i="1" s="1"/>
  <c r="T340" i="1"/>
  <c r="V340" i="1" s="1"/>
  <c r="W340" i="1" l="1"/>
  <c r="X340" i="1" s="1"/>
  <c r="Y340" i="1" s="1"/>
  <c r="Z340" i="1" s="1"/>
  <c r="AA340" i="1" l="1"/>
  <c r="J341" i="1"/>
  <c r="M341" i="1"/>
  <c r="AB340" i="1" l="1"/>
  <c r="AC340" i="1" s="1"/>
  <c r="AD340" i="1" s="1"/>
  <c r="L341" i="1"/>
  <c r="K344" i="1"/>
  <c r="AF340" i="1" l="1"/>
  <c r="N341" i="1"/>
  <c r="O341" i="1" s="1"/>
  <c r="Q341" i="1" s="1"/>
  <c r="P341" i="1"/>
  <c r="R341" i="1" s="1"/>
  <c r="T341" i="1" l="1"/>
  <c r="V341" i="1" s="1"/>
  <c r="S341" i="1"/>
  <c r="U341" i="1" s="1"/>
  <c r="W341" i="1" l="1"/>
  <c r="X341" i="1" s="1"/>
  <c r="Y341" i="1" s="1"/>
  <c r="Z341" i="1" s="1"/>
  <c r="AA341" i="1" l="1"/>
  <c r="J342" i="1"/>
  <c r="M342" i="1"/>
  <c r="AB341" i="1" l="1"/>
  <c r="AC341" i="1" s="1"/>
  <c r="AD341" i="1" s="1"/>
  <c r="L342" i="1"/>
  <c r="K345" i="1"/>
  <c r="AF341" i="1" l="1"/>
  <c r="N342" i="1"/>
  <c r="O342" i="1" s="1"/>
  <c r="Q342" i="1" s="1"/>
  <c r="P342" i="1"/>
  <c r="R342" i="1" s="1"/>
  <c r="S342" i="1" l="1"/>
  <c r="U342" i="1" s="1"/>
  <c r="T342" i="1"/>
  <c r="V342" i="1" s="1"/>
  <c r="W342" i="1" l="1"/>
  <c r="X342" i="1" s="1"/>
  <c r="Y342" i="1" s="1"/>
  <c r="Z342" i="1" s="1"/>
  <c r="AA342" i="1" l="1"/>
  <c r="J343" i="1"/>
  <c r="M343" i="1"/>
  <c r="AB342" i="1" l="1"/>
  <c r="AC342" i="1" s="1"/>
  <c r="AD342" i="1" s="1"/>
  <c r="L343" i="1"/>
  <c r="K346" i="1"/>
  <c r="AF342" i="1" l="1"/>
  <c r="P343" i="1"/>
  <c r="R343" i="1" s="1"/>
  <c r="N343" i="1"/>
  <c r="O343" i="1" s="1"/>
  <c r="Q343" i="1" s="1"/>
  <c r="T343" i="1" l="1"/>
  <c r="V343" i="1" s="1"/>
  <c r="S343" i="1"/>
  <c r="U343" i="1" s="1"/>
  <c r="W343" i="1" l="1"/>
  <c r="X343" i="1" s="1"/>
  <c r="Y343" i="1" s="1"/>
  <c r="Z343" i="1" s="1"/>
  <c r="AA343" i="1" l="1"/>
  <c r="J344" i="1"/>
  <c r="M344" i="1"/>
  <c r="AB343" i="1" l="1"/>
  <c r="AC343" i="1" s="1"/>
  <c r="AD343" i="1" s="1"/>
  <c r="L344" i="1"/>
  <c r="K347" i="1"/>
  <c r="AF343" i="1" l="1"/>
  <c r="N344" i="1"/>
  <c r="O344" i="1" s="1"/>
  <c r="Q344" i="1" s="1"/>
  <c r="P344" i="1"/>
  <c r="R344" i="1" s="1"/>
  <c r="S344" i="1" l="1"/>
  <c r="U344" i="1" s="1"/>
  <c r="T344" i="1"/>
  <c r="V344" i="1" s="1"/>
  <c r="W344" i="1" l="1"/>
  <c r="X344" i="1" s="1"/>
  <c r="Y344" i="1" s="1"/>
  <c r="Z344" i="1" s="1"/>
  <c r="AA344" i="1" l="1"/>
  <c r="J345" i="1"/>
  <c r="M345" i="1"/>
  <c r="AB344" i="1" l="1"/>
  <c r="AC344" i="1" s="1"/>
  <c r="AD344" i="1" s="1"/>
  <c r="L345" i="1"/>
  <c r="K348" i="1"/>
  <c r="AF344" i="1" l="1"/>
  <c r="P345" i="1"/>
  <c r="R345" i="1" s="1"/>
  <c r="N345" i="1"/>
  <c r="O345" i="1" s="1"/>
  <c r="Q345" i="1" s="1"/>
  <c r="S345" i="1" l="1"/>
  <c r="U345" i="1" s="1"/>
  <c r="T345" i="1"/>
  <c r="V345" i="1" s="1"/>
  <c r="W345" i="1" l="1"/>
  <c r="X345" i="1" s="1"/>
  <c r="Y345" i="1" s="1"/>
  <c r="Z345" i="1" s="1"/>
  <c r="AA345" i="1" l="1"/>
  <c r="J346" i="1"/>
  <c r="M346" i="1"/>
  <c r="AB345" i="1" l="1"/>
  <c r="AC345" i="1" s="1"/>
  <c r="AD345" i="1" s="1"/>
  <c r="L346" i="1"/>
  <c r="K349" i="1"/>
  <c r="AF345" i="1" l="1"/>
  <c r="P346" i="1"/>
  <c r="R346" i="1" s="1"/>
  <c r="N346" i="1"/>
  <c r="O346" i="1" s="1"/>
  <c r="Q346" i="1" s="1"/>
  <c r="S346" i="1" l="1"/>
  <c r="U346" i="1" s="1"/>
  <c r="T346" i="1"/>
  <c r="V346" i="1" s="1"/>
  <c r="W346" i="1" l="1"/>
  <c r="X346" i="1" s="1"/>
  <c r="Y346" i="1" s="1"/>
  <c r="Z346" i="1" s="1"/>
  <c r="J347" i="1" l="1"/>
  <c r="AA346" i="1"/>
  <c r="M347" i="1"/>
  <c r="AB346" i="1" l="1"/>
  <c r="AC346" i="1" s="1"/>
  <c r="AD346" i="1" s="1"/>
  <c r="L347" i="1"/>
  <c r="K350" i="1"/>
  <c r="AF346" i="1" l="1"/>
  <c r="P347" i="1"/>
  <c r="R347" i="1" s="1"/>
  <c r="N347" i="1"/>
  <c r="O347" i="1" s="1"/>
  <c r="Q347" i="1" s="1"/>
  <c r="T347" i="1" l="1"/>
  <c r="V347" i="1" s="1"/>
  <c r="S347" i="1"/>
  <c r="U347" i="1" s="1"/>
  <c r="W347" i="1" l="1"/>
  <c r="X347" i="1" s="1"/>
  <c r="Y347" i="1" s="1"/>
  <c r="Z347" i="1" s="1"/>
  <c r="AA347" i="1" l="1"/>
  <c r="J348" i="1"/>
  <c r="M348" i="1"/>
  <c r="AB347" i="1" l="1"/>
  <c r="AC347" i="1" s="1"/>
  <c r="AD347" i="1" s="1"/>
  <c r="L348" i="1"/>
  <c r="K351" i="1"/>
  <c r="AF347" i="1" l="1"/>
  <c r="P348" i="1"/>
  <c r="R348" i="1" s="1"/>
  <c r="N348" i="1"/>
  <c r="O348" i="1" s="1"/>
  <c r="Q348" i="1" s="1"/>
  <c r="S348" i="1" l="1"/>
  <c r="U348" i="1" s="1"/>
  <c r="T348" i="1"/>
  <c r="V348" i="1" s="1"/>
  <c r="W348" i="1" l="1"/>
  <c r="X348" i="1" s="1"/>
  <c r="Y348" i="1" s="1"/>
  <c r="Z348" i="1" s="1"/>
  <c r="AA348" i="1" l="1"/>
  <c r="J349" i="1"/>
  <c r="M349" i="1"/>
  <c r="AB348" i="1" l="1"/>
  <c r="AC348" i="1" s="1"/>
  <c r="AD348" i="1" s="1"/>
  <c r="L349" i="1"/>
  <c r="K352" i="1"/>
  <c r="AF348" i="1" l="1"/>
  <c r="N349" i="1"/>
  <c r="O349" i="1" s="1"/>
  <c r="Q349" i="1" s="1"/>
  <c r="P349" i="1"/>
  <c r="R349" i="1" s="1"/>
  <c r="T349" i="1" l="1"/>
  <c r="V349" i="1" s="1"/>
  <c r="S349" i="1"/>
  <c r="U349" i="1" s="1"/>
  <c r="W349" i="1" l="1"/>
  <c r="X349" i="1" s="1"/>
  <c r="Y349" i="1" s="1"/>
  <c r="Z349" i="1" s="1"/>
  <c r="AA349" i="1" l="1"/>
  <c r="J350" i="1"/>
  <c r="M350" i="1"/>
  <c r="AB349" i="1" l="1"/>
  <c r="AC349" i="1" s="1"/>
  <c r="AD349" i="1" s="1"/>
  <c r="L350" i="1"/>
  <c r="K353" i="1"/>
  <c r="AF349" i="1" l="1"/>
  <c r="P350" i="1"/>
  <c r="R350" i="1" s="1"/>
  <c r="N350" i="1"/>
  <c r="O350" i="1" s="1"/>
  <c r="Q350" i="1" s="1"/>
  <c r="T350" i="1" l="1"/>
  <c r="V350" i="1" s="1"/>
  <c r="S350" i="1"/>
  <c r="U350" i="1" s="1"/>
  <c r="W350" i="1" l="1"/>
  <c r="X350" i="1" s="1"/>
  <c r="Y350" i="1" s="1"/>
  <c r="Z350" i="1" s="1"/>
  <c r="M351" i="1" l="1"/>
  <c r="J351" i="1"/>
  <c r="AA350" i="1"/>
  <c r="AB350" i="1" l="1"/>
  <c r="AC350" i="1" s="1"/>
  <c r="AD350" i="1" s="1"/>
  <c r="K354" i="1"/>
  <c r="L351" i="1"/>
  <c r="AF350" i="1" l="1"/>
  <c r="P351" i="1"/>
  <c r="R351" i="1" s="1"/>
  <c r="N351" i="1"/>
  <c r="O351" i="1" s="1"/>
  <c r="Q351" i="1" s="1"/>
  <c r="S351" i="1" l="1"/>
  <c r="U351" i="1" s="1"/>
  <c r="T351" i="1"/>
  <c r="V351" i="1" s="1"/>
  <c r="W351" i="1" l="1"/>
  <c r="X351" i="1" s="1"/>
  <c r="Y351" i="1" s="1"/>
  <c r="Z351" i="1" s="1"/>
  <c r="M352" i="1" l="1"/>
  <c r="J352" i="1"/>
  <c r="AA351" i="1"/>
  <c r="AB351" i="1" l="1"/>
  <c r="AC351" i="1" s="1"/>
  <c r="AD351" i="1" s="1"/>
  <c r="K355" i="1"/>
  <c r="L352" i="1"/>
  <c r="AF351" i="1" l="1"/>
  <c r="N352" i="1"/>
  <c r="O352" i="1" s="1"/>
  <c r="Q352" i="1" s="1"/>
  <c r="P352" i="1"/>
  <c r="R352" i="1" s="1"/>
  <c r="S352" i="1" l="1"/>
  <c r="U352" i="1" s="1"/>
  <c r="T352" i="1"/>
  <c r="V352" i="1" l="1"/>
  <c r="W352" i="1" l="1"/>
  <c r="X352" i="1" s="1"/>
  <c r="Y352" i="1" s="1"/>
  <c r="Z352" i="1" s="1"/>
  <c r="J353" i="1" l="1"/>
  <c r="L353" i="1" s="1"/>
  <c r="AA352" i="1"/>
  <c r="M353" i="1"/>
  <c r="K356" i="1" l="1"/>
  <c r="AB352" i="1"/>
  <c r="AC352" i="1" s="1"/>
  <c r="AD352" i="1" s="1"/>
  <c r="N353" i="1"/>
  <c r="O353" i="1" s="1"/>
  <c r="Q353" i="1" s="1"/>
  <c r="P353" i="1"/>
  <c r="R353" i="1" s="1"/>
  <c r="AF352" i="1" l="1"/>
  <c r="S353" i="1"/>
  <c r="U353" i="1" s="1"/>
  <c r="T353" i="1"/>
  <c r="V353" i="1" l="1"/>
  <c r="W353" i="1" l="1"/>
  <c r="X353" i="1" s="1"/>
  <c r="Y353" i="1" s="1"/>
  <c r="Z353" i="1" s="1"/>
  <c r="AA353" i="1" l="1"/>
  <c r="J354" i="1"/>
  <c r="L354" i="1" s="1"/>
  <c r="M354" i="1"/>
  <c r="AB353" i="1" l="1"/>
  <c r="AC353" i="1" s="1"/>
  <c r="AD353" i="1" s="1"/>
  <c r="K357" i="1"/>
  <c r="P354" i="1"/>
  <c r="R354" i="1" s="1"/>
  <c r="N354" i="1"/>
  <c r="O354" i="1" s="1"/>
  <c r="Q354" i="1" s="1"/>
  <c r="AF353" i="1" l="1"/>
  <c r="S354" i="1"/>
  <c r="U354" i="1" s="1"/>
  <c r="T354" i="1"/>
  <c r="V354" i="1" s="1"/>
  <c r="W354" i="1" l="1"/>
  <c r="X354" i="1" s="1"/>
  <c r="Y354" i="1" s="1"/>
  <c r="Z354" i="1" s="1"/>
  <c r="J355" i="1" l="1"/>
  <c r="AA354" i="1"/>
  <c r="M355" i="1"/>
  <c r="AB354" i="1" l="1"/>
  <c r="AC354" i="1" s="1"/>
  <c r="AD354" i="1" s="1"/>
  <c r="K358" i="1"/>
  <c r="L355" i="1"/>
  <c r="AF354" i="1" l="1"/>
  <c r="N355" i="1"/>
  <c r="O355" i="1" s="1"/>
  <c r="Q355" i="1" s="1"/>
  <c r="P355" i="1"/>
  <c r="R355" i="1" s="1"/>
  <c r="S355" i="1" l="1"/>
  <c r="U355" i="1" s="1"/>
  <c r="T355" i="1"/>
  <c r="V355" i="1" l="1"/>
  <c r="W355" i="1" l="1"/>
  <c r="X355" i="1" s="1"/>
  <c r="Y355" i="1" s="1"/>
  <c r="Z355" i="1" s="1"/>
  <c r="AA355" i="1" l="1"/>
  <c r="J356" i="1"/>
  <c r="L356" i="1" s="1"/>
  <c r="M356" i="1"/>
  <c r="AB355" i="1" l="1"/>
  <c r="AC355" i="1" s="1"/>
  <c r="AD355" i="1" s="1"/>
  <c r="K359" i="1"/>
  <c r="N356" i="1"/>
  <c r="O356" i="1" s="1"/>
  <c r="Q356" i="1" s="1"/>
  <c r="P356" i="1"/>
  <c r="R356" i="1" s="1"/>
  <c r="AF355" i="1" l="1"/>
  <c r="T356" i="1"/>
  <c r="V356" i="1" s="1"/>
  <c r="S356" i="1"/>
  <c r="U356" i="1" s="1"/>
  <c r="W356" i="1" l="1"/>
  <c r="X356" i="1" s="1"/>
  <c r="Y356" i="1" s="1"/>
  <c r="Z356" i="1" s="1"/>
  <c r="AA356" i="1" l="1"/>
  <c r="J357" i="1"/>
  <c r="M357" i="1"/>
  <c r="AB356" i="1" l="1"/>
  <c r="AC356" i="1" s="1"/>
  <c r="AD356" i="1" s="1"/>
  <c r="K360" i="1"/>
  <c r="L357" i="1"/>
  <c r="AF356" i="1" l="1"/>
  <c r="P357" i="1"/>
  <c r="R357" i="1" s="1"/>
  <c r="N357" i="1"/>
  <c r="O357" i="1" s="1"/>
  <c r="Q357" i="1" s="1"/>
  <c r="S357" i="1" l="1"/>
  <c r="U357" i="1" s="1"/>
  <c r="T357" i="1"/>
  <c r="V357" i="1" s="1"/>
  <c r="W357" i="1" l="1"/>
  <c r="X357" i="1" s="1"/>
  <c r="Y357" i="1" s="1"/>
  <c r="Z357" i="1" s="1"/>
  <c r="J358" i="1" l="1"/>
  <c r="AA357" i="1"/>
  <c r="M358" i="1"/>
  <c r="AB357" i="1" l="1"/>
  <c r="AC357" i="1" s="1"/>
  <c r="AD357" i="1" s="1"/>
  <c r="L358" i="1"/>
  <c r="K361" i="1"/>
  <c r="AF357" i="1" l="1"/>
  <c r="P358" i="1"/>
  <c r="R358" i="1" s="1"/>
  <c r="N358" i="1"/>
  <c r="O358" i="1" s="1"/>
  <c r="Q358" i="1" s="1"/>
  <c r="T358" i="1" l="1"/>
  <c r="V358" i="1" s="1"/>
  <c r="S358" i="1"/>
  <c r="U358" i="1" s="1"/>
  <c r="W358" i="1" l="1"/>
  <c r="X358" i="1" s="1"/>
  <c r="Y358" i="1" s="1"/>
  <c r="Z358" i="1" s="1"/>
  <c r="AA358" i="1" l="1"/>
  <c r="J359" i="1"/>
  <c r="M359" i="1"/>
  <c r="AB358" i="1" l="1"/>
  <c r="AC358" i="1" s="1"/>
  <c r="AD358" i="1" s="1"/>
  <c r="K362" i="1"/>
  <c r="L359" i="1"/>
  <c r="AF358" i="1" l="1"/>
  <c r="N359" i="1"/>
  <c r="O359" i="1" s="1"/>
  <c r="Q359" i="1" s="1"/>
  <c r="P359" i="1"/>
  <c r="R359" i="1" s="1"/>
  <c r="S359" i="1" l="1"/>
  <c r="T359" i="1"/>
  <c r="V359" i="1" s="1"/>
  <c r="U359" i="1" l="1"/>
  <c r="W359" i="1" s="1"/>
  <c r="X359" i="1" l="1"/>
  <c r="Y359" i="1" s="1"/>
  <c r="Z359" i="1" s="1"/>
  <c r="AA359" i="1" l="1"/>
  <c r="J360" i="1"/>
  <c r="M360" i="1"/>
  <c r="AB359" i="1" l="1"/>
  <c r="AC359" i="1" s="1"/>
  <c r="AD359" i="1" s="1"/>
  <c r="K363" i="1"/>
  <c r="L360" i="1"/>
  <c r="AF359" i="1" l="1"/>
  <c r="N360" i="1"/>
  <c r="O360" i="1" s="1"/>
  <c r="Q360" i="1" s="1"/>
  <c r="P360" i="1"/>
  <c r="R360" i="1" s="1"/>
  <c r="T360" i="1" l="1"/>
  <c r="V360" i="1" s="1"/>
  <c r="S360" i="1"/>
  <c r="U360" i="1" s="1"/>
  <c r="W360" i="1" l="1"/>
  <c r="X360" i="1" s="1"/>
  <c r="Y360" i="1" s="1"/>
  <c r="Z360" i="1" s="1"/>
  <c r="J361" i="1" l="1"/>
  <c r="AA360" i="1"/>
  <c r="M361" i="1"/>
  <c r="AB360" i="1" l="1"/>
  <c r="AC360" i="1" s="1"/>
  <c r="AD360" i="1" s="1"/>
  <c r="L361" i="1"/>
  <c r="K364" i="1"/>
  <c r="AF360" i="1" l="1"/>
  <c r="N361" i="1"/>
  <c r="O361" i="1" s="1"/>
  <c r="Q361" i="1" s="1"/>
  <c r="P361" i="1"/>
  <c r="R361" i="1" s="1"/>
  <c r="S361" i="1" l="1"/>
  <c r="U361" i="1" s="1"/>
  <c r="T361" i="1"/>
  <c r="V361" i="1" s="1"/>
  <c r="W361" i="1" l="1"/>
  <c r="X361" i="1" s="1"/>
  <c r="Y361" i="1" s="1"/>
  <c r="Z361" i="1" s="1"/>
  <c r="AA361" i="1" l="1"/>
  <c r="J362" i="1"/>
  <c r="M362" i="1"/>
  <c r="AB361" i="1" l="1"/>
  <c r="AC361" i="1" s="1"/>
  <c r="AD361" i="1" s="1"/>
  <c r="L362" i="1"/>
  <c r="K365" i="1"/>
  <c r="AF361" i="1" l="1"/>
  <c r="P362" i="1"/>
  <c r="R362" i="1" s="1"/>
  <c r="N362" i="1"/>
  <c r="O362" i="1" s="1"/>
  <c r="Q362" i="1" s="1"/>
  <c r="T362" i="1" l="1"/>
  <c r="V362" i="1" s="1"/>
  <c r="S362" i="1"/>
  <c r="U362" i="1" s="1"/>
  <c r="W362" i="1" l="1"/>
  <c r="X362" i="1" s="1"/>
  <c r="Y362" i="1" s="1"/>
  <c r="Z362" i="1" s="1"/>
  <c r="AA362" i="1" l="1"/>
  <c r="J363" i="1"/>
  <c r="M363" i="1"/>
  <c r="AB362" i="1" l="1"/>
  <c r="AC362" i="1" s="1"/>
  <c r="AD362" i="1" s="1"/>
  <c r="K366" i="1"/>
  <c r="L363" i="1"/>
  <c r="AF362" i="1" l="1"/>
  <c r="P363" i="1"/>
  <c r="R363" i="1" s="1"/>
  <c r="N363" i="1"/>
  <c r="O363" i="1" s="1"/>
  <c r="Q363" i="1" s="1"/>
  <c r="T363" i="1" l="1"/>
  <c r="V363" i="1" s="1"/>
  <c r="S363" i="1"/>
  <c r="U363" i="1" s="1"/>
  <c r="W363" i="1" l="1"/>
  <c r="X363" i="1" s="1"/>
  <c r="Y363" i="1" s="1"/>
  <c r="Z363" i="1" s="1"/>
  <c r="J364" i="1" l="1"/>
  <c r="AA363" i="1"/>
  <c r="M364" i="1"/>
  <c r="AB363" i="1" l="1"/>
  <c r="AC363" i="1" s="1"/>
  <c r="AD363" i="1" s="1"/>
  <c r="L364" i="1"/>
  <c r="K367" i="1"/>
  <c r="AF363" i="1" l="1"/>
  <c r="N364" i="1"/>
  <c r="O364" i="1" s="1"/>
  <c r="Q364" i="1" s="1"/>
  <c r="P364" i="1"/>
  <c r="R364" i="1" s="1"/>
  <c r="S364" i="1" l="1"/>
  <c r="U364" i="1" s="1"/>
  <c r="T364" i="1"/>
  <c r="V364" i="1" s="1"/>
  <c r="W364" i="1" l="1"/>
  <c r="X364" i="1" s="1"/>
  <c r="Y364" i="1" s="1"/>
  <c r="Z364" i="1" s="1"/>
  <c r="J365" i="1" l="1"/>
  <c r="AA364" i="1"/>
  <c r="M365" i="1"/>
  <c r="AB364" i="1" l="1"/>
  <c r="AC364" i="1" s="1"/>
  <c r="AD364" i="1" s="1"/>
  <c r="L365" i="1"/>
  <c r="K368" i="1"/>
  <c r="AF364" i="1" l="1"/>
  <c r="N365" i="1"/>
  <c r="O365" i="1" s="1"/>
  <c r="Q365" i="1" s="1"/>
  <c r="P365" i="1"/>
  <c r="R365" i="1" s="1"/>
  <c r="T365" i="1" l="1"/>
  <c r="V365" i="1" s="1"/>
  <c r="S365" i="1"/>
  <c r="U365" i="1" l="1"/>
  <c r="W365" i="1" s="1"/>
  <c r="X365" i="1" l="1"/>
  <c r="Y365" i="1" s="1"/>
  <c r="Z365" i="1" s="1"/>
  <c r="AA365" i="1" l="1"/>
  <c r="J366" i="1"/>
  <c r="M366" i="1"/>
  <c r="AB365" i="1" l="1"/>
  <c r="AC365" i="1" s="1"/>
  <c r="AD365" i="1" s="1"/>
  <c r="L366" i="1"/>
  <c r="K369" i="1"/>
  <c r="AF365" i="1" l="1"/>
  <c r="P366" i="1"/>
  <c r="R366" i="1" s="1"/>
  <c r="N366" i="1"/>
  <c r="O366" i="1" s="1"/>
  <c r="Q366" i="1" s="1"/>
  <c r="T366" i="1" l="1"/>
  <c r="V366" i="1" s="1"/>
  <c r="S366" i="1"/>
  <c r="U366" i="1" s="1"/>
  <c r="W366" i="1" l="1"/>
  <c r="X366" i="1" s="1"/>
  <c r="Y366" i="1" s="1"/>
  <c r="Z366" i="1" s="1"/>
  <c r="AA366" i="1" l="1"/>
  <c r="J367" i="1"/>
  <c r="M367" i="1"/>
  <c r="AB366" i="1" l="1"/>
  <c r="AC366" i="1" s="1"/>
  <c r="AD366" i="1" s="1"/>
  <c r="L367" i="1"/>
  <c r="K370" i="1"/>
  <c r="AF366" i="1" l="1"/>
  <c r="N367" i="1"/>
  <c r="O367" i="1" s="1"/>
  <c r="Q367" i="1" s="1"/>
  <c r="P367" i="1"/>
  <c r="R367" i="1" s="1"/>
  <c r="T367" i="1" l="1"/>
  <c r="V367" i="1" s="1"/>
  <c r="S367" i="1"/>
  <c r="U367" i="1" l="1"/>
  <c r="W367" i="1" s="1"/>
  <c r="X367" i="1" l="1"/>
  <c r="Y367" i="1" s="1"/>
  <c r="Z367" i="1" s="1"/>
  <c r="AA367" i="1" l="1"/>
  <c r="J368" i="1"/>
  <c r="M368" i="1"/>
  <c r="AB367" i="1" l="1"/>
  <c r="AC367" i="1" s="1"/>
  <c r="AD367" i="1" s="1"/>
  <c r="K371" i="1"/>
  <c r="L368" i="1"/>
  <c r="AF367" i="1" l="1"/>
  <c r="P368" i="1"/>
  <c r="R368" i="1" s="1"/>
  <c r="N368" i="1"/>
  <c r="O368" i="1" s="1"/>
  <c r="Q368" i="1" s="1"/>
  <c r="S368" i="1" l="1"/>
  <c r="T368" i="1"/>
  <c r="V368" i="1" s="1"/>
  <c r="U368" i="1" l="1"/>
  <c r="W368" i="1" l="1"/>
  <c r="X368" i="1" s="1"/>
  <c r="Y368" i="1" s="1"/>
  <c r="Z368" i="1" s="1"/>
  <c r="AA368" i="1" l="1"/>
  <c r="M369" i="1"/>
  <c r="J369" i="1"/>
  <c r="L369" i="1" s="1"/>
  <c r="AB368" i="1" l="1"/>
  <c r="AC368" i="1" s="1"/>
  <c r="AD368" i="1" s="1"/>
  <c r="K372" i="1"/>
  <c r="N369" i="1"/>
  <c r="O369" i="1" s="1"/>
  <c r="Q369" i="1" s="1"/>
  <c r="P369" i="1"/>
  <c r="R369" i="1" s="1"/>
  <c r="AF368" i="1" l="1"/>
  <c r="S369" i="1"/>
  <c r="U369" i="1" s="1"/>
  <c r="T369" i="1"/>
  <c r="V369" i="1" s="1"/>
  <c r="W369" i="1" l="1"/>
  <c r="X369" i="1" s="1"/>
  <c r="Y369" i="1" s="1"/>
  <c r="Z369" i="1" s="1"/>
  <c r="J370" i="1" l="1"/>
  <c r="AA369" i="1"/>
  <c r="M370" i="1"/>
  <c r="AB369" i="1" l="1"/>
  <c r="AC369" i="1" s="1"/>
  <c r="AD369" i="1" s="1"/>
  <c r="L370" i="1"/>
  <c r="K373" i="1"/>
  <c r="AF369" i="1" l="1"/>
  <c r="P370" i="1"/>
  <c r="R370" i="1" s="1"/>
  <c r="N370" i="1"/>
  <c r="O370" i="1" s="1"/>
  <c r="Q370" i="1" s="1"/>
  <c r="S370" i="1" l="1"/>
  <c r="U370" i="1" s="1"/>
  <c r="T370" i="1"/>
  <c r="V370" i="1" s="1"/>
  <c r="W370" i="1" l="1"/>
  <c r="X370" i="1" s="1"/>
  <c r="Y370" i="1" s="1"/>
  <c r="Z370" i="1" s="1"/>
  <c r="AA370" i="1" l="1"/>
  <c r="J371" i="1"/>
  <c r="M371" i="1"/>
  <c r="AB370" i="1" l="1"/>
  <c r="AC370" i="1" s="1"/>
  <c r="AD370" i="1" s="1"/>
  <c r="K374" i="1"/>
  <c r="L371" i="1"/>
  <c r="AF370" i="1" l="1"/>
  <c r="P371" i="1"/>
  <c r="R371" i="1" s="1"/>
  <c r="N371" i="1"/>
  <c r="O371" i="1" s="1"/>
  <c r="Q371" i="1" s="1"/>
  <c r="S371" i="1" l="1"/>
  <c r="U371" i="1" s="1"/>
  <c r="T371" i="1"/>
  <c r="V371" i="1" s="1"/>
  <c r="W371" i="1" l="1"/>
  <c r="X371" i="1" s="1"/>
  <c r="Y371" i="1" s="1"/>
  <c r="Z371" i="1" s="1"/>
  <c r="AA371" i="1" l="1"/>
  <c r="J372" i="1"/>
  <c r="M372" i="1"/>
  <c r="AB371" i="1" l="1"/>
  <c r="AC371" i="1" s="1"/>
  <c r="AD371" i="1" s="1"/>
  <c r="L372" i="1"/>
  <c r="K375" i="1"/>
  <c r="AF371" i="1" l="1"/>
  <c r="P372" i="1"/>
  <c r="R372" i="1" s="1"/>
  <c r="N372" i="1"/>
  <c r="O372" i="1" s="1"/>
  <c r="Q372" i="1" s="1"/>
  <c r="S372" i="1" l="1"/>
  <c r="U372" i="1" s="1"/>
  <c r="T372" i="1"/>
  <c r="V372" i="1" s="1"/>
  <c r="W372" i="1" l="1"/>
  <c r="X372" i="1" s="1"/>
  <c r="Y372" i="1" s="1"/>
  <c r="Z372" i="1" s="1"/>
  <c r="AA372" i="1" l="1"/>
  <c r="J373" i="1"/>
  <c r="M373" i="1"/>
  <c r="AB372" i="1" l="1"/>
  <c r="AC372" i="1" s="1"/>
  <c r="AD372" i="1" s="1"/>
  <c r="L373" i="1"/>
  <c r="K376" i="1"/>
  <c r="AF372" i="1" l="1"/>
  <c r="P373" i="1"/>
  <c r="R373" i="1" s="1"/>
  <c r="N373" i="1"/>
  <c r="O373" i="1" s="1"/>
  <c r="Q373" i="1" s="1"/>
  <c r="S373" i="1" l="1"/>
  <c r="U373" i="1" s="1"/>
  <c r="T373" i="1"/>
  <c r="V373" i="1" s="1"/>
  <c r="W373" i="1" l="1"/>
  <c r="X373" i="1" s="1"/>
  <c r="Y373" i="1" s="1"/>
  <c r="Z373" i="1" s="1"/>
  <c r="AA373" i="1" l="1"/>
  <c r="J374" i="1"/>
  <c r="M374" i="1"/>
  <c r="AB373" i="1" l="1"/>
  <c r="K377" i="1"/>
  <c r="L374" i="1"/>
  <c r="AC373" i="1" l="1"/>
  <c r="AD373" i="1" s="1"/>
  <c r="N374" i="1"/>
  <c r="O374" i="1" s="1"/>
  <c r="Q374" i="1" s="1"/>
  <c r="P374" i="1"/>
  <c r="R374" i="1" s="1"/>
  <c r="AF373" i="1" l="1"/>
  <c r="T374" i="1"/>
  <c r="V374" i="1" s="1"/>
  <c r="S374" i="1"/>
  <c r="U374" i="1" s="1"/>
  <c r="W374" i="1" s="1"/>
  <c r="X374" i="1" l="1"/>
  <c r="Y374" i="1" s="1"/>
  <c r="Z374" i="1" s="1"/>
  <c r="J375" i="1" l="1"/>
  <c r="AA374" i="1"/>
  <c r="M375" i="1"/>
  <c r="AB374" i="1" l="1"/>
  <c r="AC374" i="1" s="1"/>
  <c r="AD374" i="1" s="1"/>
  <c r="K378" i="1"/>
  <c r="L375" i="1"/>
  <c r="AF374" i="1" l="1"/>
  <c r="P375" i="1"/>
  <c r="R375" i="1" s="1"/>
  <c r="N375" i="1"/>
  <c r="O375" i="1" s="1"/>
  <c r="Q375" i="1" s="1"/>
  <c r="S375" i="1" l="1"/>
  <c r="U375" i="1" s="1"/>
  <c r="T375" i="1"/>
  <c r="V375" i="1" s="1"/>
  <c r="W375" i="1" l="1"/>
  <c r="X375" i="1" s="1"/>
  <c r="Y375" i="1" s="1"/>
  <c r="Z375" i="1" s="1"/>
  <c r="AA375" i="1" l="1"/>
  <c r="J376" i="1"/>
  <c r="M376" i="1"/>
  <c r="AB375" i="1" l="1"/>
  <c r="AC375" i="1" s="1"/>
  <c r="AD375" i="1" s="1"/>
  <c r="K379" i="1"/>
  <c r="L376" i="1"/>
  <c r="AF375" i="1" l="1"/>
  <c r="P376" i="1"/>
  <c r="R376" i="1" s="1"/>
  <c r="N376" i="1"/>
  <c r="O376" i="1" s="1"/>
  <c r="Q376" i="1" s="1"/>
  <c r="S376" i="1" l="1"/>
  <c r="U376" i="1" s="1"/>
  <c r="T376" i="1"/>
  <c r="V376" i="1" s="1"/>
  <c r="W376" i="1" l="1"/>
  <c r="X376" i="1" s="1"/>
  <c r="Y376" i="1" s="1"/>
  <c r="Z376" i="1" s="1"/>
  <c r="J377" i="1" l="1"/>
  <c r="AA376" i="1"/>
  <c r="M377" i="1"/>
  <c r="AB376" i="1" l="1"/>
  <c r="AC376" i="1" s="1"/>
  <c r="AD376" i="1" s="1"/>
  <c r="L377" i="1"/>
  <c r="K380" i="1"/>
  <c r="AF376" i="1" l="1"/>
  <c r="P377" i="1"/>
  <c r="R377" i="1" s="1"/>
  <c r="N377" i="1"/>
  <c r="O377" i="1" s="1"/>
  <c r="Q377" i="1" s="1"/>
  <c r="S377" i="1" l="1"/>
  <c r="U377" i="1" s="1"/>
  <c r="T377" i="1"/>
  <c r="V377" i="1" l="1"/>
  <c r="W377" i="1" s="1"/>
  <c r="X377" i="1" l="1"/>
  <c r="Y377" i="1" s="1"/>
  <c r="Z377" i="1" s="1"/>
  <c r="AA377" i="1" l="1"/>
  <c r="J378" i="1"/>
  <c r="M378" i="1"/>
  <c r="AB377" i="1" l="1"/>
  <c r="L378" i="1"/>
  <c r="K381" i="1"/>
  <c r="AC377" i="1" l="1"/>
  <c r="AD377" i="1" s="1"/>
  <c r="P378" i="1"/>
  <c r="R378" i="1" s="1"/>
  <c r="N378" i="1"/>
  <c r="O378" i="1" s="1"/>
  <c r="Q378" i="1" s="1"/>
  <c r="AF377" i="1" l="1"/>
  <c r="T378" i="1"/>
  <c r="V378" i="1" s="1"/>
  <c r="S378" i="1"/>
  <c r="U378" i="1" l="1"/>
  <c r="W378" i="1" s="1"/>
  <c r="X378" i="1" l="1"/>
  <c r="Y378" i="1" s="1"/>
  <c r="Z378" i="1" s="1"/>
  <c r="AA378" i="1" l="1"/>
  <c r="J379" i="1"/>
  <c r="M379" i="1"/>
  <c r="AB378" i="1" l="1"/>
  <c r="AC378" i="1" s="1"/>
  <c r="AD378" i="1" s="1"/>
  <c r="L379" i="1"/>
  <c r="K382" i="1"/>
  <c r="AF378" i="1" l="1"/>
  <c r="N379" i="1"/>
  <c r="O379" i="1" s="1"/>
  <c r="Q379" i="1" s="1"/>
  <c r="P379" i="1"/>
  <c r="R379" i="1" s="1"/>
  <c r="T379" i="1" l="1"/>
  <c r="V379" i="1" s="1"/>
  <c r="S379" i="1"/>
  <c r="U379" i="1" s="1"/>
  <c r="W379" i="1" l="1"/>
  <c r="X379" i="1" s="1"/>
  <c r="Y379" i="1" s="1"/>
  <c r="Z379" i="1" s="1"/>
  <c r="AA379" i="1" l="1"/>
  <c r="J380" i="1"/>
  <c r="M380" i="1"/>
  <c r="AB379" i="1" l="1"/>
  <c r="AC379" i="1" s="1"/>
  <c r="AD379" i="1" s="1"/>
  <c r="K383" i="1"/>
  <c r="L380" i="1"/>
  <c r="AF379" i="1" l="1"/>
  <c r="N380" i="1"/>
  <c r="O380" i="1" s="1"/>
  <c r="Q380" i="1" s="1"/>
  <c r="P380" i="1"/>
  <c r="R380" i="1" s="1"/>
  <c r="S380" i="1" l="1"/>
  <c r="U380" i="1" s="1"/>
  <c r="T380" i="1"/>
  <c r="V380" i="1" l="1"/>
  <c r="W380" i="1" s="1"/>
  <c r="X380" i="1" l="1"/>
  <c r="Y380" i="1" s="1"/>
  <c r="Z380" i="1" s="1"/>
  <c r="AA380" i="1" l="1"/>
  <c r="J381" i="1"/>
  <c r="M381" i="1"/>
  <c r="AB380" i="1" l="1"/>
  <c r="AC380" i="1" s="1"/>
  <c r="AD380" i="1" s="1"/>
  <c r="L381" i="1"/>
  <c r="K384" i="1"/>
  <c r="AF380" i="1" l="1"/>
  <c r="N381" i="1"/>
  <c r="O381" i="1" s="1"/>
  <c r="Q381" i="1" s="1"/>
  <c r="P381" i="1"/>
  <c r="R381" i="1" s="1"/>
  <c r="S381" i="1" l="1"/>
  <c r="U381" i="1" s="1"/>
  <c r="T381" i="1"/>
  <c r="V381" i="1" s="1"/>
  <c r="W381" i="1" l="1"/>
  <c r="X381" i="1" s="1"/>
  <c r="Y381" i="1" s="1"/>
  <c r="Z381" i="1" s="1"/>
  <c r="AA381" i="1" l="1"/>
  <c r="J382" i="1"/>
  <c r="M382" i="1"/>
  <c r="AB381" i="1" l="1"/>
  <c r="AC381" i="1" s="1"/>
  <c r="AD381" i="1" s="1"/>
  <c r="L382" i="1"/>
  <c r="K385" i="1"/>
  <c r="AF381" i="1" l="1"/>
  <c r="N382" i="1"/>
  <c r="O382" i="1" s="1"/>
  <c r="Q382" i="1" s="1"/>
  <c r="P382" i="1"/>
  <c r="R382" i="1" s="1"/>
  <c r="T382" i="1" l="1"/>
  <c r="V382" i="1" s="1"/>
  <c r="S382" i="1"/>
  <c r="U382" i="1" s="1"/>
  <c r="W382" i="1" s="1"/>
  <c r="X382" i="1" l="1"/>
  <c r="Y382" i="1" s="1"/>
  <c r="Z382" i="1" s="1"/>
  <c r="M383" i="1" l="1"/>
  <c r="J383" i="1"/>
  <c r="AA382" i="1"/>
  <c r="AB382" i="1" l="1"/>
  <c r="AC382" i="1" s="1"/>
  <c r="AD382" i="1" s="1"/>
  <c r="K386" i="1"/>
  <c r="L383" i="1"/>
  <c r="AF382" i="1" l="1"/>
  <c r="P383" i="1"/>
  <c r="R383" i="1" s="1"/>
  <c r="N383" i="1"/>
  <c r="O383" i="1" s="1"/>
  <c r="Q383" i="1" s="1"/>
  <c r="T383" i="1" l="1"/>
  <c r="V383" i="1" s="1"/>
  <c r="S383" i="1"/>
  <c r="U383" i="1" l="1"/>
  <c r="W383" i="1" s="1"/>
  <c r="X383" i="1" l="1"/>
  <c r="Y383" i="1" s="1"/>
  <c r="Z383" i="1" s="1"/>
  <c r="J384" i="1" l="1"/>
  <c r="AA383" i="1"/>
  <c r="M384" i="1"/>
  <c r="AB383" i="1" l="1"/>
  <c r="AC383" i="1" s="1"/>
  <c r="AD383" i="1" s="1"/>
  <c r="K387" i="1"/>
  <c r="L384" i="1"/>
  <c r="AF383" i="1" l="1"/>
  <c r="P384" i="1"/>
  <c r="R384" i="1" s="1"/>
  <c r="N384" i="1"/>
  <c r="O384" i="1" s="1"/>
  <c r="Q384" i="1" s="1"/>
  <c r="T384" i="1" l="1"/>
  <c r="V384" i="1" s="1"/>
  <c r="S384" i="1"/>
  <c r="U384" i="1" s="1"/>
  <c r="W384" i="1" s="1"/>
  <c r="X384" i="1" l="1"/>
  <c r="Y384" i="1" s="1"/>
  <c r="Z384" i="1" s="1"/>
  <c r="J385" i="1" l="1"/>
  <c r="AA384" i="1"/>
  <c r="M385" i="1"/>
  <c r="AB384" i="1" l="1"/>
  <c r="AC384" i="1" s="1"/>
  <c r="AD384" i="1" s="1"/>
  <c r="L385" i="1"/>
  <c r="K388" i="1"/>
  <c r="AF384" i="1" l="1"/>
  <c r="N385" i="1"/>
  <c r="O385" i="1" s="1"/>
  <c r="Q385" i="1" s="1"/>
  <c r="P385" i="1"/>
  <c r="R385" i="1" s="1"/>
  <c r="S385" i="1" l="1"/>
  <c r="T385" i="1"/>
  <c r="V385" i="1" s="1"/>
  <c r="U385" i="1" l="1"/>
  <c r="W385" i="1" s="1"/>
  <c r="X385" i="1" l="1"/>
  <c r="Y385" i="1" s="1"/>
  <c r="Z385" i="1" s="1"/>
  <c r="J386" i="1" l="1"/>
  <c r="AA385" i="1"/>
  <c r="M386" i="1"/>
  <c r="AB385" i="1" l="1"/>
  <c r="AC385" i="1" s="1"/>
  <c r="AD385" i="1" s="1"/>
  <c r="L386" i="1"/>
  <c r="K389" i="1"/>
  <c r="AF385" i="1" l="1"/>
  <c r="N386" i="1"/>
  <c r="O386" i="1" s="1"/>
  <c r="Q386" i="1" s="1"/>
  <c r="P386" i="1"/>
  <c r="R386" i="1" s="1"/>
  <c r="T386" i="1" l="1"/>
  <c r="V386" i="1" s="1"/>
  <c r="S386" i="1"/>
  <c r="U386" i="1" s="1"/>
  <c r="W386" i="1" l="1"/>
  <c r="X386" i="1" s="1"/>
  <c r="Y386" i="1" s="1"/>
  <c r="Z386" i="1" s="1"/>
  <c r="J387" i="1" l="1"/>
  <c r="AA386" i="1"/>
  <c r="M387" i="1"/>
  <c r="AB386" i="1" l="1"/>
  <c r="AC386" i="1" s="1"/>
  <c r="AD386" i="1" s="1"/>
  <c r="L387" i="1"/>
  <c r="K390" i="1"/>
  <c r="AF386" i="1" l="1"/>
  <c r="N387" i="1"/>
  <c r="O387" i="1" s="1"/>
  <c r="Q387" i="1" s="1"/>
  <c r="P387" i="1"/>
  <c r="R387" i="1" s="1"/>
  <c r="T387" i="1" l="1"/>
  <c r="V387" i="1" s="1"/>
  <c r="S387" i="1"/>
  <c r="U387" i="1" s="1"/>
  <c r="W387" i="1" l="1"/>
  <c r="X387" i="1" s="1"/>
  <c r="Y387" i="1" s="1"/>
  <c r="Z387" i="1" s="1"/>
  <c r="AA387" i="1" l="1"/>
  <c r="J388" i="1"/>
  <c r="M388" i="1"/>
  <c r="AB387" i="1" l="1"/>
  <c r="AC387" i="1" s="1"/>
  <c r="AD387" i="1" s="1"/>
  <c r="L388" i="1"/>
  <c r="K391" i="1"/>
  <c r="AF387" i="1" l="1"/>
  <c r="N388" i="1"/>
  <c r="O388" i="1" s="1"/>
  <c r="Q388" i="1" s="1"/>
  <c r="P388" i="1"/>
  <c r="R388" i="1" s="1"/>
  <c r="T388" i="1" l="1"/>
  <c r="V388" i="1" s="1"/>
  <c r="S388" i="1"/>
  <c r="U388" i="1" s="1"/>
  <c r="W388" i="1" l="1"/>
  <c r="X388" i="1" s="1"/>
  <c r="Y388" i="1" s="1"/>
  <c r="Z388" i="1" s="1"/>
  <c r="AA388" i="1" l="1"/>
  <c r="J389" i="1"/>
  <c r="M389" i="1"/>
  <c r="AB388" i="1" l="1"/>
  <c r="AC388" i="1" s="1"/>
  <c r="AD388" i="1" s="1"/>
  <c r="L389" i="1"/>
  <c r="K392" i="1"/>
  <c r="AF388" i="1" l="1"/>
  <c r="P389" i="1"/>
  <c r="R389" i="1" s="1"/>
  <c r="N389" i="1"/>
  <c r="O389" i="1" s="1"/>
  <c r="Q389" i="1" s="1"/>
  <c r="S389" i="1" l="1"/>
  <c r="U389" i="1" s="1"/>
  <c r="T389" i="1"/>
  <c r="V389" i="1" s="1"/>
  <c r="W389" i="1" l="1"/>
  <c r="X389" i="1" s="1"/>
  <c r="Y389" i="1" s="1"/>
  <c r="Z389" i="1" s="1"/>
  <c r="AA389" i="1" l="1"/>
  <c r="J390" i="1"/>
  <c r="M390" i="1"/>
  <c r="AB389" i="1" l="1"/>
  <c r="AC389" i="1" s="1"/>
  <c r="AD389" i="1" s="1"/>
  <c r="L390" i="1"/>
  <c r="K393" i="1"/>
  <c r="AF389" i="1" l="1"/>
  <c r="P390" i="1"/>
  <c r="R390" i="1" s="1"/>
  <c r="N390" i="1"/>
  <c r="O390" i="1" s="1"/>
  <c r="Q390" i="1" s="1"/>
  <c r="T390" i="1" l="1"/>
  <c r="V390" i="1" s="1"/>
  <c r="S390" i="1"/>
  <c r="U390" i="1" s="1"/>
  <c r="W390" i="1" l="1"/>
  <c r="X390" i="1" s="1"/>
  <c r="Y390" i="1" s="1"/>
  <c r="Z390" i="1" s="1"/>
  <c r="AA390" i="1" l="1"/>
  <c r="J391" i="1"/>
  <c r="M391" i="1"/>
  <c r="AB390" i="1" l="1"/>
  <c r="AC390" i="1" s="1"/>
  <c r="AD390" i="1" s="1"/>
  <c r="L391" i="1"/>
  <c r="K394" i="1"/>
  <c r="AF390" i="1" l="1"/>
  <c r="P391" i="1"/>
  <c r="R391" i="1" s="1"/>
  <c r="N391" i="1"/>
  <c r="O391" i="1" s="1"/>
  <c r="Q391" i="1" s="1"/>
  <c r="S391" i="1" l="1"/>
  <c r="U391" i="1" s="1"/>
  <c r="T391" i="1"/>
  <c r="V391" i="1" s="1"/>
  <c r="W391" i="1" l="1"/>
  <c r="X391" i="1" s="1"/>
  <c r="Y391" i="1" s="1"/>
  <c r="Z391" i="1" s="1"/>
  <c r="AA391" i="1" l="1"/>
  <c r="J392" i="1"/>
  <c r="M392" i="1"/>
  <c r="AB391" i="1" l="1"/>
  <c r="AC391" i="1" s="1"/>
  <c r="AD391" i="1" s="1"/>
  <c r="L392" i="1"/>
  <c r="K395" i="1"/>
  <c r="AF391" i="1" l="1"/>
  <c r="N392" i="1"/>
  <c r="O392" i="1" s="1"/>
  <c r="Q392" i="1" s="1"/>
  <c r="P392" i="1"/>
  <c r="R392" i="1" s="1"/>
  <c r="S392" i="1" l="1"/>
  <c r="U392" i="1" s="1"/>
  <c r="T392" i="1"/>
  <c r="V392" i="1" s="1"/>
  <c r="W392" i="1" l="1"/>
  <c r="X392" i="1" s="1"/>
  <c r="Y392" i="1" s="1"/>
  <c r="Z392" i="1" s="1"/>
  <c r="AA392" i="1" l="1"/>
  <c r="J393" i="1"/>
  <c r="M393" i="1"/>
  <c r="AB392" i="1" l="1"/>
  <c r="AC392" i="1" s="1"/>
  <c r="AD392" i="1" s="1"/>
  <c r="K396" i="1"/>
  <c r="L393" i="1"/>
  <c r="AF392" i="1" l="1"/>
  <c r="N393" i="1"/>
  <c r="O393" i="1" s="1"/>
  <c r="Q393" i="1" s="1"/>
  <c r="P393" i="1"/>
  <c r="R393" i="1" s="1"/>
  <c r="S393" i="1" l="1"/>
  <c r="U393" i="1" s="1"/>
  <c r="T393" i="1"/>
  <c r="V393" i="1" s="1"/>
  <c r="W393" i="1" l="1"/>
  <c r="X393" i="1" s="1"/>
  <c r="Y393" i="1" s="1"/>
  <c r="Z393" i="1" s="1"/>
  <c r="AA393" i="1" l="1"/>
  <c r="J394" i="1"/>
  <c r="M394" i="1"/>
  <c r="AB393" i="1" l="1"/>
  <c r="AC393" i="1" s="1"/>
  <c r="AD393" i="1" s="1"/>
  <c r="K397" i="1"/>
  <c r="L394" i="1"/>
  <c r="AF393" i="1" l="1"/>
  <c r="P394" i="1"/>
  <c r="R394" i="1" s="1"/>
  <c r="N394" i="1"/>
  <c r="O394" i="1" s="1"/>
  <c r="Q394" i="1" s="1"/>
  <c r="S394" i="1" l="1"/>
  <c r="U394" i="1" s="1"/>
  <c r="T394" i="1"/>
  <c r="V394" i="1" s="1"/>
  <c r="W394" i="1" l="1"/>
  <c r="X394" i="1" s="1"/>
  <c r="Y394" i="1" s="1"/>
  <c r="Z394" i="1" s="1"/>
  <c r="J395" i="1" l="1"/>
  <c r="AA394" i="1"/>
  <c r="M395" i="1"/>
  <c r="AB394" i="1" l="1"/>
  <c r="AC394" i="1" s="1"/>
  <c r="AD394" i="1" s="1"/>
  <c r="K398" i="1"/>
  <c r="L395" i="1"/>
  <c r="AF394" i="1" l="1"/>
  <c r="N395" i="1"/>
  <c r="O395" i="1" s="1"/>
  <c r="Q395" i="1" s="1"/>
  <c r="P395" i="1"/>
  <c r="R395" i="1" s="1"/>
  <c r="T395" i="1" l="1"/>
  <c r="V395" i="1" s="1"/>
  <c r="S395" i="1"/>
  <c r="U395" i="1" s="1"/>
  <c r="W395" i="1" l="1"/>
  <c r="X395" i="1" s="1"/>
  <c r="Y395" i="1" s="1"/>
  <c r="Z395" i="1" s="1"/>
  <c r="AA395" i="1" l="1"/>
  <c r="J396" i="1"/>
  <c r="M396" i="1"/>
  <c r="AB395" i="1" l="1"/>
  <c r="AC395" i="1" s="1"/>
  <c r="AD395" i="1" s="1"/>
  <c r="K399" i="1"/>
  <c r="L396" i="1"/>
  <c r="AF395" i="1" l="1"/>
  <c r="P396" i="1"/>
  <c r="R396" i="1" s="1"/>
  <c r="N396" i="1"/>
  <c r="O396" i="1" s="1"/>
  <c r="Q396" i="1" s="1"/>
  <c r="S396" i="1" l="1"/>
  <c r="U396" i="1" s="1"/>
  <c r="T396" i="1"/>
  <c r="V396" i="1" s="1"/>
  <c r="W396" i="1" l="1"/>
  <c r="X396" i="1" s="1"/>
  <c r="Y396" i="1" s="1"/>
  <c r="Z396" i="1" s="1"/>
  <c r="J397" i="1" l="1"/>
  <c r="AA396" i="1"/>
  <c r="M397" i="1"/>
  <c r="AB396" i="1" l="1"/>
  <c r="AC396" i="1" s="1"/>
  <c r="AD396" i="1" s="1"/>
  <c r="L397" i="1"/>
  <c r="K400" i="1"/>
  <c r="AF396" i="1" l="1"/>
  <c r="P397" i="1"/>
  <c r="R397" i="1" s="1"/>
  <c r="N397" i="1"/>
  <c r="O397" i="1" s="1"/>
  <c r="Q397" i="1" s="1"/>
  <c r="S397" i="1" s="1"/>
  <c r="U397" i="1" l="1"/>
  <c r="T397" i="1"/>
  <c r="V397" i="1" s="1"/>
  <c r="W397" i="1" l="1"/>
  <c r="X397" i="1" s="1"/>
  <c r="Y397" i="1" s="1"/>
  <c r="Z397" i="1" s="1"/>
  <c r="AA397" i="1" l="1"/>
  <c r="J398" i="1"/>
  <c r="M398" i="1"/>
  <c r="AB397" i="1" l="1"/>
  <c r="AC397" i="1" s="1"/>
  <c r="AD397" i="1" s="1"/>
  <c r="K401" i="1"/>
  <c r="L398" i="1"/>
  <c r="AF397" i="1" l="1"/>
  <c r="N398" i="1"/>
  <c r="O398" i="1" s="1"/>
  <c r="Q398" i="1" s="1"/>
  <c r="P398" i="1"/>
  <c r="R398" i="1" s="1"/>
  <c r="T398" i="1" l="1"/>
  <c r="V398" i="1" s="1"/>
  <c r="S398" i="1"/>
  <c r="U398" i="1" s="1"/>
  <c r="W398" i="1" l="1"/>
  <c r="X398" i="1" s="1"/>
  <c r="Y398" i="1" s="1"/>
  <c r="Z398" i="1" s="1"/>
  <c r="AA398" i="1" l="1"/>
  <c r="J399" i="1"/>
  <c r="M399" i="1"/>
  <c r="AB398" i="1" l="1"/>
  <c r="AC398" i="1" s="1"/>
  <c r="AD398" i="1" s="1"/>
  <c r="L399" i="1"/>
  <c r="K402" i="1"/>
  <c r="AF398" i="1" l="1"/>
  <c r="N399" i="1"/>
  <c r="O399" i="1" s="1"/>
  <c r="Q399" i="1" s="1"/>
  <c r="P399" i="1"/>
  <c r="R399" i="1" s="1"/>
  <c r="S399" i="1" l="1"/>
  <c r="U399" i="1" s="1"/>
  <c r="T399" i="1"/>
  <c r="V399" i="1" s="1"/>
  <c r="W399" i="1" l="1"/>
  <c r="X399" i="1" s="1"/>
  <c r="Y399" i="1" s="1"/>
  <c r="Z399" i="1" s="1"/>
  <c r="J400" i="1" l="1"/>
  <c r="AA399" i="1"/>
  <c r="M400" i="1"/>
  <c r="AB399" i="1" l="1"/>
  <c r="AC399" i="1" s="1"/>
  <c r="AD399" i="1" s="1"/>
  <c r="L400" i="1"/>
  <c r="K403" i="1"/>
  <c r="AF399" i="1" l="1"/>
  <c r="N400" i="1"/>
  <c r="O400" i="1" s="1"/>
  <c r="Q400" i="1" s="1"/>
  <c r="P400" i="1"/>
  <c r="R400" i="1" s="1"/>
  <c r="S400" i="1" l="1"/>
  <c r="U400" i="1" s="1"/>
  <c r="T400" i="1"/>
  <c r="V400" i="1" s="1"/>
  <c r="W400" i="1" l="1"/>
  <c r="X400" i="1" s="1"/>
  <c r="Y400" i="1" s="1"/>
  <c r="Z400" i="1" s="1"/>
  <c r="AA400" i="1" l="1"/>
  <c r="J401" i="1"/>
  <c r="M401" i="1"/>
  <c r="AB400" i="1" l="1"/>
  <c r="AC400" i="1" s="1"/>
  <c r="AD400" i="1" s="1"/>
  <c r="L401" i="1"/>
  <c r="K404" i="1"/>
  <c r="AF400" i="1" l="1"/>
  <c r="P401" i="1"/>
  <c r="R401" i="1" s="1"/>
  <c r="N401" i="1"/>
  <c r="O401" i="1" s="1"/>
  <c r="Q401" i="1" s="1"/>
  <c r="T401" i="1" l="1"/>
  <c r="V401" i="1" s="1"/>
  <c r="S401" i="1"/>
  <c r="U401" i="1" s="1"/>
  <c r="W401" i="1" s="1"/>
  <c r="X401" i="1" l="1"/>
  <c r="Y401" i="1" s="1"/>
  <c r="Z401" i="1" s="1"/>
  <c r="AA401" i="1" l="1"/>
  <c r="J402" i="1"/>
  <c r="M402" i="1"/>
  <c r="AB401" i="1" l="1"/>
  <c r="AC401" i="1" s="1"/>
  <c r="AD401" i="1" s="1"/>
  <c r="K405" i="1"/>
  <c r="L402" i="1"/>
  <c r="AF401" i="1" l="1"/>
  <c r="P402" i="1"/>
  <c r="R402" i="1" s="1"/>
  <c r="N402" i="1"/>
  <c r="O402" i="1" s="1"/>
  <c r="Q402" i="1" s="1"/>
  <c r="S402" i="1" l="1"/>
  <c r="U402" i="1" s="1"/>
  <c r="T402" i="1"/>
  <c r="V402" i="1" s="1"/>
  <c r="W402" i="1" l="1"/>
  <c r="X402" i="1" s="1"/>
  <c r="Y402" i="1" s="1"/>
  <c r="Z402" i="1" s="1"/>
  <c r="M403" i="1" l="1"/>
  <c r="J403" i="1"/>
  <c r="AA402" i="1"/>
  <c r="AB402" i="1" l="1"/>
  <c r="AC402" i="1" s="1"/>
  <c r="AD402" i="1" s="1"/>
  <c r="K406" i="1"/>
  <c r="L403" i="1"/>
  <c r="AF402" i="1" l="1"/>
  <c r="N403" i="1"/>
  <c r="O403" i="1" s="1"/>
  <c r="Q403" i="1" s="1"/>
  <c r="P403" i="1"/>
  <c r="R403" i="1" s="1"/>
  <c r="T403" i="1" l="1"/>
  <c r="V403" i="1" s="1"/>
  <c r="S403" i="1"/>
  <c r="U403" i="1" s="1"/>
  <c r="W403" i="1" s="1"/>
  <c r="X403" i="1" l="1"/>
  <c r="Y403" i="1" s="1"/>
  <c r="Z403" i="1" s="1"/>
  <c r="J404" i="1" l="1"/>
  <c r="AA403" i="1"/>
  <c r="M404" i="1"/>
  <c r="AB403" i="1" l="1"/>
  <c r="AC403" i="1" s="1"/>
  <c r="AD403" i="1" s="1"/>
  <c r="L404" i="1"/>
  <c r="K407" i="1"/>
  <c r="AF403" i="1" l="1"/>
  <c r="P404" i="1"/>
  <c r="R404" i="1" s="1"/>
  <c r="N404" i="1"/>
  <c r="O404" i="1" s="1"/>
  <c r="Q404" i="1" s="1"/>
  <c r="T404" i="1" l="1"/>
  <c r="V404" i="1" s="1"/>
  <c r="S404" i="1"/>
  <c r="U404" i="1" s="1"/>
  <c r="W404" i="1" l="1"/>
  <c r="X404" i="1" s="1"/>
  <c r="Y404" i="1" s="1"/>
  <c r="Z404" i="1" s="1"/>
  <c r="J405" i="1" l="1"/>
  <c r="AA404" i="1"/>
  <c r="M405" i="1"/>
  <c r="AB404" i="1" l="1"/>
  <c r="AC404" i="1" s="1"/>
  <c r="AD404" i="1" s="1"/>
  <c r="L405" i="1"/>
  <c r="K408" i="1"/>
  <c r="AF404" i="1" l="1"/>
  <c r="N405" i="1"/>
  <c r="O405" i="1" s="1"/>
  <c r="Q405" i="1" s="1"/>
  <c r="P405" i="1"/>
  <c r="R405" i="1" s="1"/>
  <c r="T405" i="1" l="1"/>
  <c r="V405" i="1" s="1"/>
  <c r="S405" i="1"/>
  <c r="U405" i="1" s="1"/>
  <c r="W405" i="1" s="1"/>
  <c r="X405" i="1" l="1"/>
  <c r="Y405" i="1" s="1"/>
  <c r="Z405" i="1" s="1"/>
  <c r="M406" i="1" l="1"/>
  <c r="J406" i="1"/>
  <c r="AA405" i="1"/>
  <c r="AB405" i="1" l="1"/>
  <c r="AC405" i="1" s="1"/>
  <c r="AD405" i="1" s="1"/>
  <c r="L406" i="1"/>
  <c r="K409" i="1"/>
  <c r="AF405" i="1" l="1"/>
  <c r="N406" i="1"/>
  <c r="O406" i="1" s="1"/>
  <c r="Q406" i="1" s="1"/>
  <c r="P406" i="1"/>
  <c r="R406" i="1" s="1"/>
  <c r="T406" i="1" l="1"/>
  <c r="V406" i="1" s="1"/>
  <c r="S406" i="1"/>
  <c r="U406" i="1" s="1"/>
  <c r="W406" i="1" s="1"/>
  <c r="X406" i="1" l="1"/>
  <c r="Y406" i="1" s="1"/>
  <c r="Z406" i="1" s="1"/>
  <c r="AA406" i="1" l="1"/>
  <c r="J407" i="1"/>
  <c r="M407" i="1"/>
  <c r="AB406" i="1" l="1"/>
  <c r="AC406" i="1" s="1"/>
  <c r="AD406" i="1" s="1"/>
  <c r="L407" i="1"/>
  <c r="K410" i="1"/>
  <c r="AF406" i="1" l="1"/>
  <c r="N407" i="1"/>
  <c r="O407" i="1" s="1"/>
  <c r="Q407" i="1" s="1"/>
  <c r="P407" i="1"/>
  <c r="R407" i="1" s="1"/>
  <c r="S407" i="1" l="1"/>
  <c r="U407" i="1" s="1"/>
  <c r="T407" i="1"/>
  <c r="V407" i="1" s="1"/>
  <c r="W407" i="1" l="1"/>
  <c r="X407" i="1" s="1"/>
  <c r="Y407" i="1" s="1"/>
  <c r="Z407" i="1" s="1"/>
  <c r="AA407" i="1" l="1"/>
  <c r="J408" i="1"/>
  <c r="M408" i="1"/>
  <c r="AB407" i="1" l="1"/>
  <c r="AC407" i="1" s="1"/>
  <c r="AD407" i="1" s="1"/>
  <c r="L408" i="1"/>
  <c r="K411" i="1"/>
  <c r="AF407" i="1" l="1"/>
  <c r="N408" i="1"/>
  <c r="O408" i="1" s="1"/>
  <c r="Q408" i="1" s="1"/>
  <c r="P408" i="1"/>
  <c r="R408" i="1" s="1"/>
  <c r="T408" i="1" l="1"/>
  <c r="V408" i="1" s="1"/>
  <c r="S408" i="1"/>
  <c r="U408" i="1" s="1"/>
  <c r="W408" i="1" l="1"/>
  <c r="X408" i="1" s="1"/>
  <c r="Y408" i="1" s="1"/>
  <c r="Z408" i="1" s="1"/>
  <c r="AA408" i="1" l="1"/>
  <c r="J409" i="1"/>
  <c r="M409" i="1"/>
  <c r="AB408" i="1" l="1"/>
  <c r="AC408" i="1" s="1"/>
  <c r="AD408" i="1" s="1"/>
  <c r="L409" i="1"/>
  <c r="K412" i="1"/>
  <c r="AF408" i="1" l="1"/>
  <c r="P409" i="1"/>
  <c r="R409" i="1" s="1"/>
  <c r="N409" i="1"/>
  <c r="O409" i="1" s="1"/>
  <c r="Q409" i="1" s="1"/>
  <c r="T409" i="1" l="1"/>
  <c r="V409" i="1" s="1"/>
  <c r="S409" i="1"/>
  <c r="U409" i="1" s="1"/>
  <c r="W409" i="1" s="1"/>
  <c r="X409" i="1" l="1"/>
  <c r="Y409" i="1" s="1"/>
  <c r="Z409" i="1" s="1"/>
  <c r="AA409" i="1" l="1"/>
  <c r="J410" i="1"/>
  <c r="M410" i="1"/>
  <c r="AB409" i="1" l="1"/>
  <c r="AC409" i="1" s="1"/>
  <c r="AD409" i="1" s="1"/>
  <c r="L410" i="1"/>
  <c r="K413" i="1"/>
  <c r="AF409" i="1" l="1"/>
  <c r="N410" i="1"/>
  <c r="O410" i="1" s="1"/>
  <c r="Q410" i="1" s="1"/>
  <c r="P410" i="1"/>
  <c r="R410" i="1" s="1"/>
  <c r="T410" i="1" l="1"/>
  <c r="V410" i="1" s="1"/>
  <c r="S410" i="1"/>
  <c r="U410" i="1" l="1"/>
  <c r="W410" i="1" s="1"/>
  <c r="X410" i="1" l="1"/>
  <c r="Y410" i="1" s="1"/>
  <c r="Z410" i="1" s="1"/>
  <c r="AA410" i="1" l="1"/>
  <c r="J411" i="1"/>
  <c r="M411" i="1"/>
  <c r="AB410" i="1" l="1"/>
  <c r="AC410" i="1" s="1"/>
  <c r="AD410" i="1" s="1"/>
  <c r="L411" i="1"/>
  <c r="K414" i="1"/>
  <c r="AF410" i="1" l="1"/>
  <c r="N411" i="1"/>
  <c r="O411" i="1" s="1"/>
  <c r="Q411" i="1" s="1"/>
  <c r="P411" i="1"/>
  <c r="R411" i="1" s="1"/>
  <c r="S411" i="1" l="1"/>
  <c r="U411" i="1" s="1"/>
  <c r="T411" i="1"/>
  <c r="V411" i="1" s="1"/>
  <c r="W411" i="1" l="1"/>
  <c r="X411" i="1" s="1"/>
  <c r="Y411" i="1" s="1"/>
  <c r="Z411" i="1" s="1"/>
  <c r="AA411" i="1" l="1"/>
  <c r="J412" i="1"/>
  <c r="M412" i="1"/>
  <c r="AB411" i="1" l="1"/>
  <c r="AC411" i="1" s="1"/>
  <c r="AD411" i="1" s="1"/>
  <c r="L412" i="1"/>
  <c r="K415" i="1"/>
  <c r="AF411" i="1" l="1"/>
  <c r="N412" i="1"/>
  <c r="O412" i="1" s="1"/>
  <c r="Q412" i="1" s="1"/>
  <c r="P412" i="1"/>
  <c r="R412" i="1" s="1"/>
  <c r="T412" i="1" l="1"/>
  <c r="V412" i="1" s="1"/>
  <c r="S412" i="1"/>
  <c r="U412" i="1" s="1"/>
  <c r="W412" i="1" l="1"/>
  <c r="X412" i="1" s="1"/>
  <c r="Y412" i="1" s="1"/>
  <c r="Z412" i="1" s="1"/>
  <c r="J413" i="1" l="1"/>
  <c r="AA412" i="1"/>
  <c r="M413" i="1"/>
  <c r="AB412" i="1" l="1"/>
  <c r="AC412" i="1" s="1"/>
  <c r="AD412" i="1" s="1"/>
  <c r="L413" i="1"/>
  <c r="K416" i="1"/>
  <c r="AF412" i="1" l="1"/>
  <c r="N413" i="1"/>
  <c r="O413" i="1" s="1"/>
  <c r="Q413" i="1" s="1"/>
  <c r="P413" i="1"/>
  <c r="R413" i="1" s="1"/>
  <c r="T413" i="1" l="1"/>
  <c r="V413" i="1" s="1"/>
  <c r="S413" i="1"/>
  <c r="U413" i="1" s="1"/>
  <c r="W413" i="1" l="1"/>
  <c r="X413" i="1" s="1"/>
  <c r="Y413" i="1" s="1"/>
  <c r="Z413" i="1" s="1"/>
  <c r="AA413" i="1" l="1"/>
  <c r="J414" i="1"/>
  <c r="M414" i="1"/>
  <c r="AB413" i="1" l="1"/>
  <c r="AC413" i="1" s="1"/>
  <c r="AD413" i="1" s="1"/>
  <c r="L414" i="1"/>
  <c r="K417" i="1"/>
  <c r="AF413" i="1" l="1"/>
  <c r="P414" i="1"/>
  <c r="R414" i="1" s="1"/>
  <c r="N414" i="1"/>
  <c r="O414" i="1" s="1"/>
  <c r="Q414" i="1" s="1"/>
  <c r="S414" i="1" l="1"/>
  <c r="U414" i="1" s="1"/>
  <c r="T414" i="1"/>
  <c r="V414" i="1" s="1"/>
  <c r="W414" i="1" l="1"/>
  <c r="X414" i="1" s="1"/>
  <c r="Y414" i="1" s="1"/>
  <c r="Z414" i="1" s="1"/>
  <c r="J415" i="1" l="1"/>
  <c r="AA414" i="1"/>
  <c r="M415" i="1"/>
  <c r="AB414" i="1" l="1"/>
  <c r="AC414" i="1" s="1"/>
  <c r="AD414" i="1" s="1"/>
  <c r="L415" i="1"/>
  <c r="K418" i="1"/>
  <c r="AF414" i="1" l="1"/>
  <c r="N415" i="1"/>
  <c r="O415" i="1" s="1"/>
  <c r="Q415" i="1" s="1"/>
  <c r="P415" i="1"/>
  <c r="R415" i="1" s="1"/>
  <c r="T415" i="1" l="1"/>
  <c r="V415" i="1" s="1"/>
  <c r="S415" i="1"/>
  <c r="U415" i="1" s="1"/>
  <c r="W415" i="1" l="1"/>
  <c r="X415" i="1" s="1"/>
  <c r="Y415" i="1" s="1"/>
  <c r="Z415" i="1" s="1"/>
  <c r="AA415" i="1" l="1"/>
  <c r="J416" i="1"/>
  <c r="M416" i="1"/>
  <c r="AB415" i="1" l="1"/>
  <c r="AC415" i="1" s="1"/>
  <c r="AD415" i="1" s="1"/>
  <c r="L416" i="1"/>
  <c r="K419" i="1"/>
  <c r="AF415" i="1" l="1"/>
  <c r="P416" i="1"/>
  <c r="R416" i="1" s="1"/>
  <c r="N416" i="1"/>
  <c r="O416" i="1" s="1"/>
  <c r="Q416" i="1" s="1"/>
  <c r="T416" i="1" l="1"/>
  <c r="V416" i="1" s="1"/>
  <c r="S416" i="1"/>
  <c r="U416" i="1" s="1"/>
  <c r="W416" i="1" l="1"/>
  <c r="X416" i="1"/>
  <c r="Y416" i="1" s="1"/>
  <c r="Z416" i="1" s="1"/>
  <c r="AA416" i="1" l="1"/>
  <c r="J417" i="1"/>
  <c r="M417" i="1"/>
  <c r="AB416" i="1" l="1"/>
  <c r="AC416" i="1" s="1"/>
  <c r="AD416" i="1" s="1"/>
  <c r="L417" i="1"/>
  <c r="K420" i="1"/>
  <c r="AF416" i="1" l="1"/>
  <c r="P417" i="1"/>
  <c r="R417" i="1" s="1"/>
  <c r="N417" i="1"/>
  <c r="O417" i="1" s="1"/>
  <c r="Q417" i="1" s="1"/>
  <c r="S417" i="1" l="1"/>
  <c r="U417" i="1" s="1"/>
  <c r="T417" i="1"/>
  <c r="V417" i="1" s="1"/>
  <c r="W417" i="1" l="1"/>
  <c r="X417" i="1" s="1"/>
  <c r="Y417" i="1" s="1"/>
  <c r="Z417" i="1" s="1"/>
  <c r="J418" i="1" l="1"/>
  <c r="AA417" i="1"/>
  <c r="M418" i="1"/>
  <c r="AB417" i="1" l="1"/>
  <c r="AC417" i="1" s="1"/>
  <c r="AD417" i="1" s="1"/>
  <c r="L418" i="1"/>
  <c r="K421" i="1"/>
  <c r="AF417" i="1" l="1"/>
  <c r="P418" i="1"/>
  <c r="R418" i="1" s="1"/>
  <c r="N418" i="1"/>
  <c r="O418" i="1" s="1"/>
  <c r="Q418" i="1" s="1"/>
  <c r="S418" i="1" l="1"/>
  <c r="U418" i="1" s="1"/>
  <c r="T418" i="1"/>
  <c r="V418" i="1" s="1"/>
  <c r="W418" i="1" l="1"/>
  <c r="X418" i="1" s="1"/>
  <c r="Y418" i="1" s="1"/>
  <c r="Z418" i="1" s="1"/>
  <c r="AA418" i="1" l="1"/>
  <c r="J419" i="1"/>
  <c r="M419" i="1"/>
  <c r="AB418" i="1" l="1"/>
  <c r="AC418" i="1" s="1"/>
  <c r="AD418" i="1" s="1"/>
  <c r="K422" i="1"/>
  <c r="L419" i="1"/>
  <c r="AF418" i="1" l="1"/>
  <c r="N419" i="1"/>
  <c r="O419" i="1" s="1"/>
  <c r="Q419" i="1" s="1"/>
  <c r="P419" i="1"/>
  <c r="R419" i="1" s="1"/>
  <c r="S419" i="1" l="1"/>
  <c r="U419" i="1" s="1"/>
  <c r="T419" i="1"/>
  <c r="V419" i="1" s="1"/>
  <c r="W419" i="1" l="1"/>
  <c r="X419" i="1" s="1"/>
  <c r="Y419" i="1" s="1"/>
  <c r="Z419" i="1" s="1"/>
  <c r="J420" i="1" l="1"/>
  <c r="AA419" i="1"/>
  <c r="M420" i="1"/>
  <c r="AB419" i="1" l="1"/>
  <c r="AC419" i="1" s="1"/>
  <c r="AD419" i="1" s="1"/>
  <c r="L420" i="1"/>
  <c r="K423" i="1"/>
  <c r="AF419" i="1" l="1"/>
  <c r="N420" i="1"/>
  <c r="O420" i="1" s="1"/>
  <c r="Q420" i="1" s="1"/>
  <c r="P420" i="1"/>
  <c r="R420" i="1" s="1"/>
  <c r="S420" i="1" l="1"/>
  <c r="U420" i="1" s="1"/>
  <c r="T420" i="1"/>
  <c r="V420" i="1" s="1"/>
  <c r="W420" i="1" l="1"/>
  <c r="X420" i="1" s="1"/>
  <c r="Y420" i="1" s="1"/>
  <c r="Z420" i="1" s="1"/>
  <c r="AA420" i="1" l="1"/>
  <c r="J421" i="1"/>
  <c r="M421" i="1"/>
  <c r="AB420" i="1" l="1"/>
  <c r="AC420" i="1" s="1"/>
  <c r="AD420" i="1" s="1"/>
  <c r="L421" i="1"/>
  <c r="K424" i="1"/>
  <c r="AF420" i="1" l="1"/>
  <c r="P421" i="1"/>
  <c r="R421" i="1" s="1"/>
  <c r="N421" i="1"/>
  <c r="O421" i="1" s="1"/>
  <c r="Q421" i="1" s="1"/>
  <c r="T421" i="1" l="1"/>
  <c r="V421" i="1" s="1"/>
  <c r="S421" i="1"/>
  <c r="U421" i="1" s="1"/>
  <c r="W421" i="1" s="1"/>
  <c r="X421" i="1" l="1"/>
  <c r="Y421" i="1" s="1"/>
  <c r="Z421" i="1" s="1"/>
  <c r="J422" i="1" l="1"/>
  <c r="AA421" i="1"/>
  <c r="M422" i="1"/>
  <c r="AB421" i="1" l="1"/>
  <c r="AC421" i="1" s="1"/>
  <c r="AD421" i="1" s="1"/>
  <c r="L422" i="1"/>
  <c r="K425" i="1"/>
  <c r="AF421" i="1" l="1"/>
  <c r="N422" i="1"/>
  <c r="O422" i="1" s="1"/>
  <c r="Q422" i="1" s="1"/>
  <c r="P422" i="1"/>
  <c r="R422" i="1" s="1"/>
  <c r="T422" i="1" l="1"/>
  <c r="V422" i="1" s="1"/>
  <c r="S422" i="1"/>
  <c r="U422" i="1" s="1"/>
  <c r="W422" i="1" l="1"/>
  <c r="X422" i="1" s="1"/>
  <c r="Y422" i="1" s="1"/>
  <c r="Z422" i="1" s="1"/>
  <c r="AA422" i="1" l="1"/>
  <c r="J423" i="1"/>
  <c r="M423" i="1"/>
  <c r="AB422" i="1" l="1"/>
  <c r="AC422" i="1" s="1"/>
  <c r="AD422" i="1" s="1"/>
  <c r="L423" i="1"/>
  <c r="K426" i="1"/>
  <c r="AF422" i="1" l="1"/>
  <c r="N423" i="1"/>
  <c r="O423" i="1" s="1"/>
  <c r="Q423" i="1" s="1"/>
  <c r="P423" i="1"/>
  <c r="R423" i="1" s="1"/>
  <c r="S423" i="1" l="1"/>
  <c r="U423" i="1" s="1"/>
  <c r="T423" i="1"/>
  <c r="V423" i="1" s="1"/>
  <c r="W423" i="1" l="1"/>
  <c r="X423" i="1" s="1"/>
  <c r="Y423" i="1" s="1"/>
  <c r="Z423" i="1" s="1"/>
  <c r="J424" i="1" l="1"/>
  <c r="AA423" i="1"/>
  <c r="M424" i="1"/>
  <c r="AB423" i="1" l="1"/>
  <c r="AC423" i="1" s="1"/>
  <c r="AD423" i="1" s="1"/>
  <c r="K427" i="1"/>
  <c r="L424" i="1"/>
  <c r="AF423" i="1" l="1"/>
  <c r="N424" i="1"/>
  <c r="O424" i="1" s="1"/>
  <c r="Q424" i="1" s="1"/>
  <c r="P424" i="1"/>
  <c r="R424" i="1" s="1"/>
  <c r="S424" i="1" l="1"/>
  <c r="U424" i="1" s="1"/>
  <c r="T424" i="1"/>
  <c r="V424" i="1" s="1"/>
  <c r="W424" i="1" l="1"/>
  <c r="X424" i="1" s="1"/>
  <c r="Y424" i="1" s="1"/>
  <c r="Z424" i="1" s="1"/>
  <c r="AA424" i="1" l="1"/>
  <c r="J425" i="1"/>
  <c r="M425" i="1"/>
  <c r="AB424" i="1" l="1"/>
  <c r="AC424" i="1" s="1"/>
  <c r="AD424" i="1" s="1"/>
  <c r="L425" i="1"/>
  <c r="K428" i="1"/>
  <c r="AF424" i="1" l="1"/>
  <c r="P425" i="1"/>
  <c r="R425" i="1" s="1"/>
  <c r="N425" i="1"/>
  <c r="O425" i="1" s="1"/>
  <c r="Q425" i="1" s="1"/>
  <c r="S425" i="1" l="1"/>
  <c r="U425" i="1" s="1"/>
  <c r="T425" i="1"/>
  <c r="V425" i="1" s="1"/>
  <c r="W425" i="1" l="1"/>
  <c r="X425" i="1" s="1"/>
  <c r="Y425" i="1" s="1"/>
  <c r="Z425" i="1" s="1"/>
  <c r="AA425" i="1" l="1"/>
  <c r="J426" i="1"/>
  <c r="M426" i="1"/>
  <c r="AB425" i="1" l="1"/>
  <c r="AC425" i="1" s="1"/>
  <c r="AD425" i="1" s="1"/>
  <c r="L426" i="1"/>
  <c r="K429" i="1"/>
  <c r="AF425" i="1" l="1"/>
  <c r="P426" i="1"/>
  <c r="R426" i="1" s="1"/>
  <c r="N426" i="1"/>
  <c r="O426" i="1" s="1"/>
  <c r="Q426" i="1" s="1"/>
  <c r="T426" i="1" l="1"/>
  <c r="V426" i="1" s="1"/>
  <c r="S426" i="1"/>
  <c r="U426" i="1" s="1"/>
  <c r="W426" i="1" l="1"/>
  <c r="X426" i="1" s="1"/>
  <c r="Y426" i="1" s="1"/>
  <c r="Z426" i="1" s="1"/>
  <c r="J427" i="1" l="1"/>
  <c r="AA426" i="1"/>
  <c r="M427" i="1"/>
  <c r="AB426" i="1" l="1"/>
  <c r="AC426" i="1" s="1"/>
  <c r="AD426" i="1" s="1"/>
  <c r="K430" i="1"/>
  <c r="L427" i="1"/>
  <c r="AF426" i="1" l="1"/>
  <c r="P427" i="1"/>
  <c r="R427" i="1" s="1"/>
  <c r="N427" i="1"/>
  <c r="O427" i="1" s="1"/>
  <c r="Q427" i="1" s="1"/>
  <c r="T427" i="1" l="1"/>
  <c r="V427" i="1" s="1"/>
  <c r="S427" i="1"/>
  <c r="U427" i="1" s="1"/>
  <c r="W427" i="1" s="1"/>
  <c r="X427" i="1" l="1"/>
  <c r="Y427" i="1" s="1"/>
  <c r="Z427" i="1" s="1"/>
  <c r="J428" i="1" l="1"/>
  <c r="AA427" i="1"/>
  <c r="M428" i="1"/>
  <c r="AB427" i="1" l="1"/>
  <c r="AC427" i="1" s="1"/>
  <c r="AD427" i="1" s="1"/>
  <c r="L428" i="1"/>
  <c r="K431" i="1"/>
  <c r="AF427" i="1" l="1"/>
  <c r="N428" i="1"/>
  <c r="O428" i="1" s="1"/>
  <c r="Q428" i="1" s="1"/>
  <c r="P428" i="1"/>
  <c r="R428" i="1" s="1"/>
  <c r="T428" i="1" l="1"/>
  <c r="V428" i="1" s="1"/>
  <c r="S428" i="1"/>
  <c r="U428" i="1" s="1"/>
  <c r="W428" i="1" l="1"/>
  <c r="X428" i="1" s="1"/>
  <c r="Y428" i="1" s="1"/>
  <c r="Z428" i="1" s="1"/>
  <c r="AA428" i="1" l="1"/>
  <c r="J429" i="1"/>
  <c r="M429" i="1"/>
  <c r="AB428" i="1" l="1"/>
  <c r="AC428" i="1" s="1"/>
  <c r="AD428" i="1" s="1"/>
  <c r="L429" i="1"/>
  <c r="K432" i="1"/>
  <c r="AF428" i="1" l="1"/>
  <c r="P429" i="1"/>
  <c r="R429" i="1" s="1"/>
  <c r="N429" i="1"/>
  <c r="O429" i="1" s="1"/>
  <c r="Q429" i="1" s="1"/>
  <c r="S429" i="1" l="1"/>
  <c r="U429" i="1" s="1"/>
  <c r="T429" i="1"/>
  <c r="V429" i="1" s="1"/>
  <c r="W429" i="1" l="1"/>
  <c r="X429" i="1" s="1"/>
  <c r="Y429" i="1" s="1"/>
  <c r="Z429" i="1" s="1"/>
  <c r="AA429" i="1" l="1"/>
  <c r="J430" i="1"/>
  <c r="M430" i="1"/>
  <c r="AB429" i="1" l="1"/>
  <c r="AC429" i="1" s="1"/>
  <c r="AD429" i="1" s="1"/>
  <c r="L430" i="1"/>
  <c r="K433" i="1"/>
  <c r="AF429" i="1" l="1"/>
  <c r="N430" i="1"/>
  <c r="O430" i="1" s="1"/>
  <c r="Q430" i="1" s="1"/>
  <c r="P430" i="1"/>
  <c r="R430" i="1" s="1"/>
  <c r="T430" i="1" l="1"/>
  <c r="V430" i="1" s="1"/>
  <c r="S430" i="1"/>
  <c r="U430" i="1" s="1"/>
  <c r="W430" i="1" l="1"/>
  <c r="X430" i="1" s="1"/>
  <c r="Y430" i="1" s="1"/>
  <c r="Z430" i="1" s="1"/>
  <c r="AA430" i="1" l="1"/>
  <c r="J431" i="1"/>
  <c r="M431" i="1"/>
  <c r="AB430" i="1" l="1"/>
  <c r="AC430" i="1" s="1"/>
  <c r="AD430" i="1" s="1"/>
  <c r="K434" i="1"/>
  <c r="L431" i="1"/>
  <c r="AF430" i="1" l="1"/>
  <c r="N431" i="1"/>
  <c r="O431" i="1" s="1"/>
  <c r="Q431" i="1" s="1"/>
  <c r="P431" i="1"/>
  <c r="R431" i="1" s="1"/>
  <c r="T431" i="1" l="1"/>
  <c r="V431" i="1" s="1"/>
  <c r="S431" i="1"/>
  <c r="U431" i="1" l="1"/>
  <c r="W431" i="1" l="1"/>
  <c r="X431" i="1" s="1"/>
  <c r="Y431" i="1" s="1"/>
  <c r="Z431" i="1" s="1"/>
  <c r="J432" i="1" l="1"/>
  <c r="L432" i="1" s="1"/>
  <c r="AA431" i="1"/>
  <c r="M432" i="1"/>
  <c r="K435" i="1" l="1"/>
  <c r="AB431" i="1"/>
  <c r="AC431" i="1" s="1"/>
  <c r="AD431" i="1" s="1"/>
  <c r="P432" i="1"/>
  <c r="R432" i="1" s="1"/>
  <c r="N432" i="1"/>
  <c r="O432" i="1" s="1"/>
  <c r="Q432" i="1" s="1"/>
  <c r="AF431" i="1" l="1"/>
  <c r="T432" i="1"/>
  <c r="V432" i="1" s="1"/>
  <c r="S432" i="1"/>
  <c r="U432" i="1" s="1"/>
  <c r="W432" i="1" l="1"/>
  <c r="X432" i="1" s="1"/>
  <c r="Y432" i="1" s="1"/>
  <c r="Z432" i="1" s="1"/>
  <c r="J433" i="1" l="1"/>
  <c r="AA432" i="1"/>
  <c r="M433" i="1"/>
  <c r="AB432" i="1" l="1"/>
  <c r="AC432" i="1" s="1"/>
  <c r="AD432" i="1" s="1"/>
  <c r="L433" i="1"/>
  <c r="K436" i="1"/>
  <c r="AF432" i="1" l="1"/>
  <c r="P433" i="1"/>
  <c r="R433" i="1" s="1"/>
  <c r="N433" i="1"/>
  <c r="O433" i="1" s="1"/>
  <c r="Q433" i="1" s="1"/>
  <c r="S433" i="1" l="1"/>
  <c r="U433" i="1" s="1"/>
  <c r="T433" i="1"/>
  <c r="V433" i="1" s="1"/>
  <c r="W433" i="1" l="1"/>
  <c r="X433" i="1" s="1"/>
  <c r="Y433" i="1" s="1"/>
  <c r="Z433" i="1" s="1"/>
  <c r="AA433" i="1" l="1"/>
  <c r="J434" i="1"/>
  <c r="M434" i="1"/>
  <c r="AB433" i="1" l="1"/>
  <c r="AC433" i="1" s="1"/>
  <c r="AD433" i="1" s="1"/>
  <c r="L434" i="1"/>
  <c r="K437" i="1"/>
  <c r="AF433" i="1" l="1"/>
  <c r="N434" i="1"/>
  <c r="O434" i="1" s="1"/>
  <c r="Q434" i="1" s="1"/>
  <c r="P434" i="1"/>
  <c r="R434" i="1" s="1"/>
  <c r="T434" i="1" l="1"/>
  <c r="V434" i="1" s="1"/>
  <c r="S434" i="1"/>
  <c r="U434" i="1" s="1"/>
  <c r="W434" i="1" l="1"/>
  <c r="X434" i="1"/>
  <c r="Y434" i="1" s="1"/>
  <c r="Z434" i="1" s="1"/>
  <c r="AA434" i="1" l="1"/>
  <c r="J435" i="1"/>
  <c r="M435" i="1"/>
  <c r="AB434" i="1" l="1"/>
  <c r="AC434" i="1" s="1"/>
  <c r="AD434" i="1" s="1"/>
  <c r="L435" i="1"/>
  <c r="K438" i="1"/>
  <c r="AF434" i="1" l="1"/>
  <c r="P435" i="1"/>
  <c r="R435" i="1" s="1"/>
  <c r="N435" i="1"/>
  <c r="O435" i="1" s="1"/>
  <c r="Q435" i="1" s="1"/>
  <c r="S435" i="1" l="1"/>
  <c r="U435" i="1" s="1"/>
  <c r="T435" i="1"/>
  <c r="V435" i="1" s="1"/>
  <c r="W435" i="1" l="1"/>
  <c r="X435" i="1" s="1"/>
  <c r="Y435" i="1" s="1"/>
  <c r="Z435" i="1" s="1"/>
  <c r="AA435" i="1" l="1"/>
  <c r="J436" i="1"/>
  <c r="M436" i="1"/>
  <c r="AB435" i="1" l="1"/>
  <c r="AC435" i="1" s="1"/>
  <c r="AD435" i="1" s="1"/>
  <c r="L436" i="1"/>
  <c r="K439" i="1"/>
  <c r="AF435" i="1" l="1"/>
  <c r="P436" i="1"/>
  <c r="R436" i="1" s="1"/>
  <c r="N436" i="1"/>
  <c r="O436" i="1" s="1"/>
  <c r="Q436" i="1" s="1"/>
  <c r="T436" i="1" l="1"/>
  <c r="V436" i="1" s="1"/>
  <c r="S436" i="1"/>
  <c r="U436" i="1" s="1"/>
  <c r="W436" i="1" s="1"/>
  <c r="X436" i="1" l="1"/>
  <c r="Y436" i="1" s="1"/>
  <c r="Z436" i="1" s="1"/>
  <c r="AA436" i="1" l="1"/>
  <c r="J437" i="1"/>
  <c r="M437" i="1"/>
  <c r="AB436" i="1" l="1"/>
  <c r="AC436" i="1" s="1"/>
  <c r="AD436" i="1" s="1"/>
  <c r="K440" i="1"/>
  <c r="L437" i="1"/>
  <c r="AF436" i="1" l="1"/>
  <c r="P437" i="1"/>
  <c r="R437" i="1" s="1"/>
  <c r="N437" i="1"/>
  <c r="O437" i="1" s="1"/>
  <c r="Q437" i="1" s="1"/>
  <c r="T437" i="1" l="1"/>
  <c r="V437" i="1" s="1"/>
  <c r="S437" i="1"/>
  <c r="U437" i="1" s="1"/>
  <c r="W437" i="1" l="1"/>
  <c r="X437" i="1" s="1"/>
  <c r="Y437" i="1" s="1"/>
  <c r="Z437" i="1" s="1"/>
  <c r="J438" i="1" l="1"/>
  <c r="AA437" i="1"/>
  <c r="M438" i="1"/>
  <c r="AB437" i="1" l="1"/>
  <c r="AC437" i="1" s="1"/>
  <c r="AD437" i="1" s="1"/>
  <c r="L438" i="1"/>
  <c r="K441" i="1"/>
  <c r="AF437" i="1" l="1"/>
  <c r="P438" i="1"/>
  <c r="R438" i="1" s="1"/>
  <c r="N438" i="1"/>
  <c r="O438" i="1" s="1"/>
  <c r="Q438" i="1" s="1"/>
  <c r="S438" i="1" l="1"/>
  <c r="U438" i="1" s="1"/>
  <c r="T438" i="1"/>
  <c r="V438" i="1" s="1"/>
  <c r="W438" i="1" l="1"/>
  <c r="X438" i="1" s="1"/>
  <c r="Y438" i="1" s="1"/>
  <c r="Z438" i="1" s="1"/>
  <c r="AA438" i="1" l="1"/>
  <c r="J439" i="1"/>
  <c r="M439" i="1"/>
  <c r="AB438" i="1" l="1"/>
  <c r="AC438" i="1" s="1"/>
  <c r="AD438" i="1" s="1"/>
  <c r="K442" i="1"/>
  <c r="L439" i="1"/>
  <c r="AF438" i="1" l="1"/>
  <c r="N439" i="1"/>
  <c r="O439" i="1" s="1"/>
  <c r="Q439" i="1" s="1"/>
  <c r="P439" i="1"/>
  <c r="R439" i="1" s="1"/>
  <c r="S439" i="1" l="1"/>
  <c r="U439" i="1" s="1"/>
  <c r="T439" i="1"/>
  <c r="V439" i="1" s="1"/>
  <c r="W439" i="1" l="1"/>
  <c r="X439" i="1" s="1"/>
  <c r="Y439" i="1" s="1"/>
  <c r="Z439" i="1" s="1"/>
  <c r="AA439" i="1" l="1"/>
  <c r="J440" i="1"/>
  <c r="M440" i="1"/>
  <c r="AB439" i="1" l="1"/>
  <c r="AC439" i="1" s="1"/>
  <c r="AD439" i="1" s="1"/>
  <c r="L440" i="1"/>
  <c r="K443" i="1"/>
  <c r="AF439" i="1" l="1"/>
  <c r="N440" i="1"/>
  <c r="O440" i="1" s="1"/>
  <c r="Q440" i="1" s="1"/>
  <c r="P440" i="1"/>
  <c r="R440" i="1" s="1"/>
  <c r="S440" i="1" l="1"/>
  <c r="U440" i="1" s="1"/>
  <c r="T440" i="1"/>
  <c r="V440" i="1" s="1"/>
  <c r="W440" i="1" l="1"/>
  <c r="X440" i="1" s="1"/>
  <c r="Y440" i="1" s="1"/>
  <c r="Z440" i="1" s="1"/>
  <c r="AA440" i="1" l="1"/>
  <c r="J441" i="1"/>
  <c r="M441" i="1"/>
  <c r="AB440" i="1" l="1"/>
  <c r="K444" i="1"/>
  <c r="L441" i="1"/>
  <c r="AC440" i="1" l="1"/>
  <c r="AD440" i="1" s="1"/>
  <c r="P441" i="1"/>
  <c r="R441" i="1" s="1"/>
  <c r="N441" i="1"/>
  <c r="O441" i="1" s="1"/>
  <c r="Q441" i="1" s="1"/>
  <c r="AF440" i="1" l="1"/>
  <c r="T441" i="1"/>
  <c r="V441" i="1" s="1"/>
  <c r="S441" i="1"/>
  <c r="U441" i="1" l="1"/>
  <c r="W441" i="1" l="1"/>
  <c r="X441" i="1" s="1"/>
  <c r="Y441" i="1" s="1"/>
  <c r="Z441" i="1" s="1"/>
  <c r="AA441" i="1" l="1"/>
  <c r="J442" i="1"/>
  <c r="L442" i="1" s="1"/>
  <c r="M442" i="1"/>
  <c r="AB441" i="1" l="1"/>
  <c r="AC441" i="1" s="1"/>
  <c r="AD441" i="1" s="1"/>
  <c r="K445" i="1"/>
  <c r="N442" i="1"/>
  <c r="O442" i="1" s="1"/>
  <c r="Q442" i="1" s="1"/>
  <c r="P442" i="1"/>
  <c r="R442" i="1" s="1"/>
  <c r="AF441" i="1" l="1"/>
  <c r="T442" i="1"/>
  <c r="V442" i="1" s="1"/>
  <c r="S442" i="1"/>
  <c r="U442" i="1" s="1"/>
  <c r="W442" i="1" l="1"/>
  <c r="X442" i="1" s="1"/>
  <c r="Y442" i="1" s="1"/>
  <c r="Z442" i="1" s="1"/>
  <c r="J443" i="1" l="1"/>
  <c r="AA442" i="1"/>
  <c r="M443" i="1"/>
  <c r="AB442" i="1" l="1"/>
  <c r="AC442" i="1" s="1"/>
  <c r="AD442" i="1" s="1"/>
  <c r="K446" i="1"/>
  <c r="L443" i="1"/>
  <c r="AF442" i="1" l="1"/>
  <c r="N443" i="1"/>
  <c r="O443" i="1" s="1"/>
  <c r="Q443" i="1" s="1"/>
  <c r="P443" i="1"/>
  <c r="R443" i="1" s="1"/>
  <c r="T443" i="1" l="1"/>
  <c r="V443" i="1" s="1"/>
  <c r="S443" i="1"/>
  <c r="U443" i="1" l="1"/>
  <c r="W443" i="1" s="1"/>
  <c r="X443" i="1" l="1"/>
  <c r="Y443" i="1" s="1"/>
  <c r="Z443" i="1" s="1"/>
  <c r="AA443" i="1" l="1"/>
  <c r="J444" i="1"/>
  <c r="M444" i="1"/>
  <c r="AB443" i="1" l="1"/>
  <c r="AC443" i="1" s="1"/>
  <c r="AD443" i="1" s="1"/>
  <c r="L444" i="1"/>
  <c r="K447" i="1"/>
  <c r="AF443" i="1" l="1"/>
  <c r="P444" i="1"/>
  <c r="R444" i="1" s="1"/>
  <c r="N444" i="1"/>
  <c r="O444" i="1" s="1"/>
  <c r="Q444" i="1" s="1"/>
  <c r="S444" i="1" l="1"/>
  <c r="U444" i="1" s="1"/>
  <c r="T444" i="1"/>
  <c r="V444" i="1" s="1"/>
  <c r="W444" i="1" l="1"/>
  <c r="X444" i="1" s="1"/>
  <c r="Y444" i="1" s="1"/>
  <c r="Z444" i="1" s="1"/>
  <c r="AA444" i="1" l="1"/>
  <c r="J445" i="1"/>
  <c r="M445" i="1"/>
  <c r="AB444" i="1" l="1"/>
  <c r="AC444" i="1" s="1"/>
  <c r="AD444" i="1" s="1"/>
  <c r="L445" i="1"/>
  <c r="K448" i="1"/>
  <c r="AF444" i="1" l="1"/>
  <c r="P445" i="1"/>
  <c r="R445" i="1" s="1"/>
  <c r="N445" i="1"/>
  <c r="O445" i="1" s="1"/>
  <c r="Q445" i="1" s="1"/>
  <c r="S445" i="1" l="1"/>
  <c r="U445" i="1" s="1"/>
  <c r="T445" i="1"/>
  <c r="V445" i="1" s="1"/>
  <c r="W445" i="1" l="1"/>
  <c r="X445" i="1" s="1"/>
  <c r="Y445" i="1" s="1"/>
  <c r="Z445" i="1" s="1"/>
  <c r="J446" i="1" l="1"/>
  <c r="AA445" i="1"/>
  <c r="M446" i="1"/>
  <c r="AB445" i="1" l="1"/>
  <c r="AC445" i="1" s="1"/>
  <c r="AD445" i="1" s="1"/>
  <c r="L446" i="1"/>
  <c r="K449" i="1"/>
  <c r="AF445" i="1" l="1"/>
  <c r="N446" i="1"/>
  <c r="O446" i="1" s="1"/>
  <c r="Q446" i="1" s="1"/>
  <c r="P446" i="1"/>
  <c r="R446" i="1" s="1"/>
  <c r="S446" i="1" l="1"/>
  <c r="U446" i="1" s="1"/>
  <c r="T446" i="1"/>
  <c r="V446" i="1" s="1"/>
  <c r="W446" i="1" l="1"/>
  <c r="X446" i="1" s="1"/>
  <c r="Y446" i="1" s="1"/>
  <c r="Z446" i="1" s="1"/>
  <c r="AA446" i="1" l="1"/>
  <c r="J447" i="1"/>
  <c r="M447" i="1"/>
  <c r="AB446" i="1" l="1"/>
  <c r="AC446" i="1" s="1"/>
  <c r="AD446" i="1" s="1"/>
  <c r="L447" i="1"/>
  <c r="K450" i="1"/>
  <c r="AF446" i="1" l="1"/>
  <c r="N447" i="1"/>
  <c r="O447" i="1" s="1"/>
  <c r="Q447" i="1" s="1"/>
  <c r="P447" i="1"/>
  <c r="R447" i="1" s="1"/>
  <c r="T447" i="1" l="1"/>
  <c r="V447" i="1" s="1"/>
  <c r="S447" i="1"/>
  <c r="U447" i="1" s="1"/>
  <c r="W447" i="1" s="1"/>
  <c r="X447" i="1" l="1"/>
  <c r="Y447" i="1" s="1"/>
  <c r="Z447" i="1" s="1"/>
  <c r="J448" i="1" l="1"/>
  <c r="AA447" i="1"/>
  <c r="M448" i="1"/>
  <c r="AB447" i="1" l="1"/>
  <c r="AC447" i="1" s="1"/>
  <c r="AD447" i="1" s="1"/>
  <c r="L448" i="1"/>
  <c r="K451" i="1"/>
  <c r="AF447" i="1" l="1"/>
  <c r="P448" i="1"/>
  <c r="R448" i="1" s="1"/>
  <c r="N448" i="1"/>
  <c r="O448" i="1" s="1"/>
  <c r="Q448" i="1" s="1"/>
  <c r="S448" i="1" l="1"/>
  <c r="U448" i="1" s="1"/>
  <c r="T448" i="1"/>
  <c r="V448" i="1" s="1"/>
  <c r="W448" i="1" l="1"/>
  <c r="X448" i="1" s="1"/>
  <c r="Y448" i="1" s="1"/>
  <c r="Z448" i="1" s="1"/>
  <c r="AA448" i="1" l="1"/>
  <c r="J449" i="1"/>
  <c r="M449" i="1"/>
  <c r="AB448" i="1" l="1"/>
  <c r="AC448" i="1" s="1"/>
  <c r="AD448" i="1" s="1"/>
  <c r="K452" i="1"/>
  <c r="L449" i="1"/>
  <c r="AF448" i="1" l="1"/>
  <c r="P449" i="1"/>
  <c r="R449" i="1" s="1"/>
  <c r="N449" i="1"/>
  <c r="O449" i="1" s="1"/>
  <c r="Q449" i="1" s="1"/>
  <c r="T449" i="1" l="1"/>
  <c r="V449" i="1" s="1"/>
  <c r="S449" i="1"/>
  <c r="U449" i="1" s="1"/>
  <c r="W449" i="1" s="1"/>
  <c r="X449" i="1" l="1"/>
  <c r="Y449" i="1" s="1"/>
  <c r="Z449" i="1" s="1"/>
  <c r="AA449" i="1" l="1"/>
  <c r="J450" i="1"/>
  <c r="M450" i="1"/>
  <c r="AB449" i="1" l="1"/>
  <c r="AC449" i="1" s="1"/>
  <c r="AD449" i="1" s="1"/>
  <c r="L450" i="1"/>
  <c r="K453" i="1"/>
  <c r="AF449" i="1" l="1"/>
  <c r="P450" i="1"/>
  <c r="R450" i="1" s="1"/>
  <c r="N450" i="1"/>
  <c r="O450" i="1" s="1"/>
  <c r="Q450" i="1" s="1"/>
  <c r="S450" i="1" l="1"/>
  <c r="U450" i="1" s="1"/>
  <c r="T450" i="1"/>
  <c r="V450" i="1" s="1"/>
  <c r="W450" i="1" l="1"/>
  <c r="X450" i="1" s="1"/>
  <c r="Y450" i="1" s="1"/>
  <c r="Z450" i="1" s="1"/>
  <c r="AA450" i="1" l="1"/>
  <c r="J451" i="1"/>
  <c r="M451" i="1"/>
  <c r="AB450" i="1" l="1"/>
  <c r="AC450" i="1" s="1"/>
  <c r="AD450" i="1" s="1"/>
  <c r="L451" i="1"/>
  <c r="K454" i="1"/>
  <c r="AF450" i="1" l="1"/>
  <c r="P451" i="1"/>
  <c r="R451" i="1" s="1"/>
  <c r="N451" i="1"/>
  <c r="O451" i="1" s="1"/>
  <c r="Q451" i="1" s="1"/>
  <c r="S451" i="1" l="1"/>
  <c r="U451" i="1" s="1"/>
  <c r="T451" i="1"/>
  <c r="V451" i="1" s="1"/>
  <c r="W451" i="1" l="1"/>
  <c r="X451" i="1" s="1"/>
  <c r="Y451" i="1" s="1"/>
  <c r="Z451" i="1" s="1"/>
  <c r="J452" i="1" l="1"/>
  <c r="AA451" i="1"/>
  <c r="M452" i="1"/>
  <c r="AB451" i="1" l="1"/>
  <c r="AC451" i="1" s="1"/>
  <c r="AD451" i="1" s="1"/>
  <c r="L452" i="1"/>
  <c r="K455" i="1"/>
  <c r="AF451" i="1" l="1"/>
  <c r="P452" i="1"/>
  <c r="R452" i="1" s="1"/>
  <c r="N452" i="1"/>
  <c r="O452" i="1" s="1"/>
  <c r="Q452" i="1" s="1"/>
  <c r="S452" i="1" l="1"/>
  <c r="U452" i="1" s="1"/>
  <c r="T452" i="1"/>
  <c r="V452" i="1" s="1"/>
  <c r="W452" i="1" l="1"/>
  <c r="X452" i="1" s="1"/>
  <c r="Y452" i="1" s="1"/>
  <c r="Z452" i="1" s="1"/>
  <c r="AA452" i="1" l="1"/>
  <c r="J453" i="1"/>
  <c r="M453" i="1"/>
  <c r="AB452" i="1" l="1"/>
  <c r="AC452" i="1" s="1"/>
  <c r="AD452" i="1" s="1"/>
  <c r="L453" i="1"/>
  <c r="K456" i="1"/>
  <c r="AF452" i="1" l="1"/>
  <c r="N453" i="1"/>
  <c r="O453" i="1" s="1"/>
  <c r="Q453" i="1" s="1"/>
  <c r="P453" i="1"/>
  <c r="R453" i="1" s="1"/>
  <c r="S453" i="1" l="1"/>
  <c r="U453" i="1" s="1"/>
  <c r="T453" i="1"/>
  <c r="V453" i="1" s="1"/>
  <c r="W453" i="1" l="1"/>
  <c r="X453" i="1" s="1"/>
  <c r="Y453" i="1" s="1"/>
  <c r="Z453" i="1" s="1"/>
  <c r="AA453" i="1" l="1"/>
  <c r="J454" i="1"/>
  <c r="M454" i="1"/>
  <c r="AB453" i="1" l="1"/>
  <c r="AC453" i="1" s="1"/>
  <c r="AD453" i="1" s="1"/>
  <c r="L454" i="1"/>
  <c r="K457" i="1"/>
  <c r="AF453" i="1" l="1"/>
  <c r="P454" i="1"/>
  <c r="R454" i="1" s="1"/>
  <c r="N454" i="1"/>
  <c r="O454" i="1" s="1"/>
  <c r="Q454" i="1" s="1"/>
  <c r="S454" i="1" l="1"/>
  <c r="U454" i="1" s="1"/>
  <c r="T454" i="1"/>
  <c r="V454" i="1" s="1"/>
  <c r="W454" i="1" l="1"/>
  <c r="X454" i="1" s="1"/>
  <c r="Y454" i="1" s="1"/>
  <c r="Z454" i="1" s="1"/>
  <c r="AA454" i="1" l="1"/>
  <c r="J455" i="1"/>
  <c r="M455" i="1"/>
  <c r="AB454" i="1" l="1"/>
  <c r="AC454" i="1" s="1"/>
  <c r="AD454" i="1" s="1"/>
  <c r="L455" i="1"/>
  <c r="K458" i="1"/>
  <c r="AF454" i="1" l="1"/>
  <c r="N455" i="1"/>
  <c r="O455" i="1" s="1"/>
  <c r="Q455" i="1" s="1"/>
  <c r="P455" i="1"/>
  <c r="R455" i="1" s="1"/>
  <c r="T455" i="1" l="1"/>
  <c r="V455" i="1" s="1"/>
  <c r="S455" i="1"/>
  <c r="U455" i="1" s="1"/>
  <c r="W455" i="1" s="1"/>
  <c r="X455" i="1" l="1"/>
  <c r="Y455" i="1" s="1"/>
  <c r="Z455" i="1" s="1"/>
  <c r="J456" i="1" l="1"/>
  <c r="AA455" i="1"/>
  <c r="M456" i="1"/>
  <c r="AB455" i="1" l="1"/>
  <c r="AC455" i="1" s="1"/>
  <c r="AD455" i="1" s="1"/>
  <c r="L456" i="1"/>
  <c r="K459" i="1"/>
  <c r="AF455" i="1" l="1"/>
  <c r="P456" i="1"/>
  <c r="R456" i="1" s="1"/>
  <c r="N456" i="1"/>
  <c r="O456" i="1" s="1"/>
  <c r="Q456" i="1" s="1"/>
  <c r="S456" i="1" l="1"/>
  <c r="U456" i="1" s="1"/>
  <c r="T456" i="1"/>
  <c r="V456" i="1" s="1"/>
  <c r="W456" i="1" l="1"/>
  <c r="X456" i="1" s="1"/>
  <c r="Y456" i="1" s="1"/>
  <c r="Z456" i="1" s="1"/>
  <c r="AA456" i="1" l="1"/>
  <c r="J457" i="1"/>
  <c r="M457" i="1"/>
  <c r="AB456" i="1" l="1"/>
  <c r="AC456" i="1" s="1"/>
  <c r="AD456" i="1" s="1"/>
  <c r="L457" i="1"/>
  <c r="K460" i="1"/>
  <c r="AF456" i="1" l="1"/>
  <c r="N457" i="1"/>
  <c r="O457" i="1" s="1"/>
  <c r="Q457" i="1" s="1"/>
  <c r="P457" i="1"/>
  <c r="R457" i="1" s="1"/>
  <c r="S457" i="1" l="1"/>
  <c r="U457" i="1" s="1"/>
  <c r="T457" i="1"/>
  <c r="V457" i="1" s="1"/>
  <c r="W457" i="1" l="1"/>
  <c r="X457" i="1" s="1"/>
  <c r="Y457" i="1" s="1"/>
  <c r="Z457" i="1" s="1"/>
  <c r="AA457" i="1" l="1"/>
  <c r="J458" i="1"/>
  <c r="M458" i="1"/>
  <c r="AB457" i="1" l="1"/>
  <c r="AC457" i="1" s="1"/>
  <c r="AD457" i="1" s="1"/>
  <c r="L458" i="1"/>
  <c r="K461" i="1"/>
  <c r="AF457" i="1" l="1"/>
  <c r="N458" i="1"/>
  <c r="O458" i="1" s="1"/>
  <c r="Q458" i="1" s="1"/>
  <c r="P458" i="1"/>
  <c r="R458" i="1" s="1"/>
  <c r="S458" i="1" l="1"/>
  <c r="U458" i="1" s="1"/>
  <c r="T458" i="1"/>
  <c r="V458" i="1" s="1"/>
  <c r="W458" i="1" l="1"/>
  <c r="X458" i="1" s="1"/>
  <c r="Y458" i="1" s="1"/>
  <c r="Z458" i="1" s="1"/>
  <c r="AA458" i="1" l="1"/>
  <c r="J459" i="1"/>
  <c r="M459" i="1"/>
  <c r="AB458" i="1" l="1"/>
  <c r="AC458" i="1" s="1"/>
  <c r="AD458" i="1" s="1"/>
  <c r="L459" i="1"/>
  <c r="K462" i="1"/>
  <c r="AF458" i="1" l="1"/>
  <c r="P459" i="1"/>
  <c r="R459" i="1" s="1"/>
  <c r="N459" i="1"/>
  <c r="O459" i="1" s="1"/>
  <c r="Q459" i="1" s="1"/>
  <c r="S459" i="1" l="1"/>
  <c r="U459" i="1" s="1"/>
  <c r="T459" i="1"/>
  <c r="V459" i="1" s="1"/>
  <c r="W459" i="1" l="1"/>
  <c r="X459" i="1" s="1"/>
  <c r="Y459" i="1" s="1"/>
  <c r="Z459" i="1" s="1"/>
  <c r="AA459" i="1" l="1"/>
  <c r="J460" i="1"/>
  <c r="M460" i="1"/>
  <c r="AB459" i="1" l="1"/>
  <c r="AC459" i="1" s="1"/>
  <c r="AD459" i="1" s="1"/>
  <c r="L460" i="1"/>
  <c r="K463" i="1"/>
  <c r="AF459" i="1" l="1"/>
  <c r="N460" i="1"/>
  <c r="O460" i="1" s="1"/>
  <c r="Q460" i="1" s="1"/>
  <c r="P460" i="1"/>
  <c r="R460" i="1" s="1"/>
  <c r="S460" i="1" l="1"/>
  <c r="U460" i="1" s="1"/>
  <c r="T460" i="1"/>
  <c r="V460" i="1" s="1"/>
  <c r="W460" i="1" l="1"/>
  <c r="X460" i="1" s="1"/>
  <c r="Y460" i="1" s="1"/>
  <c r="Z460" i="1" s="1"/>
  <c r="AA460" i="1" l="1"/>
  <c r="J461" i="1"/>
  <c r="M461" i="1"/>
  <c r="AB460" i="1" l="1"/>
  <c r="AC460" i="1" s="1"/>
  <c r="AD460" i="1" s="1"/>
  <c r="L461" i="1"/>
  <c r="K464" i="1"/>
  <c r="AF460" i="1" l="1"/>
  <c r="N461" i="1"/>
  <c r="O461" i="1" s="1"/>
  <c r="Q461" i="1" s="1"/>
  <c r="P461" i="1"/>
  <c r="R461" i="1" s="1"/>
  <c r="T461" i="1" l="1"/>
  <c r="V461" i="1" s="1"/>
  <c r="S461" i="1"/>
  <c r="U461" i="1" s="1"/>
  <c r="W461" i="1" l="1"/>
  <c r="X461" i="1" s="1"/>
  <c r="Y461" i="1" s="1"/>
  <c r="Z461" i="1" s="1"/>
  <c r="AA461" i="1" l="1"/>
  <c r="J462" i="1"/>
  <c r="M462" i="1"/>
  <c r="AB461" i="1" l="1"/>
  <c r="AC461" i="1" s="1"/>
  <c r="AD461" i="1" s="1"/>
  <c r="L462" i="1"/>
  <c r="K465" i="1"/>
  <c r="AF461" i="1" l="1"/>
  <c r="N462" i="1"/>
  <c r="O462" i="1" s="1"/>
  <c r="Q462" i="1" s="1"/>
  <c r="P462" i="1"/>
  <c r="R462" i="1" s="1"/>
  <c r="T462" i="1" l="1"/>
  <c r="V462" i="1" s="1"/>
  <c r="S462" i="1"/>
  <c r="U462" i="1" s="1"/>
  <c r="W462" i="1" l="1"/>
  <c r="X462" i="1" s="1"/>
  <c r="Y462" i="1" s="1"/>
  <c r="Z462" i="1" s="1"/>
  <c r="M463" i="1" l="1"/>
  <c r="J463" i="1"/>
  <c r="AA462" i="1"/>
  <c r="AB462" i="1" l="1"/>
  <c r="AC462" i="1" s="1"/>
  <c r="AD462" i="1" s="1"/>
  <c r="K466" i="1"/>
  <c r="L463" i="1"/>
  <c r="AF462" i="1" l="1"/>
  <c r="P463" i="1"/>
  <c r="R463" i="1" s="1"/>
  <c r="N463" i="1"/>
  <c r="O463" i="1" s="1"/>
  <c r="Q463" i="1" s="1"/>
  <c r="S463" i="1" l="1"/>
  <c r="U463" i="1" s="1"/>
  <c r="T463" i="1"/>
  <c r="V463" i="1" s="1"/>
  <c r="W463" i="1" l="1"/>
  <c r="X463" i="1" s="1"/>
  <c r="Y463" i="1" s="1"/>
  <c r="Z463" i="1" s="1"/>
  <c r="J464" i="1" l="1"/>
  <c r="AA463" i="1"/>
  <c r="M464" i="1"/>
  <c r="AB463" i="1" l="1"/>
  <c r="AC463" i="1" s="1"/>
  <c r="AD463" i="1" s="1"/>
  <c r="L464" i="1"/>
  <c r="K467" i="1"/>
  <c r="AF463" i="1" l="1"/>
  <c r="N464" i="1"/>
  <c r="O464" i="1" s="1"/>
  <c r="Q464" i="1" s="1"/>
  <c r="P464" i="1"/>
  <c r="R464" i="1" s="1"/>
  <c r="T464" i="1" l="1"/>
  <c r="V464" i="1" s="1"/>
  <c r="S464" i="1"/>
  <c r="U464" i="1" s="1"/>
  <c r="W464" i="1" l="1"/>
  <c r="X464" i="1" s="1"/>
  <c r="Y464" i="1" s="1"/>
  <c r="Z464" i="1" s="1"/>
  <c r="AA464" i="1" l="1"/>
  <c r="J465" i="1"/>
  <c r="M465" i="1"/>
  <c r="AB464" i="1" l="1"/>
  <c r="AC464" i="1" s="1"/>
  <c r="AD464" i="1" s="1"/>
  <c r="K468" i="1"/>
  <c r="L465" i="1"/>
  <c r="AF464" i="1" l="1"/>
  <c r="N465" i="1"/>
  <c r="O465" i="1" s="1"/>
  <c r="Q465" i="1" s="1"/>
  <c r="P465" i="1"/>
  <c r="R465" i="1" s="1"/>
  <c r="T465" i="1" l="1"/>
  <c r="V465" i="1" s="1"/>
  <c r="S465" i="1"/>
  <c r="U465" i="1" s="1"/>
  <c r="W465" i="1" s="1"/>
  <c r="X465" i="1" l="1"/>
  <c r="Y465" i="1" s="1"/>
  <c r="Z465" i="1" s="1"/>
  <c r="J466" i="1" l="1"/>
  <c r="AA465" i="1"/>
  <c r="M466" i="1"/>
  <c r="AB465" i="1" l="1"/>
  <c r="AC465" i="1" s="1"/>
  <c r="AD465" i="1" s="1"/>
  <c r="L466" i="1"/>
  <c r="K469" i="1"/>
  <c r="AF465" i="1" l="1"/>
  <c r="P466" i="1"/>
  <c r="R466" i="1" s="1"/>
  <c r="N466" i="1"/>
  <c r="O466" i="1" s="1"/>
  <c r="Q466" i="1" s="1"/>
  <c r="T466" i="1" l="1"/>
  <c r="V466" i="1" s="1"/>
  <c r="S466" i="1"/>
  <c r="U466" i="1" s="1"/>
  <c r="W466" i="1" l="1"/>
  <c r="X466" i="1" s="1"/>
  <c r="Y466" i="1" s="1"/>
  <c r="Z466" i="1" s="1"/>
  <c r="AA466" i="1" l="1"/>
  <c r="J467" i="1"/>
  <c r="M467" i="1"/>
  <c r="AB466" i="1" l="1"/>
  <c r="AC466" i="1" s="1"/>
  <c r="AD466" i="1" s="1"/>
  <c r="L467" i="1"/>
  <c r="K470" i="1"/>
  <c r="AF466" i="1" l="1"/>
  <c r="N467" i="1"/>
  <c r="O467" i="1" s="1"/>
  <c r="Q467" i="1" s="1"/>
  <c r="P467" i="1"/>
  <c r="R467" i="1" s="1"/>
  <c r="S467" i="1" l="1"/>
  <c r="U467" i="1" s="1"/>
  <c r="T467" i="1"/>
  <c r="V467" i="1" s="1"/>
  <c r="W467" i="1" l="1"/>
  <c r="X467" i="1" s="1"/>
  <c r="Y467" i="1" s="1"/>
  <c r="Z467" i="1" s="1"/>
  <c r="AA467" i="1" l="1"/>
  <c r="J468" i="1"/>
  <c r="M468" i="1"/>
  <c r="AB467" i="1" l="1"/>
  <c r="AC467" i="1" s="1"/>
  <c r="AD467" i="1" s="1"/>
  <c r="L468" i="1"/>
  <c r="K471" i="1"/>
  <c r="AF467" i="1" l="1"/>
  <c r="N468" i="1"/>
  <c r="O468" i="1" s="1"/>
  <c r="Q468" i="1" s="1"/>
  <c r="P468" i="1"/>
  <c r="R468" i="1" s="1"/>
  <c r="S468" i="1" l="1"/>
  <c r="U468" i="1" s="1"/>
  <c r="T468" i="1"/>
  <c r="V468" i="1" s="1"/>
  <c r="W468" i="1" l="1"/>
  <c r="X468" i="1" s="1"/>
  <c r="Y468" i="1" s="1"/>
  <c r="Z468" i="1" s="1"/>
  <c r="J469" i="1" l="1"/>
  <c r="AA468" i="1"/>
  <c r="M469" i="1"/>
  <c r="AB468" i="1" l="1"/>
  <c r="AC468" i="1" s="1"/>
  <c r="AD468" i="1" s="1"/>
  <c r="L469" i="1"/>
  <c r="K472" i="1"/>
  <c r="AF468" i="1" l="1"/>
  <c r="N469" i="1"/>
  <c r="O469" i="1" s="1"/>
  <c r="Q469" i="1" s="1"/>
  <c r="P469" i="1"/>
  <c r="R469" i="1" s="1"/>
  <c r="S469" i="1" l="1"/>
  <c r="U469" i="1" s="1"/>
  <c r="T469" i="1"/>
  <c r="V469" i="1" s="1"/>
  <c r="W469" i="1" l="1"/>
  <c r="X469" i="1" s="1"/>
  <c r="Y469" i="1" s="1"/>
  <c r="Z469" i="1" s="1"/>
  <c r="J470" i="1" l="1"/>
  <c r="AA469" i="1"/>
  <c r="M470" i="1"/>
  <c r="AB469" i="1" l="1"/>
  <c r="AC469" i="1" s="1"/>
  <c r="AD469" i="1" s="1"/>
  <c r="L470" i="1"/>
  <c r="K473" i="1"/>
  <c r="AF469" i="1" l="1"/>
  <c r="P470" i="1"/>
  <c r="R470" i="1" s="1"/>
  <c r="N470" i="1"/>
  <c r="O470" i="1" s="1"/>
  <c r="Q470" i="1" s="1"/>
  <c r="S470" i="1" l="1"/>
  <c r="U470" i="1" s="1"/>
  <c r="T470" i="1"/>
  <c r="V470" i="1" s="1"/>
  <c r="W470" i="1" l="1"/>
  <c r="X470" i="1" s="1"/>
  <c r="Y470" i="1" s="1"/>
  <c r="Z470" i="1" s="1"/>
  <c r="AA470" i="1" l="1"/>
  <c r="J471" i="1"/>
  <c r="M471" i="1"/>
  <c r="AB470" i="1" l="1"/>
  <c r="AC470" i="1" s="1"/>
  <c r="AD470" i="1" s="1"/>
  <c r="K474" i="1"/>
  <c r="L471" i="1"/>
  <c r="AF470" i="1" l="1"/>
  <c r="N471" i="1"/>
  <c r="O471" i="1" s="1"/>
  <c r="Q471" i="1" s="1"/>
  <c r="P471" i="1"/>
  <c r="R471" i="1" s="1"/>
  <c r="T471" i="1" l="1"/>
  <c r="V471" i="1" s="1"/>
  <c r="S471" i="1"/>
  <c r="U471" i="1" s="1"/>
  <c r="W471" i="1" l="1"/>
  <c r="X471" i="1" s="1"/>
  <c r="Y471" i="1" s="1"/>
  <c r="Z471" i="1" s="1"/>
  <c r="AA471" i="1" l="1"/>
  <c r="J472" i="1"/>
  <c r="M472" i="1"/>
  <c r="AB471" i="1" l="1"/>
  <c r="AC471" i="1" s="1"/>
  <c r="AD471" i="1" s="1"/>
  <c r="L472" i="1"/>
  <c r="K475" i="1"/>
  <c r="AF471" i="1" l="1"/>
  <c r="P472" i="1"/>
  <c r="R472" i="1" s="1"/>
  <c r="N472" i="1"/>
  <c r="O472" i="1" s="1"/>
  <c r="Q472" i="1" s="1"/>
  <c r="S472" i="1" l="1"/>
  <c r="U472" i="1" s="1"/>
  <c r="T472" i="1"/>
  <c r="V472" i="1" s="1"/>
  <c r="W472" i="1" l="1"/>
  <c r="X472" i="1" s="1"/>
  <c r="Y472" i="1" s="1"/>
  <c r="Z472" i="1" s="1"/>
  <c r="AA472" i="1" l="1"/>
  <c r="J473" i="1"/>
  <c r="M473" i="1"/>
  <c r="AB472" i="1" l="1"/>
  <c r="AC472" i="1" s="1"/>
  <c r="AD472" i="1" s="1"/>
  <c r="L473" i="1"/>
  <c r="K476" i="1"/>
  <c r="AF472" i="1" l="1"/>
  <c r="N473" i="1"/>
  <c r="O473" i="1" s="1"/>
  <c r="Q473" i="1" s="1"/>
  <c r="P473" i="1"/>
  <c r="R473" i="1" s="1"/>
  <c r="T473" i="1" l="1"/>
  <c r="V473" i="1" s="1"/>
  <c r="S473" i="1"/>
  <c r="U473" i="1" s="1"/>
  <c r="W473" i="1" s="1"/>
  <c r="X473" i="1" l="1"/>
  <c r="Y473" i="1" s="1"/>
  <c r="Z473" i="1" s="1"/>
  <c r="AA473" i="1" l="1"/>
  <c r="J474" i="1"/>
  <c r="M474" i="1"/>
  <c r="AB473" i="1" l="1"/>
  <c r="AC473" i="1" s="1"/>
  <c r="AD473" i="1" s="1"/>
  <c r="L474" i="1"/>
  <c r="K477" i="1"/>
  <c r="AF473" i="1" l="1"/>
  <c r="N474" i="1"/>
  <c r="O474" i="1" s="1"/>
  <c r="Q474" i="1" s="1"/>
  <c r="P474" i="1"/>
  <c r="R474" i="1" s="1"/>
  <c r="S474" i="1" l="1"/>
  <c r="U474" i="1" s="1"/>
  <c r="T474" i="1"/>
  <c r="V474" i="1" s="1"/>
  <c r="W474" i="1" l="1"/>
  <c r="X474" i="1" s="1"/>
  <c r="Y474" i="1" s="1"/>
  <c r="Z474" i="1" s="1"/>
  <c r="AA474" i="1" l="1"/>
  <c r="J475" i="1"/>
  <c r="M475" i="1"/>
  <c r="AB474" i="1" l="1"/>
  <c r="AC474" i="1" s="1"/>
  <c r="AD474" i="1" s="1"/>
  <c r="L475" i="1"/>
  <c r="K478" i="1"/>
  <c r="AF474" i="1" l="1"/>
  <c r="N475" i="1"/>
  <c r="O475" i="1" s="1"/>
  <c r="Q475" i="1" s="1"/>
  <c r="P475" i="1"/>
  <c r="R475" i="1" s="1"/>
  <c r="T475" i="1" l="1"/>
  <c r="V475" i="1" s="1"/>
  <c r="S475" i="1"/>
  <c r="U475" i="1" s="1"/>
  <c r="W475" i="1" s="1"/>
  <c r="X475" i="1" l="1"/>
  <c r="Y475" i="1" s="1"/>
  <c r="Z475" i="1" s="1"/>
  <c r="AA475" i="1" l="1"/>
  <c r="J476" i="1"/>
  <c r="M476" i="1"/>
  <c r="AB475" i="1" l="1"/>
  <c r="AC475" i="1" s="1"/>
  <c r="AD475" i="1" s="1"/>
  <c r="L476" i="1"/>
  <c r="K479" i="1"/>
  <c r="AF475" i="1" l="1"/>
  <c r="N476" i="1"/>
  <c r="O476" i="1" s="1"/>
  <c r="Q476" i="1" s="1"/>
  <c r="P476" i="1"/>
  <c r="R476" i="1" s="1"/>
  <c r="S476" i="1" l="1"/>
  <c r="U476" i="1" s="1"/>
  <c r="T476" i="1"/>
  <c r="V476" i="1" s="1"/>
  <c r="W476" i="1" l="1"/>
  <c r="X476" i="1" s="1"/>
  <c r="Y476" i="1" s="1"/>
  <c r="Z476" i="1" s="1"/>
  <c r="J477" i="1" l="1"/>
  <c r="AA476" i="1"/>
  <c r="M477" i="1"/>
  <c r="AB476" i="1" l="1"/>
  <c r="AC476" i="1" s="1"/>
  <c r="AD476" i="1" s="1"/>
  <c r="L477" i="1"/>
  <c r="K480" i="1"/>
  <c r="AF476" i="1" l="1"/>
  <c r="P477" i="1"/>
  <c r="R477" i="1" s="1"/>
  <c r="N477" i="1"/>
  <c r="O477" i="1" s="1"/>
  <c r="Q477" i="1" s="1"/>
  <c r="T477" i="1" l="1"/>
  <c r="V477" i="1" s="1"/>
  <c r="S477" i="1"/>
  <c r="U477" i="1" l="1"/>
  <c r="W477" i="1" s="1"/>
  <c r="X477" i="1" l="1"/>
  <c r="Y477" i="1" s="1"/>
  <c r="Z477" i="1" s="1"/>
  <c r="AA477" i="1" l="1"/>
  <c r="J478" i="1"/>
  <c r="M478" i="1"/>
  <c r="AB477" i="1" l="1"/>
  <c r="AC477" i="1" s="1"/>
  <c r="AD477" i="1" s="1"/>
  <c r="L478" i="1"/>
  <c r="K481" i="1"/>
  <c r="AF477" i="1" l="1"/>
  <c r="N478" i="1"/>
  <c r="O478" i="1" s="1"/>
  <c r="Q478" i="1" s="1"/>
  <c r="P478" i="1"/>
  <c r="R478" i="1" s="1"/>
  <c r="S478" i="1" l="1"/>
  <c r="T478" i="1"/>
  <c r="V478" i="1" s="1"/>
  <c r="U478" i="1" l="1"/>
  <c r="W478" i="1" s="1"/>
  <c r="X478" i="1" l="1"/>
  <c r="Y478" i="1" s="1"/>
  <c r="Z478" i="1" s="1"/>
  <c r="AA478" i="1" l="1"/>
  <c r="J479" i="1"/>
  <c r="M479" i="1"/>
  <c r="AB478" i="1" l="1"/>
  <c r="AC478" i="1" s="1"/>
  <c r="AD478" i="1" s="1"/>
  <c r="L479" i="1"/>
  <c r="K482" i="1"/>
  <c r="AF478" i="1" l="1"/>
  <c r="P479" i="1"/>
  <c r="R479" i="1" s="1"/>
  <c r="N479" i="1"/>
  <c r="O479" i="1" s="1"/>
  <c r="Q479" i="1" s="1"/>
  <c r="T479" i="1" l="1"/>
  <c r="V479" i="1" s="1"/>
  <c r="S479" i="1"/>
  <c r="U479" i="1" s="1"/>
  <c r="W479" i="1" l="1"/>
  <c r="X479" i="1" s="1"/>
  <c r="Y479" i="1" s="1"/>
  <c r="Z479" i="1" s="1"/>
  <c r="AA479" i="1" l="1"/>
  <c r="J480" i="1"/>
  <c r="M480" i="1"/>
  <c r="AB479" i="1" l="1"/>
  <c r="AC479" i="1" s="1"/>
  <c r="AD479" i="1" s="1"/>
  <c r="L480" i="1"/>
  <c r="K483" i="1"/>
  <c r="AF479" i="1" l="1"/>
  <c r="N480" i="1"/>
  <c r="O480" i="1" s="1"/>
  <c r="Q480" i="1" s="1"/>
  <c r="P480" i="1"/>
  <c r="R480" i="1" s="1"/>
  <c r="T480" i="1" l="1"/>
  <c r="V480" i="1" s="1"/>
  <c r="S480" i="1"/>
  <c r="U480" i="1" s="1"/>
  <c r="W480" i="1" l="1"/>
  <c r="X480" i="1" s="1"/>
  <c r="Y480" i="1" s="1"/>
  <c r="Z480" i="1" s="1"/>
  <c r="AA480" i="1" l="1"/>
  <c r="J481" i="1"/>
  <c r="M481" i="1"/>
  <c r="AB480" i="1" l="1"/>
  <c r="AC480" i="1" s="1"/>
  <c r="AD480" i="1" s="1"/>
  <c r="L481" i="1"/>
  <c r="K484" i="1"/>
  <c r="AF480" i="1" l="1"/>
  <c r="N481" i="1"/>
  <c r="O481" i="1" s="1"/>
  <c r="Q481" i="1" s="1"/>
  <c r="P481" i="1"/>
  <c r="R481" i="1" s="1"/>
  <c r="S481" i="1" l="1"/>
  <c r="U481" i="1" s="1"/>
  <c r="T481" i="1"/>
  <c r="V481" i="1" s="1"/>
  <c r="W481" i="1" l="1"/>
  <c r="X481" i="1" s="1"/>
  <c r="Y481" i="1" s="1"/>
  <c r="Z481" i="1" s="1"/>
  <c r="AA481" i="1" l="1"/>
  <c r="J482" i="1"/>
  <c r="M482" i="1"/>
  <c r="AB481" i="1" l="1"/>
  <c r="AC481" i="1" s="1"/>
  <c r="AD481" i="1" s="1"/>
  <c r="L482" i="1"/>
  <c r="K485" i="1"/>
  <c r="AF481" i="1" l="1"/>
  <c r="P482" i="1"/>
  <c r="R482" i="1" s="1"/>
  <c r="N482" i="1"/>
  <c r="O482" i="1" s="1"/>
  <c r="Q482" i="1" s="1"/>
  <c r="S482" i="1" l="1"/>
  <c r="U482" i="1" s="1"/>
  <c r="T482" i="1"/>
  <c r="V482" i="1" s="1"/>
  <c r="W482" i="1" l="1"/>
  <c r="X482" i="1" s="1"/>
  <c r="Y482" i="1" s="1"/>
  <c r="Z482" i="1" s="1"/>
  <c r="AA482" i="1" l="1"/>
  <c r="J483" i="1"/>
  <c r="M483" i="1"/>
  <c r="AB482" i="1" l="1"/>
  <c r="AC482" i="1" s="1"/>
  <c r="AD482" i="1" s="1"/>
  <c r="K486" i="1"/>
  <c r="L483" i="1"/>
  <c r="AF482" i="1" l="1"/>
  <c r="N483" i="1"/>
  <c r="O483" i="1" s="1"/>
  <c r="Q483" i="1" s="1"/>
  <c r="P483" i="1"/>
  <c r="R483" i="1" s="1"/>
  <c r="S483" i="1" l="1"/>
  <c r="U483" i="1" s="1"/>
  <c r="T483" i="1"/>
  <c r="V483" i="1" s="1"/>
  <c r="W483" i="1" l="1"/>
  <c r="X483" i="1" s="1"/>
  <c r="Y483" i="1" s="1"/>
  <c r="Z483" i="1" s="1"/>
  <c r="J484" i="1" l="1"/>
  <c r="AA483" i="1"/>
  <c r="M484" i="1"/>
  <c r="AB483" i="1" l="1"/>
  <c r="AC483" i="1" s="1"/>
  <c r="AD483" i="1" s="1"/>
  <c r="K487" i="1"/>
  <c r="L484" i="1"/>
  <c r="AF483" i="1" l="1"/>
  <c r="P484" i="1"/>
  <c r="R484" i="1" s="1"/>
  <c r="N484" i="1"/>
  <c r="O484" i="1" s="1"/>
  <c r="Q484" i="1" s="1"/>
  <c r="T484" i="1" l="1"/>
  <c r="V484" i="1" s="1"/>
  <c r="S484" i="1"/>
  <c r="U484" i="1" s="1"/>
  <c r="W484" i="1" l="1"/>
  <c r="X484" i="1" s="1"/>
  <c r="Y484" i="1" s="1"/>
  <c r="Z484" i="1" s="1"/>
  <c r="AA484" i="1" l="1"/>
  <c r="J485" i="1"/>
  <c r="M485" i="1"/>
  <c r="AB484" i="1" l="1"/>
  <c r="AC484" i="1" s="1"/>
  <c r="AD484" i="1" s="1"/>
  <c r="L485" i="1"/>
  <c r="K488" i="1"/>
  <c r="AF484" i="1" l="1"/>
  <c r="P485" i="1"/>
  <c r="R485" i="1" s="1"/>
  <c r="N485" i="1"/>
  <c r="O485" i="1" s="1"/>
  <c r="Q485" i="1" s="1"/>
  <c r="S485" i="1" l="1"/>
  <c r="U485" i="1" s="1"/>
  <c r="T485" i="1"/>
  <c r="V485" i="1" s="1"/>
  <c r="W485" i="1" l="1"/>
  <c r="X485" i="1" s="1"/>
  <c r="Y485" i="1" s="1"/>
  <c r="Z485" i="1" s="1"/>
  <c r="AA485" i="1" l="1"/>
  <c r="J486" i="1"/>
  <c r="M486" i="1"/>
  <c r="AB485" i="1" l="1"/>
  <c r="AC485" i="1" s="1"/>
  <c r="AD485" i="1" s="1"/>
  <c r="K489" i="1"/>
  <c r="L486" i="1"/>
  <c r="AF485" i="1" l="1"/>
  <c r="N486" i="1"/>
  <c r="O486" i="1" s="1"/>
  <c r="Q486" i="1" s="1"/>
  <c r="P486" i="1"/>
  <c r="R486" i="1" s="1"/>
  <c r="S486" i="1" l="1"/>
  <c r="U486" i="1" s="1"/>
  <c r="T486" i="1"/>
  <c r="V486" i="1" s="1"/>
  <c r="W486" i="1" l="1"/>
  <c r="X486" i="1" s="1"/>
  <c r="Y486" i="1" s="1"/>
  <c r="Z486" i="1" s="1"/>
  <c r="AA486" i="1" l="1"/>
  <c r="J487" i="1"/>
  <c r="M487" i="1"/>
  <c r="AB486" i="1" l="1"/>
  <c r="AC486" i="1" s="1"/>
  <c r="AD486" i="1" s="1"/>
  <c r="L487" i="1"/>
  <c r="K490" i="1"/>
  <c r="AF486" i="1" l="1"/>
  <c r="P487" i="1"/>
  <c r="R487" i="1" s="1"/>
  <c r="N487" i="1"/>
  <c r="O487" i="1" s="1"/>
  <c r="Q487" i="1" s="1"/>
  <c r="T487" i="1" l="1"/>
  <c r="V487" i="1" s="1"/>
  <c r="S487" i="1"/>
  <c r="U487" i="1" l="1"/>
  <c r="W487" i="1" s="1"/>
  <c r="X487" i="1" l="1"/>
  <c r="Y487" i="1" s="1"/>
  <c r="Z487" i="1" s="1"/>
  <c r="AA487" i="1" l="1"/>
  <c r="J488" i="1"/>
  <c r="M488" i="1"/>
  <c r="AB487" i="1" l="1"/>
  <c r="AC487" i="1" s="1"/>
  <c r="AD487" i="1" s="1"/>
  <c r="K491" i="1"/>
  <c r="L488" i="1"/>
  <c r="AF487" i="1" l="1"/>
  <c r="N488" i="1"/>
  <c r="O488" i="1" s="1"/>
  <c r="Q488" i="1" s="1"/>
  <c r="P488" i="1"/>
  <c r="R488" i="1" s="1"/>
  <c r="T488" i="1" l="1"/>
  <c r="V488" i="1" s="1"/>
  <c r="S488" i="1"/>
  <c r="U488" i="1" s="1"/>
  <c r="W488" i="1" l="1"/>
  <c r="X488" i="1" s="1"/>
  <c r="Y488" i="1" s="1"/>
  <c r="Z488" i="1" s="1"/>
  <c r="AA488" i="1" l="1"/>
  <c r="J489" i="1"/>
  <c r="M489" i="1"/>
  <c r="AB488" i="1" l="1"/>
  <c r="AC488" i="1" s="1"/>
  <c r="AD488" i="1" s="1"/>
  <c r="L489" i="1"/>
  <c r="K492" i="1"/>
  <c r="AF488" i="1" l="1"/>
  <c r="P489" i="1"/>
  <c r="R489" i="1" s="1"/>
  <c r="N489" i="1"/>
  <c r="O489" i="1" s="1"/>
  <c r="Q489" i="1" s="1"/>
  <c r="T489" i="1" l="1"/>
  <c r="V489" i="1" s="1"/>
  <c r="S489" i="1"/>
  <c r="U489" i="1" s="1"/>
  <c r="W489" i="1" l="1"/>
  <c r="X489" i="1" s="1"/>
  <c r="Y489" i="1" s="1"/>
  <c r="Z489" i="1" s="1"/>
  <c r="AA489" i="1" l="1"/>
  <c r="J490" i="1"/>
  <c r="M490" i="1"/>
  <c r="AB489" i="1" l="1"/>
  <c r="AC489" i="1" s="1"/>
  <c r="AD489" i="1" s="1"/>
  <c r="K493" i="1"/>
  <c r="L490" i="1"/>
  <c r="AF489" i="1" l="1"/>
  <c r="P490" i="1"/>
  <c r="R490" i="1" s="1"/>
  <c r="N490" i="1"/>
  <c r="O490" i="1" s="1"/>
  <c r="Q490" i="1" s="1"/>
  <c r="S490" i="1" l="1"/>
  <c r="U490" i="1" s="1"/>
  <c r="T490" i="1"/>
  <c r="V490" i="1" s="1"/>
  <c r="W490" i="1" l="1"/>
  <c r="X490" i="1" s="1"/>
  <c r="Y490" i="1" s="1"/>
  <c r="Z490" i="1" s="1"/>
  <c r="AA490" i="1" l="1"/>
  <c r="J491" i="1"/>
  <c r="M491" i="1"/>
  <c r="AB490" i="1" l="1"/>
  <c r="AC490" i="1" s="1"/>
  <c r="AD490" i="1" s="1"/>
  <c r="L491" i="1"/>
  <c r="K494" i="1"/>
  <c r="AF490" i="1" l="1"/>
  <c r="N491" i="1"/>
  <c r="O491" i="1" s="1"/>
  <c r="Q491" i="1" s="1"/>
  <c r="P491" i="1"/>
  <c r="R491" i="1" s="1"/>
  <c r="S491" i="1" l="1"/>
  <c r="T491" i="1"/>
  <c r="V491" i="1" s="1"/>
  <c r="U491" i="1" l="1"/>
  <c r="W491" i="1" l="1"/>
  <c r="X491" i="1" s="1"/>
  <c r="Y491" i="1" s="1"/>
  <c r="Z491" i="1" s="1"/>
  <c r="AA491" i="1" l="1"/>
  <c r="J492" i="1"/>
  <c r="L492" i="1" s="1"/>
  <c r="M492" i="1"/>
  <c r="AB491" i="1" l="1"/>
  <c r="AC491" i="1" s="1"/>
  <c r="AD491" i="1" s="1"/>
  <c r="K495" i="1"/>
  <c r="N492" i="1"/>
  <c r="O492" i="1" s="1"/>
  <c r="Q492" i="1" s="1"/>
  <c r="P492" i="1"/>
  <c r="R492" i="1" s="1"/>
  <c r="AF491" i="1" l="1"/>
  <c r="T492" i="1"/>
  <c r="V492" i="1" s="1"/>
  <c r="S492" i="1"/>
  <c r="U492" i="1" s="1"/>
  <c r="W492" i="1" l="1"/>
  <c r="X492" i="1" s="1"/>
  <c r="Y492" i="1" s="1"/>
  <c r="Z492" i="1" s="1"/>
  <c r="AA492" i="1" l="1"/>
  <c r="J493" i="1"/>
  <c r="M493" i="1"/>
  <c r="AB492" i="1" l="1"/>
  <c r="AC492" i="1" s="1"/>
  <c r="AD492" i="1" s="1"/>
  <c r="L493" i="1"/>
  <c r="K496" i="1"/>
  <c r="AF492" i="1" l="1"/>
  <c r="N493" i="1"/>
  <c r="O493" i="1" s="1"/>
  <c r="Q493" i="1" s="1"/>
  <c r="P493" i="1"/>
  <c r="R493" i="1" s="1"/>
  <c r="S493" i="1" l="1"/>
  <c r="U493" i="1" s="1"/>
  <c r="T493" i="1"/>
  <c r="V493" i="1" s="1"/>
  <c r="W493" i="1" l="1"/>
  <c r="X493" i="1" s="1"/>
  <c r="Y493" i="1" s="1"/>
  <c r="Z493" i="1" s="1"/>
  <c r="AA493" i="1" l="1"/>
  <c r="J494" i="1"/>
  <c r="M494" i="1"/>
  <c r="AB493" i="1" l="1"/>
  <c r="AC493" i="1" s="1"/>
  <c r="AD493" i="1" s="1"/>
  <c r="L494" i="1"/>
  <c r="K497" i="1"/>
  <c r="AF493" i="1" l="1"/>
  <c r="N494" i="1"/>
  <c r="O494" i="1" s="1"/>
  <c r="Q494" i="1" s="1"/>
  <c r="P494" i="1"/>
  <c r="R494" i="1" s="1"/>
  <c r="S494" i="1" l="1"/>
  <c r="U494" i="1" s="1"/>
  <c r="T494" i="1"/>
  <c r="V494" i="1" s="1"/>
  <c r="W494" i="1" l="1"/>
  <c r="X494" i="1" s="1"/>
  <c r="Y494" i="1" s="1"/>
  <c r="Z494" i="1" s="1"/>
  <c r="J495" i="1" l="1"/>
  <c r="AA494" i="1"/>
  <c r="M495" i="1"/>
  <c r="AB494" i="1" l="1"/>
  <c r="AC494" i="1" s="1"/>
  <c r="AD494" i="1" s="1"/>
  <c r="L495" i="1"/>
  <c r="K498" i="1"/>
  <c r="AF494" i="1" l="1"/>
  <c r="N495" i="1"/>
  <c r="O495" i="1" s="1"/>
  <c r="Q495" i="1" s="1"/>
  <c r="P495" i="1"/>
  <c r="R495" i="1" s="1"/>
  <c r="S495" i="1" l="1"/>
  <c r="U495" i="1" s="1"/>
  <c r="T495" i="1"/>
  <c r="V495" i="1" s="1"/>
  <c r="W495" i="1" l="1"/>
  <c r="X495" i="1" s="1"/>
  <c r="Y495" i="1" s="1"/>
  <c r="Z495" i="1" s="1"/>
  <c r="AA495" i="1" l="1"/>
  <c r="J496" i="1"/>
  <c r="M496" i="1"/>
  <c r="AB495" i="1" l="1"/>
  <c r="AC495" i="1" s="1"/>
  <c r="AD495" i="1" s="1"/>
  <c r="L496" i="1"/>
  <c r="K499" i="1"/>
  <c r="AF495" i="1" l="1"/>
  <c r="N496" i="1"/>
  <c r="O496" i="1" s="1"/>
  <c r="Q496" i="1" s="1"/>
  <c r="P496" i="1"/>
  <c r="R496" i="1" s="1"/>
  <c r="S496" i="1" l="1"/>
  <c r="U496" i="1" s="1"/>
  <c r="T496" i="1"/>
  <c r="V496" i="1" s="1"/>
  <c r="W496" i="1" l="1"/>
  <c r="X496" i="1" s="1"/>
  <c r="Y496" i="1" s="1"/>
  <c r="Z496" i="1" s="1"/>
  <c r="J497" i="1" l="1"/>
  <c r="AA496" i="1"/>
  <c r="M497" i="1"/>
  <c r="AB496" i="1" l="1"/>
  <c r="AC496" i="1" s="1"/>
  <c r="AD496" i="1" s="1"/>
  <c r="L497" i="1"/>
  <c r="K500" i="1"/>
  <c r="AF496" i="1" l="1"/>
  <c r="N497" i="1"/>
  <c r="O497" i="1" s="1"/>
  <c r="Q497" i="1" s="1"/>
  <c r="P497" i="1"/>
  <c r="R497" i="1" s="1"/>
  <c r="T497" i="1" l="1"/>
  <c r="V497" i="1" s="1"/>
  <c r="S497" i="1"/>
  <c r="U497" i="1" s="1"/>
  <c r="W497" i="1" s="1"/>
  <c r="X497" i="1" l="1"/>
  <c r="Y497" i="1" s="1"/>
  <c r="Z497" i="1" s="1"/>
  <c r="J498" i="1" l="1"/>
  <c r="AA497" i="1"/>
  <c r="M498" i="1"/>
  <c r="AB497" i="1" l="1"/>
  <c r="AC497" i="1" s="1"/>
  <c r="AD497" i="1" s="1"/>
  <c r="K501" i="1"/>
  <c r="L498" i="1"/>
  <c r="AF497" i="1" l="1"/>
  <c r="N498" i="1"/>
  <c r="O498" i="1" s="1"/>
  <c r="Q498" i="1" s="1"/>
  <c r="P498" i="1"/>
  <c r="R498" i="1" s="1"/>
  <c r="T498" i="1" l="1"/>
  <c r="V498" i="1" s="1"/>
  <c r="S498" i="1"/>
  <c r="U498" i="1" s="1"/>
  <c r="W498" i="1" l="1"/>
  <c r="X498" i="1" s="1"/>
  <c r="Y498" i="1" s="1"/>
  <c r="Z498" i="1" s="1"/>
  <c r="J499" i="1" l="1"/>
  <c r="AA498" i="1"/>
  <c r="M499" i="1"/>
  <c r="AB498" i="1" l="1"/>
  <c r="AC498" i="1" s="1"/>
  <c r="AD498" i="1" s="1"/>
  <c r="L499" i="1"/>
  <c r="K502" i="1"/>
  <c r="AF498" i="1" l="1"/>
  <c r="N499" i="1"/>
  <c r="O499" i="1" s="1"/>
  <c r="Q499" i="1" s="1"/>
  <c r="P499" i="1"/>
  <c r="R499" i="1" s="1"/>
  <c r="S499" i="1" l="1"/>
  <c r="U499" i="1" s="1"/>
  <c r="T499" i="1"/>
  <c r="V499" i="1" s="1"/>
  <c r="W499" i="1" l="1"/>
  <c r="X499" i="1" s="1"/>
  <c r="Y499" i="1" s="1"/>
  <c r="Z499" i="1" s="1"/>
  <c r="AA499" i="1" l="1"/>
  <c r="J500" i="1"/>
  <c r="M500" i="1"/>
  <c r="AB499" i="1" l="1"/>
  <c r="AC499" i="1" s="1"/>
  <c r="AD499" i="1" s="1"/>
  <c r="L500" i="1"/>
  <c r="K503" i="1"/>
  <c r="AF499" i="1" l="1"/>
  <c r="N500" i="1"/>
  <c r="O500" i="1" s="1"/>
  <c r="Q500" i="1" s="1"/>
  <c r="P500" i="1"/>
  <c r="R500" i="1" s="1"/>
  <c r="T500" i="1" l="1"/>
  <c r="V500" i="1" s="1"/>
  <c r="S500" i="1"/>
  <c r="U500" i="1" s="1"/>
  <c r="W500" i="1" s="1"/>
  <c r="X500" i="1" l="1"/>
  <c r="Y500" i="1" s="1"/>
  <c r="Z500" i="1" s="1"/>
  <c r="J501" i="1" l="1"/>
  <c r="L501" i="1" s="1"/>
  <c r="AA500" i="1"/>
  <c r="M501" i="1"/>
  <c r="AB500" i="1" l="1"/>
  <c r="AC500" i="1" s="1"/>
  <c r="AD500" i="1" s="1"/>
  <c r="P501" i="1"/>
  <c r="R501" i="1" s="1"/>
  <c r="N501" i="1"/>
  <c r="O501" i="1" s="1"/>
  <c r="Q501" i="1" s="1"/>
  <c r="AF500" i="1" l="1"/>
  <c r="S501" i="1"/>
  <c r="U501" i="1" s="1"/>
  <c r="T501" i="1"/>
  <c r="V501" i="1" s="1"/>
  <c r="W501" i="1" l="1"/>
  <c r="X501" i="1" s="1"/>
  <c r="Y501" i="1" s="1"/>
  <c r="Z501" i="1" s="1"/>
  <c r="AA501" i="1" l="1"/>
  <c r="J502" i="1"/>
  <c r="L502" i="1" s="1"/>
  <c r="M502" i="1"/>
  <c r="AB501" i="1" l="1"/>
  <c r="AC501" i="1" s="1"/>
  <c r="AD501" i="1" s="1"/>
  <c r="P502" i="1"/>
  <c r="R502" i="1" s="1"/>
  <c r="N502" i="1"/>
  <c r="O502" i="1" s="1"/>
  <c r="Q502" i="1" s="1"/>
  <c r="AF501" i="1" l="1"/>
  <c r="T502" i="1"/>
  <c r="V502" i="1" s="1"/>
  <c r="S502" i="1"/>
  <c r="U502" i="1" l="1"/>
  <c r="W502" i="1" s="1"/>
  <c r="X502" i="1" l="1"/>
  <c r="Y502" i="1" s="1"/>
  <c r="Z502" i="1" s="1"/>
  <c r="AA502" i="1" l="1"/>
  <c r="J503" i="1"/>
  <c r="L503" i="1" s="1"/>
  <c r="M503" i="1"/>
  <c r="AB502" i="1" l="1"/>
  <c r="AC502" i="1" s="1"/>
  <c r="AD502" i="1" s="1"/>
  <c r="N503" i="1"/>
  <c r="O503" i="1" s="1"/>
  <c r="Q503" i="1" s="1"/>
  <c r="P503" i="1"/>
  <c r="R503" i="1" s="1"/>
  <c r="AF502" i="1" l="1"/>
  <c r="T503" i="1"/>
  <c r="V503" i="1" s="1"/>
  <c r="S503" i="1"/>
  <c r="U503" i="1" s="1"/>
  <c r="W503" i="1" l="1"/>
  <c r="X503" i="1" s="1"/>
  <c r="Y503" i="1" s="1"/>
  <c r="Z503" i="1" s="1"/>
  <c r="AA503" i="1" l="1"/>
  <c r="AB503" i="1" l="1"/>
  <c r="AC503" i="1" s="1"/>
  <c r="AD503" i="1" s="1"/>
  <c r="AF50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" authorId="0" shapeId="0" xr:uid="{CC3E627D-4BC7-421B-B261-9DF8131A215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This doesn't considers that all the columns in these rows to the right also would need some kind of "hint" value.  It doesn't work for improving initial indicator values.</t>
        </r>
      </text>
    </comment>
  </commentList>
</comments>
</file>

<file path=xl/sharedStrings.xml><?xml version="1.0" encoding="utf-8"?>
<sst xmlns="http://schemas.openxmlformats.org/spreadsheetml/2006/main" count="39" uniqueCount="34">
  <si>
    <t>date</t>
  </si>
  <si>
    <t>open</t>
  </si>
  <si>
    <t>high</t>
  </si>
  <si>
    <t>low</t>
  </si>
  <si>
    <t>close</t>
  </si>
  <si>
    <t>volume</t>
  </si>
  <si>
    <t>period</t>
  </si>
  <si>
    <t>smooth</t>
  </si>
  <si>
    <t>detrender</t>
  </si>
  <si>
    <t>I1</t>
  </si>
  <si>
    <t>Q1</t>
  </si>
  <si>
    <t>jI</t>
  </si>
  <si>
    <t>JQ</t>
  </si>
  <si>
    <t>I2</t>
  </si>
  <si>
    <t>Q2</t>
  </si>
  <si>
    <t>Re</t>
  </si>
  <si>
    <t>Im</t>
  </si>
  <si>
    <t>price</t>
  </si>
  <si>
    <t>Im'</t>
  </si>
  <si>
    <t>Re'</t>
  </si>
  <si>
    <t>I2'</t>
  </si>
  <si>
    <t>Q2'</t>
  </si>
  <si>
    <t>pd-atan</t>
  </si>
  <si>
    <t>pd-limit1</t>
  </si>
  <si>
    <t>pd-limit2</t>
  </si>
  <si>
    <t>Trendline</t>
  </si>
  <si>
    <t>SmPrice</t>
  </si>
  <si>
    <t>iTrend</t>
  </si>
  <si>
    <t>Date</t>
  </si>
  <si>
    <t>SmPd</t>
  </si>
  <si>
    <t>PdInt</t>
  </si>
  <si>
    <t>i</t>
  </si>
  <si>
    <t>DiffTR</t>
  </si>
  <si>
    <t>DiffSm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</si>
</sst>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_(&quot;$&quot;* #,##0.000_);_(&quot;$&quot;* \(#,##0.000\);_(&quot;$&quot;* &quot;-&quot;??_);_(@_)"/>
    <numFmt numFmtId="170" formatCode="0.00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3"/>
      <name val="Calibri"/>
      <family val="2"/>
      <scheme val="minor"/>
    </font>
    <font>
      <i/>
      <sz val="11"/>
      <color theme="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65" fontId="0" fillId="0" borderId="0" xfId="1" applyNumberFormat="1" applyFont="1" applyAlignment="1">
      <alignment horizontal="right"/>
    </xf>
    <xf numFmtId="44" fontId="0" fillId="0" borderId="0" xfId="2" applyFont="1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right"/>
    </xf>
    <xf numFmtId="43" fontId="0" fillId="0" borderId="0" xfId="1" applyFont="1"/>
    <xf numFmtId="43" fontId="1" fillId="18" borderId="0" xfId="29" applyNumberFormat="1" applyAlignment="1">
      <alignment horizontal="right"/>
    </xf>
    <xf numFmtId="43" fontId="19" fillId="0" borderId="0" xfId="1" applyFont="1" applyAlignment="1">
      <alignment horizontal="right"/>
    </xf>
    <xf numFmtId="167" fontId="0" fillId="0" borderId="0" xfId="1" applyNumberFormat="1" applyFont="1" applyAlignment="1">
      <alignment horizontal="center"/>
    </xf>
    <xf numFmtId="167" fontId="0" fillId="0" borderId="0" xfId="1" applyNumberFormat="1" applyFont="1" applyAlignment="1">
      <alignment horizontal="right"/>
    </xf>
    <xf numFmtId="167" fontId="0" fillId="0" borderId="0" xfId="1" applyNumberFormat="1" applyFont="1"/>
    <xf numFmtId="167" fontId="1" fillId="32" borderId="0" xfId="43" applyNumberFormat="1" applyAlignment="1">
      <alignment horizontal="right"/>
    </xf>
    <xf numFmtId="167" fontId="1" fillId="18" borderId="0" xfId="29" applyNumberFormat="1" applyAlignment="1">
      <alignment horizontal="right"/>
    </xf>
    <xf numFmtId="167" fontId="20" fillId="32" borderId="0" xfId="43" applyNumberFormat="1" applyFont="1" applyAlignment="1">
      <alignment horizontal="right"/>
    </xf>
    <xf numFmtId="167" fontId="19" fillId="0" borderId="0" xfId="1" applyNumberFormat="1" applyFont="1" applyAlignment="1">
      <alignment horizontal="right"/>
    </xf>
    <xf numFmtId="165" fontId="1" fillId="18" borderId="0" xfId="1" applyNumberFormat="1" applyFill="1" applyAlignment="1">
      <alignment horizontal="right"/>
    </xf>
    <xf numFmtId="165" fontId="0" fillId="0" borderId="0" xfId="1" applyNumberFormat="1" applyFont="1"/>
    <xf numFmtId="166" fontId="0" fillId="0" borderId="0" xfId="1" applyNumberFormat="1" applyFont="1" applyAlignment="1">
      <alignment horizontal="center"/>
    </xf>
    <xf numFmtId="166" fontId="0" fillId="0" borderId="0" xfId="1" applyNumberFormat="1" applyFont="1" applyAlignment="1">
      <alignment horizontal="right"/>
    </xf>
    <xf numFmtId="166" fontId="0" fillId="0" borderId="0" xfId="1" applyNumberFormat="1" applyFont="1"/>
    <xf numFmtId="167" fontId="20" fillId="18" borderId="0" xfId="29" applyNumberFormat="1" applyFont="1" applyAlignment="1">
      <alignment horizontal="right"/>
    </xf>
    <xf numFmtId="167" fontId="21" fillId="0" borderId="0" xfId="1" applyNumberFormat="1" applyFont="1" applyAlignment="1">
      <alignment horizontal="right"/>
    </xf>
    <xf numFmtId="165" fontId="21" fillId="0" borderId="0" xfId="1" applyNumberFormat="1" applyFont="1" applyAlignment="1">
      <alignment horizontal="right"/>
    </xf>
    <xf numFmtId="167" fontId="21" fillId="32" borderId="0" xfId="43" applyNumberFormat="1" applyFont="1" applyAlignment="1">
      <alignment horizontal="right"/>
    </xf>
    <xf numFmtId="168" fontId="0" fillId="0" borderId="0" xfId="2" applyNumberFormat="1" applyFont="1" applyAlignment="1">
      <alignment horizontal="center"/>
    </xf>
    <xf numFmtId="168" fontId="0" fillId="0" borderId="0" xfId="2" applyNumberFormat="1" applyFont="1" applyAlignment="1">
      <alignment horizontal="right"/>
    </xf>
    <xf numFmtId="165" fontId="22" fillId="0" borderId="0" xfId="1" applyNumberFormat="1" applyFont="1" applyAlignment="1">
      <alignment horizontal="right"/>
    </xf>
    <xf numFmtId="43" fontId="1" fillId="18" borderId="0" xfId="1" applyFill="1" applyAlignment="1">
      <alignment horizontal="right"/>
    </xf>
    <xf numFmtId="43" fontId="21" fillId="0" borderId="0" xfId="1" applyFont="1" applyAlignment="1">
      <alignment horizontal="right"/>
    </xf>
    <xf numFmtId="43" fontId="22" fillId="0" borderId="0" xfId="1" applyFont="1" applyAlignment="1">
      <alignment horizontal="right"/>
    </xf>
    <xf numFmtId="167" fontId="24" fillId="18" borderId="0" xfId="29" applyNumberFormat="1" applyFont="1" applyAlignment="1">
      <alignment horizontal="right"/>
    </xf>
    <xf numFmtId="167" fontId="24" fillId="32" borderId="0" xfId="43" applyNumberFormat="1" applyFont="1" applyAlignment="1">
      <alignment horizontal="right"/>
    </xf>
    <xf numFmtId="22" fontId="0" fillId="0" borderId="0" xfId="0" applyNumberFormat="1"/>
    <xf numFmtId="170" fontId="0" fillId="0" borderId="0" xfId="0" applyNumberFormat="1"/>
    <xf numFmtId="166" fontId="23" fillId="33" borderId="0" xfId="29" applyNumberFormat="1" applyFont="1" applyFill="1" applyAlignment="1">
      <alignment horizontal="right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(* #,##0.0000_);_(* \(#,##0.0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.000_);_(* \(#,##0.0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&quot;$&quot;* #,##0.000_);_(&quot;$&quot;* \(#,##0.000\);_(&quot;$&quot;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numFmt numFmtId="164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8A93B-7DCD-4B08-81FC-F6E776229EB3}" name="testdata" displayName="testdata" ref="A1:AE503" totalsRowShown="0" headerRowDxfId="38" dataDxfId="37" headerRowCellStyle="Currency" dataCellStyle="Currency">
  <sortState xmlns:xlrd2="http://schemas.microsoft.com/office/spreadsheetml/2017/richdata2" ref="B2:G503">
    <sortCondition ref="B2"/>
  </sortState>
  <tableColumns count="31">
    <tableColumn id="9" xr3:uid="{9F699A46-4958-42A4-A5C9-B52EB0EE585B}" name="i" dataDxfId="36" dataCellStyle="Currency"/>
    <tableColumn id="2" xr3:uid="{870234D4-B88D-4DBC-B1B5-A3A328FCAA43}" name="date" dataDxfId="35"/>
    <tableColumn id="3" xr3:uid="{EF611352-AF5A-4141-B3FC-D86820A763EA}" name="open" dataDxfId="34" dataCellStyle="Currency"/>
    <tableColumn id="4" xr3:uid="{74B28648-F2A3-4493-9B04-FE02A7EBAE5E}" name="high" dataDxfId="33" dataCellStyle="Currency"/>
    <tableColumn id="5" xr3:uid="{F6126363-2529-4BAC-9F69-0710D7A587F6}" name="low" dataDxfId="32" dataCellStyle="Currency"/>
    <tableColumn id="6" xr3:uid="{1625C5E8-2802-4281-81F5-7308EFB9EB0C}" name="close" dataDxfId="31" dataCellStyle="Currency"/>
    <tableColumn id="7" xr3:uid="{9D524E41-7E60-45BD-80C8-513C8040D514}" name="volume" dataDxfId="30" dataCellStyle="Comma"/>
    <tableColumn id="26" xr3:uid="{2B12563B-9666-4EDF-80F2-A0FA32957C02}" name="price" dataDxfId="29" dataCellStyle="Currency">
      <calculatedColumnFormula>(testdata[[#This Row],[high]]+testdata[[#This Row],[low]])/2</calculatedColumnFormula>
    </tableColumn>
    <tableColumn id="10" xr3:uid="{BCAF1C39-3751-4A70-B4F4-7A3E7CDCCE35}" name="smooth" dataDxfId="28" dataCellStyle="Comma"/>
    <tableColumn id="11" xr3:uid="{2ACA4CFB-1C8B-4C53-8A45-76D16640A320}" name="detrender" dataDxfId="27" dataCellStyle="Comma"/>
    <tableColumn id="12" xr3:uid="{50D8A4F0-2076-47DB-A795-64FDA7A9096D}" name="I1" dataDxfId="26" dataCellStyle="Comma"/>
    <tableColumn id="13" xr3:uid="{FF2D2616-A2F5-4084-AB89-8266946831E4}" name="Q1" dataDxfId="25" dataCellStyle="Comma"/>
    <tableColumn id="14" xr3:uid="{174EFDE3-C083-4E8F-8A91-D0149A3521FF}" name="jI" dataDxfId="24" dataCellStyle="Comma"/>
    <tableColumn id="15" xr3:uid="{B48BAC56-178E-4A51-99A2-5FA457D89CF4}" name="JQ" dataDxfId="23" dataCellStyle="Comma"/>
    <tableColumn id="16" xr3:uid="{3B358F0D-A371-470A-AD3C-8C25A2691BC1}" name="I2" dataDxfId="22" dataCellStyle="Comma">
      <calculatedColumnFormula>testdata[[#This Row],[I1]]-testdata[[#This Row],[JQ]]</calculatedColumnFormula>
    </tableColumn>
    <tableColumn id="17" xr3:uid="{CFA10118-3C19-448F-A780-A62543ECFBA7}" name="Q2" dataDxfId="21" dataCellStyle="Comma">
      <calculatedColumnFormula>testdata[[#This Row],[Q1]]+testdata[[#This Row],[jI]]</calculatedColumnFormula>
    </tableColumn>
    <tableColumn id="27" xr3:uid="{17D86CA1-CEBF-44CD-AB46-9D92D02A37A3}" name="I2'" dataDxfId="20" dataCellStyle="Comma">
      <calculatedColumnFormula>0.2*testdata[[#This Row],[I2]]+0.8*O1</calculatedColumnFormula>
    </tableColumn>
    <tableColumn id="28" xr3:uid="{6B37EE35-77C0-49D5-B99B-AD2B9960FE72}" name="Q2'" dataDxfId="19" dataCellStyle="Comma">
      <calculatedColumnFormula>0.2*testdata[[#This Row],[Q2]]+0.8*P1</calculatedColumnFormula>
    </tableColumn>
    <tableColumn id="18" xr3:uid="{A268DAF5-4457-4125-9988-536834387B9F}" name="Re" dataDxfId="18" dataCellStyle="Comma">
      <calculatedColumnFormula>testdata[[#This Row],[I2'']]*Q1+testdata[[#This Row],[Q2'']]*R1</calculatedColumnFormula>
    </tableColumn>
    <tableColumn id="19" xr3:uid="{E66932CA-FAAD-497E-86CF-9F4E9753F094}" name="Im" dataDxfId="17" dataCellStyle="Comma">
      <calculatedColumnFormula>testdata[[#This Row],[I2'']]*R1-testdata[[#This Row],[Q2'']]*Q1</calculatedColumnFormula>
    </tableColumn>
    <tableColumn id="29" xr3:uid="{91453882-A3E1-40BD-AE8A-261F6EDC2B70}" name="Re'" dataDxfId="16" dataCellStyle="Comma">
      <calculatedColumnFormula>0.2*testdata[[#This Row],[Re]]+0.8*S1</calculatedColumnFormula>
    </tableColumn>
    <tableColumn id="30" xr3:uid="{4496D83D-C0E6-4D72-AFD5-3B3228F8DCF1}" name="Im'" dataDxfId="15" dataCellStyle="Comma">
      <calculatedColumnFormula>0.2*testdata[[#This Row],[Im]]+0.8*T1</calculatedColumnFormula>
    </tableColumn>
    <tableColumn id="31" xr3:uid="{17C54E51-17EB-4B7F-AFD4-B01E76A4FD15}" name="pd-atan" dataDxfId="14" dataCellStyle="Comma">
      <calculatedColumnFormula>IF(AND(testdata[[#This Row],[Re'']]&lt;&gt;0,testdata[[#This Row],[Im'']]&lt;&gt;0),360/ATAN(testdata[[#This Row],[Im'']]/testdata[[#This Row],[Re'']]),"")</calculatedColumnFormula>
    </tableColumn>
    <tableColumn id="32" xr3:uid="{1E152BE4-E16F-454F-8A7A-5579D9978C14}" name="pd-limit1" dataDxfId="13" dataCellStyle="Comma">
      <calculatedColumnFormula>IF(testdata[[#This Row],[pd-atan]]&gt;1.5*W1,1.5*W1,IF(testdata[[#This Row],[pd-atan]]&lt;0.67*W1,0.67*W1,testdata[[#This Row],[pd-atan]]))</calculatedColumnFormula>
    </tableColumn>
    <tableColumn id="33" xr3:uid="{14B36BE5-E5D7-41C8-8E85-9D981584B978}" name="pd-limit2" dataDxfId="12" dataCellStyle="Comma">
      <calculatedColumnFormula>IF(testdata[[#This Row],[pd-limit1]]&lt;6,6,IF(testdata[[#This Row],[pd-limit1]]&gt;50,50,testdata[[#This Row],[pd-limit1]]))</calculatedColumnFormula>
    </tableColumn>
    <tableColumn id="1" xr3:uid="{C4EE99BF-FC94-469E-935C-7ECB9BC03D6D}" name="period" dataDxfId="11" dataCellStyle="Comma"/>
    <tableColumn id="20" xr3:uid="{18A13BB2-0C93-473C-B5E1-1F9C99D6B982}" name="SmPd" dataDxfId="10" dataCellStyle="Comma"/>
    <tableColumn id="23" xr3:uid="{B017C577-E823-41AE-A3D6-4F70C0A2D234}" name="PdInt" dataDxfId="9" dataCellStyle="Comma">
      <calculatedColumnFormula>ROUND(#REF!+0.5,0)</calculatedColumnFormula>
    </tableColumn>
    <tableColumn id="22" xr3:uid="{5799DCAF-29CF-41E7-B6A5-4EC8BDB7F949}" name="iTrend" dataDxfId="8" dataCellStyle="Comma"/>
    <tableColumn id="24" xr3:uid="{3A039427-49D2-4805-BE26-4DF5BF09A499}" name="Trendline" dataDxfId="7" dataCellStyle="Comma"/>
    <tableColumn id="25" xr3:uid="{3A5E60E9-01A4-4724-94BD-FF9E0685152B}" name="SmPrice" dataDxfId="6" dataCellStyle="Comma">
      <calculatedColumnFormula>0.5*#REF!*testdata[[#This Row],[Trendline]]+(1-0.5*#REF!)*AE1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83AC02-87D7-4C5C-A0E7-40960334C981}" name="Table3" displayName="Table3" ref="AG1:AL503" totalsRowShown="0">
  <tableColumns count="6">
    <tableColumn id="1" xr3:uid="{D2782BD1-4615-42C4-ACB8-857C3A416D75}" name="Date" dataDxfId="5"/>
    <tableColumn id="5" xr3:uid="{6FF4C1A3-B55D-43BD-A6FD-9C76960655CD}" name="SmPd" dataDxfId="4" dataCellStyle="Comma"/>
    <tableColumn id="6" xr3:uid="{25EE2B19-F4A9-4AF8-BAD1-2E1475B3008A}" name="PdInt" dataDxfId="3" dataCellStyle="Comma"/>
    <tableColumn id="2" xr3:uid="{4681CFA2-914E-4AB5-973C-2777B52D447F}" name="iTrend" dataDxfId="2" dataCellStyle="Comma"/>
    <tableColumn id="3" xr3:uid="{B28689B3-36FC-435C-87AE-A771187BDD52}" name="Trendline" dataDxfId="1" dataCellStyle="Comma"/>
    <tableColumn id="4" xr3:uid="{499FA297-10BD-410D-98F7-852769AA200C}" name="SmPrice" dataDxfId="0" dataCellStyle="Comma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503"/>
  <sheetViews>
    <sheetView tabSelected="1" workbookViewId="0">
      <pane xSplit="8" ySplit="1" topLeftCell="I2" activePane="bottomRight" state="frozenSplit"/>
      <selection pane="topRight" activeCell="I1" sqref="I1"/>
      <selection pane="bottomLeft" activeCell="B2" sqref="B2"/>
      <selection pane="bottomRight" activeCell="N6" sqref="N6"/>
    </sheetView>
  </sheetViews>
  <sheetFormatPr defaultRowHeight="14.5" x14ac:dyDescent="0.35"/>
  <cols>
    <col min="1" max="1" width="6" style="7" bestFit="1" customWidth="1"/>
    <col min="2" max="2" width="10.7265625" style="3" customWidth="1"/>
    <col min="3" max="6" width="10.7265625" style="2" hidden="1" customWidth="1"/>
    <col min="7" max="7" width="14.26953125" style="1" hidden="1" customWidth="1"/>
    <col min="8" max="8" width="10.7265625" style="30" customWidth="1"/>
    <col min="9" max="9" width="9.36328125" style="24" bestFit="1" customWidth="1"/>
    <col min="10" max="10" width="9.1796875" style="10"/>
    <col min="11" max="11" width="10" style="15" bestFit="1" customWidth="1"/>
    <col min="12" max="12" width="9.7265625" style="15" bestFit="1" customWidth="1"/>
    <col min="13" max="13" width="8" style="10" bestFit="1" customWidth="1"/>
    <col min="14" max="15" width="8.7265625" style="10" bestFit="1" customWidth="1"/>
    <col min="16" max="16" width="8" style="10" bestFit="1" customWidth="1"/>
    <col min="17" max="17" width="8.7265625" style="10" bestFit="1" customWidth="1"/>
    <col min="18" max="18" width="8" style="10" bestFit="1" customWidth="1"/>
    <col min="19" max="19" width="11.54296875" style="10" bestFit="1" customWidth="1"/>
    <col min="20" max="20" width="11.26953125" style="10" bestFit="1" customWidth="1"/>
    <col min="21" max="21" width="11.54296875" style="10" bestFit="1" customWidth="1"/>
    <col min="22" max="22" width="11.26953125" style="10" bestFit="1" customWidth="1"/>
    <col min="23" max="23" width="13.26953125" style="10" bestFit="1" customWidth="1"/>
    <col min="24" max="24" width="10.54296875" style="10" bestFit="1" customWidth="1"/>
    <col min="25" max="25" width="9.54296875" style="10" customWidth="1"/>
    <col min="26" max="26" width="9.1796875" style="15"/>
    <col min="27" max="27" width="9" style="15" bestFit="1" customWidth="1"/>
    <col min="28" max="28" width="7.81640625" style="21" bestFit="1" customWidth="1"/>
    <col min="29" max="31" width="10" style="15" bestFit="1" customWidth="1"/>
    <col min="32" max="32" width="3.7265625" customWidth="1"/>
    <col min="33" max="33" width="10.7265625" style="3" customWidth="1"/>
    <col min="34" max="34" width="9" style="15" bestFit="1" customWidth="1"/>
    <col min="35" max="35" width="7.81640625" style="10" bestFit="1" customWidth="1"/>
    <col min="36" max="38" width="10" style="15" bestFit="1" customWidth="1"/>
    <col min="40" max="40" width="10" style="38" bestFit="1" customWidth="1"/>
    <col min="41" max="41" width="9.36328125" style="38" bestFit="1" customWidth="1"/>
    <col min="43" max="43" width="14.54296875" bestFit="1" customWidth="1"/>
    <col min="44" max="44" width="2.81640625" bestFit="1" customWidth="1"/>
    <col min="45" max="45" width="11.81640625" bestFit="1" customWidth="1"/>
    <col min="46" max="46" width="8.81640625" bestFit="1" customWidth="1"/>
    <col min="48" max="48" width="14.54296875" bestFit="1" customWidth="1"/>
    <col min="49" max="49" width="2.81640625" bestFit="1" customWidth="1"/>
    <col min="50" max="50" width="11.81640625" bestFit="1" customWidth="1"/>
    <col min="51" max="51" width="8.81640625" bestFit="1" customWidth="1"/>
    <col min="53" max="53" width="10" style="38" bestFit="1" customWidth="1"/>
    <col min="54" max="54" width="9.36328125" style="38" bestFit="1" customWidth="1"/>
  </cols>
  <sheetData>
    <row r="1" spans="1:54" x14ac:dyDescent="0.35">
      <c r="A1" s="6" t="s">
        <v>31</v>
      </c>
      <c r="B1" s="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4" t="s">
        <v>5</v>
      </c>
      <c r="H1" s="29" t="s">
        <v>17</v>
      </c>
      <c r="I1" s="22" t="s">
        <v>7</v>
      </c>
      <c r="J1" s="8" t="s">
        <v>8</v>
      </c>
      <c r="K1" s="13" t="s">
        <v>9</v>
      </c>
      <c r="L1" s="13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20</v>
      </c>
      <c r="R1" s="8" t="s">
        <v>21</v>
      </c>
      <c r="S1" s="8" t="s">
        <v>15</v>
      </c>
      <c r="T1" s="8" t="s">
        <v>16</v>
      </c>
      <c r="U1" s="8" t="s">
        <v>19</v>
      </c>
      <c r="V1" s="8" t="s">
        <v>18</v>
      </c>
      <c r="W1" s="8" t="s">
        <v>22</v>
      </c>
      <c r="X1" s="8" t="s">
        <v>23</v>
      </c>
      <c r="Y1" s="8" t="s">
        <v>24</v>
      </c>
      <c r="Z1" s="13" t="s">
        <v>6</v>
      </c>
      <c r="AA1" s="13" t="s">
        <v>29</v>
      </c>
      <c r="AB1" s="4" t="s">
        <v>30</v>
      </c>
      <c r="AC1" s="13" t="s">
        <v>27</v>
      </c>
      <c r="AD1" s="13" t="s">
        <v>25</v>
      </c>
      <c r="AE1" s="13" t="s">
        <v>26</v>
      </c>
      <c r="AG1" s="3" t="s">
        <v>28</v>
      </c>
      <c r="AH1" s="13" t="s">
        <v>29</v>
      </c>
      <c r="AI1" s="8" t="s">
        <v>30</v>
      </c>
      <c r="AJ1" s="13" t="s">
        <v>27</v>
      </c>
      <c r="AK1" s="13" t="s">
        <v>25</v>
      </c>
      <c r="AL1" s="13" t="s">
        <v>26</v>
      </c>
      <c r="AN1" s="38" t="s">
        <v>32</v>
      </c>
      <c r="AO1" s="38" t="s">
        <v>33</v>
      </c>
    </row>
    <row r="2" spans="1:54" x14ac:dyDescent="0.35">
      <c r="A2" s="6">
        <v>0</v>
      </c>
      <c r="B2" s="3">
        <v>42738</v>
      </c>
      <c r="C2" s="2">
        <v>212.61</v>
      </c>
      <c r="D2" s="2">
        <v>213.35</v>
      </c>
      <c r="E2" s="2">
        <v>211.52</v>
      </c>
      <c r="F2" s="2">
        <v>212.8</v>
      </c>
      <c r="G2" s="1">
        <v>96708880</v>
      </c>
      <c r="H2" s="30">
        <f>(testdata[[#This Row],[high]]+testdata[[#This Row],[low]])/2</f>
        <v>212.435</v>
      </c>
      <c r="I2" s="39">
        <f>testdata[[#This Row],[price]]</f>
        <v>212.435</v>
      </c>
      <c r="J2" s="11">
        <v>0</v>
      </c>
      <c r="K2" s="17">
        <v>0</v>
      </c>
      <c r="L2" s="17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/>
      <c r="Z2" s="17"/>
      <c r="AA2" s="11"/>
      <c r="AB2" s="20"/>
      <c r="AC2" s="11"/>
      <c r="AD2" s="25"/>
      <c r="AE2" s="35"/>
      <c r="AH2" s="11"/>
      <c r="AI2" s="32"/>
      <c r="AJ2" s="11"/>
      <c r="AK2" s="25"/>
      <c r="AL2" s="25"/>
      <c r="AQ2" s="37">
        <v>42738</v>
      </c>
      <c r="AS2">
        <v>212.435</v>
      </c>
      <c r="AV2" s="37">
        <v>42738</v>
      </c>
      <c r="AX2">
        <v>212.435</v>
      </c>
    </row>
    <row r="3" spans="1:54" x14ac:dyDescent="0.35">
      <c r="A3" s="6">
        <v>1</v>
      </c>
      <c r="B3" s="3">
        <v>42739</v>
      </c>
      <c r="C3" s="2">
        <v>213.16</v>
      </c>
      <c r="D3" s="2">
        <v>214.22</v>
      </c>
      <c r="E3" s="2">
        <v>213.15</v>
      </c>
      <c r="F3" s="2">
        <v>214.06</v>
      </c>
      <c r="G3" s="1">
        <v>83348752</v>
      </c>
      <c r="H3" s="30">
        <f>(testdata[[#This Row],[high]]+testdata[[#This Row],[low]])/2</f>
        <v>213.685</v>
      </c>
      <c r="I3" s="39">
        <f>testdata[[#This Row],[price]]</f>
        <v>213.685</v>
      </c>
      <c r="J3" s="11">
        <v>0</v>
      </c>
      <c r="K3" s="17">
        <v>0</v>
      </c>
      <c r="L3" s="17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/>
      <c r="Z3" s="17"/>
      <c r="AA3" s="11"/>
      <c r="AB3" s="20"/>
      <c r="AC3" s="11"/>
      <c r="AD3" s="25"/>
      <c r="AE3" s="35"/>
      <c r="AH3" s="11"/>
      <c r="AI3" s="32"/>
      <c r="AJ3" s="11"/>
      <c r="AK3" s="25"/>
      <c r="AL3" s="25"/>
      <c r="AQ3" s="37">
        <v>42739</v>
      </c>
      <c r="AS3">
        <v>213.685</v>
      </c>
      <c r="AV3" s="37">
        <v>42739</v>
      </c>
      <c r="AX3">
        <v>213.685</v>
      </c>
    </row>
    <row r="4" spans="1:54" x14ac:dyDescent="0.35">
      <c r="A4" s="6">
        <v>2</v>
      </c>
      <c r="B4" s="3">
        <v>42740</v>
      </c>
      <c r="C4" s="2">
        <v>213.77</v>
      </c>
      <c r="D4" s="2">
        <v>214.06</v>
      </c>
      <c r="E4" s="2">
        <v>213.02</v>
      </c>
      <c r="F4" s="2">
        <v>213.89</v>
      </c>
      <c r="G4" s="1">
        <v>82961968</v>
      </c>
      <c r="H4" s="30">
        <f>(testdata[[#This Row],[high]]+testdata[[#This Row],[low]])/2</f>
        <v>213.54000000000002</v>
      </c>
      <c r="I4" s="39">
        <f>testdata[[#This Row],[price]]</f>
        <v>213.54000000000002</v>
      </c>
      <c r="J4" s="11">
        <v>0</v>
      </c>
      <c r="K4" s="17">
        <v>0</v>
      </c>
      <c r="L4" s="17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/>
      <c r="Z4" s="17"/>
      <c r="AA4" s="11"/>
      <c r="AB4" s="20"/>
      <c r="AC4" s="11"/>
      <c r="AD4" s="25"/>
      <c r="AE4" s="35"/>
      <c r="AH4" s="11"/>
      <c r="AI4" s="32"/>
      <c r="AJ4" s="11"/>
      <c r="AK4" s="25"/>
      <c r="AL4" s="25"/>
      <c r="AQ4" s="37">
        <v>42740</v>
      </c>
      <c r="AS4">
        <v>213.54</v>
      </c>
      <c r="AV4" s="37">
        <v>42740</v>
      </c>
      <c r="AX4">
        <v>213.54</v>
      </c>
    </row>
    <row r="5" spans="1:54" x14ac:dyDescent="0.35">
      <c r="A5" s="6">
        <v>3</v>
      </c>
      <c r="B5" s="3">
        <v>42741</v>
      </c>
      <c r="C5" s="2">
        <v>214.02</v>
      </c>
      <c r="D5" s="2">
        <v>215.17</v>
      </c>
      <c r="E5" s="2">
        <v>213.42</v>
      </c>
      <c r="F5" s="2">
        <v>214.66</v>
      </c>
      <c r="G5" s="1">
        <v>75744152</v>
      </c>
      <c r="H5" s="30">
        <f>(testdata[[#This Row],[high]]+testdata[[#This Row],[low]])/2</f>
        <v>214.29499999999999</v>
      </c>
      <c r="I5" s="39">
        <f>testdata[[#This Row],[price]]</f>
        <v>214.29499999999999</v>
      </c>
      <c r="J5" s="11">
        <v>0</v>
      </c>
      <c r="K5" s="17">
        <v>0</v>
      </c>
      <c r="L5" s="17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/>
      <c r="Z5" s="17"/>
      <c r="AA5" s="11"/>
      <c r="AB5" s="20"/>
      <c r="AC5" s="11"/>
      <c r="AD5" s="25"/>
      <c r="AE5" s="35"/>
      <c r="AH5" s="11"/>
      <c r="AI5" s="32"/>
      <c r="AJ5" s="11"/>
      <c r="AK5" s="25"/>
      <c r="AL5" s="25"/>
      <c r="AQ5" s="37">
        <v>42741</v>
      </c>
      <c r="AS5">
        <v>214.29499999999999</v>
      </c>
      <c r="AV5" s="37">
        <v>42741</v>
      </c>
      <c r="AX5">
        <v>214.29499999999999</v>
      </c>
    </row>
    <row r="6" spans="1:54" x14ac:dyDescent="0.35">
      <c r="A6" s="6">
        <v>4</v>
      </c>
      <c r="B6" s="3">
        <v>42744</v>
      </c>
      <c r="C6" s="2">
        <v>214.38</v>
      </c>
      <c r="D6" s="2">
        <v>214.53</v>
      </c>
      <c r="E6" s="2">
        <v>213.91</v>
      </c>
      <c r="F6" s="2">
        <v>213.95</v>
      </c>
      <c r="G6" s="1">
        <v>49684316</v>
      </c>
      <c r="H6" s="30">
        <f>(testdata[[#This Row],[high]]+testdata[[#This Row],[low]])/2</f>
        <v>214.22</v>
      </c>
      <c r="I6" s="39">
        <f>testdata[[#This Row],[price]]</f>
        <v>214.22</v>
      </c>
      <c r="J6" s="11">
        <v>0</v>
      </c>
      <c r="K6" s="17">
        <v>0</v>
      </c>
      <c r="L6" s="17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/>
      <c r="Z6" s="17"/>
      <c r="AA6" s="11"/>
      <c r="AB6" s="20"/>
      <c r="AC6" s="11"/>
      <c r="AD6" s="25"/>
      <c r="AE6" s="36"/>
      <c r="AH6" s="11"/>
      <c r="AI6" s="32"/>
      <c r="AJ6" s="11"/>
      <c r="AK6" s="25"/>
      <c r="AL6" s="25"/>
      <c r="AQ6" s="37">
        <v>42744</v>
      </c>
      <c r="AS6">
        <v>214.22</v>
      </c>
      <c r="AV6" s="37">
        <v>42744</v>
      </c>
      <c r="AX6">
        <v>214.22</v>
      </c>
    </row>
    <row r="7" spans="1:54" x14ac:dyDescent="0.35">
      <c r="A7" s="6">
        <v>5</v>
      </c>
      <c r="B7" s="3">
        <v>42745</v>
      </c>
      <c r="C7" s="2">
        <v>213.97</v>
      </c>
      <c r="D7" s="2">
        <v>214.89</v>
      </c>
      <c r="E7" s="2">
        <v>213.52</v>
      </c>
      <c r="F7" s="2">
        <v>213.95</v>
      </c>
      <c r="G7" s="1">
        <v>67500792</v>
      </c>
      <c r="H7" s="30">
        <f>(testdata[[#This Row],[high]]+testdata[[#This Row],[low]])/2</f>
        <v>214.20499999999998</v>
      </c>
      <c r="I7" s="39">
        <f>testdata[[#This Row],[price]]</f>
        <v>214.20499999999998</v>
      </c>
      <c r="J7" s="11">
        <v>0</v>
      </c>
      <c r="K7" s="17">
        <v>0</v>
      </c>
      <c r="L7" s="17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/>
      <c r="Z7" s="17"/>
      <c r="AA7" s="11"/>
      <c r="AB7" s="20"/>
      <c r="AC7" s="11"/>
      <c r="AD7" s="28">
        <f>IF(testdata[[#This Row],[i]]&lt;11,testdata[[#This Row],[price]],(4*testdata[[#This Row],[iTrend]]+3*AC6+2*AC5+AC4)/10)</f>
        <v>214.20499999999998</v>
      </c>
      <c r="AE7" s="36"/>
      <c r="AH7" s="11"/>
      <c r="AI7" s="32"/>
      <c r="AJ7" s="11"/>
      <c r="AK7" s="18"/>
      <c r="AL7" s="18"/>
      <c r="AQ7" s="37">
        <v>42745</v>
      </c>
      <c r="AS7">
        <v>214.20500000000001</v>
      </c>
      <c r="AV7" s="37">
        <v>42745</v>
      </c>
      <c r="AX7">
        <v>214.20500000000001</v>
      </c>
    </row>
    <row r="8" spans="1:54" x14ac:dyDescent="0.35">
      <c r="A8" s="6">
        <v>6</v>
      </c>
      <c r="B8" s="3">
        <v>42746</v>
      </c>
      <c r="C8" s="2">
        <v>213.86</v>
      </c>
      <c r="D8" s="2">
        <v>214.55</v>
      </c>
      <c r="E8" s="2">
        <v>213.13</v>
      </c>
      <c r="F8" s="2">
        <v>214.55</v>
      </c>
      <c r="G8" s="1">
        <v>79014928</v>
      </c>
      <c r="H8" s="30">
        <f>(testdata[[#This Row],[high]]+testdata[[#This Row],[low]])/2</f>
        <v>213.84</v>
      </c>
      <c r="I8" s="23">
        <f>(4*testdata[[#This Row],[price]]+3*H7+2*H6+H5)/10</f>
        <v>214.071</v>
      </c>
      <c r="J8" s="12">
        <f>(0.0962*testdata[[#This Row],[smooth]]+0.5769*I6-0.5769*I4-0.0962*I2)*(0.075*$Z7+0.54)</f>
        <v>0.29682460800000349</v>
      </c>
      <c r="K8" s="19">
        <f t="shared" ref="K8:K68" si="0">J5</f>
        <v>0</v>
      </c>
      <c r="L8" s="19">
        <f>(0.0962*testdata[[#This Row],[detrender]]+0.5769*J6-0.5769*J4-0.0962*J2)*(0.075*$Z7+0.54)</f>
        <v>1.541944473638418E-2</v>
      </c>
      <c r="M8" s="12">
        <f>(0.0962*testdata[[#This Row],[I1]]+0.5769*K6-0.5769*K4-0.0962*K2)*(0.075*$Z7+0.54)</f>
        <v>0</v>
      </c>
      <c r="N8" s="12">
        <f>(0.0962*testdata[[#This Row],[Q1]]+0.5769*L6-0.5769*L4-0.0962*L2)*(0.075*$Z7+0.54)</f>
        <v>8.0100931516568531E-4</v>
      </c>
      <c r="O8" s="12">
        <f>testdata[[#This Row],[I1]]-testdata[[#This Row],[JQ]]</f>
        <v>-8.0100931516568531E-4</v>
      </c>
      <c r="P8" s="12">
        <f>testdata[[#This Row],[Q1]]+testdata[[#This Row],[jI]]</f>
        <v>1.541944473638418E-2</v>
      </c>
      <c r="Q8" s="12">
        <f>0.2*testdata[[#This Row],[I2]]+0.8*Q7</f>
        <v>-1.6020186303313707E-4</v>
      </c>
      <c r="R8" s="12">
        <f>0.2*testdata[[#This Row],[Q2]]+0.8*R7</f>
        <v>3.0838889472768363E-3</v>
      </c>
      <c r="S8" s="12">
        <f>testdata[[#This Row],[I2'']]*Q7+testdata[[#This Row],[Q2'']]*R7</f>
        <v>0</v>
      </c>
      <c r="T8" s="12">
        <f>testdata[[#This Row],[I2'']]*R7-testdata[[#This Row],[Q2'']]*Q7</f>
        <v>0</v>
      </c>
      <c r="U8" s="12">
        <f>0.2*testdata[[#This Row],[Re]]+0.8*U7</f>
        <v>0</v>
      </c>
      <c r="V8" s="12">
        <f>0.2*testdata[[#This Row],[Im]]+0.8*V7</f>
        <v>0</v>
      </c>
      <c r="W8" s="12">
        <f>IF(AND(testdata[[#This Row],[Re'']]&lt;&gt;0,testdata[[#This Row],[Im'']]&lt;&gt;0),2*PI()/ATAN(testdata[[#This Row],[Im'']]/testdata[[#This Row],[Re'']]),0)</f>
        <v>0</v>
      </c>
      <c r="X8" s="12">
        <f>IF(testdata[[#This Row],[pd-atan]]&gt;1.5*Z7,1.5*Z7,IF(testdata[[#This Row],[pd-atan]]&lt;0.67*Z7,0.67*Z7,testdata[[#This Row],[pd-atan]]))</f>
        <v>0</v>
      </c>
      <c r="Y8" s="12">
        <f>IF(testdata[[#This Row],[pd-limit1]]&lt;6,6,IF(testdata[[#This Row],[pd-limit1]]&gt;50,50,testdata[[#This Row],[pd-limit1]]))</f>
        <v>6</v>
      </c>
      <c r="Z8" s="26">
        <f>0.2*testdata[[#This Row],[pd-limit2]]+0.8*Z7</f>
        <v>1.2000000000000002</v>
      </c>
      <c r="AA8" s="26">
        <f>0.33*testdata[[#This Row],[period]]+0.67*AA7</f>
        <v>0.39600000000000007</v>
      </c>
      <c r="AB8" s="27"/>
      <c r="AC8" s="26"/>
      <c r="AD8" s="28">
        <f>IF(testdata[[#This Row],[i]]&lt;11,testdata[[#This Row],[price]],(4*testdata[[#This Row],[iTrend]]+3*AC7+2*AC6+AC5)/10)</f>
        <v>213.84</v>
      </c>
      <c r="AE8" s="28">
        <f>(4*testdata[[#This Row],[price]]+3*H7+2*H6+H5)/10</f>
        <v>214.071</v>
      </c>
      <c r="AF8" t="str">
        <f>IF(OR(ROUND(testdata[[#This Row],[Trendline]],4)&lt;&gt;Table3[[#This Row],[Trendline]],ROUND(testdata[[#This Row],[SmPrice]],4)&lt;&gt;Table3[[#This Row],[SmPrice]]),"ERR","")</f>
        <v/>
      </c>
      <c r="AG8" s="3">
        <v>42746</v>
      </c>
      <c r="AH8" s="26">
        <v>0.39600000000000002</v>
      </c>
      <c r="AI8" s="33">
        <v>0</v>
      </c>
      <c r="AJ8" s="26">
        <v>0</v>
      </c>
      <c r="AK8" s="28">
        <v>213.84</v>
      </c>
      <c r="AL8" s="28">
        <v>214.071</v>
      </c>
      <c r="AN8" s="38">
        <f>AX8-AS8</f>
        <v>0</v>
      </c>
      <c r="AO8" s="38">
        <f>AY8-AT8</f>
        <v>0</v>
      </c>
      <c r="AQ8" s="37">
        <v>42746</v>
      </c>
      <c r="AS8">
        <v>213.84</v>
      </c>
      <c r="AT8">
        <v>214.071</v>
      </c>
      <c r="AV8" s="37">
        <v>42746</v>
      </c>
      <c r="AX8">
        <v>213.84</v>
      </c>
      <c r="AY8">
        <v>214.071</v>
      </c>
      <c r="BA8" s="38">
        <f>AX8-Table3[[#This Row],[Trendline]]</f>
        <v>0</v>
      </c>
      <c r="BB8" s="38">
        <f>AY8-Table3[[#This Row],[SmPrice]]</f>
        <v>0</v>
      </c>
    </row>
    <row r="9" spans="1:54" x14ac:dyDescent="0.35">
      <c r="A9" s="6">
        <v>7</v>
      </c>
      <c r="B9" s="3">
        <v>42747</v>
      </c>
      <c r="C9" s="2">
        <v>213.99</v>
      </c>
      <c r="D9" s="2">
        <v>214.22</v>
      </c>
      <c r="E9" s="2">
        <v>212.53</v>
      </c>
      <c r="F9" s="2">
        <v>214.02</v>
      </c>
      <c r="G9" s="1">
        <v>76329760</v>
      </c>
      <c r="H9" s="30">
        <f>(testdata[[#This Row],[high]]+testdata[[#This Row],[low]])/2</f>
        <v>213.375</v>
      </c>
      <c r="I9" s="23">
        <f>(4*testdata[[#This Row],[price]]+3*H8+2*H7+H6)/10</f>
        <v>213.76499999999996</v>
      </c>
      <c r="J9" s="12">
        <f>(0.0962*testdata[[#This Row],[smooth]]+0.5769*I7-0.5769*I5-0.0962*I3)*(0.075*$Z8+0.54)</f>
        <v>-2.7861750000002773E-2</v>
      </c>
      <c r="K9" s="19">
        <f t="shared" si="0"/>
        <v>0</v>
      </c>
      <c r="L9" s="19">
        <f>(0.0962*testdata[[#This Row],[detrender]]+0.5769*J7-0.5769*J5-0.0962*J3)*(0.075*$Z8+0.54)</f>
        <v>-1.6885892205001679E-3</v>
      </c>
      <c r="M9" s="12">
        <f>(0.0962*testdata[[#This Row],[I1]]+0.5769*K7-0.5769*K5-0.0962*K3)*(0.075*$Z8+0.54)</f>
        <v>0</v>
      </c>
      <c r="N9" s="12">
        <f>(0.0962*testdata[[#This Row],[Q1]]+0.5769*L7-0.5769*L5-0.0962*L3)*(0.075*$Z8+0.54)</f>
        <v>-1.0233863829763318E-4</v>
      </c>
      <c r="O9" s="12">
        <f>testdata[[#This Row],[I1]]-testdata[[#This Row],[JQ]]</f>
        <v>1.0233863829763318E-4</v>
      </c>
      <c r="P9" s="12">
        <f>testdata[[#This Row],[Q1]]+testdata[[#This Row],[jI]]</f>
        <v>-1.6885892205001679E-3</v>
      </c>
      <c r="Q9" s="12">
        <f>0.2*testdata[[#This Row],[I2]]+0.8*Q8</f>
        <v>-1.0769376276698303E-4</v>
      </c>
      <c r="R9" s="12">
        <f>0.2*testdata[[#This Row],[Q2]]+0.8*R8</f>
        <v>2.1293933137214354E-3</v>
      </c>
      <c r="S9" s="12">
        <f>testdata[[#This Row],[I2'']]*Q8+testdata[[#This Row],[Q2'']]*R8</f>
        <v>6.58406524602305E-6</v>
      </c>
      <c r="T9" s="12">
        <f>testdata[[#This Row],[I2'']]*R8-testdata[[#This Row],[Q2'']]*Q8</f>
        <v>9.0171713007266258E-9</v>
      </c>
      <c r="U9" s="12">
        <f>0.2*testdata[[#This Row],[Re]]+0.8*U8</f>
        <v>1.3168130492046102E-6</v>
      </c>
      <c r="V9" s="12">
        <f>0.2*testdata[[#This Row],[Im]]+0.8*V8</f>
        <v>1.8034342601453253E-9</v>
      </c>
      <c r="W9" s="12">
        <f>IF(AND(testdata[[#This Row],[Re'']]&lt;&gt;0,testdata[[#This Row],[Im'']]&lt;&gt;0),2*PI()/ATAN(testdata[[#This Row],[Im'']]/testdata[[#This Row],[Re'']]),0)</f>
        <v>4587.7943869757928</v>
      </c>
      <c r="X9" s="12">
        <f>IF(testdata[[#This Row],[pd-atan]]&gt;1.5*Z8,1.5*Z8,IF(testdata[[#This Row],[pd-atan]]&lt;0.67*Z8,0.67*Z8,testdata[[#This Row],[pd-atan]]))</f>
        <v>1.8000000000000003</v>
      </c>
      <c r="Y9" s="12">
        <f>IF(testdata[[#This Row],[pd-limit1]]&lt;6,6,IF(testdata[[#This Row],[pd-limit1]]&gt;50,50,testdata[[#This Row],[pd-limit1]]))</f>
        <v>6</v>
      </c>
      <c r="Z9" s="26">
        <f>0.2*testdata[[#This Row],[pd-limit2]]+0.8*Z8</f>
        <v>2.16</v>
      </c>
      <c r="AA9" s="26">
        <f>0.33*testdata[[#This Row],[period]]+0.67*AA8</f>
        <v>0.9781200000000001</v>
      </c>
      <c r="AB9" s="27">
        <f>TRUNC(testdata[[#This Row],[SmPd]]+0.5,0)</f>
        <v>1</v>
      </c>
      <c r="AC9" s="26">
        <f ca="1">IF(testdata[[#This Row],[PdInt]]&lt;=0,0,AVERAGE(OFFSET(testdata[[#This Row],[price]],0,0,-testdata[[#This Row],[PdInt]],1)))</f>
        <v>213.375</v>
      </c>
      <c r="AD9" s="26">
        <f>IF(testdata[[#This Row],[i]]&lt;11,testdata[[#This Row],[price]],(4*testdata[[#This Row],[iTrend]]+3*AC8+2*AC7+AC6)/10)</f>
        <v>213.375</v>
      </c>
      <c r="AE9" s="26">
        <f>(4*testdata[[#This Row],[price]]+3*H8+2*H7+H6)/10</f>
        <v>213.76499999999996</v>
      </c>
      <c r="AF9" t="str">
        <f>IF(OR(ROUND(testdata[[#This Row],[Trendline]],4)&lt;&gt;Table3[[#This Row],[Trendline]],ROUND(testdata[[#This Row],[SmPrice]],4)&lt;&gt;Table3[[#This Row],[SmPrice]]),"ERR","")</f>
        <v/>
      </c>
      <c r="AG9" s="3">
        <v>42747</v>
      </c>
      <c r="AH9" s="26">
        <v>0.97809999999999997</v>
      </c>
      <c r="AI9" s="33">
        <v>1</v>
      </c>
      <c r="AJ9" s="26">
        <v>213.375</v>
      </c>
      <c r="AK9" s="26">
        <v>213.375</v>
      </c>
      <c r="AL9" s="26">
        <v>213.76499999999999</v>
      </c>
      <c r="AN9" s="38">
        <f t="shared" ref="AN9:AN72" si="1">AX9-AS9</f>
        <v>0</v>
      </c>
      <c r="AO9" s="38">
        <f t="shared" ref="AO9:AO72" si="2">AY9-AT9</f>
        <v>0</v>
      </c>
      <c r="AQ9" s="37">
        <v>42747</v>
      </c>
      <c r="AR9">
        <v>1</v>
      </c>
      <c r="AS9">
        <v>213.375</v>
      </c>
      <c r="AT9">
        <v>213.76499999999999</v>
      </c>
      <c r="AV9" s="37">
        <v>42747</v>
      </c>
      <c r="AW9">
        <v>1</v>
      </c>
      <c r="AX9">
        <v>213.375</v>
      </c>
      <c r="AY9">
        <v>213.76499999999999</v>
      </c>
      <c r="BA9" s="38">
        <f>AX9-Table3[[#This Row],[Trendline]]</f>
        <v>0</v>
      </c>
      <c r="BB9" s="38">
        <f>AY9-Table3[[#This Row],[SmPrice]]</f>
        <v>0</v>
      </c>
    </row>
    <row r="10" spans="1:54" x14ac:dyDescent="0.35">
      <c r="A10" s="6">
        <v>8</v>
      </c>
      <c r="B10" s="3">
        <v>42748</v>
      </c>
      <c r="C10" s="2">
        <v>214.21</v>
      </c>
      <c r="D10" s="2">
        <v>214.84</v>
      </c>
      <c r="E10" s="2">
        <v>214.17</v>
      </c>
      <c r="F10" s="2">
        <v>214.51</v>
      </c>
      <c r="G10" s="1">
        <v>66385084</v>
      </c>
      <c r="H10" s="30">
        <f>(testdata[[#This Row],[high]]+testdata[[#This Row],[low]])/2</f>
        <v>214.505</v>
      </c>
      <c r="I10" s="23">
        <f>(4*testdata[[#This Row],[price]]+3*H9+2*H8+H7)/10</f>
        <v>214.00300000000001</v>
      </c>
      <c r="J10" s="12">
        <f>(0.0962*testdata[[#This Row],[smooth]]+0.5769*I8-0.5769*I6-0.0962*I4)*(0.075*$Z9+0.54)</f>
        <v>-2.9075084999988544E-2</v>
      </c>
      <c r="K10" s="19">
        <f t="shared" si="0"/>
        <v>0</v>
      </c>
      <c r="L10" s="19">
        <f>(0.0962*testdata[[#This Row],[detrender]]+0.5769*J8-0.5769*J6-0.0962*J4)*(0.075*$Z9+0.54)</f>
        <v>0.1182456474110986</v>
      </c>
      <c r="M10" s="12">
        <f>(0.0962*testdata[[#This Row],[I1]]+0.5769*K8-0.5769*K6-0.0962*K4)*(0.075*$Z9+0.54)</f>
        <v>0</v>
      </c>
      <c r="N10" s="12">
        <f>(0.0962*testdata[[#This Row],[Q1]]+0.5769*L8-0.5769*L6-0.0962*L4)*(0.075*$Z9+0.54)</f>
        <v>1.4230037682456139E-2</v>
      </c>
      <c r="O10" s="12">
        <f>testdata[[#This Row],[I1]]-testdata[[#This Row],[JQ]]</f>
        <v>-1.4230037682456139E-2</v>
      </c>
      <c r="P10" s="12">
        <f>testdata[[#This Row],[Q1]]+testdata[[#This Row],[jI]]</f>
        <v>0.1182456474110986</v>
      </c>
      <c r="Q10" s="12">
        <f>0.2*testdata[[#This Row],[I2]]+0.8*Q9</f>
        <v>-2.9321625467048145E-3</v>
      </c>
      <c r="R10" s="12">
        <f>0.2*testdata[[#This Row],[Q2]]+0.8*R9</f>
        <v>2.5352644133196867E-2</v>
      </c>
      <c r="S10" s="12">
        <f>testdata[[#This Row],[I2'']]*Q9+testdata[[#This Row],[Q2'']]*R9</f>
        <v>5.4301526520087445E-5</v>
      </c>
      <c r="T10" s="12">
        <f>testdata[[#This Row],[I2'']]*R9-testdata[[#This Row],[Q2'']]*Q9</f>
        <v>-3.5134056789014008E-6</v>
      </c>
      <c r="U10" s="12">
        <f>0.2*testdata[[#This Row],[Re]]+0.8*U9</f>
        <v>1.1913755743381178E-5</v>
      </c>
      <c r="V10" s="12">
        <f>0.2*testdata[[#This Row],[Im]]+0.8*V9</f>
        <v>-7.0123838837216391E-7</v>
      </c>
      <c r="W10" s="12">
        <f>IF(AND(testdata[[#This Row],[Re'']]&lt;&gt;0,testdata[[#This Row],[Im'']]&lt;&gt;0),2*PI()/ATAN(testdata[[#This Row],[Im'']]/testdata[[#This Row],[Re'']]),0)</f>
        <v>-106.87193092275558</v>
      </c>
      <c r="X10" s="12">
        <f>IF(testdata[[#This Row],[pd-atan]]&gt;1.5*Z9,1.5*Z9,IF(testdata[[#This Row],[pd-atan]]&lt;0.67*Z9,0.67*Z9,testdata[[#This Row],[pd-atan]]))</f>
        <v>1.4472000000000003</v>
      </c>
      <c r="Y10" s="12">
        <f>IF(testdata[[#This Row],[pd-limit1]]&lt;6,6,IF(testdata[[#This Row],[pd-limit1]]&gt;50,50,testdata[[#This Row],[pd-limit1]]))</f>
        <v>6</v>
      </c>
      <c r="Z10" s="26">
        <f>0.2*testdata[[#This Row],[pd-limit2]]+0.8*Z9</f>
        <v>2.9280000000000004</v>
      </c>
      <c r="AA10" s="26">
        <f>0.33*testdata[[#This Row],[period]]+0.67*AA9</f>
        <v>1.6215804000000005</v>
      </c>
      <c r="AB10" s="27">
        <f>TRUNC(testdata[[#This Row],[SmPd]]+0.5,0)</f>
        <v>2</v>
      </c>
      <c r="AC10" s="26">
        <f ca="1">IF(testdata[[#This Row],[PdInt]]&lt;=0,0,AVERAGE(OFFSET(testdata[[#This Row],[price]],0,0,-testdata[[#This Row],[PdInt]],1)))</f>
        <v>213.94</v>
      </c>
      <c r="AD10" s="26">
        <f>IF(testdata[[#This Row],[i]]&lt;11,testdata[[#This Row],[price]],(4*testdata[[#This Row],[iTrend]]+3*AC9+2*AC8+AC7)/10)</f>
        <v>214.505</v>
      </c>
      <c r="AE10" s="26">
        <f>(4*testdata[[#This Row],[price]]+3*H9+2*H8+H7)/10</f>
        <v>214.00300000000001</v>
      </c>
      <c r="AF10" t="str">
        <f>IF(OR(ROUND(testdata[[#This Row],[Trendline]],4)&lt;&gt;Table3[[#This Row],[Trendline]],ROUND(testdata[[#This Row],[SmPrice]],4)&lt;&gt;Table3[[#This Row],[SmPrice]]),"ERR","")</f>
        <v/>
      </c>
      <c r="AG10" s="3">
        <v>42748</v>
      </c>
      <c r="AH10" s="26">
        <v>1.6215999999999999</v>
      </c>
      <c r="AI10" s="33">
        <v>2</v>
      </c>
      <c r="AJ10" s="26">
        <v>213.94</v>
      </c>
      <c r="AK10" s="26">
        <v>214.505</v>
      </c>
      <c r="AL10" s="26">
        <v>214.00299999999999</v>
      </c>
      <c r="AN10" s="38">
        <f t="shared" si="1"/>
        <v>0</v>
      </c>
      <c r="AO10" s="38">
        <f t="shared" si="2"/>
        <v>0</v>
      </c>
      <c r="AQ10" s="37">
        <v>42748</v>
      </c>
      <c r="AR10">
        <v>2</v>
      </c>
      <c r="AS10">
        <v>214.505</v>
      </c>
      <c r="AT10">
        <v>214.00299999999999</v>
      </c>
      <c r="AV10" s="37">
        <v>42748</v>
      </c>
      <c r="AW10">
        <v>2</v>
      </c>
      <c r="AX10">
        <v>214.505</v>
      </c>
      <c r="AY10">
        <v>214.00299999999999</v>
      </c>
      <c r="BA10" s="38">
        <f>AX10-Table3[[#This Row],[Trendline]]</f>
        <v>0</v>
      </c>
      <c r="BB10" s="38">
        <f>AY10-Table3[[#This Row],[SmPrice]]</f>
        <v>0</v>
      </c>
    </row>
    <row r="11" spans="1:54" x14ac:dyDescent="0.35">
      <c r="A11" s="6">
        <v>9</v>
      </c>
      <c r="B11" s="3">
        <v>42752</v>
      </c>
      <c r="C11" s="2">
        <v>213.81</v>
      </c>
      <c r="D11" s="2">
        <v>214.25</v>
      </c>
      <c r="E11" s="2">
        <v>213.33</v>
      </c>
      <c r="F11" s="2">
        <v>213.75</v>
      </c>
      <c r="G11" s="1">
        <v>64821664</v>
      </c>
      <c r="H11" s="30">
        <f>(testdata[[#This Row],[high]]+testdata[[#This Row],[low]])/2</f>
        <v>213.79000000000002</v>
      </c>
      <c r="I11" s="23">
        <f>(4*testdata[[#This Row],[price]]+3*H10+2*H9+H8)/10</f>
        <v>213.92650000000003</v>
      </c>
      <c r="J11" s="9">
        <f>(0.0962*testdata[[#This Row],[smooth]]+0.5769*I9-0.5769*I7-0.0962*I5)*(0.075*$Z10+0.54)</f>
        <v>-0.21974141772000591</v>
      </c>
      <c r="K11" s="19">
        <f t="shared" si="0"/>
        <v>0.29682460800000349</v>
      </c>
      <c r="L11" s="19">
        <f>(0.0962*testdata[[#This Row],[detrender]]+0.5769*J9-0.5769*J7-0.0962*J5)*(0.075*$Z10+0.54)</f>
        <v>-2.8266666622162422E-2</v>
      </c>
      <c r="M11" s="12">
        <f>(0.0962*testdata[[#This Row],[I1]]+0.5769*K9-0.5769*K7-0.0962*K5)*(0.075*$Z10+0.54)</f>
        <v>2.1690018929180415E-2</v>
      </c>
      <c r="N11" s="12">
        <f>(0.0962*testdata[[#This Row],[Q1]]+0.5769*L9-0.5769*L7-0.0962*L5)*(0.075*$Z10+0.54)</f>
        <v>-2.8055069820923711E-3</v>
      </c>
      <c r="O11" s="12">
        <f>testdata[[#This Row],[I1]]-testdata[[#This Row],[JQ]]</f>
        <v>0.29963011498209585</v>
      </c>
      <c r="P11" s="12">
        <f>testdata[[#This Row],[Q1]]+testdata[[#This Row],[jI]]</f>
        <v>-6.5766476929820065E-3</v>
      </c>
      <c r="Q11" s="12">
        <f>0.2*testdata[[#This Row],[I2]]+0.8*Q10</f>
        <v>5.7580292959055319E-2</v>
      </c>
      <c r="R11" s="12">
        <f>0.2*testdata[[#This Row],[Q2]]+0.8*R10</f>
        <v>1.8966785767961094E-2</v>
      </c>
      <c r="S11" s="12">
        <f>testdata[[#This Row],[I2'']]*Q10+testdata[[#This Row],[Q2'']]*R10</f>
        <v>3.1202339148286769E-4</v>
      </c>
      <c r="T11" s="12">
        <f>testdata[[#This Row],[I2'']]*R10-testdata[[#This Row],[Q2'']]*Q10</f>
        <v>1.5154263753363402E-3</v>
      </c>
      <c r="U11" s="12">
        <f>0.2*testdata[[#This Row],[Re]]+0.8*U10</f>
        <v>7.1935682891278486E-5</v>
      </c>
      <c r="V11" s="12">
        <f>0.2*testdata[[#This Row],[Im]]+0.8*V10</f>
        <v>3.0252428435657033E-4</v>
      </c>
      <c r="W11" s="12">
        <f>IF(AND(testdata[[#This Row],[Re'']]&lt;&gt;0,testdata[[#This Row],[Im'']]&lt;&gt;0),2*PI()/ATAN(testdata[[#This Row],[Im'']]/testdata[[#This Row],[Re'']]),0)</f>
        <v>4.6982463309892131</v>
      </c>
      <c r="X11" s="12">
        <f>IF(testdata[[#This Row],[pd-atan]]&gt;1.5*Z10,1.5*Z10,IF(testdata[[#This Row],[pd-atan]]&lt;0.67*Z10,0.67*Z10,testdata[[#This Row],[pd-atan]]))</f>
        <v>4.3920000000000003</v>
      </c>
      <c r="Y11" s="12">
        <f>IF(testdata[[#This Row],[pd-limit1]]&lt;6,6,IF(testdata[[#This Row],[pd-limit1]]&gt;50,50,testdata[[#This Row],[pd-limit1]]))</f>
        <v>6</v>
      </c>
      <c r="Z11" s="26">
        <f>0.2*testdata[[#This Row],[pd-limit2]]+0.8*Z10</f>
        <v>3.5424000000000007</v>
      </c>
      <c r="AA11" s="26">
        <f>0.33*testdata[[#This Row],[period]]+0.67*AA10</f>
        <v>2.2554508680000005</v>
      </c>
      <c r="AB11" s="27">
        <f>TRUNC(testdata[[#This Row],[SmPd]]+0.5,0)</f>
        <v>2</v>
      </c>
      <c r="AC11" s="26">
        <f ca="1">IF(testdata[[#This Row],[PdInt]]&lt;=0,0,AVERAGE(OFFSET(testdata[[#This Row],[price]],0,0,-testdata[[#This Row],[PdInt]],1)))</f>
        <v>214.14750000000001</v>
      </c>
      <c r="AD11" s="26">
        <f>IF(testdata[[#This Row],[i]]&lt;11,testdata[[#This Row],[price]],(4*testdata[[#This Row],[iTrend]]+3*AC10+2*AC9+AC8)/10)</f>
        <v>213.79000000000002</v>
      </c>
      <c r="AE11" s="26">
        <f>(4*testdata[[#This Row],[price]]+3*H10+2*H9+H8)/10</f>
        <v>213.92650000000003</v>
      </c>
      <c r="AF11" t="str">
        <f>IF(OR(ROUND(testdata[[#This Row],[Trendline]],4)&lt;&gt;Table3[[#This Row],[Trendline]],ROUND(testdata[[#This Row],[SmPrice]],4)&lt;&gt;Table3[[#This Row],[SmPrice]]),"ERR","")</f>
        <v/>
      </c>
      <c r="AG11" s="3">
        <v>42752</v>
      </c>
      <c r="AH11" s="26">
        <v>2.2555000000000001</v>
      </c>
      <c r="AI11" s="33">
        <v>2</v>
      </c>
      <c r="AJ11" s="26">
        <v>214.14750000000001</v>
      </c>
      <c r="AK11" s="26">
        <v>213.79</v>
      </c>
      <c r="AL11" s="26">
        <v>213.9265</v>
      </c>
      <c r="AN11" s="38">
        <f t="shared" si="1"/>
        <v>0</v>
      </c>
      <c r="AO11" s="38">
        <f t="shared" si="2"/>
        <v>0</v>
      </c>
      <c r="AQ11" s="37">
        <v>42752</v>
      </c>
      <c r="AR11">
        <v>2</v>
      </c>
      <c r="AS11">
        <v>213.79</v>
      </c>
      <c r="AT11">
        <v>213.92649999999901</v>
      </c>
      <c r="AV11" s="37">
        <v>42752</v>
      </c>
      <c r="AW11">
        <v>2</v>
      </c>
      <c r="AX11">
        <v>213.79</v>
      </c>
      <c r="AY11">
        <v>213.92649999999901</v>
      </c>
      <c r="BA11" s="38">
        <f>AX11-Table3[[#This Row],[Trendline]]</f>
        <v>0</v>
      </c>
      <c r="BB11" s="38">
        <f>AY11-Table3[[#This Row],[SmPrice]]</f>
        <v>-9.9475983006414026E-13</v>
      </c>
    </row>
    <row r="12" spans="1:54" x14ac:dyDescent="0.35">
      <c r="A12" s="6">
        <v>10</v>
      </c>
      <c r="B12" s="3">
        <v>42753</v>
      </c>
      <c r="C12" s="2">
        <v>214.02</v>
      </c>
      <c r="D12" s="2">
        <v>214.27</v>
      </c>
      <c r="E12" s="2">
        <v>213.42</v>
      </c>
      <c r="F12" s="2">
        <v>214.22</v>
      </c>
      <c r="G12" s="1">
        <v>57997156</v>
      </c>
      <c r="H12" s="30">
        <f>(testdata[[#This Row],[high]]+testdata[[#This Row],[low]])/2</f>
        <v>213.845</v>
      </c>
      <c r="I12" s="23">
        <f>(4*testdata[[#This Row],[price]]+3*H11+2*H10+H9)/10</f>
        <v>213.91350000000003</v>
      </c>
      <c r="J12" s="9">
        <f>(0.0962*testdata[[#This Row],[smooth]]+0.5769*I10-0.5769*I8-0.0962*I6)*(0.075*$Z11+0.54)</f>
        <v>-5.5361898359990357E-2</v>
      </c>
      <c r="K12" s="19">
        <f t="shared" si="0"/>
        <v>-2.7861750000002773E-2</v>
      </c>
      <c r="L12" s="19">
        <f>(0.0962*testdata[[#This Row],[detrender]]+0.5769*J10-0.5769*J8-0.0962*J6)*(0.075*$Z11+0.54)</f>
        <v>-0.15576803414502027</v>
      </c>
      <c r="M12" s="12">
        <f>(0.0962*testdata[[#This Row],[I1]]+0.5769*K10-0.5769*K8-0.0962*K6)*(0.075*$Z11+0.54)</f>
        <v>-2.1594643859882152E-3</v>
      </c>
      <c r="N12" s="12">
        <f>(0.0962*testdata[[#This Row],[Q1]]+0.5769*L10-0.5769*L8-0.0962*L6)*(0.075*$Z11+0.54)</f>
        <v>3.5720267082802931E-2</v>
      </c>
      <c r="O12" s="12">
        <f>testdata[[#This Row],[I1]]-testdata[[#This Row],[JQ]]</f>
        <v>-6.3582017082805697E-2</v>
      </c>
      <c r="P12" s="12">
        <f>testdata[[#This Row],[Q1]]+testdata[[#This Row],[jI]]</f>
        <v>-0.15792749853100849</v>
      </c>
      <c r="Q12" s="12">
        <f>0.2*testdata[[#This Row],[I2]]+0.8*Q11</f>
        <v>3.3347830950683117E-2</v>
      </c>
      <c r="R12" s="12">
        <f>0.2*testdata[[#This Row],[Q2]]+0.8*R11</f>
        <v>-1.6412071091832819E-2</v>
      </c>
      <c r="S12" s="12">
        <f>testdata[[#This Row],[I2'']]*Q11+testdata[[#This Row],[Q2'']]*R11</f>
        <v>1.6088936392820458E-3</v>
      </c>
      <c r="T12" s="12">
        <f>testdata[[#This Row],[I2'']]*R11-testdata[[#This Row],[Q2'']]*Q11</f>
        <v>1.5775130270003657E-3</v>
      </c>
      <c r="U12" s="12">
        <f>0.2*testdata[[#This Row],[Re]]+0.8*U11</f>
        <v>3.79327274169432E-4</v>
      </c>
      <c r="V12" s="12">
        <f>0.2*testdata[[#This Row],[Im]]+0.8*V11</f>
        <v>5.5752203288532941E-4</v>
      </c>
      <c r="W12" s="12">
        <f>IF(AND(testdata[[#This Row],[Re'']]&lt;&gt;0,testdata[[#This Row],[Im'']]&lt;&gt;0),2*PI()/ATAN(testdata[[#This Row],[Im'']]/testdata[[#This Row],[Re'']]),0)</f>
        <v>6.4551549180859649</v>
      </c>
      <c r="X12" s="12">
        <f>IF(testdata[[#This Row],[pd-atan]]&gt;1.5*Z11,1.5*Z11,IF(testdata[[#This Row],[pd-atan]]&lt;0.67*Z11,0.67*Z11,testdata[[#This Row],[pd-atan]]))</f>
        <v>5.313600000000001</v>
      </c>
      <c r="Y12" s="12">
        <f>IF(testdata[[#This Row],[pd-limit1]]&lt;6,6,IF(testdata[[#This Row],[pd-limit1]]&gt;50,50,testdata[[#This Row],[pd-limit1]]))</f>
        <v>6</v>
      </c>
      <c r="Z12" s="26">
        <f>0.2*testdata[[#This Row],[pd-limit2]]+0.8*Z11</f>
        <v>4.0339200000000011</v>
      </c>
      <c r="AA12" s="26">
        <f>0.33*testdata[[#This Row],[period]]+0.67*AA11</f>
        <v>2.8423456815600008</v>
      </c>
      <c r="AB12" s="27">
        <f>TRUNC(testdata[[#This Row],[SmPd]]+0.5,0)</f>
        <v>3</v>
      </c>
      <c r="AC12" s="26">
        <f ca="1">IF(testdata[[#This Row],[PdInt]]&lt;=0,0,AVERAGE(OFFSET(testdata[[#This Row],[price]],0,0,-testdata[[#This Row],[PdInt]],1)))</f>
        <v>214.04666666666665</v>
      </c>
      <c r="AD12" s="26">
        <f>IF(testdata[[#This Row],[i]]&lt;11,testdata[[#This Row],[price]],(4*testdata[[#This Row],[iTrend]]+3*AC11+2*AC10+AC9)/10)</f>
        <v>213.845</v>
      </c>
      <c r="AE12" s="26">
        <f>(4*testdata[[#This Row],[price]]+3*H11+2*H10+H9)/10</f>
        <v>213.91350000000003</v>
      </c>
      <c r="AF12" t="str">
        <f>IF(OR(ROUND(testdata[[#This Row],[Trendline]],4)&lt;&gt;Table3[[#This Row],[Trendline]],ROUND(testdata[[#This Row],[SmPrice]],4)&lt;&gt;Table3[[#This Row],[SmPrice]]),"ERR","")</f>
        <v/>
      </c>
      <c r="AG12" s="3">
        <v>42753</v>
      </c>
      <c r="AH12" s="26">
        <v>2.8422999999999998</v>
      </c>
      <c r="AI12" s="33">
        <v>3</v>
      </c>
      <c r="AJ12" s="26">
        <v>214.04669999999999</v>
      </c>
      <c r="AK12" s="26">
        <v>213.845</v>
      </c>
      <c r="AL12" s="26">
        <v>213.9135</v>
      </c>
      <c r="AN12" s="38">
        <f t="shared" si="1"/>
        <v>0</v>
      </c>
      <c r="AO12" s="38">
        <f t="shared" si="2"/>
        <v>0</v>
      </c>
      <c r="AQ12" s="37">
        <v>42753</v>
      </c>
      <c r="AR12">
        <v>3</v>
      </c>
      <c r="AS12">
        <v>213.845</v>
      </c>
      <c r="AT12">
        <v>213.9135</v>
      </c>
      <c r="AV12" s="37">
        <v>42753</v>
      </c>
      <c r="AW12">
        <v>3</v>
      </c>
      <c r="AX12">
        <v>213.845</v>
      </c>
      <c r="AY12">
        <v>213.9135</v>
      </c>
      <c r="BA12" s="38">
        <f>AX12-Table3[[#This Row],[Trendline]]</f>
        <v>0</v>
      </c>
      <c r="BB12" s="38">
        <f>AY12-Table3[[#This Row],[SmPrice]]</f>
        <v>0</v>
      </c>
    </row>
    <row r="13" spans="1:54" x14ac:dyDescent="0.35">
      <c r="A13" s="6">
        <v>11</v>
      </c>
      <c r="B13" s="3">
        <v>42754</v>
      </c>
      <c r="C13" s="2">
        <v>214.31</v>
      </c>
      <c r="D13" s="2">
        <v>214.46</v>
      </c>
      <c r="E13" s="2">
        <v>212.96</v>
      </c>
      <c r="F13" s="2">
        <v>213.43</v>
      </c>
      <c r="G13" s="1">
        <v>70503512</v>
      </c>
      <c r="H13" s="30">
        <f>(testdata[[#This Row],[high]]+testdata[[#This Row],[low]])/2</f>
        <v>213.71</v>
      </c>
      <c r="I13" s="23">
        <f>(4*testdata[[#This Row],[price]]+3*H12+2*H11+H10)/10</f>
        <v>213.846</v>
      </c>
      <c r="J13" s="9">
        <f>(0.0962*testdata[[#This Row],[smooth]]+0.5769*I11-0.5769*I9-0.0962*I7)*(0.075*$Z12+0.54)</f>
        <v>4.9401345751247654E-2</v>
      </c>
      <c r="K13" s="19">
        <f t="shared" si="0"/>
        <v>-2.9075084999988544E-2</v>
      </c>
      <c r="L13" s="19">
        <f>(0.0962*testdata[[#This Row],[detrender]]+0.5769*J11-0.5769*J9-0.0962*J7)*(0.075*$Z12+0.54)</f>
        <v>-8.9261614428809088E-2</v>
      </c>
      <c r="M13" s="12">
        <f>(0.0962*testdata[[#This Row],[I1]]+0.5769*K11-0.5769*K9-0.0962*K7)*(0.075*$Z12+0.54)</f>
        <v>0.141919032410736</v>
      </c>
      <c r="N13" s="12">
        <f>(0.0962*testdata[[#This Row],[Q1]]+0.5769*L11-0.5769*L9-0.0962*L7)*(0.075*$Z12+0.54)</f>
        <v>-2.0153534659548895E-2</v>
      </c>
      <c r="O13" s="12">
        <f>testdata[[#This Row],[I1]]-testdata[[#This Row],[JQ]]</f>
        <v>-8.921550340439649E-3</v>
      </c>
      <c r="P13" s="12">
        <f>testdata[[#This Row],[Q1]]+testdata[[#This Row],[jI]]</f>
        <v>5.2657417981926913E-2</v>
      </c>
      <c r="Q13" s="12">
        <f>0.2*testdata[[#This Row],[I2]]+0.8*Q12</f>
        <v>2.4893954692458566E-2</v>
      </c>
      <c r="R13" s="12">
        <f>0.2*testdata[[#This Row],[Q2]]+0.8*R12</f>
        <v>-2.5981732770808726E-3</v>
      </c>
      <c r="S13" s="12">
        <f>testdata[[#This Row],[I2'']]*Q12+testdata[[#This Row],[Q2'']]*R12</f>
        <v>8.7280079731042457E-4</v>
      </c>
      <c r="T13" s="12">
        <f>testdata[[#This Row],[I2'']]*R12-testdata[[#This Row],[Q2'']]*Q12</f>
        <v>-3.2191791094481992E-4</v>
      </c>
      <c r="U13" s="12">
        <f>0.2*testdata[[#This Row],[Re]]+0.8*U12</f>
        <v>4.7802197879763053E-4</v>
      </c>
      <c r="V13" s="12">
        <f>0.2*testdata[[#This Row],[Im]]+0.8*V12</f>
        <v>3.8163404411929958E-4</v>
      </c>
      <c r="W13" s="12">
        <f>IF(AND(testdata[[#This Row],[Re'']]&lt;&gt;0,testdata[[#This Row],[Im'']]&lt;&gt;0),2*PI()/ATAN(testdata[[#This Row],[Im'']]/testdata[[#This Row],[Re'']]),0)</f>
        <v>9.3258215538208571</v>
      </c>
      <c r="X13" s="12">
        <f>IF(testdata[[#This Row],[pd-atan]]&gt;1.5*Z12,1.5*Z12,IF(testdata[[#This Row],[pd-atan]]&lt;0.67*Z12,0.67*Z12,testdata[[#This Row],[pd-atan]]))</f>
        <v>6.0508800000000011</v>
      </c>
      <c r="Y13" s="12">
        <f>IF(testdata[[#This Row],[pd-limit1]]&lt;6,6,IF(testdata[[#This Row],[pd-limit1]]&gt;50,50,testdata[[#This Row],[pd-limit1]]))</f>
        <v>6.0508800000000011</v>
      </c>
      <c r="Z13" s="26">
        <f>0.2*testdata[[#This Row],[pd-limit2]]+0.8*Z12</f>
        <v>4.4373120000000013</v>
      </c>
      <c r="AA13" s="26">
        <f>0.33*testdata[[#This Row],[period]]+0.67*AA12</f>
        <v>3.368684566645201</v>
      </c>
      <c r="AB13" s="27">
        <f>TRUNC(testdata[[#This Row],[SmPd]]+0.5,0)</f>
        <v>3</v>
      </c>
      <c r="AC13" s="26">
        <f ca="1">IF(testdata[[#This Row],[PdInt]]&lt;=0,0,AVERAGE(OFFSET(testdata[[#This Row],[price]],0,0,-testdata[[#This Row],[PdInt]],1)))</f>
        <v>213.78166666666667</v>
      </c>
      <c r="AD13" s="28">
        <f ca="1">IF(testdata[[#This Row],[i]]&lt;11,testdata[[#This Row],[price]],(4*testdata[[#This Row],[iTrend]]+3*AC12+2*AC11+AC10)/10)</f>
        <v>213.95016666666666</v>
      </c>
      <c r="AE13" s="28">
        <f>(4*testdata[[#This Row],[price]]+3*H12+2*H11+H10)/10</f>
        <v>213.846</v>
      </c>
      <c r="AF13" t="str">
        <f ca="1">IF(OR(ROUND(testdata[[#This Row],[Trendline]],4)&lt;&gt;Table3[[#This Row],[Trendline]],ROUND(testdata[[#This Row],[SmPrice]],4)&lt;&gt;Table3[[#This Row],[SmPrice]]),"ERR","")</f>
        <v/>
      </c>
      <c r="AG13" s="3">
        <v>42754</v>
      </c>
      <c r="AH13" s="26">
        <v>3.3687</v>
      </c>
      <c r="AI13" s="33">
        <v>3</v>
      </c>
      <c r="AJ13" s="26">
        <v>213.7817</v>
      </c>
      <c r="AK13" s="28">
        <v>213.9502</v>
      </c>
      <c r="AL13" s="28">
        <v>213.846</v>
      </c>
      <c r="AN13" s="38">
        <f t="shared" si="1"/>
        <v>0</v>
      </c>
      <c r="AO13" s="38">
        <f t="shared" si="2"/>
        <v>0</v>
      </c>
      <c r="AQ13" s="37">
        <v>42754</v>
      </c>
      <c r="AR13">
        <v>3</v>
      </c>
      <c r="AS13">
        <v>213.95016666666601</v>
      </c>
      <c r="AT13">
        <v>213.846</v>
      </c>
      <c r="AV13" s="37">
        <v>42754</v>
      </c>
      <c r="AW13">
        <v>3</v>
      </c>
      <c r="AX13">
        <v>213.95016666666601</v>
      </c>
      <c r="AY13">
        <v>213.846</v>
      </c>
      <c r="BA13" s="38">
        <f>AX13-Table3[[#This Row],[Trendline]]</f>
        <v>-3.3333333988139202E-5</v>
      </c>
      <c r="BB13" s="38">
        <f>AY13-Table3[[#This Row],[SmPrice]]</f>
        <v>0</v>
      </c>
    </row>
    <row r="14" spans="1:54" x14ac:dyDescent="0.35">
      <c r="A14" s="6">
        <v>12</v>
      </c>
      <c r="B14" s="3">
        <v>42755</v>
      </c>
      <c r="C14" s="2">
        <v>214.18</v>
      </c>
      <c r="D14" s="2">
        <v>214.75</v>
      </c>
      <c r="E14" s="2">
        <v>213.49</v>
      </c>
      <c r="F14" s="2">
        <v>214.21</v>
      </c>
      <c r="G14" s="1">
        <v>136721344</v>
      </c>
      <c r="H14" s="30">
        <f>(testdata[[#This Row],[high]]+testdata[[#This Row],[low]])/2</f>
        <v>214.12</v>
      </c>
      <c r="I14" s="23">
        <f>(4*testdata[[#This Row],[price]]+3*H13+2*H12+H11)/10</f>
        <v>213.90900000000002</v>
      </c>
      <c r="J14" s="9">
        <f>(0.0962*testdata[[#This Row],[smooth]]+0.5769*I12-0.5769*I10-0.0962*I8)*(0.075*$Z13+0.54)</f>
        <v>-5.8666846412863488E-2</v>
      </c>
      <c r="K14" s="14">
        <f t="shared" si="0"/>
        <v>-0.21974141772000591</v>
      </c>
      <c r="L14" s="19">
        <f>(0.0962*testdata[[#This Row],[detrender]]+0.5769*J12-0.5769*J10-0.0962*J8)*(0.075*$Z13+0.54)</f>
        <v>-4.3084070083947941E-2</v>
      </c>
      <c r="M14" s="12">
        <f>(0.0962*testdata[[#This Row],[I1]]+0.5769*K12-0.5769*K10-0.0962*K8)*(0.075*$Z13+0.54)</f>
        <v>-3.2479069775087903E-2</v>
      </c>
      <c r="N14" s="12">
        <f>(0.0962*testdata[[#This Row],[Q1]]+0.5769*L12-0.5769*L10-0.0962*L8)*(0.075*$Z13+0.54)</f>
        <v>-0.14288279833982723</v>
      </c>
      <c r="O14" s="12">
        <f>testdata[[#This Row],[I1]]-testdata[[#This Row],[JQ]]</f>
        <v>-7.6858619380178683E-2</v>
      </c>
      <c r="P14" s="12">
        <f>testdata[[#This Row],[Q1]]+testdata[[#This Row],[jI]]</f>
        <v>-7.5563139859035844E-2</v>
      </c>
      <c r="Q14" s="12">
        <f>0.2*testdata[[#This Row],[I2]]+0.8*Q13</f>
        <v>4.5434398779311165E-3</v>
      </c>
      <c r="R14" s="12">
        <f>0.2*testdata[[#This Row],[Q2]]+0.8*R13</f>
        <v>-1.7191166593471866E-2</v>
      </c>
      <c r="S14" s="12">
        <f>testdata[[#This Row],[I2'']]*Q13+testdata[[#This Row],[Q2'']]*R13</f>
        <v>1.5776981611413072E-4</v>
      </c>
      <c r="T14" s="12">
        <f>testdata[[#This Row],[I2'']]*R13-testdata[[#This Row],[Q2'']]*Q13</f>
        <v>4.161514782115317E-4</v>
      </c>
      <c r="U14" s="12">
        <f>0.2*testdata[[#This Row],[Re]]+0.8*U13</f>
        <v>4.139715462609306E-4</v>
      </c>
      <c r="V14" s="12">
        <f>0.2*testdata[[#This Row],[Im]]+0.8*V13</f>
        <v>3.8853753093774602E-4</v>
      </c>
      <c r="W14" s="12">
        <f>IF(AND(testdata[[#This Row],[Re'']]&lt;&gt;0,testdata[[#This Row],[Im'']]&lt;&gt;0),2*PI()/ATAN(testdata[[#This Row],[Im'']]/testdata[[#This Row],[Re'']]),0)</f>
        <v>8.3362808085437337</v>
      </c>
      <c r="X14" s="12">
        <f>IF(testdata[[#This Row],[pd-atan]]&gt;1.5*Z13,1.5*Z13,IF(testdata[[#This Row],[pd-atan]]&lt;0.67*Z13,0.67*Z13,testdata[[#This Row],[pd-atan]]))</f>
        <v>6.6559680000000014</v>
      </c>
      <c r="Y14" s="12">
        <f>IF(testdata[[#This Row],[pd-limit1]]&lt;6,6,IF(testdata[[#This Row],[pd-limit1]]&gt;50,50,testdata[[#This Row],[pd-limit1]]))</f>
        <v>6.6559680000000014</v>
      </c>
      <c r="Z14" s="26">
        <f>0.2*testdata[[#This Row],[pd-limit2]]+0.8*Z13</f>
        <v>4.8810432000000015</v>
      </c>
      <c r="AA14" s="26">
        <f>0.33*testdata[[#This Row],[period]]+0.67*AA13</f>
        <v>3.8677629156522855</v>
      </c>
      <c r="AB14" s="27">
        <f>TRUNC(testdata[[#This Row],[SmPd]]+0.5,0)</f>
        <v>4</v>
      </c>
      <c r="AC14" s="26">
        <f ca="1">IF(testdata[[#This Row],[PdInt]]&lt;=0,0,AVERAGE(OFFSET(testdata[[#This Row],[price]],0,0,-testdata[[#This Row],[PdInt]],1)))</f>
        <v>213.86625000000001</v>
      </c>
      <c r="AD14" s="26">
        <f ca="1">IF(testdata[[#This Row],[i]]&lt;11,testdata[[#This Row],[price]],(4*testdata[[#This Row],[iTrend]]+3*AC13+2*AC12+AC11)/10)</f>
        <v>213.90508333333332</v>
      </c>
      <c r="AE14" s="26">
        <f>(4*testdata[[#This Row],[price]]+3*H13+2*H12+H11)/10</f>
        <v>213.90900000000002</v>
      </c>
      <c r="AF14" t="str">
        <f ca="1">IF(OR(ROUND(testdata[[#This Row],[Trendline]],4)&lt;&gt;Table3[[#This Row],[Trendline]],ROUND(testdata[[#This Row],[SmPrice]],4)&lt;&gt;Table3[[#This Row],[SmPrice]]),"ERR","")</f>
        <v/>
      </c>
      <c r="AG14" s="3">
        <v>42755</v>
      </c>
      <c r="AH14" s="26">
        <v>3.8677999999999999</v>
      </c>
      <c r="AI14" s="33">
        <v>4</v>
      </c>
      <c r="AJ14" s="26">
        <v>213.8663</v>
      </c>
      <c r="AK14" s="26">
        <v>213.9051</v>
      </c>
      <c r="AL14" s="26">
        <v>213.90899999999999</v>
      </c>
      <c r="AN14" s="38">
        <f t="shared" si="1"/>
        <v>0</v>
      </c>
      <c r="AO14" s="38">
        <f t="shared" si="2"/>
        <v>0</v>
      </c>
      <c r="AQ14" s="37">
        <v>42755</v>
      </c>
      <c r="AR14">
        <v>4</v>
      </c>
      <c r="AS14">
        <v>213.90508333333301</v>
      </c>
      <c r="AT14">
        <v>213.90899999999999</v>
      </c>
      <c r="AV14" s="37">
        <v>42755</v>
      </c>
      <c r="AW14">
        <v>4</v>
      </c>
      <c r="AX14">
        <v>213.90508333333301</v>
      </c>
      <c r="AY14">
        <v>213.90899999999999</v>
      </c>
      <c r="BA14" s="38">
        <f>AX14-Table3[[#This Row],[Trendline]]</f>
        <v>-1.6666666994069601E-5</v>
      </c>
      <c r="BB14" s="38">
        <f>AY14-Table3[[#This Row],[SmPrice]]</f>
        <v>0</v>
      </c>
    </row>
    <row r="15" spans="1:54" x14ac:dyDescent="0.35">
      <c r="A15" s="6">
        <v>13</v>
      </c>
      <c r="B15" s="3">
        <v>42758</v>
      </c>
      <c r="C15" s="2">
        <v>213.85</v>
      </c>
      <c r="D15" s="2">
        <v>214.28</v>
      </c>
      <c r="E15" s="2">
        <v>212.83</v>
      </c>
      <c r="F15" s="2">
        <v>213.66</v>
      </c>
      <c r="G15" s="1">
        <v>79450624</v>
      </c>
      <c r="H15" s="30">
        <f>(testdata[[#This Row],[high]]+testdata[[#This Row],[low]])/2</f>
        <v>213.55500000000001</v>
      </c>
      <c r="I15" s="23">
        <f>(4*testdata[[#This Row],[price]]+3*H14+2*H13+H12)/10</f>
        <v>213.78449999999998</v>
      </c>
      <c r="J15" s="9">
        <f>(0.0962*testdata[[#This Row],[smooth]]+0.5769*I13-0.5769*I11-0.0962*I9)*(0.075*$Z14+0.54)</f>
        <v>-4.0378969030402098E-2</v>
      </c>
      <c r="K15" s="14">
        <f t="shared" si="0"/>
        <v>-5.5361898359990357E-2</v>
      </c>
      <c r="L15" s="19">
        <f>(0.0962*testdata[[#This Row],[detrender]]+0.5769*J13-0.5769*J11-0.0962*J9)*(0.075*$Z14+0.54)</f>
        <v>0.13959431321204008</v>
      </c>
      <c r="M15" s="12">
        <f>(0.0962*testdata[[#This Row],[I1]]+0.5769*K13-0.5769*K11-0.0962*K9)*(0.075*$Z14+0.54)</f>
        <v>-0.17517876356168688</v>
      </c>
      <c r="N15" s="12">
        <f>(0.0962*testdata[[#This Row],[Q1]]+0.5769*L13-0.5769*L11-0.0962*L9)*(0.075*$Z14+0.54)</f>
        <v>-1.9568182294784086E-2</v>
      </c>
      <c r="O15" s="12">
        <f>testdata[[#This Row],[I1]]-testdata[[#This Row],[JQ]]</f>
        <v>-3.5793716065206274E-2</v>
      </c>
      <c r="P15" s="12">
        <f>testdata[[#This Row],[Q1]]+testdata[[#This Row],[jI]]</f>
        <v>-3.5584450349646801E-2</v>
      </c>
      <c r="Q15" s="12">
        <f>0.2*testdata[[#This Row],[I2]]+0.8*Q14</f>
        <v>-3.5239913106963616E-3</v>
      </c>
      <c r="R15" s="12">
        <f>0.2*testdata[[#This Row],[Q2]]+0.8*R14</f>
        <v>-2.0869823344706856E-2</v>
      </c>
      <c r="S15" s="12">
        <f>testdata[[#This Row],[I2'']]*Q14+testdata[[#This Row],[Q2'']]*R14</f>
        <v>3.4276556724468317E-4</v>
      </c>
      <c r="T15" s="12">
        <f>testdata[[#This Row],[I2'']]*R14-testdata[[#This Row],[Q2'']]*Q14</f>
        <v>1.5540230932584731E-4</v>
      </c>
      <c r="U15" s="12">
        <f>0.2*testdata[[#This Row],[Re]]+0.8*U14</f>
        <v>3.9973035045768116E-4</v>
      </c>
      <c r="V15" s="12">
        <f>0.2*testdata[[#This Row],[Im]]+0.8*V14</f>
        <v>3.4191048661536634E-4</v>
      </c>
      <c r="W15" s="12">
        <f>IF(AND(testdata[[#This Row],[Re'']]&lt;&gt;0,testdata[[#This Row],[Im'']]&lt;&gt;0),2*PI()/ATAN(testdata[[#This Row],[Im'']]/testdata[[#This Row],[Re'']]),0)</f>
        <v>8.8796542818852515</v>
      </c>
      <c r="X15" s="12">
        <f>IF(testdata[[#This Row],[pd-atan]]&gt;1.5*Z14,1.5*Z14,IF(testdata[[#This Row],[pd-atan]]&lt;0.67*Z14,0.67*Z14,testdata[[#This Row],[pd-atan]]))</f>
        <v>7.3215648000000026</v>
      </c>
      <c r="Y15" s="12">
        <f>IF(testdata[[#This Row],[pd-limit1]]&lt;6,6,IF(testdata[[#This Row],[pd-limit1]]&gt;50,50,testdata[[#This Row],[pd-limit1]]))</f>
        <v>7.3215648000000026</v>
      </c>
      <c r="Z15" s="26">
        <f>0.2*testdata[[#This Row],[pd-limit2]]+0.8*Z14</f>
        <v>5.3691475200000021</v>
      </c>
      <c r="AA15" s="26">
        <f>0.33*testdata[[#This Row],[period]]+0.67*AA14</f>
        <v>4.3632198350870324</v>
      </c>
      <c r="AB15" s="27">
        <f>TRUNC(testdata[[#This Row],[SmPd]]+0.5,0)</f>
        <v>4</v>
      </c>
      <c r="AC15" s="26">
        <f ca="1">IF(testdata[[#This Row],[PdInt]]&lt;=0,0,AVERAGE(OFFSET(testdata[[#This Row],[price]],0,0,-testdata[[#This Row],[PdInt]],1)))</f>
        <v>213.8075</v>
      </c>
      <c r="AD15" s="26">
        <f ca="1">IF(testdata[[#This Row],[i]]&lt;11,testdata[[#This Row],[price]],(4*testdata[[#This Row],[iTrend]]+3*AC14+2*AC13+AC12)/10)</f>
        <v>213.84387500000003</v>
      </c>
      <c r="AE15" s="26">
        <f>(4*testdata[[#This Row],[price]]+3*H14+2*H13+H12)/10</f>
        <v>213.78449999999998</v>
      </c>
      <c r="AF15" t="str">
        <f ca="1">IF(OR(ROUND(testdata[[#This Row],[Trendline]],4)&lt;&gt;Table3[[#This Row],[Trendline]],ROUND(testdata[[#This Row],[SmPrice]],4)&lt;&gt;Table3[[#This Row],[SmPrice]]),"ERR","")</f>
        <v/>
      </c>
      <c r="AG15" s="3">
        <v>42758</v>
      </c>
      <c r="AH15" s="26">
        <v>4.3632</v>
      </c>
      <c r="AI15" s="33">
        <v>4</v>
      </c>
      <c r="AJ15" s="26">
        <v>213.8075</v>
      </c>
      <c r="AK15" s="26">
        <v>213.84389999999999</v>
      </c>
      <c r="AL15" s="26">
        <v>213.78450000000001</v>
      </c>
      <c r="AN15" s="38">
        <f t="shared" si="1"/>
        <v>0</v>
      </c>
      <c r="AO15" s="38">
        <f t="shared" si="2"/>
        <v>0</v>
      </c>
      <c r="AQ15" s="37">
        <v>42758</v>
      </c>
      <c r="AR15">
        <v>4</v>
      </c>
      <c r="AS15">
        <v>213.843875</v>
      </c>
      <c r="AT15">
        <v>213.78449999999901</v>
      </c>
      <c r="AV15" s="37">
        <v>42758</v>
      </c>
      <c r="AW15">
        <v>4</v>
      </c>
      <c r="AX15">
        <v>213.843875</v>
      </c>
      <c r="AY15">
        <v>213.78449999999901</v>
      </c>
      <c r="BA15" s="38">
        <f>AX15-Table3[[#This Row],[Trendline]]</f>
        <v>-2.4999999993724487E-5</v>
      </c>
      <c r="BB15" s="38">
        <f>AY15-Table3[[#This Row],[SmPrice]]</f>
        <v>-9.9475983006414026E-13</v>
      </c>
    </row>
    <row r="16" spans="1:54" x14ac:dyDescent="0.35">
      <c r="A16" s="6">
        <v>14</v>
      </c>
      <c r="B16" s="3">
        <v>42759</v>
      </c>
      <c r="C16" s="2">
        <v>213.89</v>
      </c>
      <c r="D16" s="2">
        <v>215.48</v>
      </c>
      <c r="E16" s="2">
        <v>213.77</v>
      </c>
      <c r="F16" s="2">
        <v>215.03</v>
      </c>
      <c r="G16" s="1">
        <v>101142584</v>
      </c>
      <c r="H16" s="30">
        <f>(testdata[[#This Row],[high]]+testdata[[#This Row],[low]])/2</f>
        <v>214.625</v>
      </c>
      <c r="I16" s="23">
        <f>(4*testdata[[#This Row],[price]]+3*H15+2*H14+H13)/10</f>
        <v>214.11149999999998</v>
      </c>
      <c r="J16" s="9">
        <f>(0.0962*testdata[[#This Row],[smooth]]+0.5769*I14-0.5769*I12-0.0962*I10)*(0.075*$Z15+0.54)</f>
        <v>7.3922141737417695E-3</v>
      </c>
      <c r="K16" s="14">
        <f t="shared" si="0"/>
        <v>4.9401345751247654E-2</v>
      </c>
      <c r="L16" s="19">
        <f>(0.0962*testdata[[#This Row],[detrender]]+0.5769*J14-0.5769*J12-0.0962*J10)*(0.075*$Z15+0.54)</f>
        <v>1.5097396810163251E-3</v>
      </c>
      <c r="M16" s="12">
        <f>(0.0962*testdata[[#This Row],[I1]]+0.5769*K14-0.5769*K12-0.0962*K10)*(0.075*$Z15+0.54)</f>
        <v>-9.9870962195659385E-2</v>
      </c>
      <c r="N16" s="12">
        <f>(0.0962*testdata[[#This Row],[Q1]]+0.5769*L14-0.5769*L12-0.0962*L10)*(0.075*$Z15+0.54)</f>
        <v>5.0695190967242433E-2</v>
      </c>
      <c r="O16" s="12">
        <f>testdata[[#This Row],[I1]]-testdata[[#This Row],[JQ]]</f>
        <v>-1.2938452159947794E-3</v>
      </c>
      <c r="P16" s="12">
        <f>testdata[[#This Row],[Q1]]+testdata[[#This Row],[jI]]</f>
        <v>-9.8361222514643062E-2</v>
      </c>
      <c r="Q16" s="12">
        <f>0.2*testdata[[#This Row],[I2]]+0.8*Q15</f>
        <v>-3.0779620917560455E-3</v>
      </c>
      <c r="R16" s="12">
        <f>0.2*testdata[[#This Row],[Q2]]+0.8*R15</f>
        <v>-3.63681031786941E-2</v>
      </c>
      <c r="S16" s="12">
        <f>testdata[[#This Row],[I2'']]*Q15+testdata[[#This Row],[Q2'']]*R15</f>
        <v>7.6984260038741889E-4</v>
      </c>
      <c r="T16" s="12">
        <f>testdata[[#This Row],[I2'']]*R15-testdata[[#This Row],[Q2'']]*Q15</f>
        <v>-6.3924354471573669E-5</v>
      </c>
      <c r="U16" s="12">
        <f>0.2*testdata[[#This Row],[Re]]+0.8*U15</f>
        <v>4.7375280044362872E-4</v>
      </c>
      <c r="V16" s="12">
        <f>0.2*testdata[[#This Row],[Im]]+0.8*V15</f>
        <v>2.6074351839797837E-4</v>
      </c>
      <c r="W16" s="12">
        <f>IF(AND(testdata[[#This Row],[Re'']]&lt;&gt;0,testdata[[#This Row],[Im'']]&lt;&gt;0),2*PI()/ATAN(testdata[[#This Row],[Im'']]/testdata[[#This Row],[Re'']]),0)</f>
        <v>12.488094659917225</v>
      </c>
      <c r="X16" s="12">
        <f>IF(testdata[[#This Row],[pd-atan]]&gt;1.5*Z15,1.5*Z15,IF(testdata[[#This Row],[pd-atan]]&lt;0.67*Z15,0.67*Z15,testdata[[#This Row],[pd-atan]]))</f>
        <v>8.0537212800000031</v>
      </c>
      <c r="Y16" s="12">
        <f>IF(testdata[[#This Row],[pd-limit1]]&lt;6,6,IF(testdata[[#This Row],[pd-limit1]]&gt;50,50,testdata[[#This Row],[pd-limit1]]))</f>
        <v>8.0537212800000031</v>
      </c>
      <c r="Z16" s="26">
        <f>0.2*testdata[[#This Row],[pd-limit2]]+0.8*Z15</f>
        <v>5.9060622720000033</v>
      </c>
      <c r="AA16" s="26">
        <f>0.33*testdata[[#This Row],[period]]+0.67*AA15</f>
        <v>4.8723578392683127</v>
      </c>
      <c r="AB16" s="27">
        <f>TRUNC(testdata[[#This Row],[SmPd]]+0.5,0)</f>
        <v>5</v>
      </c>
      <c r="AC16" s="26">
        <f ca="1">IF(testdata[[#This Row],[PdInt]]&lt;=0,0,AVERAGE(OFFSET(testdata[[#This Row],[price]],0,0,-testdata[[#This Row],[PdInt]],1)))</f>
        <v>213.971</v>
      </c>
      <c r="AD16" s="26">
        <f ca="1">IF(testdata[[#This Row],[i]]&lt;11,testdata[[#This Row],[price]],(4*testdata[[#This Row],[iTrend]]+3*AC15+2*AC14+AC13)/10)</f>
        <v>213.8820666666667</v>
      </c>
      <c r="AE16" s="26">
        <f>(4*testdata[[#This Row],[price]]+3*H15+2*H14+H13)/10</f>
        <v>214.11149999999998</v>
      </c>
      <c r="AF16" t="str">
        <f ca="1">IF(OR(ROUND(testdata[[#This Row],[Trendline]],4)&lt;&gt;Table3[[#This Row],[Trendline]],ROUND(testdata[[#This Row],[SmPrice]],4)&lt;&gt;Table3[[#This Row],[SmPrice]]),"ERR","")</f>
        <v/>
      </c>
      <c r="AG16" s="3">
        <v>42759</v>
      </c>
      <c r="AH16" s="26">
        <v>4.8723999999999998</v>
      </c>
      <c r="AI16" s="33">
        <v>5</v>
      </c>
      <c r="AJ16" s="26">
        <v>213.971</v>
      </c>
      <c r="AK16" s="26">
        <v>213.88210000000001</v>
      </c>
      <c r="AL16" s="26">
        <v>214.11150000000001</v>
      </c>
      <c r="AN16" s="38">
        <f t="shared" si="1"/>
        <v>0</v>
      </c>
      <c r="AO16" s="38">
        <f t="shared" si="2"/>
        <v>0</v>
      </c>
      <c r="AQ16" s="37">
        <v>42759</v>
      </c>
      <c r="AR16">
        <v>5</v>
      </c>
      <c r="AS16">
        <v>213.88206666666599</v>
      </c>
      <c r="AT16">
        <v>214.11149999999901</v>
      </c>
      <c r="AV16" s="37">
        <v>42759</v>
      </c>
      <c r="AW16">
        <v>5</v>
      </c>
      <c r="AX16">
        <v>213.88206666666599</v>
      </c>
      <c r="AY16">
        <v>214.11149999999901</v>
      </c>
      <c r="BA16" s="38">
        <f>AX16-Table3[[#This Row],[Trendline]]</f>
        <v>-3.3333334016560912E-5</v>
      </c>
      <c r="BB16" s="38">
        <f>AY16-Table3[[#This Row],[SmPrice]]</f>
        <v>-9.9475983006414026E-13</v>
      </c>
    </row>
    <row r="17" spans="1:54" x14ac:dyDescent="0.35">
      <c r="A17" s="6">
        <v>15</v>
      </c>
      <c r="B17" s="3">
        <v>42760</v>
      </c>
      <c r="C17" s="2">
        <v>216.07</v>
      </c>
      <c r="D17" s="2">
        <v>216.89</v>
      </c>
      <c r="E17" s="2">
        <v>215.89</v>
      </c>
      <c r="F17" s="2">
        <v>216.89</v>
      </c>
      <c r="G17" s="1">
        <v>89374928</v>
      </c>
      <c r="H17" s="30">
        <f>(testdata[[#This Row],[high]]+testdata[[#This Row],[low]])/2</f>
        <v>216.39</v>
      </c>
      <c r="I17" s="23">
        <f>(4*testdata[[#This Row],[price]]+3*H16+2*H15+H14)/10</f>
        <v>215.06649999999999</v>
      </c>
      <c r="J17" s="9">
        <f>(0.0962*testdata[[#This Row],[smooth]]+0.5769*I15-0.5769*I13-0.0962*I11)*(0.075*$Z16+0.54)</f>
        <v>7.2924080008149997E-2</v>
      </c>
      <c r="K17" s="14">
        <f t="shared" si="0"/>
        <v>-5.8666846412863488E-2</v>
      </c>
      <c r="L17" s="14">
        <f>(0.0962*testdata[[#This Row],[detrender]]+0.5769*J15-0.5769*J13-0.0962*J11)*(0.075*$Z16+0.54)</f>
        <v>-2.323689380529732E-2</v>
      </c>
      <c r="M17" s="12">
        <f>(0.0962*testdata[[#This Row],[I1]]+0.5769*K15-0.5769*K13-0.0962*K11)*(0.075*$Z16+0.54)</f>
        <v>-4.8521729541274997E-2</v>
      </c>
      <c r="N17" s="12">
        <f>(0.0962*testdata[[#This Row],[Q1]]+0.5769*L15-0.5769*L13-0.0962*L11)*(0.075*$Z16+0.54)</f>
        <v>0.13025215770759971</v>
      </c>
      <c r="O17" s="12">
        <f>testdata[[#This Row],[I1]]-testdata[[#This Row],[JQ]]</f>
        <v>-0.1889190041204632</v>
      </c>
      <c r="P17" s="12">
        <f>testdata[[#This Row],[Q1]]+testdata[[#This Row],[jI]]</f>
        <v>-7.175862334657232E-2</v>
      </c>
      <c r="Q17" s="12">
        <f>0.2*testdata[[#This Row],[I2]]+0.8*Q16</f>
        <v>-4.0246170497497478E-2</v>
      </c>
      <c r="R17" s="12">
        <f>0.2*testdata[[#This Row],[Q2]]+0.8*R16</f>
        <v>-4.3446207212269744E-2</v>
      </c>
      <c r="S17" s="12">
        <f>testdata[[#This Row],[I2'']]*Q16+testdata[[#This Row],[Q2'']]*R16</f>
        <v>1.7039323337483974E-3</v>
      </c>
      <c r="T17" s="12">
        <f>testdata[[#This Row],[I2'']]*R16-testdata[[#This Row],[Q2'']]*Q16</f>
        <v>1.3299511023703583E-3</v>
      </c>
      <c r="U17" s="12">
        <f>0.2*testdata[[#This Row],[Re]]+0.8*U16</f>
        <v>7.1978870710458253E-4</v>
      </c>
      <c r="V17" s="12">
        <f>0.2*testdata[[#This Row],[Im]]+0.8*V16</f>
        <v>4.7458503519245439E-4</v>
      </c>
      <c r="W17" s="12">
        <f>IF(AND(testdata[[#This Row],[Re'']]&lt;&gt;0,testdata[[#This Row],[Im'']]&lt;&gt;0),2*PI()/ATAN(testdata[[#This Row],[Im'']]/testdata[[#This Row],[Re'']]),0)</f>
        <v>10.778947491728015</v>
      </c>
      <c r="X17" s="12">
        <f>IF(testdata[[#This Row],[pd-atan]]&gt;1.5*Z16,1.5*Z16,IF(testdata[[#This Row],[pd-atan]]&lt;0.67*Z16,0.67*Z16,testdata[[#This Row],[pd-atan]]))</f>
        <v>8.859093408000005</v>
      </c>
      <c r="Y17" s="12">
        <f>IF(testdata[[#This Row],[pd-limit1]]&lt;6,6,IF(testdata[[#This Row],[pd-limit1]]&gt;50,50,testdata[[#This Row],[pd-limit1]]))</f>
        <v>8.859093408000005</v>
      </c>
      <c r="Z17" s="26">
        <f>0.2*testdata[[#This Row],[pd-limit2]]+0.8*Z16</f>
        <v>6.4966684992000037</v>
      </c>
      <c r="AA17" s="26">
        <f>0.33*testdata[[#This Row],[period]]+0.67*AA16</f>
        <v>5.4083803570457709</v>
      </c>
      <c r="AB17" s="27">
        <f>TRUNC(testdata[[#This Row],[SmPd]]+0.5,0)</f>
        <v>5</v>
      </c>
      <c r="AC17" s="26">
        <f ca="1">IF(testdata[[#This Row],[PdInt]]&lt;=0,0,AVERAGE(OFFSET(testdata[[#This Row],[price]],0,0,-testdata[[#This Row],[PdInt]],1)))</f>
        <v>214.48000000000002</v>
      </c>
      <c r="AD17" s="26">
        <f ca="1">IF(testdata[[#This Row],[i]]&lt;11,testdata[[#This Row],[price]],(4*testdata[[#This Row],[iTrend]]+3*AC16+2*AC15+AC14)/10)</f>
        <v>214.13142499999998</v>
      </c>
      <c r="AE17" s="26">
        <f>(4*testdata[[#This Row],[price]]+3*H16+2*H15+H14)/10</f>
        <v>215.06649999999999</v>
      </c>
      <c r="AF17" t="str">
        <f ca="1">IF(OR(ROUND(testdata[[#This Row],[Trendline]],4)&lt;&gt;Table3[[#This Row],[Trendline]],ROUND(testdata[[#This Row],[SmPrice]],4)&lt;&gt;Table3[[#This Row],[SmPrice]]),"ERR","")</f>
        <v/>
      </c>
      <c r="AG17" s="3">
        <v>42760</v>
      </c>
      <c r="AH17" s="26">
        <v>5.4084000000000003</v>
      </c>
      <c r="AI17" s="33">
        <v>5</v>
      </c>
      <c r="AJ17" s="26">
        <v>214.48</v>
      </c>
      <c r="AK17" s="26">
        <v>214.13140000000001</v>
      </c>
      <c r="AL17" s="26">
        <v>215.06649999999999</v>
      </c>
      <c r="AN17" s="38">
        <f t="shared" si="1"/>
        <v>0</v>
      </c>
      <c r="AO17" s="38">
        <f t="shared" si="2"/>
        <v>0</v>
      </c>
      <c r="AQ17" s="37">
        <v>42760</v>
      </c>
      <c r="AR17">
        <v>5</v>
      </c>
      <c r="AS17">
        <v>214.13142499999901</v>
      </c>
      <c r="AT17">
        <v>215.06649999999999</v>
      </c>
      <c r="AV17" s="37">
        <v>42760</v>
      </c>
      <c r="AW17">
        <v>5</v>
      </c>
      <c r="AX17">
        <v>214.13142499999901</v>
      </c>
      <c r="AY17">
        <v>215.06649999999999</v>
      </c>
      <c r="BA17" s="38">
        <f>AX17-Table3[[#This Row],[Trendline]]</f>
        <v>2.4999998998964656E-5</v>
      </c>
      <c r="BB17" s="38">
        <f>AY17-Table3[[#This Row],[SmPrice]]</f>
        <v>0</v>
      </c>
    </row>
    <row r="18" spans="1:54" x14ac:dyDescent="0.35">
      <c r="A18" s="6">
        <v>16</v>
      </c>
      <c r="B18" s="3">
        <v>42761</v>
      </c>
      <c r="C18" s="2">
        <v>216.73</v>
      </c>
      <c r="D18" s="2">
        <v>217.02</v>
      </c>
      <c r="E18" s="2">
        <v>216.36</v>
      </c>
      <c r="F18" s="2">
        <v>216.66</v>
      </c>
      <c r="G18" s="1">
        <v>63477304</v>
      </c>
      <c r="H18" s="30">
        <f>(testdata[[#This Row],[high]]+testdata[[#This Row],[low]])/2</f>
        <v>216.69</v>
      </c>
      <c r="I18" s="23">
        <f>(4*testdata[[#This Row],[price]]+3*H17+2*H16+H15)/10</f>
        <v>215.87349999999998</v>
      </c>
      <c r="J18" s="9">
        <f>(0.0962*testdata[[#This Row],[smooth]]+0.5769*I16-0.5769*I14-0.0962*I12)*(0.075*$Z17+0.54)</f>
        <v>0.31369574028312591</v>
      </c>
      <c r="K18" s="14">
        <f t="shared" si="0"/>
        <v>-4.0378969030402098E-2</v>
      </c>
      <c r="L18" s="14">
        <f>(0.0962*testdata[[#This Row],[detrender]]+0.5769*J16-0.5769*J14-0.0962*J12)*(0.075*$Z17+0.54)</f>
        <v>7.5618776267475166E-2</v>
      </c>
      <c r="M18" s="12">
        <f>(0.0962*testdata[[#This Row],[I1]]+0.5769*K16-0.5769*K14-0.0962*K12)*(0.075*$Z17+0.54)</f>
        <v>0.1582625772283314</v>
      </c>
      <c r="N18" s="12">
        <f>(0.0962*testdata[[#This Row],[Q1]]+0.5769*L16-0.5769*L14-0.0962*L12)*(0.075*$Z17+0.54)</f>
        <v>4.9293193665639272E-2</v>
      </c>
      <c r="O18" s="12">
        <f>testdata[[#This Row],[I1]]-testdata[[#This Row],[JQ]]</f>
        <v>-8.9672162696041363E-2</v>
      </c>
      <c r="P18" s="12">
        <f>testdata[[#This Row],[Q1]]+testdata[[#This Row],[jI]]</f>
        <v>0.23388135349580658</v>
      </c>
      <c r="Q18" s="12">
        <f>0.2*testdata[[#This Row],[I2]]+0.8*Q17</f>
        <v>-5.0131368937206253E-2</v>
      </c>
      <c r="R18" s="12">
        <f>0.2*testdata[[#This Row],[Q2]]+0.8*R17</f>
        <v>1.2019304929345526E-2</v>
      </c>
      <c r="S18" s="12">
        <f>testdata[[#This Row],[I2'']]*Q17+testdata[[#This Row],[Q2'']]*R17</f>
        <v>1.4954024090119511E-3</v>
      </c>
      <c r="T18" s="12">
        <f>testdata[[#This Row],[I2'']]*R17-testdata[[#This Row],[Q2'']]*Q17</f>
        <v>2.6617488381284575E-3</v>
      </c>
      <c r="U18" s="12">
        <f>0.2*testdata[[#This Row],[Re]]+0.8*U17</f>
        <v>8.7491144748605627E-4</v>
      </c>
      <c r="V18" s="12">
        <f>0.2*testdata[[#This Row],[Im]]+0.8*V17</f>
        <v>9.1201779577965505E-4</v>
      </c>
      <c r="W18" s="12">
        <f>IF(AND(testdata[[#This Row],[Re'']]&lt;&gt;0,testdata[[#This Row],[Im'']]&lt;&gt;0),2*PI()/ATAN(testdata[[#This Row],[Im'']]/testdata[[#This Row],[Re'']]),0)</f>
        <v>7.7939622189485256</v>
      </c>
      <c r="X18" s="12">
        <f>IF(testdata[[#This Row],[pd-atan]]&gt;1.5*Z17,1.5*Z17,IF(testdata[[#This Row],[pd-atan]]&lt;0.67*Z17,0.67*Z17,testdata[[#This Row],[pd-atan]]))</f>
        <v>7.7939622189485256</v>
      </c>
      <c r="Y18" s="12">
        <f>IF(testdata[[#This Row],[pd-limit1]]&lt;6,6,IF(testdata[[#This Row],[pd-limit1]]&gt;50,50,testdata[[#This Row],[pd-limit1]]))</f>
        <v>7.7939622189485256</v>
      </c>
      <c r="Z18" s="26">
        <f>0.2*testdata[[#This Row],[pd-limit2]]+0.8*Z17</f>
        <v>6.7561272431497086</v>
      </c>
      <c r="AA18" s="26">
        <f>0.33*testdata[[#This Row],[period]]+0.67*AA17</f>
        <v>5.8531368294600705</v>
      </c>
      <c r="AB18" s="27">
        <f>TRUNC(testdata[[#This Row],[SmPd]]+0.5,0)</f>
        <v>6</v>
      </c>
      <c r="AC18" s="26">
        <f ca="1">IF(testdata[[#This Row],[PdInt]]&lt;=0,0,AVERAGE(OFFSET(testdata[[#This Row],[price]],0,0,-testdata[[#This Row],[PdInt]],1)))</f>
        <v>214.84833333333336</v>
      </c>
      <c r="AD18" s="26">
        <f ca="1">IF(testdata[[#This Row],[i]]&lt;11,testdata[[#This Row],[price]],(4*testdata[[#This Row],[iTrend]]+3*AC17+2*AC16+AC15)/10)</f>
        <v>214.45828333333333</v>
      </c>
      <c r="AE18" s="26">
        <f>(4*testdata[[#This Row],[price]]+3*H17+2*H16+H15)/10</f>
        <v>215.87349999999998</v>
      </c>
      <c r="AF18" t="str">
        <f ca="1">IF(OR(ROUND(testdata[[#This Row],[Trendline]],4)&lt;&gt;Table3[[#This Row],[Trendline]],ROUND(testdata[[#This Row],[SmPrice]],4)&lt;&gt;Table3[[#This Row],[SmPrice]]),"ERR","")</f>
        <v/>
      </c>
      <c r="AG18" s="3">
        <v>42761</v>
      </c>
      <c r="AH18" s="26">
        <v>5.9819000000000004</v>
      </c>
      <c r="AI18" s="33">
        <v>6</v>
      </c>
      <c r="AJ18" s="26">
        <v>214.84829999999999</v>
      </c>
      <c r="AK18" s="26">
        <v>214.45830000000001</v>
      </c>
      <c r="AL18" s="26">
        <v>215.87350000000001</v>
      </c>
      <c r="AN18" s="38">
        <f t="shared" si="1"/>
        <v>0</v>
      </c>
      <c r="AO18" s="38">
        <f t="shared" si="2"/>
        <v>0</v>
      </c>
      <c r="AQ18" s="37">
        <v>42761</v>
      </c>
      <c r="AR18">
        <v>6</v>
      </c>
      <c r="AS18">
        <v>214.45828333333299</v>
      </c>
      <c r="AT18">
        <v>215.87349999999901</v>
      </c>
      <c r="AV18" s="37">
        <v>42761</v>
      </c>
      <c r="AW18">
        <v>6</v>
      </c>
      <c r="AX18">
        <v>214.45828333333299</v>
      </c>
      <c r="AY18">
        <v>215.87349999999901</v>
      </c>
      <c r="BA18" s="38">
        <f>AX18-Table3[[#This Row],[Trendline]]</f>
        <v>-1.666666702249131E-5</v>
      </c>
      <c r="BB18" s="38">
        <f>AY18-Table3[[#This Row],[SmPrice]]</f>
        <v>-9.9475983006414026E-13</v>
      </c>
    </row>
    <row r="19" spans="1:54" x14ac:dyDescent="0.35">
      <c r="A19" s="6">
        <v>17</v>
      </c>
      <c r="B19" s="3">
        <v>42762</v>
      </c>
      <c r="C19" s="2">
        <v>216.75</v>
      </c>
      <c r="D19" s="2">
        <v>216.91</v>
      </c>
      <c r="E19" s="2">
        <v>216.12</v>
      </c>
      <c r="F19" s="2">
        <v>216.32</v>
      </c>
      <c r="G19" s="1">
        <v>63202528</v>
      </c>
      <c r="H19" s="30">
        <f>(testdata[[#This Row],[high]]+testdata[[#This Row],[low]])/2</f>
        <v>216.51499999999999</v>
      </c>
      <c r="I19" s="23">
        <f>(4*testdata[[#This Row],[price]]+3*H18+2*H17+H16)/10</f>
        <v>216.3535</v>
      </c>
      <c r="J19" s="9">
        <f>(0.0962*testdata[[#This Row],[smooth]]+0.5769*I17-0.5769*I15-0.0962*I13)*(0.075*$Z18+0.54)</f>
        <v>1.0266203609857678</v>
      </c>
      <c r="K19" s="14">
        <f t="shared" si="0"/>
        <v>7.3922141737417695E-3</v>
      </c>
      <c r="L19" s="14">
        <f>(0.0962*testdata[[#This Row],[detrender]]+0.5769*J17-0.5769*J15-0.0962*J13)*(0.075*$Z18+0.54)</f>
        <v>0.16681723820862285</v>
      </c>
      <c r="M19" s="12">
        <f>(0.0962*testdata[[#This Row],[I1]]+0.5769*K17-0.5769*K15-0.0962*K13)*(0.075*$Z18+0.54)</f>
        <v>1.6763363671855516E-3</v>
      </c>
      <c r="N19" s="12">
        <f>(0.0962*testdata[[#This Row],[Q1]]+0.5769*L17-0.5769*L15-0.0962*L13)*(0.075*$Z18+0.54)</f>
        <v>-7.2539627585873442E-2</v>
      </c>
      <c r="O19" s="12">
        <f>testdata[[#This Row],[I1]]-testdata[[#This Row],[JQ]]</f>
        <v>7.9931841759615208E-2</v>
      </c>
      <c r="P19" s="12">
        <f>testdata[[#This Row],[Q1]]+testdata[[#This Row],[jI]]</f>
        <v>0.16849357457580841</v>
      </c>
      <c r="Q19" s="12">
        <f>0.2*testdata[[#This Row],[I2]]+0.8*Q18</f>
        <v>-2.4118726797841963E-2</v>
      </c>
      <c r="R19" s="12">
        <f>0.2*testdata[[#This Row],[Q2]]+0.8*R18</f>
        <v>4.3314158858638103E-2</v>
      </c>
      <c r="S19" s="12">
        <f>testdata[[#This Row],[I2'']]*Q18+testdata[[#This Row],[Q2'']]*R18</f>
        <v>1.7297108744783827E-3</v>
      </c>
      <c r="T19" s="12">
        <f>testdata[[#This Row],[I2'']]*R18-testdata[[#This Row],[Q2'']]*Q18</f>
        <v>1.8815077460563072E-3</v>
      </c>
      <c r="U19" s="12">
        <f>0.2*testdata[[#This Row],[Re]]+0.8*U18</f>
        <v>1.0458713328845217E-3</v>
      </c>
      <c r="V19" s="12">
        <f>0.2*testdata[[#This Row],[Im]]+0.8*V18</f>
        <v>1.1059157858349855E-3</v>
      </c>
      <c r="W19" s="12">
        <f>IF(AND(testdata[[#This Row],[Re'']]&lt;&gt;0,testdata[[#This Row],[Im'']]&lt;&gt;0),2*PI()/ATAN(testdata[[#This Row],[Im'']]/testdata[[#This Row],[Re'']]),0)</f>
        <v>7.7255883245879273</v>
      </c>
      <c r="X19" s="12">
        <f>IF(testdata[[#This Row],[pd-atan]]&gt;1.5*Z18,1.5*Z18,IF(testdata[[#This Row],[pd-atan]]&lt;0.67*Z18,0.67*Z18,testdata[[#This Row],[pd-atan]]))</f>
        <v>7.7255883245879273</v>
      </c>
      <c r="Y19" s="12">
        <f>IF(testdata[[#This Row],[pd-limit1]]&lt;6,6,IF(testdata[[#This Row],[pd-limit1]]&gt;50,50,testdata[[#This Row],[pd-limit1]]))</f>
        <v>7.7255883245879273</v>
      </c>
      <c r="Z19" s="26">
        <f>0.2*testdata[[#This Row],[pd-limit2]]+0.8*Z18</f>
        <v>6.9500194594373523</v>
      </c>
      <c r="AA19" s="26">
        <f>0.33*testdata[[#This Row],[period]]+0.67*AA18</f>
        <v>6.2151080973525739</v>
      </c>
      <c r="AB19" s="27">
        <f>TRUNC(testdata[[#This Row],[SmPd]]+0.5,0)</f>
        <v>6</v>
      </c>
      <c r="AC19" s="26">
        <f ca="1">IF(testdata[[#This Row],[PdInt]]&lt;=0,0,AVERAGE(OFFSET(testdata[[#This Row],[price]],0,0,-testdata[[#This Row],[PdInt]],1)))</f>
        <v>215.31583333333333</v>
      </c>
      <c r="AD19" s="26">
        <f ca="1">IF(testdata[[#This Row],[i]]&lt;11,testdata[[#This Row],[price]],(4*testdata[[#This Row],[iTrend]]+3*AC18+2*AC17+AC16)/10)</f>
        <v>214.87393333333335</v>
      </c>
      <c r="AE19" s="26">
        <f>(4*testdata[[#This Row],[price]]+3*H18+2*H17+H16)/10</f>
        <v>216.3535</v>
      </c>
      <c r="AF19" t="str">
        <f ca="1">IF(OR(ROUND(testdata[[#This Row],[Trendline]],4)&lt;&gt;Table3[[#This Row],[Trendline]],ROUND(testdata[[#This Row],[SmPrice]],4)&lt;&gt;Table3[[#This Row],[SmPrice]]),"ERR","")</f>
        <v>ERR</v>
      </c>
      <c r="AG19" s="3">
        <v>42762</v>
      </c>
      <c r="AH19" s="26">
        <v>6.6020000000000003</v>
      </c>
      <c r="AI19" s="33">
        <v>7</v>
      </c>
      <c r="AJ19" s="26">
        <v>215.0864</v>
      </c>
      <c r="AK19" s="26">
        <v>214.78219999999999</v>
      </c>
      <c r="AL19" s="26">
        <v>216.3535</v>
      </c>
      <c r="AN19" s="38">
        <f t="shared" si="1"/>
        <v>-9.1761904762023505E-2</v>
      </c>
      <c r="AO19" s="38">
        <f t="shared" si="2"/>
        <v>0</v>
      </c>
      <c r="AQ19" s="37">
        <v>42762</v>
      </c>
      <c r="AR19">
        <v>6</v>
      </c>
      <c r="AS19">
        <v>214.87393333333301</v>
      </c>
      <c r="AT19">
        <v>216.3535</v>
      </c>
      <c r="AV19" s="37">
        <v>42762</v>
      </c>
      <c r="AW19">
        <v>7</v>
      </c>
      <c r="AX19">
        <v>214.78217142857099</v>
      </c>
      <c r="AY19">
        <v>216.3535</v>
      </c>
      <c r="BA19" s="38">
        <f>AX19-Table3[[#This Row],[Trendline]]</f>
        <v>-2.8571428998702686E-5</v>
      </c>
      <c r="BB19" s="38">
        <f>AY19-Table3[[#This Row],[SmPrice]]</f>
        <v>0</v>
      </c>
    </row>
    <row r="20" spans="1:54" x14ac:dyDescent="0.35">
      <c r="A20" s="6">
        <v>18</v>
      </c>
      <c r="B20" s="3">
        <v>42765</v>
      </c>
      <c r="C20" s="2">
        <v>215.57</v>
      </c>
      <c r="D20" s="2">
        <v>215.59</v>
      </c>
      <c r="E20" s="2">
        <v>213.9</v>
      </c>
      <c r="F20" s="2">
        <v>214.98</v>
      </c>
      <c r="G20" s="1">
        <v>84399624</v>
      </c>
      <c r="H20" s="30">
        <f>(testdata[[#This Row],[high]]+testdata[[#This Row],[low]])/2</f>
        <v>214.745</v>
      </c>
      <c r="I20" s="23">
        <f>(4*testdata[[#This Row],[price]]+3*H19+2*H18+H17)/10</f>
        <v>215.8295</v>
      </c>
      <c r="J20" s="9">
        <f>(0.0962*testdata[[#This Row],[smooth]]+0.5769*I18-0.5769*I16-0.0962*I14)*(0.075*$Z19+0.54)</f>
        <v>1.2748282095485275</v>
      </c>
      <c r="K20" s="14">
        <f t="shared" si="0"/>
        <v>7.2924080008149997E-2</v>
      </c>
      <c r="L20" s="14">
        <f>(0.0962*testdata[[#This Row],[detrender]]+0.5769*J18-0.5769*J16-0.0962*J14)*(0.075*$Z19+0.54)</f>
        <v>0.32366973334067317</v>
      </c>
      <c r="M20" s="9">
        <f>(0.0962*testdata[[#This Row],[I1]]+0.5769*K18-0.5769*K16-0.0962*K14)*(0.075*$Z19+0.54)</f>
        <v>-2.5087817583798237E-2</v>
      </c>
      <c r="N20" s="12">
        <f>(0.0962*testdata[[#This Row],[Q1]]+0.5769*L18-0.5769*L16-0.0962*L14)*(0.075*$Z19+0.54)</f>
        <v>8.2814990154926771E-2</v>
      </c>
      <c r="O20" s="12">
        <f>testdata[[#This Row],[I1]]-testdata[[#This Row],[JQ]]</f>
        <v>-9.890910146776774E-3</v>
      </c>
      <c r="P20" s="12">
        <f>testdata[[#This Row],[Q1]]+testdata[[#This Row],[jI]]</f>
        <v>0.29858191575687493</v>
      </c>
      <c r="Q20" s="12">
        <f>0.2*testdata[[#This Row],[I2]]+0.8*Q19</f>
        <v>-2.1273163467628926E-2</v>
      </c>
      <c r="R20" s="12">
        <f>0.2*testdata[[#This Row],[Q2]]+0.8*R19</f>
        <v>9.4367710238285468E-2</v>
      </c>
      <c r="S20" s="12">
        <f>testdata[[#This Row],[I2'']]*Q19+testdata[[#This Row],[Q2'']]*R19</f>
        <v>4.6005396101886E-3</v>
      </c>
      <c r="T20" s="12">
        <f>testdata[[#This Row],[I2'']]*R19-testdata[[#This Row],[Q2'']]*Q19</f>
        <v>1.3545998399124648E-3</v>
      </c>
      <c r="U20" s="12">
        <f>0.2*testdata[[#This Row],[Re]]+0.8*U19</f>
        <v>1.7568049883453373E-3</v>
      </c>
      <c r="V20" s="12">
        <f>0.2*testdata[[#This Row],[Im]]+0.8*V19</f>
        <v>1.1556525966504813E-3</v>
      </c>
      <c r="W20" s="12">
        <f>IF(AND(testdata[[#This Row],[Re'']]&lt;&gt;0,testdata[[#This Row],[Im'']]&lt;&gt;0),2*PI()/ATAN(testdata[[#This Row],[Im'']]/testdata[[#This Row],[Re'']]),0)</f>
        <v>10.798644672414925</v>
      </c>
      <c r="X20" s="12">
        <f>IF(testdata[[#This Row],[pd-atan]]&gt;1.5*Z19,1.5*Z19,IF(testdata[[#This Row],[pd-atan]]&lt;0.67*Z19,0.67*Z19,testdata[[#This Row],[pd-atan]]))</f>
        <v>10.425029189156028</v>
      </c>
      <c r="Y20" s="12">
        <f>IF(testdata[[#This Row],[pd-limit1]]&lt;6,6,IF(testdata[[#This Row],[pd-limit1]]&gt;50,50,testdata[[#This Row],[pd-limit1]]))</f>
        <v>10.425029189156028</v>
      </c>
      <c r="Z20" s="26">
        <f>0.2*testdata[[#This Row],[pd-limit2]]+0.8*Z19</f>
        <v>7.6450214053810885</v>
      </c>
      <c r="AA20" s="26">
        <f>0.33*testdata[[#This Row],[period]]+0.67*AA19</f>
        <v>6.6869794890019847</v>
      </c>
      <c r="AB20" s="27">
        <f>TRUNC(testdata[[#This Row],[SmPd]]+0.5,0)</f>
        <v>7</v>
      </c>
      <c r="AC20" s="26">
        <f ca="1">IF(testdata[[#This Row],[PdInt]]&lt;=0,0,AVERAGE(OFFSET(testdata[[#This Row],[price]],0,0,-testdata[[#This Row],[PdInt]],1)))</f>
        <v>215.2342857142857</v>
      </c>
      <c r="AD20" s="26">
        <f ca="1">IF(testdata[[#This Row],[i]]&lt;11,testdata[[#This Row],[price]],(4*testdata[[#This Row],[iTrend]]+3*AC19+2*AC18+AC17)/10)</f>
        <v>215.10613095238097</v>
      </c>
      <c r="AE20" s="26">
        <f>(4*testdata[[#This Row],[price]]+3*H19+2*H18+H17)/10</f>
        <v>215.8295</v>
      </c>
      <c r="AF20" t="str">
        <f ca="1">IF(OR(ROUND(testdata[[#This Row],[Trendline]],4)&lt;&gt;Table3[[#This Row],[Trendline]],ROUND(testdata[[#This Row],[SmPrice]],4)&lt;&gt;Table3[[#This Row],[SmPrice]]),"ERR","")</f>
        <v>ERR</v>
      </c>
      <c r="AG20" s="3">
        <v>42765</v>
      </c>
      <c r="AH20" s="26">
        <v>7.2769000000000004</v>
      </c>
      <c r="AI20" s="33">
        <v>7</v>
      </c>
      <c r="AJ20" s="26">
        <v>215.23429999999999</v>
      </c>
      <c r="AK20" s="26">
        <v>215.03729999999999</v>
      </c>
      <c r="AL20" s="26">
        <v>215.8295</v>
      </c>
      <c r="AN20" s="38">
        <f t="shared" si="1"/>
        <v>-6.8821428570998933E-2</v>
      </c>
      <c r="AO20" s="38">
        <f t="shared" si="2"/>
        <v>0</v>
      </c>
      <c r="AQ20" s="37">
        <v>42765</v>
      </c>
      <c r="AR20">
        <v>7</v>
      </c>
      <c r="AS20">
        <v>215.10613095238</v>
      </c>
      <c r="AT20">
        <v>215.8295</v>
      </c>
      <c r="AV20" s="37">
        <v>42765</v>
      </c>
      <c r="AW20">
        <v>7</v>
      </c>
      <c r="AX20">
        <v>215.037309523809</v>
      </c>
      <c r="AY20">
        <v>215.8295</v>
      </c>
      <c r="BA20" s="38">
        <f>AX20-Table3[[#This Row],[Trendline]]</f>
        <v>9.5238090125349117E-6</v>
      </c>
      <c r="BB20" s="38">
        <f>AY20-Table3[[#This Row],[SmPrice]]</f>
        <v>0</v>
      </c>
    </row>
    <row r="21" spans="1:54" x14ac:dyDescent="0.35">
      <c r="A21" s="6">
        <v>19</v>
      </c>
      <c r="B21" s="3">
        <v>42766</v>
      </c>
      <c r="C21" s="2">
        <v>214.44</v>
      </c>
      <c r="D21" s="2">
        <v>215.03</v>
      </c>
      <c r="E21" s="2">
        <v>213.82</v>
      </c>
      <c r="F21" s="2">
        <v>214.96</v>
      </c>
      <c r="G21" s="1">
        <v>80317680</v>
      </c>
      <c r="H21" s="30">
        <f>(testdata[[#This Row],[high]]+testdata[[#This Row],[low]])/2</f>
        <v>214.42500000000001</v>
      </c>
      <c r="I21" s="23">
        <f>(4*testdata[[#This Row],[price]]+3*H20+2*H19+H18)/10</f>
        <v>215.16549999999998</v>
      </c>
      <c r="J21" s="9">
        <f>(0.0962*testdata[[#This Row],[smooth]]+0.5769*I19-0.5769*I17-0.0962*I15)*(0.075*$Z20+0.54)</f>
        <v>0.97456359368337975</v>
      </c>
      <c r="K21" s="14">
        <f t="shared" si="0"/>
        <v>0.31369574028312591</v>
      </c>
      <c r="L21" s="14">
        <f>(0.0962*testdata[[#This Row],[detrender]]+0.5769*J19-0.5769*J17-0.0962*J15)*(0.075*$Z20+0.54)</f>
        <v>0.72127304244182133</v>
      </c>
      <c r="M21" s="9">
        <f>(0.0962*testdata[[#This Row],[I1]]+0.5769*K19-0.5769*K17-0.0962*K15)*(0.075*$Z20+0.54)</f>
        <v>8.1958788183050427E-2</v>
      </c>
      <c r="N21" s="12">
        <f>(0.0962*testdata[[#This Row],[Q1]]+0.5769*L19-0.5769*L17-0.0962*L15)*(0.075*$Z20+0.54)</f>
        <v>0.18437485690477776</v>
      </c>
      <c r="O21" s="12">
        <f>testdata[[#This Row],[I1]]-testdata[[#This Row],[JQ]]</f>
        <v>0.12932088337834816</v>
      </c>
      <c r="P21" s="12">
        <f>testdata[[#This Row],[Q1]]+testdata[[#This Row],[jI]]</f>
        <v>0.8032318306248718</v>
      </c>
      <c r="Q21" s="12">
        <f>0.2*testdata[[#This Row],[I2]]+0.8*Q20</f>
        <v>8.8456459015664908E-3</v>
      </c>
      <c r="R21" s="12">
        <f>0.2*testdata[[#This Row],[Q2]]+0.8*R20</f>
        <v>0.23614053431560275</v>
      </c>
      <c r="S21" s="12">
        <f>testdata[[#This Row],[I2'']]*Q20+testdata[[#This Row],[Q2'']]*R20</f>
        <v>2.2095866646567919E-2</v>
      </c>
      <c r="T21" s="12">
        <f>testdata[[#This Row],[I2'']]*R20-testdata[[#This Row],[Q2'']]*Q20</f>
        <v>5.858199537138559E-3</v>
      </c>
      <c r="U21" s="12">
        <f>0.2*testdata[[#This Row],[Re]]+0.8*U20</f>
        <v>5.8246173199898547E-3</v>
      </c>
      <c r="V21" s="12">
        <f>0.2*testdata[[#This Row],[Im]]+0.8*V20</f>
        <v>2.0961619847480969E-3</v>
      </c>
      <c r="W21" s="12">
        <f>IF(AND(testdata[[#This Row],[Re'']]&lt;&gt;0,testdata[[#This Row],[Im'']]&lt;&gt;0),2*PI()/ATAN(testdata[[#This Row],[Im'']]/testdata[[#This Row],[Re'']]),0)</f>
        <v>18.188452217978398</v>
      </c>
      <c r="X21" s="12">
        <f>IF(testdata[[#This Row],[pd-atan]]&gt;1.5*Z20,1.5*Z20,IF(testdata[[#This Row],[pd-atan]]&lt;0.67*Z20,0.67*Z20,testdata[[#This Row],[pd-atan]]))</f>
        <v>11.467532108071634</v>
      </c>
      <c r="Y21" s="12">
        <f>IF(testdata[[#This Row],[pd-limit1]]&lt;6,6,IF(testdata[[#This Row],[pd-limit1]]&gt;50,50,testdata[[#This Row],[pd-limit1]]))</f>
        <v>11.467532108071634</v>
      </c>
      <c r="Z21" s="26">
        <f>0.2*testdata[[#This Row],[pd-limit2]]+0.8*Z20</f>
        <v>8.4095235459191979</v>
      </c>
      <c r="AA21" s="26">
        <f>0.33*testdata[[#This Row],[period]]+0.67*AA20</f>
        <v>7.255419027784666</v>
      </c>
      <c r="AB21" s="27">
        <f>TRUNC(testdata[[#This Row],[SmPd]]+0.5,0)</f>
        <v>7</v>
      </c>
      <c r="AC21" s="26">
        <f ca="1">IF(testdata[[#This Row],[PdInt]]&lt;=0,0,AVERAGE(OFFSET(testdata[[#This Row],[price]],0,0,-testdata[[#This Row],[PdInt]],1)))</f>
        <v>215.27785714285713</v>
      </c>
      <c r="AD21" s="26">
        <f ca="1">IF(testdata[[#This Row],[i]]&lt;11,testdata[[#This Row],[price]],(4*testdata[[#This Row],[iTrend]]+3*AC20+2*AC19+AC18)/10)</f>
        <v>215.22942857142857</v>
      </c>
      <c r="AE21" s="26">
        <f>(4*testdata[[#This Row],[price]]+3*H20+2*H19+H18)/10</f>
        <v>215.16549999999998</v>
      </c>
      <c r="AF21" t="str">
        <f ca="1">IF(OR(ROUND(testdata[[#This Row],[Trendline]],4)&lt;&gt;Table3[[#This Row],[Trendline]],ROUND(testdata[[#This Row],[SmPrice]],4)&lt;&gt;Table3[[#This Row],[SmPrice]]),"ERR","")</f>
        <v>ERR</v>
      </c>
      <c r="AG21" s="3">
        <v>42766</v>
      </c>
      <c r="AH21" s="26">
        <v>8.0144000000000002</v>
      </c>
      <c r="AI21" s="33">
        <v>8</v>
      </c>
      <c r="AJ21" s="26">
        <v>215.13310000000001</v>
      </c>
      <c r="AK21" s="26">
        <v>215.12569999999999</v>
      </c>
      <c r="AL21" s="26">
        <v>215.16550000000001</v>
      </c>
      <c r="AN21" s="38">
        <f t="shared" si="1"/>
        <v>-0.10377380952400017</v>
      </c>
      <c r="AO21" s="38">
        <f t="shared" si="2"/>
        <v>0</v>
      </c>
      <c r="AQ21" s="37">
        <v>42766</v>
      </c>
      <c r="AR21">
        <v>7</v>
      </c>
      <c r="AS21">
        <v>215.229428571428</v>
      </c>
      <c r="AT21">
        <v>215.16549999999901</v>
      </c>
      <c r="AV21" s="37">
        <v>42766</v>
      </c>
      <c r="AW21">
        <v>8</v>
      </c>
      <c r="AX21">
        <v>215.125654761904</v>
      </c>
      <c r="AY21">
        <v>215.16549999999901</v>
      </c>
      <c r="BA21" s="38">
        <f>AX21-Table3[[#This Row],[Trendline]]</f>
        <v>-4.5238095992772287E-5</v>
      </c>
      <c r="BB21" s="38">
        <f>AY21-Table3[[#This Row],[SmPrice]]</f>
        <v>-9.9475983006414026E-13</v>
      </c>
    </row>
    <row r="22" spans="1:54" x14ac:dyDescent="0.35">
      <c r="A22" s="6">
        <v>20</v>
      </c>
      <c r="B22" s="3">
        <v>42767</v>
      </c>
      <c r="C22" s="2">
        <v>215.65</v>
      </c>
      <c r="D22" s="2">
        <v>215.96</v>
      </c>
      <c r="E22" s="2">
        <v>214.4</v>
      </c>
      <c r="F22" s="2">
        <v>215.05</v>
      </c>
      <c r="G22" s="1">
        <v>83743792</v>
      </c>
      <c r="H22" s="30">
        <f>(testdata[[#This Row],[high]]+testdata[[#This Row],[low]])/2</f>
        <v>215.18</v>
      </c>
      <c r="I22" s="23">
        <f>(4*testdata[[#This Row],[price]]+3*H21+2*H20+H19)/10</f>
        <v>215</v>
      </c>
      <c r="J22" s="9">
        <f>(0.0962*testdata[[#This Row],[smooth]]+0.5769*I20-0.5769*I18-0.0962*I16)*(0.075*$Z21+0.54)</f>
        <v>7.0348337312014633E-2</v>
      </c>
      <c r="K22" s="14">
        <f t="shared" si="0"/>
        <v>1.0266203609857678</v>
      </c>
      <c r="L22" s="14">
        <f>(0.0962*testdata[[#This Row],[detrender]]+0.5769*J20-0.5769*J18-0.0962*J16)*(0.075*$Z21+0.54)</f>
        <v>0.65622479979392534</v>
      </c>
      <c r="M22" s="9">
        <f>(0.0962*testdata[[#This Row],[I1]]+0.5769*K20-0.5769*K18-0.0962*K16)*(0.075*$Z21+0.54)</f>
        <v>0.18658024266444256</v>
      </c>
      <c r="N22" s="12">
        <f>(0.0962*testdata[[#This Row],[Q1]]+0.5769*L20-0.5769*L18-0.0962*L16)*(0.075*$Z21+0.54)</f>
        <v>0.24126569644010212</v>
      </c>
      <c r="O22" s="12">
        <f>testdata[[#This Row],[I1]]-testdata[[#This Row],[JQ]]</f>
        <v>0.78535466454566571</v>
      </c>
      <c r="P22" s="12">
        <f>testdata[[#This Row],[Q1]]+testdata[[#This Row],[jI]]</f>
        <v>0.84280504245836796</v>
      </c>
      <c r="Q22" s="12">
        <f>0.2*testdata[[#This Row],[I2]]+0.8*Q21</f>
        <v>0.16414744963038636</v>
      </c>
      <c r="R22" s="12">
        <f>0.2*testdata[[#This Row],[Q2]]+0.8*R21</f>
        <v>0.35747343594415582</v>
      </c>
      <c r="S22" s="12">
        <f>testdata[[#This Row],[I2'']]*Q21+testdata[[#This Row],[Q2'']]*R21</f>
        <v>8.5865958382562974E-2</v>
      </c>
      <c r="T22" s="12">
        <f>testdata[[#This Row],[I2'']]*R21-testdata[[#This Row],[Q2'']]*Q21</f>
        <v>3.5599783028684606E-2</v>
      </c>
      <c r="U22" s="12">
        <f>0.2*testdata[[#This Row],[Re]]+0.8*U21</f>
        <v>2.1832885532504481E-2</v>
      </c>
      <c r="V22" s="12">
        <f>0.2*testdata[[#This Row],[Im]]+0.8*V21</f>
        <v>8.7968861935353998E-3</v>
      </c>
      <c r="W22" s="12">
        <f>IF(AND(testdata[[#This Row],[Re'']]&lt;&gt;0,testdata[[#This Row],[Im'']]&lt;&gt;0),2*PI()/ATAN(testdata[[#This Row],[Im'']]/testdata[[#This Row],[Re'']]),0)</f>
        <v>16.404314472860285</v>
      </c>
      <c r="X22" s="12">
        <f>IF(testdata[[#This Row],[pd-atan]]&gt;1.5*Z21,1.5*Z21,IF(testdata[[#This Row],[pd-atan]]&lt;0.67*Z21,0.67*Z21,testdata[[#This Row],[pd-atan]]))</f>
        <v>12.614285318878796</v>
      </c>
      <c r="Y22" s="12">
        <f>IF(testdata[[#This Row],[pd-limit1]]&lt;6,6,IF(testdata[[#This Row],[pd-limit1]]&gt;50,50,testdata[[#This Row],[pd-limit1]]))</f>
        <v>12.614285318878796</v>
      </c>
      <c r="Z22" s="26">
        <f>0.2*testdata[[#This Row],[pd-limit2]]+0.8*Z21</f>
        <v>9.2504759005111179</v>
      </c>
      <c r="AA22" s="26">
        <f>0.33*testdata[[#This Row],[period]]+0.67*AA21</f>
        <v>7.9137877957843958</v>
      </c>
      <c r="AB22" s="27">
        <f>TRUNC(testdata[[#This Row],[SmPd]]+0.5,0)</f>
        <v>8</v>
      </c>
      <c r="AC22" s="26">
        <f ca="1">IF(testdata[[#This Row],[PdInt]]&lt;=0,0,AVERAGE(OFFSET(testdata[[#This Row],[price]],0,0,-testdata[[#This Row],[PdInt]],1)))</f>
        <v>215.265625</v>
      </c>
      <c r="AD22" s="26">
        <f ca="1">IF(testdata[[#This Row],[i]]&lt;11,testdata[[#This Row],[price]],(4*testdata[[#This Row],[iTrend]]+3*AC21+2*AC20+AC19)/10)</f>
        <v>215.26804761904759</v>
      </c>
      <c r="AE22" s="26">
        <f>(4*testdata[[#This Row],[price]]+3*H21+2*H20+H19)/10</f>
        <v>215</v>
      </c>
      <c r="AF22" t="str">
        <f ca="1">IF(OR(ROUND(testdata[[#This Row],[Trendline]],4)&lt;&gt;Table3[[#This Row],[Trendline]],ROUND(testdata[[#This Row],[SmPrice]],4)&lt;&gt;Table3[[#This Row],[SmPrice]]),"ERR","")</f>
        <v>ERR</v>
      </c>
      <c r="AG22" s="3">
        <v>42767</v>
      </c>
      <c r="AH22" s="26">
        <v>8.8224</v>
      </c>
      <c r="AI22" s="33">
        <v>9</v>
      </c>
      <c r="AJ22" s="26">
        <v>215.13829999999999</v>
      </c>
      <c r="AK22" s="26">
        <v>215.1508</v>
      </c>
      <c r="AL22" s="26">
        <v>215</v>
      </c>
      <c r="AN22" s="38">
        <f t="shared" si="1"/>
        <v>-0.11727678571398314</v>
      </c>
      <c r="AO22" s="38">
        <f t="shared" si="2"/>
        <v>0</v>
      </c>
      <c r="AQ22" s="37">
        <v>42767</v>
      </c>
      <c r="AR22">
        <v>8</v>
      </c>
      <c r="AS22">
        <v>215.268047619047</v>
      </c>
      <c r="AT22">
        <v>215</v>
      </c>
      <c r="AV22" s="37">
        <v>42767</v>
      </c>
      <c r="AW22">
        <v>9</v>
      </c>
      <c r="AX22">
        <v>215.15077083333301</v>
      </c>
      <c r="AY22">
        <v>215</v>
      </c>
      <c r="BA22" s="38">
        <f>AX22-Table3[[#This Row],[Trendline]]</f>
        <v>-2.9166666990931844E-5</v>
      </c>
      <c r="BB22" s="38">
        <f>AY22-Table3[[#This Row],[SmPrice]]</f>
        <v>0</v>
      </c>
    </row>
    <row r="23" spans="1:54" x14ac:dyDescent="0.35">
      <c r="A23" s="6">
        <v>21</v>
      </c>
      <c r="B23" s="3">
        <v>42768</v>
      </c>
      <c r="C23" s="2">
        <v>214.65</v>
      </c>
      <c r="D23" s="2">
        <v>215.5</v>
      </c>
      <c r="E23" s="2">
        <v>214.29</v>
      </c>
      <c r="F23" s="2">
        <v>215.19</v>
      </c>
      <c r="G23" s="1">
        <v>73730552</v>
      </c>
      <c r="H23" s="30">
        <f>(testdata[[#This Row],[high]]+testdata[[#This Row],[low]])/2</f>
        <v>214.89499999999998</v>
      </c>
      <c r="I23" s="23">
        <f>(4*testdata[[#This Row],[price]]+3*H22+2*H21+H20)/10</f>
        <v>214.87149999999997</v>
      </c>
      <c r="J23" s="9">
        <f>(0.0962*testdata[[#This Row],[smooth]]+0.5769*I21-0.5769*I19-0.0962*I17)*(0.075*$Z22+0.54)</f>
        <v>-0.86872849344446612</v>
      </c>
      <c r="K23" s="14">
        <f t="shared" si="0"/>
        <v>1.2748282095485275</v>
      </c>
      <c r="L23" s="14">
        <f>(0.0962*testdata[[#This Row],[detrender]]+0.5769*J21-0.5769*J19-0.0962*J17)*(0.075*$Z22+0.54)</f>
        <v>-0.14881741240237498</v>
      </c>
      <c r="M23" s="9">
        <f>(0.0962*testdata[[#This Row],[I1]]+0.5769*K21-0.5769*K19-0.0962*K17)*(0.075*$Z22+0.54)</f>
        <v>0.37629072972718886</v>
      </c>
      <c r="N23" s="9">
        <f>(0.0962*testdata[[#This Row],[Q1]]+0.5769*L21-0.5769*L19-0.0962*L17)*(0.075*$Z22+0.54)</f>
        <v>0.37974036858577748</v>
      </c>
      <c r="O23" s="9">
        <f>testdata[[#This Row],[I1]]-testdata[[#This Row],[JQ]]</f>
        <v>0.89508784096275007</v>
      </c>
      <c r="P23" s="9">
        <f>testdata[[#This Row],[Q1]]+testdata[[#This Row],[jI]]</f>
        <v>0.22747331732481388</v>
      </c>
      <c r="Q23" s="12">
        <f>0.2*testdata[[#This Row],[I2]]+0.8*Q22</f>
        <v>0.31033552789685914</v>
      </c>
      <c r="R23" s="12">
        <f>0.2*testdata[[#This Row],[Q2]]+0.8*R22</f>
        <v>0.33147341222028742</v>
      </c>
      <c r="S23" s="12">
        <f>testdata[[#This Row],[I2'']]*Q22+testdata[[#This Row],[Q2'']]*R22</f>
        <v>0.16943372502448872</v>
      </c>
      <c r="T23" s="12">
        <f>testdata[[#This Row],[I2'']]*R22-testdata[[#This Row],[Q2'']]*Q22</f>
        <v>5.6526192216591734E-2</v>
      </c>
      <c r="U23" s="12">
        <f>0.2*testdata[[#This Row],[Re]]+0.8*U22</f>
        <v>5.1353053430901331E-2</v>
      </c>
      <c r="V23" s="12">
        <f>0.2*testdata[[#This Row],[Im]]+0.8*V22</f>
        <v>1.8342747398146668E-2</v>
      </c>
      <c r="W23" s="12">
        <f>IF(AND(testdata[[#This Row],[Re'']]&lt;&gt;0,testdata[[#This Row],[Im'']]&lt;&gt;0),2*PI()/ATAN(testdata[[#This Row],[Im'']]/testdata[[#This Row],[Re'']]),0)</f>
        <v>18.314859613441033</v>
      </c>
      <c r="X23" s="12">
        <f>IF(testdata[[#This Row],[pd-atan]]&gt;1.5*Z22,1.5*Z22,IF(testdata[[#This Row],[pd-atan]]&lt;0.67*Z22,0.67*Z22,testdata[[#This Row],[pd-atan]]))</f>
        <v>13.875713850766676</v>
      </c>
      <c r="Y23" s="12">
        <f>IF(testdata[[#This Row],[pd-limit1]]&lt;6,6,IF(testdata[[#This Row],[pd-limit1]]&gt;50,50,testdata[[#This Row],[pd-limit1]]))</f>
        <v>13.875713850766676</v>
      </c>
      <c r="Z23" s="26">
        <f>0.2*testdata[[#This Row],[pd-limit2]]+0.8*Z22</f>
        <v>10.175523490562231</v>
      </c>
      <c r="AA23" s="26">
        <f>0.33*testdata[[#This Row],[period]]+0.67*AA22</f>
        <v>8.6601605750610808</v>
      </c>
      <c r="AB23" s="27">
        <f>TRUNC(testdata[[#This Row],[SmPd]]+0.5,0)</f>
        <v>9</v>
      </c>
      <c r="AC23" s="26">
        <f ca="1">IF(testdata[[#This Row],[PdInt]]&lt;=0,0,AVERAGE(OFFSET(testdata[[#This Row],[price]],0,0,-testdata[[#This Row],[PdInt]],1)))</f>
        <v>215.22444444444443</v>
      </c>
      <c r="AD23" s="26">
        <f ca="1">IF(testdata[[#This Row],[i]]&lt;11,testdata[[#This Row],[price]],(4*testdata[[#This Row],[iTrend]]+3*AC22+2*AC21+AC20)/10)</f>
        <v>215.24846527777777</v>
      </c>
      <c r="AE23" s="26">
        <f>(4*testdata[[#This Row],[price]]+3*H22+2*H21+H20)/10</f>
        <v>214.87149999999997</v>
      </c>
      <c r="AF23" t="str">
        <f ca="1">IF(OR(ROUND(testdata[[#This Row],[Trendline]],4)&lt;&gt;Table3[[#This Row],[Trendline]],ROUND(testdata[[#This Row],[SmPrice]],4)&lt;&gt;Table3[[#This Row],[SmPrice]]),"ERR","")</f>
        <v>ERR</v>
      </c>
      <c r="AG23" s="3">
        <v>42768</v>
      </c>
      <c r="AH23" s="26">
        <v>9.7090999999999994</v>
      </c>
      <c r="AI23" s="33">
        <v>10</v>
      </c>
      <c r="AJ23" s="26">
        <v>215.114</v>
      </c>
      <c r="AK23" s="26">
        <v>215.13720000000001</v>
      </c>
      <c r="AL23" s="26">
        <v>214.8715</v>
      </c>
      <c r="AN23" s="38">
        <f t="shared" si="1"/>
        <v>-0.11131170634899945</v>
      </c>
      <c r="AO23" s="38">
        <f t="shared" si="2"/>
        <v>0</v>
      </c>
      <c r="AQ23" s="37">
        <v>42768</v>
      </c>
      <c r="AR23">
        <v>9</v>
      </c>
      <c r="AS23">
        <v>215.248465277777</v>
      </c>
      <c r="AT23">
        <v>214.871499999999</v>
      </c>
      <c r="AV23" s="37">
        <v>42768</v>
      </c>
      <c r="AW23">
        <v>10</v>
      </c>
      <c r="AX23">
        <v>215.137153571428</v>
      </c>
      <c r="AY23">
        <v>214.871499999999</v>
      </c>
      <c r="BA23" s="38">
        <f>AX23-Table3[[#This Row],[Trendline]]</f>
        <v>-4.6428572005652313E-5</v>
      </c>
      <c r="BB23" s="38">
        <f>AY23-Table3[[#This Row],[SmPrice]]</f>
        <v>-9.9475983006414026E-13</v>
      </c>
    </row>
    <row r="24" spans="1:54" x14ac:dyDescent="0.35">
      <c r="A24" s="6">
        <v>22</v>
      </c>
      <c r="B24" s="3">
        <v>42769</v>
      </c>
      <c r="C24" s="2">
        <v>216.18</v>
      </c>
      <c r="D24" s="2">
        <v>216.87</v>
      </c>
      <c r="E24" s="2">
        <v>215.84</v>
      </c>
      <c r="F24" s="2">
        <v>216.67</v>
      </c>
      <c r="G24" s="1">
        <v>85273832</v>
      </c>
      <c r="H24" s="30">
        <f>(testdata[[#This Row],[high]]+testdata[[#This Row],[low]])/2</f>
        <v>216.35500000000002</v>
      </c>
      <c r="I24" s="23">
        <f>(4*testdata[[#This Row],[price]]+3*H23+2*H22+H21)/10</f>
        <v>215.48900000000003</v>
      </c>
      <c r="J24" s="9">
        <f>(0.0962*testdata[[#This Row],[smooth]]+0.5769*I22-0.5769*I20-0.0962*I18)*(0.075*$Z23+0.54)</f>
        <v>-0.67181694881284437</v>
      </c>
      <c r="K24" s="14">
        <f t="shared" si="0"/>
        <v>0.97456359368337975</v>
      </c>
      <c r="L24" s="14">
        <f>(0.0962*testdata[[#This Row],[detrender]]+0.5769*J22-0.5769*J20-0.0962*J18)*(0.075*$Z23+0.54)</f>
        <v>-1.029070711690605</v>
      </c>
      <c r="M24" s="9">
        <f>(0.0962*testdata[[#This Row],[I1]]+0.5769*K22-0.5769*K20-0.0962*K18)*(0.075*$Z23+0.54)</f>
        <v>0.84422220418721117</v>
      </c>
      <c r="N24" s="9">
        <f>(0.0962*testdata[[#This Row],[Q1]]+0.5769*L22-0.5769*L20-0.0962*L18)*(0.075*$Z23+0.54)</f>
        <v>0.11152465299715021</v>
      </c>
      <c r="O24" s="9">
        <f>testdata[[#This Row],[I1]]-testdata[[#This Row],[JQ]]</f>
        <v>0.86303894068622955</v>
      </c>
      <c r="P24" s="9">
        <f>testdata[[#This Row],[Q1]]+testdata[[#This Row],[jI]]</f>
        <v>-0.18484850750339388</v>
      </c>
      <c r="Q24" s="9">
        <f>0.2*testdata[[#This Row],[I2]]+0.8*Q23</f>
        <v>0.42087621045473322</v>
      </c>
      <c r="R24" s="9">
        <f>0.2*testdata[[#This Row],[Q2]]+0.8*R23</f>
        <v>0.2282090282755512</v>
      </c>
      <c r="S24" s="12">
        <f>testdata[[#This Row],[I2'']]*Q23+testdata[[#This Row],[Q2'']]*R23</f>
        <v>0.20625806625267223</v>
      </c>
      <c r="T24" s="12">
        <f>testdata[[#This Row],[I2'']]*R23-testdata[[#This Row],[Q2'']]*Q23</f>
        <v>6.8687904341051792E-2</v>
      </c>
      <c r="U24" s="12">
        <f>0.2*testdata[[#This Row],[Re]]+0.8*U23</f>
        <v>8.2334055995255506E-2</v>
      </c>
      <c r="V24" s="12">
        <f>0.2*testdata[[#This Row],[Im]]+0.8*V23</f>
        <v>2.8411778786727696E-2</v>
      </c>
      <c r="W24" s="12">
        <f>IF(AND(testdata[[#This Row],[Re'']]&lt;&gt;0,testdata[[#This Row],[Im'']]&lt;&gt;0),2*PI()/ATAN(testdata[[#This Row],[Im'']]/testdata[[#This Row],[Re'']]),0)</f>
        <v>18.909057902546596</v>
      </c>
      <c r="X24" s="12">
        <f>IF(testdata[[#This Row],[pd-atan]]&gt;1.5*Z23,1.5*Z23,IF(testdata[[#This Row],[pd-atan]]&lt;0.67*Z23,0.67*Z23,testdata[[#This Row],[pd-atan]]))</f>
        <v>15.263285235843346</v>
      </c>
      <c r="Y24" s="12">
        <f>IF(testdata[[#This Row],[pd-limit1]]&lt;6,6,IF(testdata[[#This Row],[pd-limit1]]&gt;50,50,testdata[[#This Row],[pd-limit1]]))</f>
        <v>15.263285235843346</v>
      </c>
      <c r="Z24" s="26">
        <f>0.2*testdata[[#This Row],[pd-limit2]]+0.8*Z23</f>
        <v>11.193075839618453</v>
      </c>
      <c r="AA24" s="26">
        <f>0.33*testdata[[#This Row],[period]]+0.67*AA23</f>
        <v>9.4960226123650138</v>
      </c>
      <c r="AB24" s="27">
        <f>TRUNC(testdata[[#This Row],[SmPd]]+0.5,0)</f>
        <v>9</v>
      </c>
      <c r="AC24" s="26">
        <f ca="1">IF(testdata[[#This Row],[PdInt]]&lt;=0,0,AVERAGE(OFFSET(testdata[[#This Row],[price]],0,0,-testdata[[#This Row],[PdInt]],1)))</f>
        <v>215.53555555555556</v>
      </c>
      <c r="AD24" s="26">
        <f ca="1">IF(testdata[[#This Row],[i]]&lt;11,testdata[[#This Row],[price]],(4*testdata[[#This Row],[iTrend]]+3*AC23+2*AC22+AC21)/10)</f>
        <v>215.36246626984126</v>
      </c>
      <c r="AE24" s="26">
        <f>(4*testdata[[#This Row],[price]]+3*H23+2*H22+H21)/10</f>
        <v>215.48900000000003</v>
      </c>
      <c r="AF24" t="str">
        <f ca="1">IF(OR(ROUND(testdata[[#This Row],[Trendline]],4)&lt;&gt;Table3[[#This Row],[Trendline]],ROUND(testdata[[#This Row],[SmPrice]],4)&lt;&gt;Table3[[#This Row],[SmPrice]]),"ERR","")</f>
        <v>ERR</v>
      </c>
      <c r="AG24" s="3">
        <v>42769</v>
      </c>
      <c r="AH24" s="26">
        <v>10.6829</v>
      </c>
      <c r="AI24" s="33">
        <v>11</v>
      </c>
      <c r="AJ24" s="26">
        <v>215.2268</v>
      </c>
      <c r="AK24" s="26">
        <v>215.16589999999999</v>
      </c>
      <c r="AL24" s="26">
        <v>215.489</v>
      </c>
      <c r="AN24" s="38">
        <f t="shared" si="1"/>
        <v>-0.19655983044799541</v>
      </c>
      <c r="AO24" s="38">
        <f t="shared" si="2"/>
        <v>0</v>
      </c>
      <c r="AQ24" s="37">
        <v>42769</v>
      </c>
      <c r="AR24">
        <v>9</v>
      </c>
      <c r="AS24">
        <v>215.36246626984101</v>
      </c>
      <c r="AT24">
        <v>215.489</v>
      </c>
      <c r="AV24" s="37">
        <v>42769</v>
      </c>
      <c r="AW24">
        <v>11</v>
      </c>
      <c r="AX24">
        <v>215.16590643939301</v>
      </c>
      <c r="AY24">
        <v>215.489</v>
      </c>
      <c r="BA24" s="38">
        <f>AX24-Table3[[#This Row],[Trendline]]</f>
        <v>6.4393930188089143E-6</v>
      </c>
      <c r="BB24" s="38">
        <f>AY24-Table3[[#This Row],[SmPrice]]</f>
        <v>0</v>
      </c>
    </row>
    <row r="25" spans="1:54" x14ac:dyDescent="0.35">
      <c r="A25" s="6">
        <v>23</v>
      </c>
      <c r="B25" s="3">
        <v>42772</v>
      </c>
      <c r="C25" s="2">
        <v>216.23</v>
      </c>
      <c r="D25" s="2">
        <v>216.66</v>
      </c>
      <c r="E25" s="2">
        <v>215.92</v>
      </c>
      <c r="F25" s="2">
        <v>216.28</v>
      </c>
      <c r="G25" s="1">
        <v>61169192</v>
      </c>
      <c r="H25" s="30">
        <f>(testdata[[#This Row],[high]]+testdata[[#This Row],[low]])/2</f>
        <v>216.29</v>
      </c>
      <c r="I25" s="23">
        <f>(4*testdata[[#This Row],[price]]+3*H24+2*H23+H22)/10</f>
        <v>215.91949999999997</v>
      </c>
      <c r="J25" s="9">
        <f>(0.0962*testdata[[#This Row],[smooth]]+0.5769*I23-0.5769*I21-0.0962*I19)*(0.075*$Z24+0.54)</f>
        <v>-0.2915662105212129</v>
      </c>
      <c r="K25" s="14">
        <f t="shared" si="0"/>
        <v>7.0348337312014633E-2</v>
      </c>
      <c r="L25" s="14">
        <f>(0.0962*testdata[[#This Row],[detrender]]+0.5769*J23-0.5769*J21-0.0962*J19)*(0.075*$Z24+0.54)</f>
        <v>-1.6418644718305004</v>
      </c>
      <c r="M25" s="9">
        <f>(0.0962*testdata[[#This Row],[I1]]+0.5769*K23-0.5769*K21-0.0962*K19)*(0.075*$Z24+0.54)</f>
        <v>0.77324541488670639</v>
      </c>
      <c r="N25" s="9">
        <f>(0.0962*testdata[[#This Row],[Q1]]+0.5769*L23-0.5769*L21-0.0962*L19)*(0.075*$Z24+0.54)</f>
        <v>-0.93246047303470148</v>
      </c>
      <c r="O25" s="9">
        <f>testdata[[#This Row],[I1]]-testdata[[#This Row],[JQ]]</f>
        <v>1.0028088103467161</v>
      </c>
      <c r="P25" s="9">
        <f>testdata[[#This Row],[Q1]]+testdata[[#This Row],[jI]]</f>
        <v>-0.86861905694379404</v>
      </c>
      <c r="Q25" s="9">
        <f>0.2*testdata[[#This Row],[I2]]+0.8*Q24</f>
        <v>0.53726273043312989</v>
      </c>
      <c r="R25" s="9">
        <f>0.2*testdata[[#This Row],[Q2]]+0.8*R24</f>
        <v>8.8434112316821689E-3</v>
      </c>
      <c r="S25" s="9">
        <f>testdata[[#This Row],[I2'']]*Q24+testdata[[#This Row],[Q2'']]*R24</f>
        <v>0.22813924828708187</v>
      </c>
      <c r="T25" s="9">
        <f>testdata[[#This Row],[I2'']]*R24-testdata[[#This Row],[Q2'']]*Q24</f>
        <v>0.11888622423413077</v>
      </c>
      <c r="U25" s="12">
        <f>0.2*testdata[[#This Row],[Re]]+0.8*U24</f>
        <v>0.1114950944536208</v>
      </c>
      <c r="V25" s="12">
        <f>0.2*testdata[[#This Row],[Im]]+0.8*V24</f>
        <v>4.6506667876208316E-2</v>
      </c>
      <c r="W25" s="12">
        <f>IF(AND(testdata[[#This Row],[Re'']]&lt;&gt;0,testdata[[#This Row],[Im'']]&lt;&gt;0),2*PI()/ATAN(testdata[[#This Row],[Im'']]/testdata[[#This Row],[Re'']]),0)</f>
        <v>15.89971131792557</v>
      </c>
      <c r="X25" s="12">
        <f>IF(testdata[[#This Row],[pd-atan]]&gt;1.5*Z24,1.5*Z24,IF(testdata[[#This Row],[pd-atan]]&lt;0.67*Z24,0.67*Z24,testdata[[#This Row],[pd-atan]]))</f>
        <v>15.89971131792557</v>
      </c>
      <c r="Y25" s="12">
        <f>IF(testdata[[#This Row],[pd-limit1]]&lt;6,6,IF(testdata[[#This Row],[pd-limit1]]&gt;50,50,testdata[[#This Row],[pd-limit1]]))</f>
        <v>15.89971131792557</v>
      </c>
      <c r="Z25" s="26">
        <f>0.2*testdata[[#This Row],[pd-limit2]]+0.8*Z24</f>
        <v>12.134402935279876</v>
      </c>
      <c r="AA25" s="26">
        <f>0.33*testdata[[#This Row],[period]]+0.67*AA24</f>
        <v>10.36668811892692</v>
      </c>
      <c r="AB25" s="27">
        <f>TRUNC(testdata[[#This Row],[SmPd]]+0.5,0)</f>
        <v>10</v>
      </c>
      <c r="AC25" s="26">
        <f ca="1">IF(testdata[[#This Row],[PdInt]]&lt;=0,0,AVERAGE(OFFSET(testdata[[#This Row],[price]],0,0,-testdata[[#This Row],[PdInt]],1)))</f>
        <v>215.61100000000002</v>
      </c>
      <c r="AD25" s="26">
        <f ca="1">IF(testdata[[#This Row],[i]]&lt;11,testdata[[#This Row],[price]],(4*testdata[[#This Row],[iTrend]]+3*AC24+2*AC23+AC22)/10)</f>
        <v>215.47651805555557</v>
      </c>
      <c r="AE25" s="26">
        <f>(4*testdata[[#This Row],[price]]+3*H24+2*H23+H22)/10</f>
        <v>215.91949999999997</v>
      </c>
      <c r="AF25" t="str">
        <f ca="1">IF(OR(ROUND(testdata[[#This Row],[Trendline]],4)&lt;&gt;Table3[[#This Row],[Trendline]],ROUND(testdata[[#This Row],[SmPrice]],4)&lt;&gt;Table3[[#This Row],[SmPrice]]),"ERR","")</f>
        <v>ERR</v>
      </c>
      <c r="AG25" s="3">
        <v>42772</v>
      </c>
      <c r="AH25" s="26">
        <v>11.7532</v>
      </c>
      <c r="AI25" s="33">
        <v>12</v>
      </c>
      <c r="AJ25" s="26">
        <v>215.31540000000001</v>
      </c>
      <c r="AK25" s="26">
        <v>215.23079999999999</v>
      </c>
      <c r="AL25" s="26">
        <v>215.9195</v>
      </c>
      <c r="AN25" s="38">
        <f t="shared" si="1"/>
        <v>-0.24567260100999988</v>
      </c>
      <c r="AO25" s="38">
        <f t="shared" si="2"/>
        <v>0</v>
      </c>
      <c r="AQ25" s="37">
        <v>42772</v>
      </c>
      <c r="AR25">
        <v>10</v>
      </c>
      <c r="AS25">
        <v>215.476518055555</v>
      </c>
      <c r="AT25">
        <v>215.919499999999</v>
      </c>
      <c r="AV25" s="37">
        <v>42772</v>
      </c>
      <c r="AW25">
        <v>12</v>
      </c>
      <c r="AX25">
        <v>215.230845454545</v>
      </c>
      <c r="AY25">
        <v>215.919499999999</v>
      </c>
      <c r="BA25" s="38">
        <f>AX25-Table3[[#This Row],[Trendline]]</f>
        <v>4.5454545016809789E-5</v>
      </c>
      <c r="BB25" s="38">
        <f>AY25-Table3[[#This Row],[SmPrice]]</f>
        <v>-9.9475983006414026E-13</v>
      </c>
    </row>
    <row r="26" spans="1:54" x14ac:dyDescent="0.35">
      <c r="A26" s="6">
        <v>24</v>
      </c>
      <c r="B26" s="3">
        <v>42773</v>
      </c>
      <c r="C26" s="2">
        <v>216.71</v>
      </c>
      <c r="D26" s="2">
        <v>216.97</v>
      </c>
      <c r="E26" s="2">
        <v>216.09</v>
      </c>
      <c r="F26" s="2">
        <v>216.29</v>
      </c>
      <c r="G26" s="1">
        <v>61318484</v>
      </c>
      <c r="H26" s="30">
        <f>(testdata[[#This Row],[high]]+testdata[[#This Row],[low]])/2</f>
        <v>216.53</v>
      </c>
      <c r="I26" s="23">
        <f>(4*testdata[[#This Row],[price]]+3*H25+2*H24+H23)/10</f>
        <v>216.25950000000003</v>
      </c>
      <c r="J26" s="9">
        <f>(0.0962*testdata[[#This Row],[smooth]]+0.5769*I24-0.5769*I22-0.0962*I20)*(0.075*$Z25+0.54)</f>
        <v>0.46905759381869416</v>
      </c>
      <c r="K26" s="14">
        <f t="shared" si="0"/>
        <v>-0.86872849344446612</v>
      </c>
      <c r="L26" s="14">
        <f>(0.0962*testdata[[#This Row],[detrender]]+0.5769*J24-0.5769*J22-0.0962*J20)*(0.075*$Z25+0.54)</f>
        <v>-0.73326248080225953</v>
      </c>
      <c r="M26" s="9">
        <f>(0.0962*testdata[[#This Row],[I1]]+0.5769*K24-0.5769*K22-0.0962*K20)*(0.075*$Z25+0.54)</f>
        <v>-0.17490653963900438</v>
      </c>
      <c r="N26" s="9">
        <f>(0.0962*testdata[[#This Row],[Q1]]+0.5769*L24-0.5769*L22-0.0962*L20)*(0.075*$Z25+0.54)</f>
        <v>-1.5572757467139626</v>
      </c>
      <c r="O26" s="9">
        <f>testdata[[#This Row],[I1]]-testdata[[#This Row],[JQ]]</f>
        <v>0.68854725326949651</v>
      </c>
      <c r="P26" s="9">
        <f>testdata[[#This Row],[Q1]]+testdata[[#This Row],[jI]]</f>
        <v>-0.90816902044126391</v>
      </c>
      <c r="Q26" s="9">
        <f>0.2*testdata[[#This Row],[I2]]+0.8*Q25</f>
        <v>0.56751963500040326</v>
      </c>
      <c r="R26" s="9">
        <f>0.2*testdata[[#This Row],[Q2]]+0.8*R25</f>
        <v>-0.17455907510290708</v>
      </c>
      <c r="S26" s="9">
        <f>testdata[[#This Row],[I2'']]*Q25+testdata[[#This Row],[Q2'']]*R25</f>
        <v>0.30336345098937278</v>
      </c>
      <c r="T26" s="9">
        <f>testdata[[#This Row],[I2'']]*R25-testdata[[#This Row],[Q2'']]*Q25</f>
        <v>9.880289482603237E-2</v>
      </c>
      <c r="U26" s="9">
        <f>0.2*testdata[[#This Row],[Re]]+0.8*U25</f>
        <v>0.14986876576077121</v>
      </c>
      <c r="V26" s="9">
        <f>0.2*testdata[[#This Row],[Im]]+0.8*V25</f>
        <v>5.6965913266173132E-2</v>
      </c>
      <c r="W26" s="9">
        <f>IF(AND(testdata[[#This Row],[Re'']]&lt;&gt;0,testdata[[#This Row],[Im'']]&lt;&gt;0),2*PI()/ATAN(testdata[[#This Row],[Im'']]/testdata[[#This Row],[Re'']]),0)</f>
        <v>17.297660357242837</v>
      </c>
      <c r="X26" s="12">
        <f>IF(testdata[[#This Row],[pd-atan]]&gt;1.5*Z25,1.5*Z25,IF(testdata[[#This Row],[pd-atan]]&lt;0.67*Z25,0.67*Z25,testdata[[#This Row],[pd-atan]]))</f>
        <v>17.297660357242837</v>
      </c>
      <c r="Y26" s="12">
        <f>IF(testdata[[#This Row],[pd-limit1]]&lt;6,6,IF(testdata[[#This Row],[pd-limit1]]&gt;50,50,testdata[[#This Row],[pd-limit1]]))</f>
        <v>17.297660357242837</v>
      </c>
      <c r="Z26" s="26">
        <f>0.2*testdata[[#This Row],[pd-limit2]]+0.8*Z25</f>
        <v>13.167054419672469</v>
      </c>
      <c r="AA26" s="26">
        <f>0.33*testdata[[#This Row],[period]]+0.67*AA25</f>
        <v>11.290808998172952</v>
      </c>
      <c r="AB26" s="27">
        <f>TRUNC(testdata[[#This Row],[SmPd]]+0.5,0)</f>
        <v>11</v>
      </c>
      <c r="AC26" s="26">
        <f ca="1">IF(testdata[[#This Row],[PdInt]]&lt;=0,0,AVERAGE(OFFSET(testdata[[#This Row],[price]],0,0,-testdata[[#This Row],[PdInt]],1)))</f>
        <v>215.69454545454548</v>
      </c>
      <c r="AD26" s="26">
        <f ca="1">IF(testdata[[#This Row],[i]]&lt;11,testdata[[#This Row],[price]],(4*testdata[[#This Row],[iTrend]]+3*AC25+2*AC24+AC23)/10)</f>
        <v>215.59067373737375</v>
      </c>
      <c r="AE26" s="26">
        <f>(4*testdata[[#This Row],[price]]+3*H25+2*H24+H23)/10</f>
        <v>216.25950000000003</v>
      </c>
      <c r="AF26" t="str">
        <f ca="1">IF(OR(ROUND(testdata[[#This Row],[Trendline]],4)&lt;&gt;Table3[[#This Row],[Trendline]],ROUND(testdata[[#This Row],[SmPrice]],4)&lt;&gt;Table3[[#This Row],[SmPrice]]),"ERR","")</f>
        <v>ERR</v>
      </c>
      <c r="AG26" s="3">
        <v>42773</v>
      </c>
      <c r="AH26" s="26">
        <v>12.9299</v>
      </c>
      <c r="AI26" s="33">
        <v>13</v>
      </c>
      <c r="AJ26" s="26">
        <v>215.40880000000001</v>
      </c>
      <c r="AK26" s="26">
        <v>215.31489999999999</v>
      </c>
      <c r="AL26" s="26">
        <v>216.2595</v>
      </c>
      <c r="AN26" s="38">
        <f t="shared" si="1"/>
        <v>-0.2757466394710093</v>
      </c>
      <c r="AO26" s="38">
        <f t="shared" si="2"/>
        <v>0</v>
      </c>
      <c r="AQ26" s="37">
        <v>42773</v>
      </c>
      <c r="AR26">
        <v>11</v>
      </c>
      <c r="AS26">
        <v>215.59067373737301</v>
      </c>
      <c r="AT26">
        <v>216.2595</v>
      </c>
      <c r="AV26" s="37">
        <v>42773</v>
      </c>
      <c r="AW26">
        <v>13</v>
      </c>
      <c r="AX26">
        <v>215.314927097902</v>
      </c>
      <c r="AY26">
        <v>216.2595</v>
      </c>
      <c r="BA26" s="38">
        <f>AX26-Table3[[#This Row],[Trendline]]</f>
        <v>2.709790200583484E-5</v>
      </c>
      <c r="BB26" s="38">
        <f>AY26-Table3[[#This Row],[SmPrice]]</f>
        <v>0</v>
      </c>
    </row>
    <row r="27" spans="1:54" x14ac:dyDescent="0.35">
      <c r="A27" s="6">
        <v>25</v>
      </c>
      <c r="B27" s="3">
        <v>42774</v>
      </c>
      <c r="C27" s="2">
        <v>215.98</v>
      </c>
      <c r="D27" s="2">
        <v>216.72</v>
      </c>
      <c r="E27" s="2">
        <v>215.7</v>
      </c>
      <c r="F27" s="2">
        <v>216.58</v>
      </c>
      <c r="G27" s="1">
        <v>54581376</v>
      </c>
      <c r="H27" s="30">
        <f>(testdata[[#This Row],[high]]+testdata[[#This Row],[low]])/2</f>
        <v>216.20999999999998</v>
      </c>
      <c r="I27" s="23">
        <f>(4*testdata[[#This Row],[price]]+3*H26+2*H25+H24)/10</f>
        <v>216.33649999999997</v>
      </c>
      <c r="J27" s="9">
        <f>(0.0962*testdata[[#This Row],[smooth]]+0.5769*I25-0.5769*I23-0.0962*I21)*(0.075*$Z26+0.54)</f>
        <v>1.0956070969381373</v>
      </c>
      <c r="K27" s="14">
        <f t="shared" si="0"/>
        <v>-0.67181694881284437</v>
      </c>
      <c r="L27" s="14">
        <f>(0.0962*testdata[[#This Row],[detrender]]+0.5769*J25-0.5769*J23-0.0962*J21)*(0.075*$Z26+0.54)</f>
        <v>0.5264007367102338</v>
      </c>
      <c r="M27" s="9">
        <f>(0.0962*testdata[[#This Row],[I1]]+0.5769*K25-0.5769*K23-0.0962*K21)*(0.075*$Z26+0.54)</f>
        <v>-1.2062450491392618</v>
      </c>
      <c r="N27" s="9">
        <f>(0.0962*testdata[[#This Row],[Q1]]+0.5769*L25-0.5769*L23-0.0962*L21)*(0.075*$Z26+0.54)</f>
        <v>-1.3443562938007934</v>
      </c>
      <c r="O27" s="9">
        <f>testdata[[#This Row],[I1]]-testdata[[#This Row],[JQ]]</f>
        <v>0.67253934498794898</v>
      </c>
      <c r="P27" s="9">
        <f>testdata[[#This Row],[Q1]]+testdata[[#This Row],[jI]]</f>
        <v>-0.67984431242902799</v>
      </c>
      <c r="Q27" s="9">
        <f>0.2*testdata[[#This Row],[I2]]+0.8*Q26</f>
        <v>0.58852357699791247</v>
      </c>
      <c r="R27" s="9">
        <f>0.2*testdata[[#This Row],[Q2]]+0.8*R26</f>
        <v>-0.27561612256813128</v>
      </c>
      <c r="S27" s="9">
        <f>testdata[[#This Row],[I2'']]*Q26+testdata[[#This Row],[Q2'']]*R26</f>
        <v>0.38210998104592947</v>
      </c>
      <c r="T27" s="9">
        <f>testdata[[#This Row],[I2'']]*R26-testdata[[#This Row],[Q2'']]*Q26</f>
        <v>5.3685430003082152E-2</v>
      </c>
      <c r="U27" s="9">
        <f>0.2*testdata[[#This Row],[Re]]+0.8*U26</f>
        <v>0.19631700881780287</v>
      </c>
      <c r="V27" s="9">
        <f>0.2*testdata[[#This Row],[Im]]+0.8*V26</f>
        <v>5.6309816613554942E-2</v>
      </c>
      <c r="W27" s="9">
        <f>IF(AND(testdata[[#This Row],[Re'']]&lt;&gt;0,testdata[[#This Row],[Im'']]&lt;&gt;0),2*PI()/ATAN(testdata[[#This Row],[Im'']]/testdata[[#This Row],[Re'']]),0)</f>
        <v>22.493623117374948</v>
      </c>
      <c r="X27" s="9">
        <f>IF(testdata[[#This Row],[pd-atan]]&gt;1.5*Z26,1.5*Z26,IF(testdata[[#This Row],[pd-atan]]&lt;0.67*Z26,0.67*Z26,testdata[[#This Row],[pd-atan]]))</f>
        <v>19.750581629508705</v>
      </c>
      <c r="Y27" s="9">
        <f>IF(testdata[[#This Row],[pd-limit1]]&lt;6,6,IF(testdata[[#This Row],[pd-limit1]]&gt;50,50,testdata[[#This Row],[pd-limit1]]))</f>
        <v>19.750581629508705</v>
      </c>
      <c r="Z27" s="14">
        <f>0.2*testdata[[#This Row],[pd-limit2]]+0.8*Z26</f>
        <v>14.483759861639717</v>
      </c>
      <c r="AA27" s="14">
        <f>0.33*testdata[[#This Row],[period]]+0.67*AA26</f>
        <v>12.344482783116984</v>
      </c>
      <c r="AB27" s="31">
        <f>TRUNC(testdata[[#This Row],[SmPd]]+0.5,0)</f>
        <v>12</v>
      </c>
      <c r="AC27" s="14">
        <f ca="1">IF(testdata[[#This Row],[PdInt]]&lt;=0,0,AVERAGE(OFFSET(testdata[[#This Row],[price]],0,0,-testdata[[#This Row],[PdInt]],1)))</f>
        <v>215.73750000000004</v>
      </c>
      <c r="AD27" s="16">
        <f ca="1">IF(testdata[[#This Row],[i]]&lt;11,testdata[[#This Row],[price]],(4*testdata[[#This Row],[iTrend]]+3*AC26+2*AC25+AC24)/10)</f>
        <v>215.6791191919192</v>
      </c>
      <c r="AE27" s="16">
        <f>(4*testdata[[#This Row],[price]]+3*H26+2*H25+H24)/10</f>
        <v>216.33649999999997</v>
      </c>
      <c r="AF27" t="str">
        <f ca="1">IF(OR(ROUND(testdata[[#This Row],[Trendline]],4)&lt;&gt;Table3[[#This Row],[Trendline]],ROUND(testdata[[#This Row],[SmPrice]],4)&lt;&gt;Table3[[#This Row],[SmPrice]]),"ERR","")</f>
        <v>ERR</v>
      </c>
      <c r="AG27" s="3">
        <v>42774</v>
      </c>
      <c r="AH27" s="14">
        <v>14.223699999999999</v>
      </c>
      <c r="AI27" s="34">
        <v>14</v>
      </c>
      <c r="AJ27" s="14">
        <v>215.46610000000001</v>
      </c>
      <c r="AK27" s="16">
        <v>215.3948</v>
      </c>
      <c r="AL27" s="16">
        <v>216.3365</v>
      </c>
      <c r="AN27" s="38">
        <f t="shared" si="1"/>
        <v>-0.28427162282198992</v>
      </c>
      <c r="AO27" s="38">
        <f t="shared" si="2"/>
        <v>0</v>
      </c>
      <c r="AQ27" s="37">
        <v>42774</v>
      </c>
      <c r="AR27">
        <v>12</v>
      </c>
      <c r="AS27">
        <v>215.679119191919</v>
      </c>
      <c r="AT27">
        <v>216.33649999999901</v>
      </c>
      <c r="AV27" s="37">
        <v>42774</v>
      </c>
      <c r="AW27">
        <v>14</v>
      </c>
      <c r="AX27">
        <v>215.39484756909701</v>
      </c>
      <c r="AY27">
        <v>216.33649999999901</v>
      </c>
      <c r="BA27" s="38">
        <f>AX27-Table3[[#This Row],[Trendline]]</f>
        <v>4.7569097006316952E-5</v>
      </c>
      <c r="BB27" s="38">
        <f>AY27-Table3[[#This Row],[SmPrice]]</f>
        <v>-9.9475983006414026E-13</v>
      </c>
    </row>
    <row r="28" spans="1:54" x14ac:dyDescent="0.35">
      <c r="A28" s="6">
        <v>26</v>
      </c>
      <c r="B28" s="3">
        <v>42775</v>
      </c>
      <c r="C28" s="2">
        <v>216.88</v>
      </c>
      <c r="D28" s="2">
        <v>218.19</v>
      </c>
      <c r="E28" s="2">
        <v>216.84</v>
      </c>
      <c r="F28" s="2">
        <v>217.86</v>
      </c>
      <c r="G28" s="1">
        <v>69811760</v>
      </c>
      <c r="H28" s="30">
        <f>(testdata[[#This Row],[high]]+testdata[[#This Row],[low]])/2</f>
        <v>217.51499999999999</v>
      </c>
      <c r="I28" s="23">
        <f>(4*testdata[[#This Row],[price]]+3*H27+2*H26+H25)/10</f>
        <v>216.804</v>
      </c>
      <c r="J28" s="9">
        <f>(0.0962*testdata[[#This Row],[smooth]]+0.5769*I26-0.5769*I24-0.0962*I22)*(0.075*$Z27+0.54)</f>
        <v>1.0051174851290194</v>
      </c>
      <c r="K28" s="14">
        <f t="shared" si="0"/>
        <v>-0.2915662105212129</v>
      </c>
      <c r="L28" s="14">
        <f>(0.0962*testdata[[#This Row],[detrender]]+0.5769*J26-0.5769*J24-0.0962*J22)*(0.075*$Z27+0.54)</f>
        <v>1.2166139383858923</v>
      </c>
      <c r="M28" s="9">
        <f>(0.0962*testdata[[#This Row],[I1]]+0.5769*K26-0.5769*K24-0.0962*K22)*(0.075*$Z27+0.54)</f>
        <v>-1.9356085541627945</v>
      </c>
      <c r="N28" s="9">
        <f>(0.0962*testdata[[#This Row],[Q1]]+0.5769*L26-0.5769*L24-0.0962*L22)*(0.075*$Z27+0.54)</f>
        <v>0.36519984087220658</v>
      </c>
      <c r="O28" s="9">
        <f>testdata[[#This Row],[I1]]-testdata[[#This Row],[JQ]]</f>
        <v>-0.65676605139341948</v>
      </c>
      <c r="P28" s="9">
        <f>testdata[[#This Row],[Q1]]+testdata[[#This Row],[jI]]</f>
        <v>-0.71899461577690227</v>
      </c>
      <c r="Q28" s="9">
        <f>0.2*testdata[[#This Row],[I2]]+0.8*Q27</f>
        <v>0.33946565131964607</v>
      </c>
      <c r="R28" s="9">
        <f>0.2*testdata[[#This Row],[Q2]]+0.8*R27</f>
        <v>-0.36429182120988546</v>
      </c>
      <c r="S28" s="9">
        <f>testdata[[#This Row],[I2'']]*Q27+testdata[[#This Row],[Q2'']]*R27</f>
        <v>0.30018823862771582</v>
      </c>
      <c r="T28" s="9">
        <f>testdata[[#This Row],[I2'']]*R27-testdata[[#This Row],[Q2'']]*Q27</f>
        <v>0.12083211912773971</v>
      </c>
      <c r="U28" s="9">
        <f>0.2*testdata[[#This Row],[Re]]+0.8*U27</f>
        <v>0.21709125477978547</v>
      </c>
      <c r="V28" s="9">
        <f>0.2*testdata[[#This Row],[Im]]+0.8*V27</f>
        <v>6.9214277116391901E-2</v>
      </c>
      <c r="W28" s="9">
        <f>IF(AND(testdata[[#This Row],[Re'']]&lt;&gt;0,testdata[[#This Row],[Im'']]&lt;&gt;0),2*PI()/ATAN(testdata[[#This Row],[Im'']]/testdata[[#This Row],[Re'']]),0)</f>
        <v>20.357823180006207</v>
      </c>
      <c r="X28" s="9">
        <f>IF(testdata[[#This Row],[pd-atan]]&gt;1.5*Z27,1.5*Z27,IF(testdata[[#This Row],[pd-atan]]&lt;0.67*Z27,0.67*Z27,testdata[[#This Row],[pd-atan]]))</f>
        <v>20.357823180006207</v>
      </c>
      <c r="Y28" s="9">
        <f>IF(testdata[[#This Row],[pd-limit1]]&lt;6,6,IF(testdata[[#This Row],[pd-limit1]]&gt;50,50,testdata[[#This Row],[pd-limit1]]))</f>
        <v>20.357823180006207</v>
      </c>
      <c r="Z28" s="14">
        <f>0.2*testdata[[#This Row],[pd-limit2]]+0.8*Z27</f>
        <v>15.658572525313016</v>
      </c>
      <c r="AA28" s="14">
        <f>0.33*testdata[[#This Row],[period]]+0.67*AA27</f>
        <v>13.438132398041674</v>
      </c>
      <c r="AB28" s="31">
        <f>TRUNC(testdata[[#This Row],[SmPd]]+0.5,0)</f>
        <v>13</v>
      </c>
      <c r="AC28" s="14">
        <f ca="1">IF(testdata[[#This Row],[PdInt]]&lt;=0,0,AVERAGE(OFFSET(testdata[[#This Row],[price]],0,0,-testdata[[#This Row],[PdInt]],1)))</f>
        <v>215.87423076923079</v>
      </c>
      <c r="AD28" s="14">
        <f ca="1">IF(testdata[[#This Row],[i]]&lt;11,testdata[[#This Row],[price]],(4*testdata[[#This Row],[iTrend]]+3*AC27+2*AC26+AC25)/10)</f>
        <v>215.77095139860143</v>
      </c>
      <c r="AE28" s="14">
        <f>(4*testdata[[#This Row],[price]]+3*H27+2*H26+H25)/10</f>
        <v>216.804</v>
      </c>
      <c r="AF28" t="str">
        <f ca="1">IF(OR(ROUND(testdata[[#This Row],[Trendline]],4)&lt;&gt;Table3[[#This Row],[Trendline]],ROUND(testdata[[#This Row],[SmPrice]],4)&lt;&gt;Table3[[#This Row],[SmPrice]]),"ERR","")</f>
        <v>ERR</v>
      </c>
      <c r="AG28" s="3">
        <v>42775</v>
      </c>
      <c r="AH28" s="14">
        <v>15.646699999999999</v>
      </c>
      <c r="AI28" s="34">
        <v>16</v>
      </c>
      <c r="AJ28" s="14">
        <v>215.48439999999999</v>
      </c>
      <c r="AK28" s="14">
        <v>215.4469</v>
      </c>
      <c r="AL28" s="14">
        <v>216.804</v>
      </c>
      <c r="AN28" s="38">
        <f t="shared" si="1"/>
        <v>-0.32406907259399986</v>
      </c>
      <c r="AO28" s="38">
        <f t="shared" si="2"/>
        <v>0</v>
      </c>
      <c r="AQ28" s="37">
        <v>42775</v>
      </c>
      <c r="AR28">
        <v>13</v>
      </c>
      <c r="AS28">
        <v>215.770951398601</v>
      </c>
      <c r="AT28">
        <v>216.804</v>
      </c>
      <c r="AV28" s="37">
        <v>42775</v>
      </c>
      <c r="AW28">
        <v>16</v>
      </c>
      <c r="AX28">
        <v>215.446882326007</v>
      </c>
      <c r="AY28">
        <v>216.804</v>
      </c>
      <c r="BA28" s="38">
        <f>AX28-Table3[[#This Row],[Trendline]]</f>
        <v>-1.7673992999789334E-5</v>
      </c>
      <c r="BB28" s="38">
        <f>AY28-Table3[[#This Row],[SmPrice]]</f>
        <v>0</v>
      </c>
    </row>
    <row r="29" spans="1:54" x14ac:dyDescent="0.35">
      <c r="A29" s="6">
        <v>27</v>
      </c>
      <c r="B29" s="3">
        <v>42776</v>
      </c>
      <c r="C29" s="2">
        <v>218.24</v>
      </c>
      <c r="D29" s="2">
        <v>218.97</v>
      </c>
      <c r="E29" s="2">
        <v>217.88</v>
      </c>
      <c r="F29" s="2">
        <v>218.72</v>
      </c>
      <c r="G29" s="1">
        <v>69875952</v>
      </c>
      <c r="H29" s="30">
        <f>(testdata[[#This Row],[high]]+testdata[[#This Row],[low]])/2</f>
        <v>218.42500000000001</v>
      </c>
      <c r="I29" s="23">
        <f>(4*testdata[[#This Row],[price]]+3*H28+2*H27+H26)/10</f>
        <v>217.51950000000002</v>
      </c>
      <c r="J29" s="9">
        <f>(0.0962*testdata[[#This Row],[smooth]]+0.5769*I27-0.5769*I25-0.0962*I23)*(0.075*$Z28+0.54)</f>
        <v>0.84914722340947568</v>
      </c>
      <c r="K29" s="14">
        <f t="shared" si="0"/>
        <v>0.46905759381869416</v>
      </c>
      <c r="L29" s="14">
        <f>(0.0962*testdata[[#This Row],[detrender]]+0.5769*J27-0.5769*J25-0.0962*J23)*(0.075*$Z28+0.54)</f>
        <v>1.6552805423279471</v>
      </c>
      <c r="M29" s="9">
        <f>(0.0962*testdata[[#This Row],[I1]]+0.5769*K27-0.5769*K25-0.0962*K23)*(0.075*$Z28+0.54)</f>
        <v>-0.86691756935119269</v>
      </c>
      <c r="N29" s="9">
        <f>(0.0962*testdata[[#This Row],[Q1]]+0.5769*L27-0.5769*L25-0.0962*L23)*(0.075*$Z28+0.54)</f>
        <v>2.4420266006589366</v>
      </c>
      <c r="O29" s="9">
        <f>testdata[[#This Row],[I1]]-testdata[[#This Row],[JQ]]</f>
        <v>-1.9729690068402426</v>
      </c>
      <c r="P29" s="9">
        <f>testdata[[#This Row],[Q1]]+testdata[[#This Row],[jI]]</f>
        <v>0.78836297297675439</v>
      </c>
      <c r="Q29" s="9">
        <f>0.2*testdata[[#This Row],[I2]]+0.8*Q28</f>
        <v>-0.12302128031233167</v>
      </c>
      <c r="R29" s="9">
        <f>0.2*testdata[[#This Row],[Q2]]+0.8*R28</f>
        <v>-0.13376086237255752</v>
      </c>
      <c r="S29" s="9">
        <f>testdata[[#This Row],[I2'']]*Q28+testdata[[#This Row],[Q2'']]*R28</f>
        <v>6.9664891129013959E-3</v>
      </c>
      <c r="T29" s="9">
        <f>testdata[[#This Row],[I2'']]*R28-testdata[[#This Row],[Q2'']]*Q28</f>
        <v>9.0222864518928914E-2</v>
      </c>
      <c r="U29" s="9">
        <f>0.2*testdata[[#This Row],[Re]]+0.8*U28</f>
        <v>0.17506630164640866</v>
      </c>
      <c r="V29" s="9">
        <f>0.2*testdata[[#This Row],[Im]]+0.8*V28</f>
        <v>7.3415994596899306E-2</v>
      </c>
      <c r="W29" s="9">
        <f>IF(AND(testdata[[#This Row],[Re'']]&lt;&gt;0,testdata[[#This Row],[Im'']]&lt;&gt;0),2*PI()/ATAN(testdata[[#This Row],[Im'']]/testdata[[#This Row],[Re'']]),0)</f>
        <v>15.823284981854453</v>
      </c>
      <c r="X29" s="9">
        <f>IF(testdata[[#This Row],[pd-atan]]&gt;1.5*Z28,1.5*Z28,IF(testdata[[#This Row],[pd-atan]]&lt;0.67*Z28,0.67*Z28,testdata[[#This Row],[pd-atan]]))</f>
        <v>15.823284981854453</v>
      </c>
      <c r="Y29" s="9">
        <f>IF(testdata[[#This Row],[pd-limit1]]&lt;6,6,IF(testdata[[#This Row],[pd-limit1]]&gt;50,50,testdata[[#This Row],[pd-limit1]]))</f>
        <v>15.823284981854453</v>
      </c>
      <c r="Z29" s="14">
        <f>0.2*testdata[[#This Row],[pd-limit2]]+0.8*Z28</f>
        <v>15.691515016621304</v>
      </c>
      <c r="AA29" s="14">
        <f>0.33*testdata[[#This Row],[period]]+0.67*AA28</f>
        <v>14.181748662172954</v>
      </c>
      <c r="AB29" s="31">
        <f>TRUNC(testdata[[#This Row],[SmPd]]+0.5,0)</f>
        <v>14</v>
      </c>
      <c r="AC29" s="14">
        <f ca="1">IF(testdata[[#This Row],[PdInt]]&lt;=0,0,AVERAGE(OFFSET(testdata[[#This Row],[price]],0,0,-testdata[[#This Row],[PdInt]],1)))</f>
        <v>216.0564285714286</v>
      </c>
      <c r="AD29" s="14">
        <f ca="1">IF(testdata[[#This Row],[i]]&lt;11,testdata[[#This Row],[price]],(4*testdata[[#This Row],[iTrend]]+3*AC28+2*AC27+AC26)/10)</f>
        <v>215.90179520479523</v>
      </c>
      <c r="AE29" s="14">
        <f>(4*testdata[[#This Row],[price]]+3*H28+2*H27+H26)/10</f>
        <v>217.51950000000002</v>
      </c>
      <c r="AF29" t="str">
        <f ca="1">IF(OR(ROUND(testdata[[#This Row],[Trendline]],4)&lt;&gt;Table3[[#This Row],[Trendline]],ROUND(testdata[[#This Row],[SmPrice]],4)&lt;&gt;Table3[[#This Row],[SmPrice]]),"ERR","")</f>
        <v>ERR</v>
      </c>
      <c r="AG29" s="3">
        <v>42776</v>
      </c>
      <c r="AH29" s="14">
        <v>17.2118</v>
      </c>
      <c r="AI29" s="34">
        <v>17</v>
      </c>
      <c r="AJ29" s="14">
        <v>215.6574</v>
      </c>
      <c r="AK29" s="14">
        <v>215.54239999999999</v>
      </c>
      <c r="AL29" s="14">
        <v>217.51949999999999</v>
      </c>
      <c r="AN29" s="38">
        <f t="shared" si="1"/>
        <v>-0.35944262722600229</v>
      </c>
      <c r="AO29" s="38">
        <f t="shared" si="2"/>
        <v>0</v>
      </c>
      <c r="AQ29" s="37">
        <v>42776</v>
      </c>
      <c r="AR29">
        <v>14</v>
      </c>
      <c r="AS29">
        <v>215.90179520479501</v>
      </c>
      <c r="AT29">
        <v>217.51949999999999</v>
      </c>
      <c r="AV29" s="37">
        <v>42776</v>
      </c>
      <c r="AW29">
        <v>17</v>
      </c>
      <c r="AX29">
        <v>215.54235257756901</v>
      </c>
      <c r="AY29">
        <v>217.51949999999999</v>
      </c>
      <c r="BA29" s="38">
        <f>AX29-Table3[[#This Row],[Trendline]]</f>
        <v>-4.7422430981214347E-5</v>
      </c>
      <c r="BB29" s="38">
        <f>AY29-Table3[[#This Row],[SmPrice]]</f>
        <v>0</v>
      </c>
    </row>
    <row r="30" spans="1:54" x14ac:dyDescent="0.35">
      <c r="A30" s="6">
        <v>28</v>
      </c>
      <c r="B30" s="3">
        <v>42779</v>
      </c>
      <c r="C30" s="2">
        <v>219.26</v>
      </c>
      <c r="D30" s="2">
        <v>220.19</v>
      </c>
      <c r="E30" s="2">
        <v>219.23</v>
      </c>
      <c r="F30" s="2">
        <v>219.91</v>
      </c>
      <c r="G30" s="1">
        <v>58408632</v>
      </c>
      <c r="H30" s="30">
        <f>(testdata[[#This Row],[high]]+testdata[[#This Row],[low]])/2</f>
        <v>219.70999999999998</v>
      </c>
      <c r="I30" s="23">
        <f>(4*testdata[[#This Row],[price]]+3*H29+2*H28+H27)/10</f>
        <v>218.53550000000001</v>
      </c>
      <c r="J30" s="9">
        <f>(0.0962*testdata[[#This Row],[smooth]]+0.5769*I28-0.5769*I26-0.0962*I24)*(0.075*$Z29+0.54)</f>
        <v>1.0424716104410805</v>
      </c>
      <c r="K30" s="14">
        <f t="shared" si="0"/>
        <v>1.0956070969381373</v>
      </c>
      <c r="L30" s="14">
        <f>(0.0962*testdata[[#This Row],[detrender]]+0.5769*J28-0.5769*J26-0.0962*J24)*(0.075*$Z29+0.54)</f>
        <v>0.81408095186383855</v>
      </c>
      <c r="M30" s="9">
        <f>(0.0962*testdata[[#This Row],[I1]]+0.5769*K28-0.5769*K26-0.0962*K24)*(0.075*$Z29+0.54)</f>
        <v>0.59164718279162021</v>
      </c>
      <c r="N30" s="9">
        <f>(0.0962*testdata[[#This Row],[Q1]]+0.5769*L28-0.5769*L26-0.0962*L24)*(0.075*$Z29+0.54)</f>
        <v>2.2356910516789057</v>
      </c>
      <c r="O30" s="9">
        <f>testdata[[#This Row],[I1]]-testdata[[#This Row],[JQ]]</f>
        <v>-1.1400839547407684</v>
      </c>
      <c r="P30" s="9">
        <f>testdata[[#This Row],[Q1]]+testdata[[#This Row],[jI]]</f>
        <v>1.4057281346554586</v>
      </c>
      <c r="Q30" s="9">
        <f>0.2*testdata[[#This Row],[I2]]+0.8*Q29</f>
        <v>-0.32643381519801906</v>
      </c>
      <c r="R30" s="9">
        <f>0.2*testdata[[#This Row],[Q2]]+0.8*R29</f>
        <v>0.17413693703304572</v>
      </c>
      <c r="S30" s="9">
        <f>testdata[[#This Row],[I2'']]*Q29+testdata[[#This Row],[Q2'']]*R29</f>
        <v>1.6865599014443435E-2</v>
      </c>
      <c r="T30" s="9">
        <f>testdata[[#This Row],[I2'']]*R29-testdata[[#This Row],[Q2'']]*Q29</f>
        <v>6.5086617571924271E-2</v>
      </c>
      <c r="U30" s="9">
        <f>0.2*testdata[[#This Row],[Re]]+0.8*U29</f>
        <v>0.14342616112001561</v>
      </c>
      <c r="V30" s="9">
        <f>0.2*testdata[[#This Row],[Im]]+0.8*V29</f>
        <v>7.1750119191904299E-2</v>
      </c>
      <c r="W30" s="9">
        <f>IF(AND(testdata[[#This Row],[Re'']]&lt;&gt;0,testdata[[#This Row],[Im'']]&lt;&gt;0),2*PI()/ATAN(testdata[[#This Row],[Im'']]/testdata[[#This Row],[Re'']]),0)</f>
        <v>13.545604552150531</v>
      </c>
      <c r="X30" s="9">
        <f>IF(testdata[[#This Row],[pd-atan]]&gt;1.5*Z29,1.5*Z29,IF(testdata[[#This Row],[pd-atan]]&lt;0.67*Z29,0.67*Z29,testdata[[#This Row],[pd-atan]]))</f>
        <v>13.545604552150531</v>
      </c>
      <c r="Y30" s="9">
        <f>IF(testdata[[#This Row],[pd-limit1]]&lt;6,6,IF(testdata[[#This Row],[pd-limit1]]&gt;50,50,testdata[[#This Row],[pd-limit1]]))</f>
        <v>13.545604552150531</v>
      </c>
      <c r="Z30" s="14">
        <f>0.2*testdata[[#This Row],[pd-limit2]]+0.8*Z29</f>
        <v>15.262332923727151</v>
      </c>
      <c r="AA30" s="14">
        <f>0.33*testdata[[#This Row],[period]]+0.67*AA29</f>
        <v>14.538341468485839</v>
      </c>
      <c r="AB30" s="31">
        <f>TRUNC(testdata[[#This Row],[SmPd]]+0.5,0)</f>
        <v>15</v>
      </c>
      <c r="AC30" s="14">
        <f ca="1">IF(testdata[[#This Row],[PdInt]]&lt;=0,0,AVERAGE(OFFSET(testdata[[#This Row],[price]],0,0,-testdata[[#This Row],[PdInt]],1)))</f>
        <v>216.30000000000004</v>
      </c>
      <c r="AD30" s="14">
        <f ca="1">IF(testdata[[#This Row],[i]]&lt;11,testdata[[#This Row],[price]],(4*testdata[[#This Row],[iTrend]]+3*AC29+2*AC28+AC27)/10)</f>
        <v>216.08552472527475</v>
      </c>
      <c r="AE30" s="14">
        <f>(4*testdata[[#This Row],[price]]+3*H29+2*H28+H27)/10</f>
        <v>218.53550000000001</v>
      </c>
      <c r="AF30" t="str">
        <f ca="1">IF(OR(ROUND(testdata[[#This Row],[Trendline]],4)&lt;&gt;Table3[[#This Row],[Trendline]],ROUND(testdata[[#This Row],[SmPrice]],4)&lt;&gt;Table3[[#This Row],[SmPrice]]),"ERR","")</f>
        <v>ERR</v>
      </c>
      <c r="AG30" s="3">
        <v>42779</v>
      </c>
      <c r="AH30" s="14">
        <v>18.922000000000001</v>
      </c>
      <c r="AI30" s="34">
        <v>19</v>
      </c>
      <c r="AJ30" s="14">
        <v>215.77529999999999</v>
      </c>
      <c r="AK30" s="14">
        <v>215.6508</v>
      </c>
      <c r="AL30" s="14">
        <v>218.53550000000001</v>
      </c>
      <c r="AN30" s="38">
        <f t="shared" si="1"/>
        <v>-0.43473143690701477</v>
      </c>
      <c r="AO30" s="38">
        <f t="shared" si="2"/>
        <v>0</v>
      </c>
      <c r="AQ30" s="37">
        <v>42779</v>
      </c>
      <c r="AR30">
        <v>15</v>
      </c>
      <c r="AS30">
        <v>216.08552472527401</v>
      </c>
      <c r="AT30">
        <v>218.53550000000001</v>
      </c>
      <c r="AV30" s="37">
        <v>42779</v>
      </c>
      <c r="AW30">
        <v>19</v>
      </c>
      <c r="AX30">
        <v>215.650793288367</v>
      </c>
      <c r="AY30">
        <v>218.53550000000001</v>
      </c>
      <c r="BA30" s="38">
        <f>AX30-Table3[[#This Row],[Trendline]]</f>
        <v>-6.7116330058070162E-6</v>
      </c>
      <c r="BB30" s="38">
        <f>AY30-Table3[[#This Row],[SmPrice]]</f>
        <v>0</v>
      </c>
    </row>
    <row r="31" spans="1:54" x14ac:dyDescent="0.35">
      <c r="A31" s="6">
        <v>29</v>
      </c>
      <c r="B31" s="3">
        <v>42780</v>
      </c>
      <c r="C31" s="2">
        <v>219.71</v>
      </c>
      <c r="D31" s="2">
        <v>220.8</v>
      </c>
      <c r="E31" s="2">
        <v>219.33</v>
      </c>
      <c r="F31" s="2">
        <v>220.79</v>
      </c>
      <c r="G31" s="1">
        <v>75266840</v>
      </c>
      <c r="H31" s="30">
        <f>(testdata[[#This Row],[high]]+testdata[[#This Row],[low]])/2</f>
        <v>220.065</v>
      </c>
      <c r="I31" s="23">
        <f>(4*testdata[[#This Row],[price]]+3*H30+2*H29+H28)/10</f>
        <v>219.37549999999996</v>
      </c>
      <c r="J31" s="9">
        <f>(0.0962*testdata[[#This Row],[smooth]]+0.5769*I29-0.5769*I27-0.0962*I25)*(0.075*$Z30+0.54)</f>
        <v>1.7098438448531441</v>
      </c>
      <c r="K31" s="14">
        <f t="shared" si="0"/>
        <v>1.0051174851290194</v>
      </c>
      <c r="L31" s="14">
        <f>(0.0962*testdata[[#This Row],[detrender]]+0.5769*J29-0.5769*J27-0.0962*J25)*(0.075*$Z30+0.54)</f>
        <v>8.4828348241423449E-2</v>
      </c>
      <c r="M31" s="9">
        <f>(0.0962*testdata[[#This Row],[I1]]+0.5769*K29-0.5769*K27-0.0962*K25)*(0.075*$Z30+0.54)</f>
        <v>1.2602974529346338</v>
      </c>
      <c r="N31" s="9">
        <f>(0.0962*testdata[[#This Row],[Q1]]+0.5769*L29-0.5769*L27-0.0962*L25)*(0.075*$Z30+0.54)</f>
        <v>1.376983589763136</v>
      </c>
      <c r="O31" s="9">
        <f>testdata[[#This Row],[I1]]-testdata[[#This Row],[JQ]]</f>
        <v>-0.37186610463411651</v>
      </c>
      <c r="P31" s="9">
        <f>testdata[[#This Row],[Q1]]+testdata[[#This Row],[jI]]</f>
        <v>1.3451258011760572</v>
      </c>
      <c r="Q31" s="9">
        <f>0.2*testdata[[#This Row],[I2]]+0.8*Q30</f>
        <v>-0.33552027308523857</v>
      </c>
      <c r="R31" s="9">
        <f>0.2*testdata[[#This Row],[Q2]]+0.8*R30</f>
        <v>0.40833470986164799</v>
      </c>
      <c r="S31" s="9">
        <f>testdata[[#This Row],[I2'']]*Q30+testdata[[#This Row],[Q2'']]*R30</f>
        <v>0.18063131847908045</v>
      </c>
      <c r="T31" s="9">
        <f>testdata[[#This Row],[I2'']]*R30-testdata[[#This Row],[Q2'']]*Q30</f>
        <v>7.4867784550359445E-2</v>
      </c>
      <c r="U31" s="9">
        <f>0.2*testdata[[#This Row],[Re]]+0.8*U30</f>
        <v>0.15086719259182857</v>
      </c>
      <c r="V31" s="9">
        <f>0.2*testdata[[#This Row],[Im]]+0.8*V30</f>
        <v>7.2373652263595337E-2</v>
      </c>
      <c r="W31" s="9">
        <f>IF(AND(testdata[[#This Row],[Re'']]&lt;&gt;0,testdata[[#This Row],[Im'']]&lt;&gt;0),2*PI()/ATAN(testdata[[#This Row],[Im'']]/testdata[[#This Row],[Re'']]),0)</f>
        <v>14.047215219949997</v>
      </c>
      <c r="X31" s="9">
        <f>IF(testdata[[#This Row],[pd-atan]]&gt;1.5*Z30,1.5*Z30,IF(testdata[[#This Row],[pd-atan]]&lt;0.67*Z30,0.67*Z30,testdata[[#This Row],[pd-atan]]))</f>
        <v>14.047215219949997</v>
      </c>
      <c r="Y31" s="9">
        <f>IF(testdata[[#This Row],[pd-limit1]]&lt;6,6,IF(testdata[[#This Row],[pd-limit1]]&gt;50,50,testdata[[#This Row],[pd-limit1]]))</f>
        <v>14.047215219949997</v>
      </c>
      <c r="Z31" s="14">
        <f>0.2*testdata[[#This Row],[pd-limit2]]+0.8*Z30</f>
        <v>15.01930938297172</v>
      </c>
      <c r="AA31" s="14">
        <f>0.33*testdata[[#This Row],[period]]+0.67*AA30</f>
        <v>14.697060880266182</v>
      </c>
      <c r="AB31" s="31">
        <f>TRUNC(testdata[[#This Row],[SmPd]]+0.5,0)</f>
        <v>15</v>
      </c>
      <c r="AC31" s="14">
        <f ca="1">IF(testdata[[#This Row],[PdInt]]&lt;=0,0,AVERAGE(OFFSET(testdata[[#This Row],[price]],0,0,-testdata[[#This Row],[PdInt]],1)))</f>
        <v>216.66266666666669</v>
      </c>
      <c r="AD31" s="14">
        <f ca="1">IF(testdata[[#This Row],[i]]&lt;11,testdata[[#This Row],[price]],(4*testdata[[#This Row],[iTrend]]+3*AC30+2*AC29+AC28)/10)</f>
        <v>216.35377545787551</v>
      </c>
      <c r="AE31" s="14">
        <f>(4*testdata[[#This Row],[price]]+3*H30+2*H29+H28)/10</f>
        <v>219.37549999999996</v>
      </c>
      <c r="AF31" t="str">
        <f ca="1">IF(OR(ROUND(testdata[[#This Row],[Trendline]],4)&lt;&gt;Table3[[#This Row],[Trendline]],ROUND(testdata[[#This Row],[SmPrice]],4)&lt;&gt;Table3[[#This Row],[SmPrice]]),"ERR","")</f>
        <v>ERR</v>
      </c>
      <c r="AG31" s="3">
        <v>42780</v>
      </c>
      <c r="AH31" s="14">
        <v>20.597200000000001</v>
      </c>
      <c r="AI31" s="34">
        <v>21</v>
      </c>
      <c r="AJ31" s="14">
        <v>215.88499999999999</v>
      </c>
      <c r="AK31" s="14">
        <v>215.76650000000001</v>
      </c>
      <c r="AL31" s="14">
        <v>219.37549999999999</v>
      </c>
      <c r="AN31" s="38">
        <f t="shared" si="1"/>
        <v>-0.58728842227199607</v>
      </c>
      <c r="AO31" s="38">
        <f t="shared" si="2"/>
        <v>0</v>
      </c>
      <c r="AQ31" s="37">
        <v>42780</v>
      </c>
      <c r="AR31">
        <v>15</v>
      </c>
      <c r="AS31">
        <v>216.353775457875</v>
      </c>
      <c r="AT31">
        <v>219.37549999999899</v>
      </c>
      <c r="AV31" s="37">
        <v>42780</v>
      </c>
      <c r="AW31">
        <v>21</v>
      </c>
      <c r="AX31">
        <v>215.76648703560301</v>
      </c>
      <c r="AY31">
        <v>219.37549999999899</v>
      </c>
      <c r="BA31" s="38">
        <f>AX31-Table3[[#This Row],[Trendline]]</f>
        <v>-1.296439700126939E-5</v>
      </c>
      <c r="BB31" s="38">
        <f>AY31-Table3[[#This Row],[SmPrice]]</f>
        <v>-9.9475983006414026E-13</v>
      </c>
    </row>
    <row r="32" spans="1:54" x14ac:dyDescent="0.35">
      <c r="A32" s="6">
        <v>30</v>
      </c>
      <c r="B32" s="3">
        <v>42781</v>
      </c>
      <c r="C32" s="2">
        <v>220.55</v>
      </c>
      <c r="D32" s="2">
        <v>222.15</v>
      </c>
      <c r="E32" s="2">
        <v>220.5</v>
      </c>
      <c r="F32" s="2">
        <v>221.94</v>
      </c>
      <c r="G32" s="1">
        <v>91860344</v>
      </c>
      <c r="H32" s="30">
        <f>(testdata[[#This Row],[high]]+testdata[[#This Row],[low]])/2</f>
        <v>221.32499999999999</v>
      </c>
      <c r="I32" s="23">
        <f>(4*testdata[[#This Row],[price]]+3*H31+2*H30+H29)/10</f>
        <v>220.334</v>
      </c>
      <c r="J32" s="9">
        <f>(0.0962*testdata[[#This Row],[smooth]]+0.5769*I30-0.5769*I28-0.0962*I26)*(0.075*$Z31+0.54)</f>
        <v>2.3178115632758844</v>
      </c>
      <c r="K32" s="14">
        <f t="shared" si="0"/>
        <v>0.84914722340947568</v>
      </c>
      <c r="L32" s="14">
        <f>(0.0962*testdata[[#This Row],[detrender]]+0.5769*J30-0.5769*J28-0.0962*J26)*(0.075*$Z31+0.54)</f>
        <v>0.33228931647255233</v>
      </c>
      <c r="M32" s="9">
        <f>(0.0962*testdata[[#This Row],[I1]]+0.5769*K30-0.5769*K28-0.0962*K26)*(0.075*$Z31+0.54)</f>
        <v>1.6089889447326382</v>
      </c>
      <c r="N32" s="9">
        <f>(0.0962*testdata[[#This Row],[Q1]]+0.5769*L30-0.5769*L28-0.0962*L26)*(0.075*$Z31+0.54)</f>
        <v>-0.21616365708076327</v>
      </c>
      <c r="O32" s="9">
        <f>testdata[[#This Row],[I1]]-testdata[[#This Row],[JQ]]</f>
        <v>1.0653108804902389</v>
      </c>
      <c r="P32" s="9">
        <f>testdata[[#This Row],[Q1]]+testdata[[#This Row],[jI]]</f>
        <v>1.9412782612051904</v>
      </c>
      <c r="Q32" s="9">
        <f>0.2*testdata[[#This Row],[I2]]+0.8*Q31</f>
        <v>-5.5354042370143075E-2</v>
      </c>
      <c r="R32" s="9">
        <f>0.2*testdata[[#This Row],[Q2]]+0.8*R31</f>
        <v>0.71492342013035648</v>
      </c>
      <c r="S32" s="9">
        <f>testdata[[#This Row],[I2'']]*Q31+testdata[[#This Row],[Q2'']]*R31</f>
        <v>0.31050045074462845</v>
      </c>
      <c r="T32" s="9">
        <f>testdata[[#This Row],[I2'']]*R31-testdata[[#This Row],[Q2'']]*Q31</f>
        <v>0.2172683243262882</v>
      </c>
      <c r="U32" s="9">
        <f>0.2*testdata[[#This Row],[Re]]+0.8*U31</f>
        <v>0.18279384422238856</v>
      </c>
      <c r="V32" s="9">
        <f>0.2*testdata[[#This Row],[Im]]+0.8*V31</f>
        <v>0.10135258667613392</v>
      </c>
      <c r="W32" s="9">
        <f>IF(AND(testdata[[#This Row],[Re'']]&lt;&gt;0,testdata[[#This Row],[Im'']]&lt;&gt;0),2*PI()/ATAN(testdata[[#This Row],[Im'']]/testdata[[#This Row],[Re'']]),0)</f>
        <v>12.410888893727163</v>
      </c>
      <c r="X32" s="9">
        <f>IF(testdata[[#This Row],[pd-atan]]&gt;1.5*Z31,1.5*Z31,IF(testdata[[#This Row],[pd-atan]]&lt;0.67*Z31,0.67*Z31,testdata[[#This Row],[pd-atan]]))</f>
        <v>12.410888893727163</v>
      </c>
      <c r="Y32" s="9">
        <f>IF(testdata[[#This Row],[pd-limit1]]&lt;6,6,IF(testdata[[#This Row],[pd-limit1]]&gt;50,50,testdata[[#This Row],[pd-limit1]]))</f>
        <v>12.410888893727163</v>
      </c>
      <c r="Z32" s="14">
        <f>0.2*testdata[[#This Row],[pd-limit2]]+0.8*Z31</f>
        <v>14.49762528512281</v>
      </c>
      <c r="AA32" s="14">
        <f>0.33*testdata[[#This Row],[period]]+0.67*AA31</f>
        <v>14.63124713386887</v>
      </c>
      <c r="AB32" s="31">
        <f>TRUNC(testdata[[#This Row],[SmPd]]+0.5,0)</f>
        <v>15</v>
      </c>
      <c r="AC32" s="14">
        <f ca="1">IF(testdata[[#This Row],[PdInt]]&lt;=0,0,AVERAGE(OFFSET(testdata[[#This Row],[price]],0,0,-testdata[[#This Row],[PdInt]],1)))</f>
        <v>216.99166666666667</v>
      </c>
      <c r="AD32" s="14">
        <f ca="1">IF(testdata[[#This Row],[i]]&lt;11,testdata[[#This Row],[price]],(4*testdata[[#This Row],[iTrend]]+3*AC31+2*AC30+AC29)/10)</f>
        <v>216.66110952380956</v>
      </c>
      <c r="AE32" s="14">
        <f>(4*testdata[[#This Row],[price]]+3*H31+2*H30+H29)/10</f>
        <v>220.334</v>
      </c>
      <c r="AF32" t="str">
        <f ca="1">IF(OR(ROUND(testdata[[#This Row],[Trendline]],4)&lt;&gt;Table3[[#This Row],[Trendline]],ROUND(testdata[[#This Row],[SmPrice]],4)&lt;&gt;Table3[[#This Row],[SmPrice]]),"ERR","")</f>
        <v>ERR</v>
      </c>
      <c r="AG32" s="3">
        <v>42781</v>
      </c>
      <c r="AH32" s="14">
        <v>22.146599999999999</v>
      </c>
      <c r="AI32" s="34">
        <v>22</v>
      </c>
      <c r="AJ32" s="14">
        <v>216.13229999999999</v>
      </c>
      <c r="AK32" s="14">
        <v>215.9392</v>
      </c>
      <c r="AL32" s="14">
        <v>220.334</v>
      </c>
      <c r="AN32" s="38">
        <f t="shared" si="1"/>
        <v>-0.7219125072039958</v>
      </c>
      <c r="AO32" s="38">
        <f t="shared" si="2"/>
        <v>0</v>
      </c>
      <c r="AQ32" s="37">
        <v>42781</v>
      </c>
      <c r="AR32">
        <v>15</v>
      </c>
      <c r="AS32">
        <v>216.66110952380899</v>
      </c>
      <c r="AT32">
        <v>220.334</v>
      </c>
      <c r="AV32" s="37">
        <v>42781</v>
      </c>
      <c r="AW32">
        <v>22</v>
      </c>
      <c r="AX32">
        <v>215.93919701660499</v>
      </c>
      <c r="AY32">
        <v>220.334</v>
      </c>
      <c r="BA32" s="38">
        <f>AX32-Table3[[#This Row],[Trendline]]</f>
        <v>-2.9833950065949466E-6</v>
      </c>
      <c r="BB32" s="38">
        <f>AY32-Table3[[#This Row],[SmPrice]]</f>
        <v>0</v>
      </c>
    </row>
    <row r="33" spans="1:54" x14ac:dyDescent="0.35">
      <c r="A33" s="6">
        <v>31</v>
      </c>
      <c r="B33" s="3">
        <v>42782</v>
      </c>
      <c r="C33" s="2">
        <v>221.98</v>
      </c>
      <c r="D33" s="2">
        <v>222.16</v>
      </c>
      <c r="E33" s="2">
        <v>220.93</v>
      </c>
      <c r="F33" s="2">
        <v>221.75</v>
      </c>
      <c r="G33" s="1">
        <v>89676304</v>
      </c>
      <c r="H33" s="30">
        <f>(testdata[[#This Row],[high]]+testdata[[#This Row],[low]])/2</f>
        <v>221.54500000000002</v>
      </c>
      <c r="I33" s="23">
        <f>(4*testdata[[#This Row],[price]]+3*H32+2*H31+H30)/10</f>
        <v>220.99949999999998</v>
      </c>
      <c r="J33" s="9">
        <f>(0.0962*testdata[[#This Row],[smooth]]+0.5769*I31-0.5769*I29-0.0962*I27)*(0.075*$Z32+0.54)</f>
        <v>2.4724015484297559</v>
      </c>
      <c r="K33" s="14">
        <f t="shared" si="0"/>
        <v>1.0424716104410805</v>
      </c>
      <c r="L33" s="14">
        <f>(0.0962*testdata[[#This Row],[detrender]]+0.5769*J31-0.5769*J29-0.0962*J27)*(0.075*$Z32+0.54)</f>
        <v>1.0235586336405287</v>
      </c>
      <c r="M33" s="9">
        <f>(0.0962*testdata[[#This Row],[I1]]+0.5769*K31-0.5769*K29-0.0962*K27)*(0.075*$Z32+0.54)</f>
        <v>0.7716231727114734</v>
      </c>
      <c r="N33" s="9">
        <f>(0.0962*testdata[[#This Row],[Q1]]+0.5769*L31-0.5769*L29-0.0962*L27)*(0.075*$Z32+0.54)</f>
        <v>-1.3965144072682056</v>
      </c>
      <c r="O33" s="9">
        <f>testdata[[#This Row],[I1]]-testdata[[#This Row],[JQ]]</f>
        <v>2.4389860177092864</v>
      </c>
      <c r="P33" s="9">
        <f>testdata[[#This Row],[Q1]]+testdata[[#This Row],[jI]]</f>
        <v>1.795181806352002</v>
      </c>
      <c r="Q33" s="9">
        <f>0.2*testdata[[#This Row],[I2]]+0.8*Q32</f>
        <v>0.44351396964574286</v>
      </c>
      <c r="R33" s="9">
        <f>0.2*testdata[[#This Row],[Q2]]+0.8*R32</f>
        <v>0.93097509737468565</v>
      </c>
      <c r="S33" s="9">
        <f>testdata[[#This Row],[I2'']]*Q32+testdata[[#This Row],[Q2'']]*R32</f>
        <v>0.64102560960378108</v>
      </c>
      <c r="T33" s="9">
        <f>testdata[[#This Row],[I2'']]*R32-testdata[[#This Row],[Q2'']]*Q32</f>
        <v>0.36861175904035204</v>
      </c>
      <c r="U33" s="9">
        <f>0.2*testdata[[#This Row],[Re]]+0.8*U32</f>
        <v>0.27444019729866709</v>
      </c>
      <c r="V33" s="9">
        <f>0.2*testdata[[#This Row],[Im]]+0.8*V32</f>
        <v>0.15480442114897755</v>
      </c>
      <c r="W33" s="9">
        <f>IF(AND(testdata[[#This Row],[Re'']]&lt;&gt;0,testdata[[#This Row],[Im'']]&lt;&gt;0),2*PI()/ATAN(testdata[[#This Row],[Im'']]/testdata[[#This Row],[Re'']]),0)</f>
        <v>12.233999828751562</v>
      </c>
      <c r="X33" s="9">
        <f>IF(testdata[[#This Row],[pd-atan]]&gt;1.5*Z32,1.5*Z32,IF(testdata[[#This Row],[pd-atan]]&lt;0.67*Z32,0.67*Z32,testdata[[#This Row],[pd-atan]]))</f>
        <v>12.233999828751562</v>
      </c>
      <c r="Y33" s="9">
        <f>IF(testdata[[#This Row],[pd-limit1]]&lt;6,6,IF(testdata[[#This Row],[pd-limit1]]&gt;50,50,testdata[[#This Row],[pd-limit1]]))</f>
        <v>12.233999828751562</v>
      </c>
      <c r="Z33" s="14">
        <f>0.2*testdata[[#This Row],[pd-limit2]]+0.8*Z32</f>
        <v>14.04490019384856</v>
      </c>
      <c r="AA33" s="14">
        <f>0.33*testdata[[#This Row],[period]]+0.67*AA32</f>
        <v>14.437752643662169</v>
      </c>
      <c r="AB33" s="31">
        <f>TRUNC(testdata[[#This Row],[SmPd]]+0.5,0)</f>
        <v>14</v>
      </c>
      <c r="AC33" s="14">
        <f ca="1">IF(testdata[[#This Row],[PdInt]]&lt;=0,0,AVERAGE(OFFSET(testdata[[#This Row],[price]],0,0,-testdata[[#This Row],[PdInt]],1)))</f>
        <v>217.3725</v>
      </c>
      <c r="AD33" s="14">
        <f ca="1">IF(testdata[[#This Row],[i]]&lt;11,testdata[[#This Row],[price]],(4*testdata[[#This Row],[iTrend]]+3*AC32+2*AC31+AC30)/10)</f>
        <v>217.00903333333335</v>
      </c>
      <c r="AE33" s="14">
        <f>(4*testdata[[#This Row],[price]]+3*H32+2*H31+H30)/10</f>
        <v>220.99949999999998</v>
      </c>
      <c r="AF33" t="str">
        <f ca="1">IF(OR(ROUND(testdata[[#This Row],[Trendline]],4)&lt;&gt;Table3[[#This Row],[Trendline]],ROUND(testdata[[#This Row],[SmPrice]],4)&lt;&gt;Table3[[#This Row],[SmPrice]]),"ERR","")</f>
        <v>ERR</v>
      </c>
      <c r="AG33" s="3">
        <v>42782</v>
      </c>
      <c r="AH33" s="14">
        <v>23.531400000000001</v>
      </c>
      <c r="AI33" s="34">
        <v>24</v>
      </c>
      <c r="AJ33" s="14">
        <v>216.29</v>
      </c>
      <c r="AK33" s="14">
        <v>216.11019999999999</v>
      </c>
      <c r="AL33" s="14">
        <v>220.99950000000001</v>
      </c>
      <c r="AN33" s="38">
        <f t="shared" si="1"/>
        <v>-0.89882519936199401</v>
      </c>
      <c r="AO33" s="38">
        <f t="shared" si="2"/>
        <v>0</v>
      </c>
      <c r="AQ33" s="37">
        <v>42782</v>
      </c>
      <c r="AR33">
        <v>14</v>
      </c>
      <c r="AS33">
        <v>217.00903333333301</v>
      </c>
      <c r="AT33">
        <v>220.99949999999899</v>
      </c>
      <c r="AV33" s="37">
        <v>42782</v>
      </c>
      <c r="AW33">
        <v>24</v>
      </c>
      <c r="AX33">
        <v>216.11020813397101</v>
      </c>
      <c r="AY33">
        <v>220.99949999999899</v>
      </c>
      <c r="BA33" s="38">
        <f>AX33-Table3[[#This Row],[Trendline]]</f>
        <v>8.1339710220618144E-6</v>
      </c>
      <c r="BB33" s="38">
        <f>AY33-Table3[[#This Row],[SmPrice]]</f>
        <v>-1.0231815394945443E-12</v>
      </c>
    </row>
    <row r="34" spans="1:54" x14ac:dyDescent="0.35">
      <c r="A34" s="6">
        <v>32</v>
      </c>
      <c r="B34" s="3">
        <v>42783</v>
      </c>
      <c r="C34" s="2">
        <v>221.03</v>
      </c>
      <c r="D34" s="2">
        <v>222.1</v>
      </c>
      <c r="E34" s="2">
        <v>221.01</v>
      </c>
      <c r="F34" s="2">
        <v>222.1</v>
      </c>
      <c r="G34" s="1">
        <v>81718352</v>
      </c>
      <c r="H34" s="30">
        <f>(testdata[[#This Row],[high]]+testdata[[#This Row],[low]])/2</f>
        <v>221.55500000000001</v>
      </c>
      <c r="I34" s="23">
        <f>(4*testdata[[#This Row],[price]]+3*H33+2*H32+H31)/10</f>
        <v>221.35700000000003</v>
      </c>
      <c r="J34" s="9">
        <f>(0.0962*testdata[[#This Row],[smooth]]+0.5769*I32-0.5769*I30-0.0962*I28)*(0.075*$Z33+0.54)</f>
        <v>2.3510986145219168</v>
      </c>
      <c r="K34" s="14">
        <f t="shared" si="0"/>
        <v>1.7098438448531441</v>
      </c>
      <c r="L34" s="14">
        <f>(0.0962*testdata[[#This Row],[detrender]]+0.5769*J32-0.5769*J30-0.0962*J28)*(0.075*$Z33+0.54)</f>
        <v>1.3786245999797151</v>
      </c>
      <c r="M34" s="9">
        <f>(0.0962*testdata[[#This Row],[I1]]+0.5769*K32-0.5769*K30-0.0962*K28)*(0.075*$Z33+0.54)</f>
        <v>8.0230748877131247E-2</v>
      </c>
      <c r="N34" s="9">
        <f>(0.0962*testdata[[#This Row],[Q1]]+0.5769*L32-0.5769*L30-0.0962*L28)*(0.075*$Z33+0.54)</f>
        <v>-0.41803617009376726</v>
      </c>
      <c r="O34" s="9">
        <f>testdata[[#This Row],[I1]]-testdata[[#This Row],[JQ]]</f>
        <v>2.1278800149469115</v>
      </c>
      <c r="P34" s="9">
        <f>testdata[[#This Row],[Q1]]+testdata[[#This Row],[jI]]</f>
        <v>1.4588553488568463</v>
      </c>
      <c r="Q34" s="9">
        <f>0.2*testdata[[#This Row],[I2]]+0.8*Q33</f>
        <v>0.78038717870597663</v>
      </c>
      <c r="R34" s="9">
        <f>0.2*testdata[[#This Row],[Q2]]+0.8*R33</f>
        <v>1.0365511476711178</v>
      </c>
      <c r="S34" s="9">
        <f>testdata[[#This Row],[I2'']]*Q33+testdata[[#This Row],[Q2'']]*R33</f>
        <v>1.3111159211254904</v>
      </c>
      <c r="T34" s="9">
        <f>testdata[[#This Row],[I2'']]*R33-testdata[[#This Row],[Q2'']]*Q33</f>
        <v>0.26679611544128479</v>
      </c>
      <c r="U34" s="9">
        <f>0.2*testdata[[#This Row],[Re]]+0.8*U33</f>
        <v>0.48177534206403178</v>
      </c>
      <c r="V34" s="9">
        <f>0.2*testdata[[#This Row],[Im]]+0.8*V33</f>
        <v>0.17720276000743901</v>
      </c>
      <c r="W34" s="9">
        <f>IF(AND(testdata[[#This Row],[Re'']]&lt;&gt;0,testdata[[#This Row],[Im'']]&lt;&gt;0),2*PI()/ATAN(testdata[[#This Row],[Im'']]/testdata[[#This Row],[Re'']]),0)</f>
        <v>17.826963859898992</v>
      </c>
      <c r="X34" s="9">
        <f>IF(testdata[[#This Row],[pd-atan]]&gt;1.5*Z33,1.5*Z33,IF(testdata[[#This Row],[pd-atan]]&lt;0.67*Z33,0.67*Z33,testdata[[#This Row],[pd-atan]]))</f>
        <v>17.826963859898992</v>
      </c>
      <c r="Y34" s="9">
        <f>IF(testdata[[#This Row],[pd-limit1]]&lt;6,6,IF(testdata[[#This Row],[pd-limit1]]&gt;50,50,testdata[[#This Row],[pd-limit1]]))</f>
        <v>17.826963859898992</v>
      </c>
      <c r="Z34" s="14">
        <f>0.2*testdata[[#This Row],[pd-limit2]]+0.8*Z33</f>
        <v>14.801312927058648</v>
      </c>
      <c r="AA34" s="14">
        <f>0.33*testdata[[#This Row],[period]]+0.67*AA33</f>
        <v>14.557727537183005</v>
      </c>
      <c r="AB34" s="31">
        <f>TRUNC(testdata[[#This Row],[SmPd]]+0.5,0)</f>
        <v>15</v>
      </c>
      <c r="AC34" s="14">
        <f ca="1">IF(testdata[[#This Row],[PdInt]]&lt;=0,0,AVERAGE(OFFSET(testdata[[#This Row],[price]],0,0,-testdata[[#This Row],[PdInt]],1)))</f>
        <v>217.65133333333333</v>
      </c>
      <c r="AD34" s="14">
        <f ca="1">IF(testdata[[#This Row],[i]]&lt;11,testdata[[#This Row],[price]],(4*testdata[[#This Row],[iTrend]]+3*AC33+2*AC32+AC31)/10)</f>
        <v>217.33688333333333</v>
      </c>
      <c r="AE34" s="14">
        <f>(4*testdata[[#This Row],[price]]+3*H33+2*H32+H31)/10</f>
        <v>221.35700000000003</v>
      </c>
      <c r="AF34" t="str">
        <f ca="1">IF(OR(ROUND(testdata[[#This Row],[Trendline]],4)&lt;&gt;Table3[[#This Row],[Trendline]],ROUND(testdata[[#This Row],[SmPrice]],4)&lt;&gt;Table3[[#This Row],[SmPrice]]),"ERR","")</f>
        <v>ERR</v>
      </c>
      <c r="AG34" s="3">
        <v>42783</v>
      </c>
      <c r="AH34" s="14">
        <v>24.761399999999998</v>
      </c>
      <c r="AI34" s="34">
        <v>25</v>
      </c>
      <c r="AJ34" s="14">
        <v>216.50059999999999</v>
      </c>
      <c r="AK34" s="14">
        <v>216.3022</v>
      </c>
      <c r="AL34" s="14">
        <v>221.357</v>
      </c>
      <c r="AN34" s="38">
        <f t="shared" si="1"/>
        <v>-1.0346887878789914</v>
      </c>
      <c r="AO34" s="38">
        <f t="shared" si="2"/>
        <v>0</v>
      </c>
      <c r="AQ34" s="37">
        <v>42783</v>
      </c>
      <c r="AR34">
        <v>15</v>
      </c>
      <c r="AS34">
        <v>217.33688333333299</v>
      </c>
      <c r="AT34">
        <v>221.357</v>
      </c>
      <c r="AV34" s="37">
        <v>42783</v>
      </c>
      <c r="AW34">
        <v>25</v>
      </c>
      <c r="AX34">
        <v>216.302194545454</v>
      </c>
      <c r="AY34">
        <v>221.357</v>
      </c>
      <c r="BA34" s="38">
        <f>AX34-Table3[[#This Row],[Trendline]]</f>
        <v>-5.4545459988730727E-6</v>
      </c>
      <c r="BB34" s="38">
        <f>AY34-Table3[[#This Row],[SmPrice]]</f>
        <v>0</v>
      </c>
    </row>
    <row r="35" spans="1:54" x14ac:dyDescent="0.35">
      <c r="A35" s="6">
        <v>33</v>
      </c>
      <c r="B35" s="3">
        <v>42787</v>
      </c>
      <c r="C35" s="2">
        <v>222.51</v>
      </c>
      <c r="D35" s="2">
        <v>223.62</v>
      </c>
      <c r="E35" s="2">
        <v>222.5</v>
      </c>
      <c r="F35" s="2">
        <v>223.43</v>
      </c>
      <c r="G35" s="1">
        <v>94146880</v>
      </c>
      <c r="H35" s="30">
        <f>(testdata[[#This Row],[high]]+testdata[[#This Row],[low]])/2</f>
        <v>223.06</v>
      </c>
      <c r="I35" s="23">
        <f>(4*testdata[[#This Row],[price]]+3*H34+2*H33+H32)/10</f>
        <v>222.13199999999998</v>
      </c>
      <c r="J35" s="9">
        <f>(0.0962*testdata[[#This Row],[smooth]]+0.5769*I33-0.5769*I31-0.0962*I29)*(0.075*$Z34+0.54)</f>
        <v>2.2781393128299023</v>
      </c>
      <c r="K35" s="14">
        <f t="shared" si="0"/>
        <v>2.3178115632758844</v>
      </c>
      <c r="L35" s="14">
        <f>(0.0962*testdata[[#This Row],[detrender]]+0.5769*J33-0.5769*J31-0.0962*J29)*(0.075*$Z34+0.54)</f>
        <v>0.95274800920430236</v>
      </c>
      <c r="M35" s="9">
        <f>(0.0962*testdata[[#This Row],[I1]]+0.5769*K33-0.5769*K31-0.0962*K29)*(0.075*$Z34+0.54)</f>
        <v>0.32902918394186675</v>
      </c>
      <c r="N35" s="9">
        <f>(0.0962*testdata[[#This Row],[Q1]]+0.5769*L33-0.5769*L31-0.0962*L29)*(0.075*$Z34+0.54)</f>
        <v>0.78209696032465215</v>
      </c>
      <c r="O35" s="9">
        <f>testdata[[#This Row],[I1]]-testdata[[#This Row],[JQ]]</f>
        <v>1.5357146029512323</v>
      </c>
      <c r="P35" s="9">
        <f>testdata[[#This Row],[Q1]]+testdata[[#This Row],[jI]]</f>
        <v>1.2817771931461692</v>
      </c>
      <c r="Q35" s="9">
        <f>0.2*testdata[[#This Row],[I2]]+0.8*Q34</f>
        <v>0.93145266355502787</v>
      </c>
      <c r="R35" s="9">
        <f>0.2*testdata[[#This Row],[Q2]]+0.8*R34</f>
        <v>1.0855963567661282</v>
      </c>
      <c r="S35" s="9">
        <f>testdata[[#This Row],[I2'']]*Q34+testdata[[#This Row],[Q2'']]*R34</f>
        <v>1.8521698657233898</v>
      </c>
      <c r="T35" s="9">
        <f>testdata[[#This Row],[I2'']]*R34-testdata[[#This Row],[Q2'']]*Q34</f>
        <v>0.11831284933907804</v>
      </c>
      <c r="U35" s="9">
        <f>0.2*testdata[[#This Row],[Re]]+0.8*U34</f>
        <v>0.75585424679590341</v>
      </c>
      <c r="V35" s="9">
        <f>0.2*testdata[[#This Row],[Im]]+0.8*V34</f>
        <v>0.16542477787376683</v>
      </c>
      <c r="W35" s="9">
        <f>IF(AND(testdata[[#This Row],[Re'']]&lt;&gt;0,testdata[[#This Row],[Im'']]&lt;&gt;0),2*PI()/ATAN(testdata[[#This Row],[Im'']]/testdata[[#This Row],[Re'']]),0)</f>
        <v>29.161616607397853</v>
      </c>
      <c r="X35" s="9">
        <f>IF(testdata[[#This Row],[pd-atan]]&gt;1.5*Z34,1.5*Z34,IF(testdata[[#This Row],[pd-atan]]&lt;0.67*Z34,0.67*Z34,testdata[[#This Row],[pd-atan]]))</f>
        <v>22.201969390587973</v>
      </c>
      <c r="Y35" s="9">
        <f>IF(testdata[[#This Row],[pd-limit1]]&lt;6,6,IF(testdata[[#This Row],[pd-limit1]]&gt;50,50,testdata[[#This Row],[pd-limit1]]))</f>
        <v>22.201969390587973</v>
      </c>
      <c r="Z35" s="14">
        <f>0.2*testdata[[#This Row],[pd-limit2]]+0.8*Z34</f>
        <v>16.281444219764516</v>
      </c>
      <c r="AA35" s="14">
        <f>0.33*testdata[[#This Row],[period]]+0.67*AA34</f>
        <v>15.126554042434904</v>
      </c>
      <c r="AB35" s="31">
        <f>TRUNC(testdata[[#This Row],[SmPd]]+0.5,0)</f>
        <v>15</v>
      </c>
      <c r="AC35" s="14">
        <f ca="1">IF(testdata[[#This Row],[PdInt]]&lt;=0,0,AVERAGE(OFFSET(testdata[[#This Row],[price]],0,0,-testdata[[#This Row],[PdInt]],1)))</f>
        <v>218.20566666666664</v>
      </c>
      <c r="AD35" s="14">
        <f ca="1">IF(testdata[[#This Row],[i]]&lt;11,testdata[[#This Row],[price]],(4*testdata[[#This Row],[iTrend]]+3*AC34+2*AC33+AC32)/10)</f>
        <v>217.75133333333332</v>
      </c>
      <c r="AE35" s="14">
        <f>(4*testdata[[#This Row],[price]]+3*H34+2*H33+H32)/10</f>
        <v>222.13199999999998</v>
      </c>
      <c r="AF35" t="str">
        <f ca="1">IF(OR(ROUND(testdata[[#This Row],[Trendline]],4)&lt;&gt;Table3[[#This Row],[Trendline]],ROUND(testdata[[#This Row],[SmPrice]],4)&lt;&gt;Table3[[#This Row],[SmPrice]]),"ERR","")</f>
        <v>ERR</v>
      </c>
      <c r="AG35" s="3">
        <v>42787</v>
      </c>
      <c r="AH35" s="14">
        <v>25.9</v>
      </c>
      <c r="AI35" s="34">
        <v>26</v>
      </c>
      <c r="AJ35" s="14">
        <v>216.75290000000001</v>
      </c>
      <c r="AK35" s="14">
        <v>216.52260000000001</v>
      </c>
      <c r="AL35" s="14">
        <v>222.13200000000001</v>
      </c>
      <c r="AN35" s="38">
        <f t="shared" si="1"/>
        <v>-1.2287722144520217</v>
      </c>
      <c r="AO35" s="38">
        <f t="shared" si="2"/>
        <v>0</v>
      </c>
      <c r="AQ35" s="37">
        <v>42787</v>
      </c>
      <c r="AR35">
        <v>15</v>
      </c>
      <c r="AS35">
        <v>217.75133333333301</v>
      </c>
      <c r="AT35">
        <v>222.13199999999901</v>
      </c>
      <c r="AV35" s="37">
        <v>42787</v>
      </c>
      <c r="AW35">
        <v>26</v>
      </c>
      <c r="AX35">
        <v>216.52256111888099</v>
      </c>
      <c r="AY35">
        <v>222.13199999999901</v>
      </c>
      <c r="BA35" s="38">
        <f>AX35-Table3[[#This Row],[Trendline]]</f>
        <v>-3.8881119024836153E-5</v>
      </c>
      <c r="BB35" s="38">
        <f>AY35-Table3[[#This Row],[SmPrice]]</f>
        <v>-9.9475983006414026E-13</v>
      </c>
    </row>
    <row r="36" spans="1:54" x14ac:dyDescent="0.35">
      <c r="A36" s="6">
        <v>34</v>
      </c>
      <c r="B36" s="3">
        <v>42788</v>
      </c>
      <c r="C36" s="2">
        <v>222.98</v>
      </c>
      <c r="D36" s="2">
        <v>223.47</v>
      </c>
      <c r="E36" s="2">
        <v>222.8</v>
      </c>
      <c r="F36" s="2">
        <v>223.23</v>
      </c>
      <c r="G36" s="1">
        <v>65747160</v>
      </c>
      <c r="H36" s="30">
        <f>(testdata[[#This Row],[high]]+testdata[[#This Row],[low]])/2</f>
        <v>223.13499999999999</v>
      </c>
      <c r="I36" s="23">
        <f>(4*testdata[[#This Row],[price]]+3*H35+2*H34+H33)/10</f>
        <v>222.63749999999999</v>
      </c>
      <c r="J36" s="9">
        <f>(0.0962*testdata[[#This Row],[smooth]]+0.5769*I34-0.5769*I32-0.0962*I30)*(0.075*$Z35+0.54)</f>
        <v>1.7343061851246619</v>
      </c>
      <c r="K36" s="14">
        <f t="shared" si="0"/>
        <v>2.4724015484297559</v>
      </c>
      <c r="L36" s="14">
        <f>(0.0962*testdata[[#This Row],[detrender]]+0.5769*J34-0.5769*J32-0.0962*J30)*(0.075*$Z35+0.54)</f>
        <v>0.1510287500368335</v>
      </c>
      <c r="M36" s="9">
        <f>(0.0962*testdata[[#This Row],[I1]]+0.5769*K34-0.5769*K32-0.0962*K30)*(0.075*$Z35+0.54)</f>
        <v>1.1077080853621362</v>
      </c>
      <c r="N36" s="9">
        <f>(0.0962*testdata[[#This Row],[Q1]]+0.5769*L34-0.5769*L32-0.0962*L30)*(0.075*$Z35+0.54)</f>
        <v>0.95072587703822453</v>
      </c>
      <c r="O36" s="9">
        <f>testdata[[#This Row],[I1]]-testdata[[#This Row],[JQ]]</f>
        <v>1.5216756713915314</v>
      </c>
      <c r="P36" s="9">
        <f>testdata[[#This Row],[Q1]]+testdata[[#This Row],[jI]]</f>
        <v>1.2587368353989696</v>
      </c>
      <c r="Q36" s="9">
        <f>0.2*testdata[[#This Row],[I2]]+0.8*Q35</f>
        <v>1.0494972651223287</v>
      </c>
      <c r="R36" s="9">
        <f>0.2*testdata[[#This Row],[Q2]]+0.8*R35</f>
        <v>1.1202244524926965</v>
      </c>
      <c r="S36" s="9">
        <f>testdata[[#This Row],[I2'']]*Q35+testdata[[#This Row],[Q2'']]*R35</f>
        <v>2.1936686073783123</v>
      </c>
      <c r="T36" s="9">
        <f>testdata[[#This Row],[I2'']]*R35-testdata[[#This Row],[Q2'']]*Q35</f>
        <v>9.5894357399020524E-2</v>
      </c>
      <c r="U36" s="9">
        <f>0.2*testdata[[#This Row],[Re]]+0.8*U35</f>
        <v>1.0434171189123851</v>
      </c>
      <c r="V36" s="9">
        <f>0.2*testdata[[#This Row],[Im]]+0.8*V35</f>
        <v>0.15151869377881758</v>
      </c>
      <c r="W36" s="9">
        <f>IF(AND(testdata[[#This Row],[Re'']]&lt;&gt;0,testdata[[#This Row],[Im'']]&lt;&gt;0),2*PI()/ATAN(testdata[[#This Row],[Im'']]/testdata[[#This Row],[Re'']]),0)</f>
        <v>43.570920705995199</v>
      </c>
      <c r="X36" s="9">
        <f>IF(testdata[[#This Row],[pd-atan]]&gt;1.5*Z35,1.5*Z35,IF(testdata[[#This Row],[pd-atan]]&lt;0.67*Z35,0.67*Z35,testdata[[#This Row],[pd-atan]]))</f>
        <v>24.422166329646775</v>
      </c>
      <c r="Y36" s="9">
        <f>IF(testdata[[#This Row],[pd-limit1]]&lt;6,6,IF(testdata[[#This Row],[pd-limit1]]&gt;50,50,testdata[[#This Row],[pd-limit1]]))</f>
        <v>24.422166329646775</v>
      </c>
      <c r="Z36" s="14">
        <f>0.2*testdata[[#This Row],[pd-limit2]]+0.8*Z35</f>
        <v>17.909588641740971</v>
      </c>
      <c r="AA36" s="14">
        <f>0.33*testdata[[#This Row],[period]]+0.67*AA35</f>
        <v>16.044955460205905</v>
      </c>
      <c r="AB36" s="31">
        <f>TRUNC(testdata[[#This Row],[SmPd]]+0.5,0)</f>
        <v>16</v>
      </c>
      <c r="AC36" s="14">
        <f ca="1">IF(testdata[[#This Row],[PdInt]]&lt;=0,0,AVERAGE(OFFSET(testdata[[#This Row],[price]],0,0,-testdata[[#This Row],[PdInt]],1)))</f>
        <v>218.51374999999996</v>
      </c>
      <c r="AD36" s="14">
        <f ca="1">IF(testdata[[#This Row],[i]]&lt;11,testdata[[#This Row],[price]],(4*testdata[[#This Row],[iTrend]]+3*AC35+2*AC34+AC33)/10)</f>
        <v>218.13471666666663</v>
      </c>
      <c r="AE36" s="14">
        <f>(4*testdata[[#This Row],[price]]+3*H35+2*H34+H33)/10</f>
        <v>222.63749999999999</v>
      </c>
      <c r="AF36" t="str">
        <f ca="1">IF(OR(ROUND(testdata[[#This Row],[Trendline]],4)&lt;&gt;Table3[[#This Row],[Trendline]],ROUND(testdata[[#This Row],[SmPrice]],4)&lt;&gt;Table3[[#This Row],[SmPrice]]),"ERR","")</f>
        <v>ERR</v>
      </c>
      <c r="AG36" s="3">
        <v>42788</v>
      </c>
      <c r="AH36" s="14">
        <v>27.0184</v>
      </c>
      <c r="AI36" s="34">
        <v>27</v>
      </c>
      <c r="AJ36" s="14">
        <v>216.98929999999999</v>
      </c>
      <c r="AK36" s="14">
        <v>216.75069999999999</v>
      </c>
      <c r="AL36" s="14">
        <v>222.63749999999999</v>
      </c>
      <c r="AN36" s="38">
        <f t="shared" si="1"/>
        <v>-1.384027578347002</v>
      </c>
      <c r="AO36" s="38">
        <f t="shared" si="2"/>
        <v>0</v>
      </c>
      <c r="AQ36" s="37">
        <v>42788</v>
      </c>
      <c r="AR36">
        <v>16</v>
      </c>
      <c r="AS36">
        <v>218.13471666666601</v>
      </c>
      <c r="AT36">
        <v>222.63749999999999</v>
      </c>
      <c r="AV36" s="37">
        <v>42788</v>
      </c>
      <c r="AW36">
        <v>27</v>
      </c>
      <c r="AX36">
        <v>216.75068908831901</v>
      </c>
      <c r="AY36">
        <v>222.63749999999999</v>
      </c>
      <c r="BA36" s="38">
        <f>AX36-Table3[[#This Row],[Trendline]]</f>
        <v>-1.091168098810158E-5</v>
      </c>
      <c r="BB36" s="38">
        <f>AY36-Table3[[#This Row],[SmPrice]]</f>
        <v>0</v>
      </c>
    </row>
    <row r="37" spans="1:54" x14ac:dyDescent="0.35">
      <c r="A37" s="6">
        <v>35</v>
      </c>
      <c r="B37" s="3">
        <v>42789</v>
      </c>
      <c r="C37" s="2">
        <v>223.79</v>
      </c>
      <c r="D37" s="2">
        <v>223.81</v>
      </c>
      <c r="E37" s="2">
        <v>222.55</v>
      </c>
      <c r="F37" s="2">
        <v>223.38</v>
      </c>
      <c r="G37" s="1">
        <v>78978816</v>
      </c>
      <c r="H37" s="30">
        <f>(testdata[[#This Row],[high]]+testdata[[#This Row],[low]])/2</f>
        <v>223.18</v>
      </c>
      <c r="I37" s="23">
        <f>(4*testdata[[#This Row],[price]]+3*H36+2*H35+H34)/10</f>
        <v>222.97999999999996</v>
      </c>
      <c r="J37" s="9">
        <f>(0.0962*testdata[[#This Row],[smooth]]+0.5769*I35-0.5769*I33-0.0962*I31)*(0.075*$Z36+0.54)</f>
        <v>1.8833926867750606</v>
      </c>
      <c r="K37" s="14">
        <f t="shared" si="0"/>
        <v>2.3510986145219168</v>
      </c>
      <c r="L37" s="14">
        <f>(0.0962*testdata[[#This Row],[detrender]]+0.5769*J35-0.5769*J33-0.0962*J31)*(0.075*$Z36+0.54)</f>
        <v>-0.17961105662986798</v>
      </c>
      <c r="M37" s="9">
        <f>(0.0962*testdata[[#This Row],[I1]]+0.5769*K35-0.5769*K33-0.0962*K31)*(0.075*$Z36+0.54)</f>
        <v>1.6294120603540692</v>
      </c>
      <c r="N37" s="9">
        <f>(0.0962*testdata[[#This Row],[Q1]]+0.5769*L35-0.5769*L33-0.0962*L31)*(0.075*$Z36+0.54)</f>
        <v>-0.12483807000161802</v>
      </c>
      <c r="O37" s="9">
        <f>testdata[[#This Row],[I1]]-testdata[[#This Row],[JQ]]</f>
        <v>2.4759366845235347</v>
      </c>
      <c r="P37" s="9">
        <f>testdata[[#This Row],[Q1]]+testdata[[#This Row],[jI]]</f>
        <v>1.4498010037242013</v>
      </c>
      <c r="Q37" s="9">
        <f>0.2*testdata[[#This Row],[I2]]+0.8*Q36</f>
        <v>1.3347851490025699</v>
      </c>
      <c r="R37" s="9">
        <f>0.2*testdata[[#This Row],[Q2]]+0.8*R36</f>
        <v>1.1861397627389976</v>
      </c>
      <c r="S37" s="9">
        <f>testdata[[#This Row],[I2'']]*Q36+testdata[[#This Row],[Q2'']]*R36</f>
        <v>2.7295961296982076</v>
      </c>
      <c r="T37" s="9">
        <f>testdata[[#This Row],[I2'']]*R36-testdata[[#This Row],[Q2'']]*Q36</f>
        <v>0.25040852568936045</v>
      </c>
      <c r="U37" s="9">
        <f>0.2*testdata[[#This Row],[Re]]+0.8*U36</f>
        <v>1.3806529210695497</v>
      </c>
      <c r="V37" s="9">
        <f>0.2*testdata[[#This Row],[Im]]+0.8*V36</f>
        <v>0.17129666016092615</v>
      </c>
      <c r="W37" s="9">
        <f>IF(AND(testdata[[#This Row],[Re'']]&lt;&gt;0,testdata[[#This Row],[Im'']]&lt;&gt;0),2*PI()/ATAN(testdata[[#This Row],[Im'']]/testdata[[#This Row],[Re'']]),0)</f>
        <v>50.901333105435803</v>
      </c>
      <c r="X37" s="9">
        <f>IF(testdata[[#This Row],[pd-atan]]&gt;1.5*Z36,1.5*Z36,IF(testdata[[#This Row],[pd-atan]]&lt;0.67*Z36,0.67*Z36,testdata[[#This Row],[pd-atan]]))</f>
        <v>26.864382962611458</v>
      </c>
      <c r="Y37" s="9">
        <f>IF(testdata[[#This Row],[pd-limit1]]&lt;6,6,IF(testdata[[#This Row],[pd-limit1]]&gt;50,50,testdata[[#This Row],[pd-limit1]]))</f>
        <v>26.864382962611458</v>
      </c>
      <c r="Z37" s="14">
        <f>0.2*testdata[[#This Row],[pd-limit2]]+0.8*Z36</f>
        <v>19.700547505915068</v>
      </c>
      <c r="AA37" s="14">
        <f>0.33*testdata[[#This Row],[period]]+0.67*AA36</f>
        <v>17.251300835289928</v>
      </c>
      <c r="AB37" s="31">
        <f>TRUNC(testdata[[#This Row],[SmPd]]+0.5,0)</f>
        <v>17</v>
      </c>
      <c r="AC37" s="14">
        <f ca="1">IF(testdata[[#This Row],[PdInt]]&lt;=0,0,AVERAGE(OFFSET(testdata[[#This Row],[price]],0,0,-testdata[[#This Row],[PdInt]],1)))</f>
        <v>218.78823529411761</v>
      </c>
      <c r="AD37" s="14">
        <f ca="1">IF(testdata[[#This Row],[i]]&lt;11,testdata[[#This Row],[price]],(4*testdata[[#This Row],[iTrend]]+3*AC36+2*AC35+AC34)/10)</f>
        <v>218.4756857843137</v>
      </c>
      <c r="AE37" s="14">
        <f>(4*testdata[[#This Row],[price]]+3*H36+2*H35+H34)/10</f>
        <v>222.97999999999996</v>
      </c>
      <c r="AF37" t="str">
        <f ca="1">IF(OR(ROUND(testdata[[#This Row],[Trendline]],4)&lt;&gt;Table3[[#This Row],[Trendline]],ROUND(testdata[[#This Row],[SmPrice]],4)&lt;&gt;Table3[[#This Row],[SmPrice]]),"ERR","")</f>
        <v>ERR</v>
      </c>
      <c r="AG37" s="3">
        <v>42789</v>
      </c>
      <c r="AH37" s="14">
        <v>28.068000000000001</v>
      </c>
      <c r="AI37" s="34">
        <v>28</v>
      </c>
      <c r="AJ37" s="14">
        <v>217.21039999999999</v>
      </c>
      <c r="AK37" s="14">
        <v>216.98159999999999</v>
      </c>
      <c r="AL37" s="14">
        <v>222.98</v>
      </c>
      <c r="AN37" s="38">
        <f t="shared" si="1"/>
        <v>-1.4941282263159792</v>
      </c>
      <c r="AO37" s="38">
        <f t="shared" si="2"/>
        <v>0</v>
      </c>
      <c r="AQ37" s="37">
        <v>42789</v>
      </c>
      <c r="AR37">
        <v>17</v>
      </c>
      <c r="AS37">
        <v>218.47568578431299</v>
      </c>
      <c r="AT37">
        <v>222.979999999999</v>
      </c>
      <c r="AV37" s="37">
        <v>42789</v>
      </c>
      <c r="AW37">
        <v>28</v>
      </c>
      <c r="AX37">
        <v>216.98155755799701</v>
      </c>
      <c r="AY37">
        <v>222.979999999999</v>
      </c>
      <c r="BA37" s="38">
        <f>AX37-Table3[[#This Row],[Trendline]]</f>
        <v>-4.2442002978759774E-5</v>
      </c>
      <c r="BB37" s="38">
        <f>AY37-Table3[[#This Row],[SmPrice]]</f>
        <v>-9.9475983006414026E-13</v>
      </c>
    </row>
    <row r="38" spans="1:54" x14ac:dyDescent="0.35">
      <c r="A38" s="6">
        <v>36</v>
      </c>
      <c r="B38" s="3">
        <v>42790</v>
      </c>
      <c r="C38" s="2">
        <v>222.45</v>
      </c>
      <c r="D38" s="2">
        <v>223.71</v>
      </c>
      <c r="E38" s="2">
        <v>222.41</v>
      </c>
      <c r="F38" s="2">
        <v>223.66</v>
      </c>
      <c r="G38" s="1">
        <v>87198608</v>
      </c>
      <c r="H38" s="30">
        <f>(testdata[[#This Row],[high]]+testdata[[#This Row],[low]])/2</f>
        <v>223.06</v>
      </c>
      <c r="I38" s="23">
        <f>(4*testdata[[#This Row],[price]]+3*H37+2*H36+H35)/10</f>
        <v>223.11100000000002</v>
      </c>
      <c r="J38" s="9">
        <f>(0.0962*testdata[[#This Row],[smooth]]+0.5769*I36-0.5769*I34-0.0962*I32)*(0.075*$Z37+0.54)</f>
        <v>2.0293796912697837</v>
      </c>
      <c r="K38" s="14">
        <f t="shared" si="0"/>
        <v>2.2781393128299023</v>
      </c>
      <c r="L38" s="14">
        <f>(0.0962*testdata[[#This Row],[detrender]]+0.5769*J36-0.5769*J34-0.0962*J32)*(0.075*$Z37+0.54)</f>
        <v>-0.7738777051443626</v>
      </c>
      <c r="M38" s="9">
        <f>(0.0962*testdata[[#This Row],[I1]]+0.5769*K36-0.5769*K34-0.0962*K32)*(0.075*$Z37+0.54)</f>
        <v>1.1649051657842466</v>
      </c>
      <c r="N38" s="9">
        <f>(0.0962*testdata[[#This Row],[Q1]]+0.5769*L36-0.5769*L34-0.0962*L32)*(0.075*$Z37+0.54)</f>
        <v>-1.6435158100267089</v>
      </c>
      <c r="O38" s="9">
        <f>testdata[[#This Row],[I1]]-testdata[[#This Row],[JQ]]</f>
        <v>3.9216551228566114</v>
      </c>
      <c r="P38" s="9">
        <f>testdata[[#This Row],[Q1]]+testdata[[#This Row],[jI]]</f>
        <v>0.39102746063988403</v>
      </c>
      <c r="Q38" s="9">
        <f>0.2*testdata[[#This Row],[I2]]+0.8*Q37</f>
        <v>1.8521591437733784</v>
      </c>
      <c r="R38" s="9">
        <f>0.2*testdata[[#This Row],[Q2]]+0.8*R37</f>
        <v>1.0271173023191749</v>
      </c>
      <c r="S38" s="9">
        <f>testdata[[#This Row],[I2'']]*Q37+testdata[[#This Row],[Q2'']]*R37</f>
        <v>3.6905391919760069</v>
      </c>
      <c r="T38" s="9">
        <f>testdata[[#This Row],[I2'']]*R37-testdata[[#This Row],[Q2'']]*Q37</f>
        <v>0.82593868593100273</v>
      </c>
      <c r="U38" s="9">
        <f>0.2*testdata[[#This Row],[Re]]+0.8*U37</f>
        <v>1.8426301752508412</v>
      </c>
      <c r="V38" s="9">
        <f>0.2*testdata[[#This Row],[Im]]+0.8*V37</f>
        <v>0.30222506531494148</v>
      </c>
      <c r="W38" s="9">
        <f>IF(AND(testdata[[#This Row],[Re'']]&lt;&gt;0,testdata[[#This Row],[Im'']]&lt;&gt;0),2*PI()/ATAN(testdata[[#This Row],[Im'']]/testdata[[#This Row],[Re'']]),0)</f>
        <v>38.648920281210408</v>
      </c>
      <c r="X38" s="9">
        <f>IF(testdata[[#This Row],[pd-atan]]&gt;1.5*Z37,1.5*Z37,IF(testdata[[#This Row],[pd-atan]]&lt;0.67*Z37,0.67*Z37,testdata[[#This Row],[pd-atan]]))</f>
        <v>29.550821258872602</v>
      </c>
      <c r="Y38" s="9">
        <f>IF(testdata[[#This Row],[pd-limit1]]&lt;6,6,IF(testdata[[#This Row],[pd-limit1]]&gt;50,50,testdata[[#This Row],[pd-limit1]]))</f>
        <v>29.550821258872602</v>
      </c>
      <c r="Z38" s="14">
        <f>0.2*testdata[[#This Row],[pd-limit2]]+0.8*Z37</f>
        <v>21.670602256506577</v>
      </c>
      <c r="AA38" s="14">
        <f>0.33*testdata[[#This Row],[period]]+0.67*AA37</f>
        <v>18.709670304291421</v>
      </c>
      <c r="AB38" s="31">
        <f>TRUNC(testdata[[#This Row],[SmPd]]+0.5,0)</f>
        <v>19</v>
      </c>
      <c r="AC38" s="14">
        <f ca="1">IF(testdata[[#This Row],[PdInt]]&lt;=0,0,AVERAGE(OFFSET(testdata[[#This Row],[price]],0,0,-testdata[[#This Row],[PdInt]],1)))</f>
        <v>218.80026315789473</v>
      </c>
      <c r="AD38" s="14">
        <f ca="1">IF(testdata[[#This Row],[i]]&lt;11,testdata[[#This Row],[price]],(4*testdata[[#This Row],[iTrend]]+3*AC37+2*AC36+AC35)/10)</f>
        <v>218.67989251805983</v>
      </c>
      <c r="AE38" s="14">
        <f>(4*testdata[[#This Row],[price]]+3*H37+2*H36+H35)/10</f>
        <v>223.11100000000002</v>
      </c>
      <c r="AF38" t="str">
        <f ca="1">IF(OR(ROUND(testdata[[#This Row],[Trendline]],4)&lt;&gt;Table3[[#This Row],[Trendline]],ROUND(testdata[[#This Row],[SmPrice]],4)&lt;&gt;Table3[[#This Row],[SmPrice]]),"ERR","")</f>
        <v>ERR</v>
      </c>
      <c r="AG38" s="3">
        <v>42790</v>
      </c>
      <c r="AH38" s="14">
        <v>28.812100000000001</v>
      </c>
      <c r="AI38" s="34">
        <v>29</v>
      </c>
      <c r="AJ38" s="14">
        <v>217.41210000000001</v>
      </c>
      <c r="AK38" s="14">
        <v>217.2011</v>
      </c>
      <c r="AL38" s="14">
        <v>223.11099999999999</v>
      </c>
      <c r="AN38" s="38">
        <f t="shared" si="1"/>
        <v>-1.4788174756050125</v>
      </c>
      <c r="AO38" s="38">
        <f t="shared" si="2"/>
        <v>0</v>
      </c>
      <c r="AQ38" s="37">
        <v>42790</v>
      </c>
      <c r="AR38">
        <v>19</v>
      </c>
      <c r="AS38">
        <v>218.67989251805901</v>
      </c>
      <c r="AT38">
        <v>223.11099999999999</v>
      </c>
      <c r="AV38" s="37">
        <v>42790</v>
      </c>
      <c r="AW38">
        <v>29</v>
      </c>
      <c r="AX38">
        <v>217.20107504245399</v>
      </c>
      <c r="AY38">
        <v>223.11099999999999</v>
      </c>
      <c r="BA38" s="38">
        <f>AX38-Table3[[#This Row],[Trendline]]</f>
        <v>-2.4957546003179232E-5</v>
      </c>
      <c r="BB38" s="38">
        <f>AY38-Table3[[#This Row],[SmPrice]]</f>
        <v>0</v>
      </c>
    </row>
    <row r="39" spans="1:54" x14ac:dyDescent="0.35">
      <c r="A39" s="6">
        <v>37</v>
      </c>
      <c r="B39" s="3">
        <v>42793</v>
      </c>
      <c r="C39" s="2">
        <v>223.57</v>
      </c>
      <c r="D39" s="2">
        <v>224.2</v>
      </c>
      <c r="E39" s="2">
        <v>223.29</v>
      </c>
      <c r="F39" s="2">
        <v>224.01</v>
      </c>
      <c r="G39" s="1">
        <v>59819992</v>
      </c>
      <c r="H39" s="30">
        <f>(testdata[[#This Row],[high]]+testdata[[#This Row],[low]])/2</f>
        <v>223.745</v>
      </c>
      <c r="I39" s="23">
        <f>(4*testdata[[#This Row],[price]]+3*H38+2*H37+H36)/10</f>
        <v>223.36549999999997</v>
      </c>
      <c r="J39" s="9">
        <f>(0.0962*testdata[[#This Row],[smooth]]+0.5769*I37-0.5769*I35-0.0962*I33)*(0.075*$Z38+0.54)</f>
        <v>1.5521277493311911</v>
      </c>
      <c r="K39" s="14">
        <f t="shared" si="0"/>
        <v>1.7343061851246619</v>
      </c>
      <c r="L39" s="14">
        <f>(0.0962*testdata[[#This Row],[detrender]]+0.5769*J37-0.5769*J35-0.0962*J33)*(0.075*$Z38+0.54)</f>
        <v>-0.68479553144117777</v>
      </c>
      <c r="M39" s="9">
        <f>(0.0962*testdata[[#This Row],[I1]]+0.5769*K37-0.5769*K35-0.0962*K33)*(0.075*$Z38+0.54)</f>
        <v>0.18569091963860898</v>
      </c>
      <c r="N39" s="9">
        <f>(0.0962*testdata[[#This Row],[Q1]]+0.5769*L37-0.5769*L35-0.0962*L33)*(0.075*$Z38+0.54)</f>
        <v>-1.7703488289675895</v>
      </c>
      <c r="O39" s="9">
        <f>testdata[[#This Row],[I1]]-testdata[[#This Row],[JQ]]</f>
        <v>3.5046550140922514</v>
      </c>
      <c r="P39" s="9">
        <f>testdata[[#This Row],[Q1]]+testdata[[#This Row],[jI]]</f>
        <v>-0.49910461180256882</v>
      </c>
      <c r="Q39" s="9">
        <f>0.2*testdata[[#This Row],[I2]]+0.8*Q38</f>
        <v>2.182658317837153</v>
      </c>
      <c r="R39" s="9">
        <f>0.2*testdata[[#This Row],[Q2]]+0.8*R38</f>
        <v>0.72187291949482613</v>
      </c>
      <c r="S39" s="9">
        <f>testdata[[#This Row],[I2'']]*Q38+testdata[[#This Row],[Q2'']]*R38</f>
        <v>4.7840787268038962</v>
      </c>
      <c r="T39" s="9">
        <f>testdata[[#This Row],[I2'']]*R38-testdata[[#This Row],[Q2'']]*Q38</f>
        <v>0.90482259481667882</v>
      </c>
      <c r="U39" s="9">
        <f>0.2*testdata[[#This Row],[Re]]+0.8*U38</f>
        <v>2.430919885561452</v>
      </c>
      <c r="V39" s="9">
        <f>0.2*testdata[[#This Row],[Im]]+0.8*V38</f>
        <v>0.42274457121528897</v>
      </c>
      <c r="W39" s="9">
        <f>IF(AND(testdata[[#This Row],[Re'']]&lt;&gt;0,testdata[[#This Row],[Im'']]&lt;&gt;0),2*PI()/ATAN(testdata[[#This Row],[Im'']]/testdata[[#This Row],[Re'']]),0)</f>
        <v>36.491705710051569</v>
      </c>
      <c r="X39" s="9">
        <f>IF(testdata[[#This Row],[pd-atan]]&gt;1.5*Z38,1.5*Z38,IF(testdata[[#This Row],[pd-atan]]&lt;0.67*Z38,0.67*Z38,testdata[[#This Row],[pd-atan]]))</f>
        <v>32.505903384759861</v>
      </c>
      <c r="Y39" s="9">
        <f>IF(testdata[[#This Row],[pd-limit1]]&lt;6,6,IF(testdata[[#This Row],[pd-limit1]]&gt;50,50,testdata[[#This Row],[pd-limit1]]))</f>
        <v>32.505903384759861</v>
      </c>
      <c r="Z39" s="14">
        <f>0.2*testdata[[#This Row],[pd-limit2]]+0.8*Z38</f>
        <v>23.837662482157235</v>
      </c>
      <c r="AA39" s="14">
        <f>0.33*testdata[[#This Row],[period]]+0.67*AA38</f>
        <v>20.40190772298714</v>
      </c>
      <c r="AB39" s="31">
        <f>TRUNC(testdata[[#This Row],[SmPd]]+0.5,0)</f>
        <v>20</v>
      </c>
      <c r="AC39" s="14">
        <f ca="1">IF(testdata[[#This Row],[PdInt]]&lt;=0,0,AVERAGE(OFFSET(testdata[[#This Row],[price]],0,0,-testdata[[#This Row],[PdInt]],1)))</f>
        <v>219.04749999999999</v>
      </c>
      <c r="AD39" s="14">
        <f ca="1">IF(testdata[[#This Row],[i]]&lt;11,testdata[[#This Row],[price]],(4*testdata[[#This Row],[iTrend]]+3*AC38+2*AC37+AC36)/10)</f>
        <v>218.86810100619195</v>
      </c>
      <c r="AE39" s="14">
        <f>(4*testdata[[#This Row],[price]]+3*H38+2*H37+H36)/10</f>
        <v>223.36549999999997</v>
      </c>
      <c r="AF39" t="str">
        <f ca="1">IF(OR(ROUND(testdata[[#This Row],[Trendline]],4)&lt;&gt;Table3[[#This Row],[Trendline]],ROUND(testdata[[#This Row],[SmPrice]],4)&lt;&gt;Table3[[#This Row],[SmPrice]]),"ERR","")</f>
        <v>ERR</v>
      </c>
      <c r="AG39" s="3">
        <v>42793</v>
      </c>
      <c r="AH39" s="14">
        <v>29.229299999999999</v>
      </c>
      <c r="AI39" s="34">
        <v>29</v>
      </c>
      <c r="AJ39" s="14">
        <v>217.73070000000001</v>
      </c>
      <c r="AK39" s="14">
        <v>217.45689999999999</v>
      </c>
      <c r="AL39" s="14">
        <v>223.3655</v>
      </c>
      <c r="AN39" s="38">
        <f t="shared" si="1"/>
        <v>-1.4112070999699995</v>
      </c>
      <c r="AO39" s="38">
        <f t="shared" si="2"/>
        <v>0</v>
      </c>
      <c r="AQ39" s="37">
        <v>42793</v>
      </c>
      <c r="AR39">
        <v>20</v>
      </c>
      <c r="AS39">
        <v>218.86810100619101</v>
      </c>
      <c r="AT39">
        <v>223.365499999999</v>
      </c>
      <c r="AV39" s="37">
        <v>42793</v>
      </c>
      <c r="AW39">
        <v>29</v>
      </c>
      <c r="AX39">
        <v>217.45689390622101</v>
      </c>
      <c r="AY39">
        <v>223.365499999999</v>
      </c>
      <c r="BA39" s="38">
        <f>AX39-Table3[[#This Row],[Trendline]]</f>
        <v>-6.0937789783110929E-6</v>
      </c>
      <c r="BB39" s="38">
        <f>AY39-Table3[[#This Row],[SmPrice]]</f>
        <v>-9.9475983006414026E-13</v>
      </c>
    </row>
    <row r="40" spans="1:54" x14ac:dyDescent="0.35">
      <c r="A40" s="6">
        <v>38</v>
      </c>
      <c r="B40" s="3">
        <v>42794</v>
      </c>
      <c r="C40" s="2">
        <v>223.6</v>
      </c>
      <c r="D40" s="2">
        <v>223.86</v>
      </c>
      <c r="E40" s="2">
        <v>222.98</v>
      </c>
      <c r="F40" s="2">
        <v>223.41</v>
      </c>
      <c r="G40" s="1">
        <v>102631472</v>
      </c>
      <c r="H40" s="30">
        <f>(testdata[[#This Row],[high]]+testdata[[#This Row],[low]])/2</f>
        <v>223.42000000000002</v>
      </c>
      <c r="I40" s="23">
        <f>(4*testdata[[#This Row],[price]]+3*H39+2*H38+H37)/10</f>
        <v>223.42149999999998</v>
      </c>
      <c r="J40" s="9">
        <f>(0.0962*testdata[[#This Row],[smooth]]+0.5769*I38-0.5769*I36-0.0962*I34)*(0.075*$Z39+0.54)</f>
        <v>1.0981909851077671</v>
      </c>
      <c r="K40" s="14">
        <f t="shared" si="0"/>
        <v>1.8833926867750606</v>
      </c>
      <c r="L40" s="14">
        <f>(0.0962*testdata[[#This Row],[detrender]]+0.5769*J38-0.5769*J36-0.0962*J34)*(0.075*$Z39+0.54)</f>
        <v>0.11568867760272945</v>
      </c>
      <c r="M40" s="9">
        <f>(0.0962*testdata[[#This Row],[I1]]+0.5769*K38-0.5769*K36-0.0962*K34)*(0.075*$Z39+0.54)</f>
        <v>-0.22201508090317126</v>
      </c>
      <c r="N40" s="9">
        <f>(0.0962*testdata[[#This Row],[Q1]]+0.5769*L38-0.5769*L36-0.0962*L34)*(0.075*$Z39+0.54)</f>
        <v>-1.5248950301671245</v>
      </c>
      <c r="O40" s="9">
        <f>testdata[[#This Row],[I1]]-testdata[[#This Row],[JQ]]</f>
        <v>3.4082877169421852</v>
      </c>
      <c r="P40" s="9">
        <f>testdata[[#This Row],[Q1]]+testdata[[#This Row],[jI]]</f>
        <v>-0.10632640330044181</v>
      </c>
      <c r="Q40" s="9">
        <f>0.2*testdata[[#This Row],[I2]]+0.8*Q39</f>
        <v>2.4277841976581596</v>
      </c>
      <c r="R40" s="9">
        <f>0.2*testdata[[#This Row],[Q2]]+0.8*R39</f>
        <v>0.55623305493577258</v>
      </c>
      <c r="S40" s="9">
        <f>testdata[[#This Row],[I2'']]*Q39+testdata[[#This Row],[Q2'']]*R39</f>
        <v>5.7005529522181932</v>
      </c>
      <c r="T40" s="9">
        <f>testdata[[#This Row],[I2'']]*R39-testdata[[#This Row],[Q2'']]*Q39</f>
        <v>0.53848496265536561</v>
      </c>
      <c r="U40" s="9">
        <f>0.2*testdata[[#This Row],[Re]]+0.8*U39</f>
        <v>3.0848464988928006</v>
      </c>
      <c r="V40" s="9">
        <f>0.2*testdata[[#This Row],[Im]]+0.8*V39</f>
        <v>0.44589264950330432</v>
      </c>
      <c r="W40" s="9">
        <f>IF(AND(testdata[[#This Row],[Re'']]&lt;&gt;0,testdata[[#This Row],[Im'']]&lt;&gt;0),2*PI()/ATAN(testdata[[#This Row],[Im'']]/testdata[[#This Row],[Re'']]),0)</f>
        <v>43.770408280570827</v>
      </c>
      <c r="X40" s="9">
        <f>IF(testdata[[#This Row],[pd-atan]]&gt;1.5*Z39,1.5*Z39,IF(testdata[[#This Row],[pd-atan]]&lt;0.67*Z39,0.67*Z39,testdata[[#This Row],[pd-atan]]))</f>
        <v>35.756493723235849</v>
      </c>
      <c r="Y40" s="9">
        <f>IF(testdata[[#This Row],[pd-limit1]]&lt;6,6,IF(testdata[[#This Row],[pd-limit1]]&gt;50,50,testdata[[#This Row],[pd-limit1]]))</f>
        <v>35.756493723235849</v>
      </c>
      <c r="Z40" s="14">
        <f>0.2*testdata[[#This Row],[pd-limit2]]+0.8*Z39</f>
        <v>26.22142873037296</v>
      </c>
      <c r="AA40" s="14">
        <f>0.33*testdata[[#This Row],[period]]+0.67*AA39</f>
        <v>22.32234965542446</v>
      </c>
      <c r="AB40" s="31">
        <f>TRUNC(testdata[[#This Row],[SmPd]]+0.5,0)</f>
        <v>22</v>
      </c>
      <c r="AC40" s="14">
        <f ca="1">IF(testdata[[#This Row],[PdInt]]&lt;=0,0,AVERAGE(OFFSET(testdata[[#This Row],[price]],0,0,-testdata[[#This Row],[PdInt]],1)))</f>
        <v>219.13113636363639</v>
      </c>
      <c r="AD40" s="14">
        <f ca="1">IF(testdata[[#This Row],[i]]&lt;11,testdata[[#This Row],[price]],(4*testdata[[#This Row],[iTrend]]+3*AC39+2*AC38+AC37)/10)</f>
        <v>219.0055807064453</v>
      </c>
      <c r="AE40" s="14">
        <f>(4*testdata[[#This Row],[price]]+3*H39+2*H38+H37)/10</f>
        <v>223.42149999999998</v>
      </c>
      <c r="AF40" t="str">
        <f ca="1">IF(OR(ROUND(testdata[[#This Row],[Trendline]],4)&lt;&gt;Table3[[#This Row],[Trendline]],ROUND(testdata[[#This Row],[SmPrice]],4)&lt;&gt;Table3[[#This Row],[SmPrice]]),"ERR","")</f>
        <v>ERR</v>
      </c>
      <c r="AG40" s="3">
        <v>42794</v>
      </c>
      <c r="AH40" s="14">
        <v>29.540500000000002</v>
      </c>
      <c r="AI40" s="34">
        <v>30</v>
      </c>
      <c r="AJ40" s="14">
        <v>217.9203</v>
      </c>
      <c r="AK40" s="14">
        <v>217.6908</v>
      </c>
      <c r="AL40" s="14">
        <v>223.42150000000001</v>
      </c>
      <c r="AN40" s="38">
        <f t="shared" si="1"/>
        <v>-1.3147909691709856</v>
      </c>
      <c r="AO40" s="38">
        <f t="shared" si="2"/>
        <v>0</v>
      </c>
      <c r="AQ40" s="37">
        <v>42794</v>
      </c>
      <c r="AR40">
        <v>22</v>
      </c>
      <c r="AS40">
        <v>219.00558070644499</v>
      </c>
      <c r="AT40">
        <v>223.42149999999901</v>
      </c>
      <c r="AV40" s="37">
        <v>42794</v>
      </c>
      <c r="AW40">
        <v>30</v>
      </c>
      <c r="AX40">
        <v>217.690789737274</v>
      </c>
      <c r="AY40">
        <v>223.42149999999901</v>
      </c>
      <c r="BA40" s="38">
        <f>AX40-Table3[[#This Row],[Trendline]]</f>
        <v>-1.0262725993470667E-5</v>
      </c>
      <c r="BB40" s="38">
        <f>AY40-Table3[[#This Row],[SmPrice]]</f>
        <v>-9.9475983006414026E-13</v>
      </c>
    </row>
    <row r="41" spans="1:54" x14ac:dyDescent="0.35">
      <c r="A41" s="6">
        <v>39</v>
      </c>
      <c r="B41" s="3">
        <v>42795</v>
      </c>
      <c r="C41" s="2">
        <v>225.22</v>
      </c>
      <c r="D41" s="2">
        <v>227.04</v>
      </c>
      <c r="E41" s="2">
        <v>225.2</v>
      </c>
      <c r="F41" s="2">
        <v>226.53</v>
      </c>
      <c r="G41" s="1">
        <v>157879712</v>
      </c>
      <c r="H41" s="30">
        <f>(testdata[[#This Row],[high]]+testdata[[#This Row],[low]])/2</f>
        <v>226.12</v>
      </c>
      <c r="I41" s="23">
        <f>(4*testdata[[#This Row],[price]]+3*H40+2*H39+H38)/10</f>
        <v>224.529</v>
      </c>
      <c r="J41" s="9">
        <f>(0.0962*testdata[[#This Row],[smooth]]+0.5769*I39-0.5769*I37-0.0962*I35)*(0.075*$Z40+0.54)</f>
        <v>1.1354588259268115</v>
      </c>
      <c r="K41" s="14">
        <f t="shared" si="0"/>
        <v>2.0293796912697837</v>
      </c>
      <c r="L41" s="14">
        <f>(0.0962*testdata[[#This Row],[detrender]]+0.5769*J39-0.5769*J37-0.0962*J35)*(0.075*$Z40+0.54)</f>
        <v>-0.75457048214472644</v>
      </c>
      <c r="M41" s="9">
        <f>(0.0962*testdata[[#This Row],[I1]]+0.5769*K39-0.5769*K37-0.0962*K35)*(0.075*$Z40+0.54)</f>
        <v>-0.96147108391826308</v>
      </c>
      <c r="N41" s="9">
        <f>(0.0962*testdata[[#This Row],[Q1]]+0.5769*L39-0.5769*L37-0.0962*L35)*(0.075*$Z40+0.54)</f>
        <v>-1.1422231870425343</v>
      </c>
      <c r="O41" s="9">
        <f>testdata[[#This Row],[I1]]-testdata[[#This Row],[JQ]]</f>
        <v>3.171602878312318</v>
      </c>
      <c r="P41" s="9">
        <f>testdata[[#This Row],[Q1]]+testdata[[#This Row],[jI]]</f>
        <v>-1.7160415660629895</v>
      </c>
      <c r="Q41" s="9">
        <f>0.2*testdata[[#This Row],[I2]]+0.8*Q40</f>
        <v>2.5765479337889916</v>
      </c>
      <c r="R41" s="9">
        <f>0.2*testdata[[#This Row],[Q2]]+0.8*R40</f>
        <v>0.10177813073602016</v>
      </c>
      <c r="S41" s="9">
        <f>testdata[[#This Row],[I2'']]*Q40+testdata[[#This Row],[Q2'']]*R40</f>
        <v>6.3119147187466451</v>
      </c>
      <c r="T41" s="9">
        <f>testdata[[#This Row],[I2'']]*R40-testdata[[#This Row],[Q2'']]*Q40</f>
        <v>1.1860657909318075</v>
      </c>
      <c r="U41" s="9">
        <f>0.2*testdata[[#This Row],[Re]]+0.8*U40</f>
        <v>3.7302601428635698</v>
      </c>
      <c r="V41" s="9">
        <f>0.2*testdata[[#This Row],[Im]]+0.8*V40</f>
        <v>0.593927277789005</v>
      </c>
      <c r="W41" s="9">
        <f>IF(AND(testdata[[#This Row],[Re'']]&lt;&gt;0,testdata[[#This Row],[Im'']]&lt;&gt;0),2*PI()/ATAN(testdata[[#This Row],[Im'']]/testdata[[#This Row],[Re'']]),0)</f>
        <v>39.793843987878468</v>
      </c>
      <c r="X41" s="9">
        <f>IF(testdata[[#This Row],[pd-atan]]&gt;1.5*Z40,1.5*Z40,IF(testdata[[#This Row],[pd-atan]]&lt;0.67*Z40,0.67*Z40,testdata[[#This Row],[pd-atan]]))</f>
        <v>39.332143095559438</v>
      </c>
      <c r="Y41" s="9">
        <f>IF(testdata[[#This Row],[pd-limit1]]&lt;6,6,IF(testdata[[#This Row],[pd-limit1]]&gt;50,50,testdata[[#This Row],[pd-limit1]]))</f>
        <v>39.332143095559438</v>
      </c>
      <c r="Z41" s="14">
        <f>0.2*testdata[[#This Row],[pd-limit2]]+0.8*Z40</f>
        <v>28.843571603410254</v>
      </c>
      <c r="AA41" s="14">
        <f>0.33*testdata[[#This Row],[period]]+0.67*AA40</f>
        <v>24.474352898259774</v>
      </c>
      <c r="AB41" s="31">
        <f>TRUNC(testdata[[#This Row],[SmPd]]+0.5,0)</f>
        <v>24</v>
      </c>
      <c r="AC41" s="14">
        <f ca="1">IF(testdata[[#This Row],[PdInt]]&lt;=0,0,AVERAGE(OFFSET(testdata[[#This Row],[price]],0,0,-testdata[[#This Row],[PdInt]],1)))</f>
        <v>219.32062500000004</v>
      </c>
      <c r="AD41" s="14">
        <f ca="1">IF(testdata[[#This Row],[i]]&lt;11,testdata[[#This Row],[price]],(4*testdata[[#This Row],[iTrend]]+3*AC40+2*AC39+AC38)/10)</f>
        <v>219.15711722488041</v>
      </c>
      <c r="AE41" s="14">
        <f>(4*testdata[[#This Row],[price]]+3*H40+2*H39+H38)/10</f>
        <v>224.529</v>
      </c>
      <c r="AF41" t="str">
        <f ca="1">IF(OR(ROUND(testdata[[#This Row],[Trendline]],4)&lt;&gt;Table3[[#This Row],[Trendline]],ROUND(testdata[[#This Row],[SmPrice]],4)&lt;&gt;Table3[[#This Row],[SmPrice]]),"ERR","")</f>
        <v>ERR</v>
      </c>
      <c r="AG41" s="3">
        <v>42795</v>
      </c>
      <c r="AH41" s="14">
        <v>29.7684</v>
      </c>
      <c r="AI41" s="34">
        <v>30</v>
      </c>
      <c r="AJ41" s="14">
        <v>218.3313</v>
      </c>
      <c r="AK41" s="14">
        <v>217.99600000000001</v>
      </c>
      <c r="AL41" s="14">
        <v>224.529</v>
      </c>
      <c r="AN41" s="38">
        <f t="shared" si="1"/>
        <v>-1.1611390639610022</v>
      </c>
      <c r="AO41" s="38">
        <f t="shared" si="2"/>
        <v>0</v>
      </c>
      <c r="AQ41" s="37">
        <v>42795</v>
      </c>
      <c r="AR41">
        <v>24</v>
      </c>
      <c r="AS41">
        <v>219.15711722488001</v>
      </c>
      <c r="AT41">
        <v>224.529</v>
      </c>
      <c r="AV41" s="37">
        <v>42795</v>
      </c>
      <c r="AW41">
        <v>30</v>
      </c>
      <c r="AX41">
        <v>217.99597816091901</v>
      </c>
      <c r="AY41">
        <v>224.529</v>
      </c>
      <c r="BA41" s="38">
        <f>AX41-Table3[[#This Row],[Trendline]]</f>
        <v>-2.1839081000507576E-5</v>
      </c>
      <c r="BB41" s="38">
        <f>AY41-Table3[[#This Row],[SmPrice]]</f>
        <v>0</v>
      </c>
    </row>
    <row r="42" spans="1:54" x14ac:dyDescent="0.35">
      <c r="A42" s="6">
        <v>40</v>
      </c>
      <c r="B42" s="3">
        <v>42796</v>
      </c>
      <c r="C42" s="2">
        <v>226.33</v>
      </c>
      <c r="D42" s="2">
        <v>226.34</v>
      </c>
      <c r="E42" s="2">
        <v>225.05</v>
      </c>
      <c r="F42" s="2">
        <v>225.11</v>
      </c>
      <c r="G42" s="1">
        <v>74353376</v>
      </c>
      <c r="H42" s="30">
        <f>(testdata[[#This Row],[high]]+testdata[[#This Row],[low]])/2</f>
        <v>225.69499999999999</v>
      </c>
      <c r="I42" s="23">
        <f>(4*testdata[[#This Row],[price]]+3*H41+2*H40+H39)/10</f>
        <v>225.17249999999999</v>
      </c>
      <c r="J42" s="9">
        <f>(0.0962*testdata[[#This Row],[smooth]]+0.5769*I40-0.5769*I38-0.0962*I36)*(0.075*$Z41+0.54)</f>
        <v>1.1434673059814842</v>
      </c>
      <c r="K42" s="14">
        <f t="shared" si="0"/>
        <v>1.5521277493311911</v>
      </c>
      <c r="L42" s="14">
        <f>(0.0962*testdata[[#This Row],[detrender]]+0.5769*J40-0.5769*J38-0.0962*J36)*(0.075*$Z41+0.54)</f>
        <v>-1.6058532052811687</v>
      </c>
      <c r="M42" s="9">
        <f>(0.0962*testdata[[#This Row],[I1]]+0.5769*K40-0.5769*K38-0.0962*K36)*(0.075*$Z41+0.54)</f>
        <v>-0.85493459928196602</v>
      </c>
      <c r="N42" s="9">
        <f>(0.0962*testdata[[#This Row],[Q1]]+0.5769*L40-0.5769*L38-0.0962*L36)*(0.075*$Z41+0.54)</f>
        <v>0.93040749735412087</v>
      </c>
      <c r="O42" s="9">
        <f>testdata[[#This Row],[I1]]-testdata[[#This Row],[JQ]]</f>
        <v>0.62172025197707026</v>
      </c>
      <c r="P42" s="9">
        <f>testdata[[#This Row],[Q1]]+testdata[[#This Row],[jI]]</f>
        <v>-2.4607878045631346</v>
      </c>
      <c r="Q42" s="9">
        <f>0.2*testdata[[#This Row],[I2]]+0.8*Q41</f>
        <v>2.1855823974266073</v>
      </c>
      <c r="R42" s="9">
        <f>0.2*testdata[[#This Row],[Q2]]+0.8*R41</f>
        <v>-0.41073505632381085</v>
      </c>
      <c r="S42" s="9">
        <f>testdata[[#This Row],[I2'']]*Q41+testdata[[#This Row],[Q2'']]*R41</f>
        <v>5.5894539639547247</v>
      </c>
      <c r="T42" s="9">
        <f>testdata[[#This Row],[I2'']]*R41-testdata[[#This Row],[Q2'']]*Q41</f>
        <v>1.2807230516854498</v>
      </c>
      <c r="U42" s="9">
        <f>0.2*testdata[[#This Row],[Re]]+0.8*U41</f>
        <v>4.1020989070818015</v>
      </c>
      <c r="V42" s="9">
        <f>0.2*testdata[[#This Row],[Im]]+0.8*V41</f>
        <v>0.73128643256829395</v>
      </c>
      <c r="W42" s="9">
        <f>IF(AND(testdata[[#This Row],[Re'']]&lt;&gt;0,testdata[[#This Row],[Im'']]&lt;&gt;0),2*PI()/ATAN(testdata[[#This Row],[Im'']]/testdata[[#This Row],[Re'']]),0)</f>
        <v>35.615336167687836</v>
      </c>
      <c r="X42" s="9">
        <f>IF(testdata[[#This Row],[pd-atan]]&gt;1.5*Z41,1.5*Z41,IF(testdata[[#This Row],[pd-atan]]&lt;0.67*Z41,0.67*Z41,testdata[[#This Row],[pd-atan]]))</f>
        <v>35.615336167687836</v>
      </c>
      <c r="Y42" s="9">
        <f>IF(testdata[[#This Row],[pd-limit1]]&lt;6,6,IF(testdata[[#This Row],[pd-limit1]]&gt;50,50,testdata[[#This Row],[pd-limit1]]))</f>
        <v>35.615336167687836</v>
      </c>
      <c r="Z42" s="14">
        <f>0.2*testdata[[#This Row],[pd-limit2]]+0.8*Z41</f>
        <v>30.197924516265772</v>
      </c>
      <c r="AA42" s="14">
        <f>0.33*testdata[[#This Row],[period]]+0.67*AA41</f>
        <v>26.363131532201756</v>
      </c>
      <c r="AB42" s="31">
        <f>TRUNC(testdata[[#This Row],[SmPd]]+0.5,0)</f>
        <v>26</v>
      </c>
      <c r="AC42" s="14">
        <f ca="1">IF(testdata[[#This Row],[PdInt]]&lt;=0,0,AVERAGE(OFFSET(testdata[[#This Row],[price]],0,0,-testdata[[#This Row],[PdInt]],1)))</f>
        <v>219.45307692307694</v>
      </c>
      <c r="AD42" s="14">
        <f ca="1">IF(testdata[[#This Row],[i]]&lt;11,testdata[[#This Row],[price]],(4*testdata[[#This Row],[iTrend]]+3*AC41+2*AC40+AC39)/10)</f>
        <v>219.30839554195808</v>
      </c>
      <c r="AE42" s="14">
        <f>(4*testdata[[#This Row],[price]]+3*H41+2*H40+H39)/10</f>
        <v>225.17249999999999</v>
      </c>
      <c r="AF42" t="str">
        <f ca="1">IF(OR(ROUND(testdata[[#This Row],[Trendline]],4)&lt;&gt;Table3[[#This Row],[Trendline]],ROUND(testdata[[#This Row],[SmPrice]],4)&lt;&gt;Table3[[#This Row],[SmPrice]]),"ERR","")</f>
        <v>ERR</v>
      </c>
      <c r="AG42" s="3">
        <v>42796</v>
      </c>
      <c r="AH42" s="14">
        <v>29.910699999999999</v>
      </c>
      <c r="AI42" s="34">
        <v>30</v>
      </c>
      <c r="AJ42" s="14">
        <v>218.72630000000001</v>
      </c>
      <c r="AK42" s="14">
        <v>218.34710000000001</v>
      </c>
      <c r="AL42" s="14">
        <v>225.17250000000001</v>
      </c>
      <c r="AN42" s="38">
        <f t="shared" si="1"/>
        <v>-0.96132657644099595</v>
      </c>
      <c r="AO42" s="38">
        <f t="shared" si="2"/>
        <v>0</v>
      </c>
      <c r="AQ42" s="37">
        <v>42796</v>
      </c>
      <c r="AR42">
        <v>26</v>
      </c>
      <c r="AS42">
        <v>219.30839554195799</v>
      </c>
      <c r="AT42">
        <v>225.17249999999899</v>
      </c>
      <c r="AV42" s="37">
        <v>42796</v>
      </c>
      <c r="AW42">
        <v>30</v>
      </c>
      <c r="AX42">
        <v>218.347068965517</v>
      </c>
      <c r="AY42">
        <v>225.17249999999899</v>
      </c>
      <c r="BA42" s="38">
        <f>AX42-Table3[[#This Row],[Trendline]]</f>
        <v>-3.1034483015446312E-5</v>
      </c>
      <c r="BB42" s="38">
        <f>AY42-Table3[[#This Row],[SmPrice]]</f>
        <v>-1.0231815394945443E-12</v>
      </c>
    </row>
    <row r="43" spans="1:54" x14ac:dyDescent="0.35">
      <c r="A43" s="6">
        <v>41</v>
      </c>
      <c r="B43" s="3">
        <v>42797</v>
      </c>
      <c r="C43" s="2">
        <v>225.01</v>
      </c>
      <c r="D43" s="2">
        <v>225.43</v>
      </c>
      <c r="E43" s="2">
        <v>224.6</v>
      </c>
      <c r="F43" s="2">
        <v>225.25</v>
      </c>
      <c r="G43" s="1">
        <v>86767480</v>
      </c>
      <c r="H43" s="30">
        <f>(testdata[[#This Row],[high]]+testdata[[#This Row],[low]])/2</f>
        <v>225.01499999999999</v>
      </c>
      <c r="I43" s="23">
        <f>(4*testdata[[#This Row],[price]]+3*H42+2*H41+H40)/10</f>
        <v>225.28049999999999</v>
      </c>
      <c r="J43" s="9">
        <f>(0.0962*testdata[[#This Row],[smooth]]+0.5769*I41-0.5769*I39-0.0962*I37)*(0.075*$Z42+0.54)</f>
        <v>2.503411223693158</v>
      </c>
      <c r="K43" s="14">
        <f t="shared" si="0"/>
        <v>1.0981909851077671</v>
      </c>
      <c r="L43" s="14">
        <f>(0.0962*testdata[[#This Row],[detrender]]+0.5769*J41-0.5769*J39-0.0962*J37)*(0.075*$Z42+0.54)</f>
        <v>-0.50692097209872422</v>
      </c>
      <c r="M43" s="9">
        <f>(0.0962*testdata[[#This Row],[I1]]+0.5769*K41-0.5769*K39-0.0962*K37)*(0.075*$Z42+0.54)</f>
        <v>0.1393956917619259</v>
      </c>
      <c r="N43" s="9">
        <f>(0.0962*testdata[[#This Row],[Q1]]+0.5769*L41-0.5769*L39-0.0962*L37)*(0.075*$Z42+0.54)</f>
        <v>-0.20122060691595298</v>
      </c>
      <c r="O43" s="9">
        <f>testdata[[#This Row],[I1]]-testdata[[#This Row],[JQ]]</f>
        <v>1.2994115920237201</v>
      </c>
      <c r="P43" s="9">
        <f>testdata[[#This Row],[Q1]]+testdata[[#This Row],[jI]]</f>
        <v>-0.36752528033679832</v>
      </c>
      <c r="Q43" s="9">
        <f>0.2*testdata[[#This Row],[I2]]+0.8*Q42</f>
        <v>2.0083482363460301</v>
      </c>
      <c r="R43" s="9">
        <f>0.2*testdata[[#This Row],[Q2]]+0.8*R42</f>
        <v>-0.40209310112640839</v>
      </c>
      <c r="S43" s="9">
        <f>testdata[[#This Row],[I2'']]*Q42+testdata[[#This Row],[Q2'']]*R42</f>
        <v>4.5545642857992261</v>
      </c>
      <c r="T43" s="9">
        <f>testdata[[#This Row],[I2'']]*R42-testdata[[#This Row],[Q2'']]*Q42</f>
        <v>5.3908577975142036E-2</v>
      </c>
      <c r="U43" s="9">
        <f>0.2*testdata[[#This Row],[Re]]+0.8*U42</f>
        <v>4.1925919828252862</v>
      </c>
      <c r="V43" s="9">
        <f>0.2*testdata[[#This Row],[Im]]+0.8*V42</f>
        <v>0.59581086164966357</v>
      </c>
      <c r="W43" s="9">
        <f>IF(AND(testdata[[#This Row],[Re'']]&lt;&gt;0,testdata[[#This Row],[Im'']]&lt;&gt;0),2*PI()/ATAN(testdata[[#This Row],[Im'']]/testdata[[#This Row],[Re'']]),0)</f>
        <v>44.509463228238985</v>
      </c>
      <c r="X43" s="9">
        <f>IF(testdata[[#This Row],[pd-atan]]&gt;1.5*Z42,1.5*Z42,IF(testdata[[#This Row],[pd-atan]]&lt;0.67*Z42,0.67*Z42,testdata[[#This Row],[pd-atan]]))</f>
        <v>44.509463228238985</v>
      </c>
      <c r="Y43" s="9">
        <f>IF(testdata[[#This Row],[pd-limit1]]&lt;6,6,IF(testdata[[#This Row],[pd-limit1]]&gt;50,50,testdata[[#This Row],[pd-limit1]]))</f>
        <v>44.509463228238985</v>
      </c>
      <c r="Z43" s="14">
        <f>0.2*testdata[[#This Row],[pd-limit2]]+0.8*Z42</f>
        <v>33.060232258660413</v>
      </c>
      <c r="AA43" s="14">
        <f>0.33*testdata[[#This Row],[period]]+0.67*AA42</f>
        <v>28.573174771933115</v>
      </c>
      <c r="AB43" s="31">
        <f>TRUNC(testdata[[#This Row],[SmPd]]+0.5,0)</f>
        <v>29</v>
      </c>
      <c r="AC43" s="14">
        <f ca="1">IF(testdata[[#This Row],[PdInt]]&lt;=0,0,AVERAGE(OFFSET(testdata[[#This Row],[price]],0,0,-testdata[[#This Row],[PdInt]],1)))</f>
        <v>219.27500000000003</v>
      </c>
      <c r="AD43" s="14">
        <f ca="1">IF(testdata[[#This Row],[i]]&lt;11,testdata[[#This Row],[price]],(4*testdata[[#This Row],[iTrend]]+3*AC42+2*AC41+AC40)/10)</f>
        <v>219.32316171328677</v>
      </c>
      <c r="AE43" s="14">
        <f>(4*testdata[[#This Row],[price]]+3*H42+2*H41+H40)/10</f>
        <v>225.28049999999999</v>
      </c>
      <c r="AF43" t="str">
        <f ca="1">IF(OR(ROUND(testdata[[#This Row],[Trendline]],4)&lt;&gt;Table3[[#This Row],[Trendline]],ROUND(testdata[[#This Row],[SmPrice]],4)&lt;&gt;Table3[[#This Row],[SmPrice]]),"ERR","")</f>
        <v>ERR</v>
      </c>
      <c r="AG43" s="3">
        <v>42797</v>
      </c>
      <c r="AH43" s="14">
        <v>30.222999999999999</v>
      </c>
      <c r="AI43" s="34">
        <v>30</v>
      </c>
      <c r="AJ43" s="14">
        <v>219.10319999999999</v>
      </c>
      <c r="AK43" s="14">
        <v>218.7175</v>
      </c>
      <c r="AL43" s="14">
        <v>225.28049999999999</v>
      </c>
      <c r="AN43" s="38">
        <f t="shared" si="1"/>
        <v>-0.60569504661998508</v>
      </c>
      <c r="AO43" s="38">
        <f t="shared" si="2"/>
        <v>0</v>
      </c>
      <c r="AQ43" s="37">
        <v>42797</v>
      </c>
      <c r="AR43">
        <v>29</v>
      </c>
      <c r="AS43">
        <v>219.323161713286</v>
      </c>
      <c r="AT43">
        <v>225.28049999999999</v>
      </c>
      <c r="AV43" s="37">
        <v>42797</v>
      </c>
      <c r="AW43">
        <v>30</v>
      </c>
      <c r="AX43">
        <v>218.71746666666601</v>
      </c>
      <c r="AY43">
        <v>225.28049999999999</v>
      </c>
      <c r="BA43" s="38">
        <f>AX43-Table3[[#This Row],[Trendline]]</f>
        <v>-3.3333333988139202E-5</v>
      </c>
      <c r="BB43" s="38">
        <f>AY43-Table3[[#This Row],[SmPrice]]</f>
        <v>0</v>
      </c>
    </row>
    <row r="44" spans="1:54" x14ac:dyDescent="0.35">
      <c r="A44" s="6">
        <v>42</v>
      </c>
      <c r="B44" s="3">
        <v>42800</v>
      </c>
      <c r="C44" s="2">
        <v>224.38</v>
      </c>
      <c r="D44" s="2">
        <v>224.97</v>
      </c>
      <c r="E44" s="2">
        <v>223.92</v>
      </c>
      <c r="F44" s="2">
        <v>224.58</v>
      </c>
      <c r="G44" s="1">
        <v>58630368</v>
      </c>
      <c r="H44" s="30">
        <f>(testdata[[#This Row],[high]]+testdata[[#This Row],[low]])/2</f>
        <v>224.44499999999999</v>
      </c>
      <c r="I44" s="23">
        <f>(4*testdata[[#This Row],[price]]+3*H43+2*H42+H41)/10</f>
        <v>225.03349999999995</v>
      </c>
      <c r="J44" s="9">
        <f>(0.0962*testdata[[#This Row],[smooth]]+0.5769*I42-0.5769*I40-0.0962*I38)*(0.075*$Z43+0.54)</f>
        <v>3.6086143976615856</v>
      </c>
      <c r="K44" s="14">
        <f t="shared" si="0"/>
        <v>1.1354588259268115</v>
      </c>
      <c r="L44" s="14">
        <f>(0.0962*testdata[[#This Row],[detrender]]+0.5769*J42-0.5769*J40-0.0962*J38)*(0.075*$Z43+0.54)</f>
        <v>0.53760179081177395</v>
      </c>
      <c r="M44" s="9">
        <f>(0.0962*testdata[[#This Row],[I1]]+0.5769*K42-0.5769*K40-0.0962*K38)*(0.075*$Z43+0.54)</f>
        <v>-0.9089731953639627</v>
      </c>
      <c r="N44" s="9">
        <f>(0.0962*testdata[[#This Row],[Q1]]+0.5769*L42-0.5769*L40-0.0962*L38)*(0.075*$Z43+0.54)</f>
        <v>-2.617901023777029</v>
      </c>
      <c r="O44" s="9">
        <f>testdata[[#This Row],[I1]]-testdata[[#This Row],[JQ]]</f>
        <v>3.7533598497038403</v>
      </c>
      <c r="P44" s="9">
        <f>testdata[[#This Row],[Q1]]+testdata[[#This Row],[jI]]</f>
        <v>-0.37137140455218876</v>
      </c>
      <c r="Q44" s="9">
        <f>0.2*testdata[[#This Row],[I2]]+0.8*Q43</f>
        <v>2.3573505590175925</v>
      </c>
      <c r="R44" s="9">
        <f>0.2*testdata[[#This Row],[Q2]]+0.8*R43</f>
        <v>-0.39594876181156446</v>
      </c>
      <c r="S44" s="9">
        <f>testdata[[#This Row],[I2'']]*Q43+testdata[[#This Row],[Q2'']]*R43</f>
        <v>4.8935891031762839</v>
      </c>
      <c r="T44" s="9">
        <f>testdata[[#This Row],[I2'']]*R43-testdata[[#This Row],[Q2'']]*Q43</f>
        <v>-0.15267139924980633</v>
      </c>
      <c r="U44" s="9">
        <f>0.2*testdata[[#This Row],[Re]]+0.8*U43</f>
        <v>4.3327914068954865</v>
      </c>
      <c r="V44" s="9">
        <f>0.2*testdata[[#This Row],[Im]]+0.8*V43</f>
        <v>0.4461144094697696</v>
      </c>
      <c r="W44" s="9">
        <f>IF(AND(testdata[[#This Row],[Re'']]&lt;&gt;0,testdata[[#This Row],[Im'']]&lt;&gt;0),2*PI()/ATAN(testdata[[#This Row],[Im'']]/testdata[[#This Row],[Re'']]),0)</f>
        <v>61.239139769151706</v>
      </c>
      <c r="X44" s="9">
        <f>IF(testdata[[#This Row],[pd-atan]]&gt;1.5*Z43,1.5*Z43,IF(testdata[[#This Row],[pd-atan]]&lt;0.67*Z43,0.67*Z43,testdata[[#This Row],[pd-atan]]))</f>
        <v>49.590348387990616</v>
      </c>
      <c r="Y44" s="9">
        <f>IF(testdata[[#This Row],[pd-limit1]]&lt;6,6,IF(testdata[[#This Row],[pd-limit1]]&gt;50,50,testdata[[#This Row],[pd-limit1]]))</f>
        <v>49.590348387990616</v>
      </c>
      <c r="Z44" s="14">
        <f>0.2*testdata[[#This Row],[pd-limit2]]+0.8*Z43</f>
        <v>36.366255484526455</v>
      </c>
      <c r="AA44" s="14">
        <f>0.33*testdata[[#This Row],[period]]+0.67*AA43</f>
        <v>31.14489140708892</v>
      </c>
      <c r="AB44" s="31">
        <f>TRUNC(testdata[[#This Row],[SmPd]]+0.5,0)</f>
        <v>31</v>
      </c>
      <c r="AC44" s="14">
        <f ca="1">IF(testdata[[#This Row],[PdInt]]&lt;=0,0,AVERAGE(OFFSET(testdata[[#This Row],[price]],0,0,-testdata[[#This Row],[PdInt]],1)))</f>
        <v>219.2754838709678</v>
      </c>
      <c r="AD44" s="14">
        <f ca="1">IF(testdata[[#This Row],[i]]&lt;11,testdata[[#This Row],[price]],(4*testdata[[#This Row],[iTrend]]+3*AC43+2*AC42+AC41)/10)</f>
        <v>219.31537143300247</v>
      </c>
      <c r="AE44" s="14">
        <f>(4*testdata[[#This Row],[price]]+3*H43+2*H42+H41)/10</f>
        <v>225.03349999999995</v>
      </c>
      <c r="AF44" t="str">
        <f ca="1">IF(OR(ROUND(testdata[[#This Row],[Trendline]],4)&lt;&gt;Table3[[#This Row],[Trendline]],ROUND(testdata[[#This Row],[SmPrice]],4)&lt;&gt;Table3[[#This Row],[SmPrice]]),"ERR","")</f>
        <v>ERR</v>
      </c>
      <c r="AG44" s="3">
        <v>42800</v>
      </c>
      <c r="AH44" s="14">
        <v>30.9268</v>
      </c>
      <c r="AI44" s="34">
        <v>31</v>
      </c>
      <c r="AJ44" s="14">
        <v>219.27549999999999</v>
      </c>
      <c r="AK44" s="14">
        <v>219.01949999999999</v>
      </c>
      <c r="AL44" s="14">
        <v>225.0335</v>
      </c>
      <c r="AN44" s="38">
        <f t="shared" si="1"/>
        <v>-0.29582788461502219</v>
      </c>
      <c r="AO44" s="38">
        <f t="shared" si="2"/>
        <v>0</v>
      </c>
      <c r="AQ44" s="37">
        <v>42800</v>
      </c>
      <c r="AR44">
        <v>31</v>
      </c>
      <c r="AS44">
        <v>219.31537143300201</v>
      </c>
      <c r="AT44">
        <v>225.03349999999901</v>
      </c>
      <c r="AV44" s="37">
        <v>42800</v>
      </c>
      <c r="AW44">
        <v>31</v>
      </c>
      <c r="AX44">
        <v>219.01954354838699</v>
      </c>
      <c r="AY44">
        <v>225.03349999999901</v>
      </c>
      <c r="BA44" s="38">
        <f>AX44-Table3[[#This Row],[Trendline]]</f>
        <v>4.3548386997827038E-5</v>
      </c>
      <c r="BB44" s="38">
        <f>AY44-Table3[[#This Row],[SmPrice]]</f>
        <v>-9.9475983006414026E-13</v>
      </c>
    </row>
    <row r="45" spans="1:54" x14ac:dyDescent="0.35">
      <c r="A45" s="6">
        <v>43</v>
      </c>
      <c r="B45" s="3">
        <v>42801</v>
      </c>
      <c r="C45" s="2">
        <v>224.25</v>
      </c>
      <c r="D45" s="2">
        <v>224.64</v>
      </c>
      <c r="E45" s="2">
        <v>223.68</v>
      </c>
      <c r="F45" s="2">
        <v>223.91</v>
      </c>
      <c r="G45" s="1">
        <v>68910464</v>
      </c>
      <c r="H45" s="30">
        <f>(testdata[[#This Row],[high]]+testdata[[#This Row],[low]])/2</f>
        <v>224.16</v>
      </c>
      <c r="I45" s="23">
        <f>(4*testdata[[#This Row],[price]]+3*H44+2*H43+H42)/10</f>
        <v>224.57</v>
      </c>
      <c r="J45" s="9">
        <f>(0.0962*testdata[[#This Row],[smooth]]+0.5769*I43-0.5769*I41-0.0962*I39)*(0.075*$Z44+0.54)</f>
        <v>1.7951908512062675</v>
      </c>
      <c r="K45" s="14">
        <f t="shared" si="0"/>
        <v>1.1434673059814842</v>
      </c>
      <c r="L45" s="14">
        <f>(0.0962*testdata[[#This Row],[detrender]]+0.5769*J43-0.5769*J41-0.0962*J39)*(0.075*$Z44+0.54)</f>
        <v>2.6549964722455068</v>
      </c>
      <c r="M45" s="9">
        <f>(0.0962*testdata[[#This Row],[I1]]+0.5769*K43-0.5769*K41-0.0962*K39)*(0.075*$Z44+0.54)</f>
        <v>-1.9410121666551423</v>
      </c>
      <c r="N45" s="9">
        <f>(0.0962*testdata[[#This Row],[Q1]]+0.5769*L43-0.5769*L41-0.0962*L39)*(0.075*$Z44+0.54)</f>
        <v>1.5166186609749597</v>
      </c>
      <c r="O45" s="9">
        <f>testdata[[#This Row],[I1]]-testdata[[#This Row],[JQ]]</f>
        <v>-0.37315135499347551</v>
      </c>
      <c r="P45" s="9">
        <f>testdata[[#This Row],[Q1]]+testdata[[#This Row],[jI]]</f>
        <v>0.71398430559036452</v>
      </c>
      <c r="Q45" s="9">
        <f>0.2*testdata[[#This Row],[I2]]+0.8*Q44</f>
        <v>1.811250176215379</v>
      </c>
      <c r="R45" s="9">
        <f>0.2*testdata[[#This Row],[Q2]]+0.8*R44</f>
        <v>-0.17396214833117871</v>
      </c>
      <c r="S45" s="9">
        <f>testdata[[#This Row],[I2'']]*Q44+testdata[[#This Row],[Q2'']]*R44</f>
        <v>4.3386317126558458</v>
      </c>
      <c r="T45" s="9">
        <f>testdata[[#This Row],[I2'']]*R44-testdata[[#This Row],[Q2'']]*Q44</f>
        <v>-0.30707249698705175</v>
      </c>
      <c r="U45" s="9">
        <f>0.2*testdata[[#This Row],[Re]]+0.8*U44</f>
        <v>4.3339594680475582</v>
      </c>
      <c r="V45" s="9">
        <f>0.2*testdata[[#This Row],[Im]]+0.8*V44</f>
        <v>0.29547702817840538</v>
      </c>
      <c r="W45" s="9">
        <f>IF(AND(testdata[[#This Row],[Re'']]&lt;&gt;0,testdata[[#This Row],[Im'']]&lt;&gt;0),2*PI()/ATAN(testdata[[#This Row],[Im'']]/testdata[[#This Row],[Re'']]),0)</f>
        <v>92.302300406026177</v>
      </c>
      <c r="X45" s="9">
        <f>IF(testdata[[#This Row],[pd-atan]]&gt;1.5*Z44,1.5*Z44,IF(testdata[[#This Row],[pd-atan]]&lt;0.67*Z44,0.67*Z44,testdata[[#This Row],[pd-atan]]))</f>
        <v>54.549383226789686</v>
      </c>
      <c r="Y45" s="9">
        <f>IF(testdata[[#This Row],[pd-limit1]]&lt;6,6,IF(testdata[[#This Row],[pd-limit1]]&gt;50,50,testdata[[#This Row],[pd-limit1]]))</f>
        <v>50</v>
      </c>
      <c r="Z45" s="14">
        <f>0.2*testdata[[#This Row],[pd-limit2]]+0.8*Z44</f>
        <v>39.093004387621164</v>
      </c>
      <c r="AA45" s="14">
        <f>0.33*testdata[[#This Row],[period]]+0.67*AA44</f>
        <v>33.76776869066456</v>
      </c>
      <c r="AB45" s="31">
        <f>TRUNC(testdata[[#This Row],[SmPd]]+0.5,0)</f>
        <v>34</v>
      </c>
      <c r="AC45" s="14">
        <f ca="1">IF(testdata[[#This Row],[PdInt]]&lt;=0,0,AVERAGE(OFFSET(testdata[[#This Row],[price]],0,0,-testdata[[#This Row],[PdInt]],1)))</f>
        <v>219.09573529411765</v>
      </c>
      <c r="AD45" s="14">
        <f ca="1">IF(testdata[[#This Row],[i]]&lt;11,testdata[[#This Row],[price]],(4*testdata[[#This Row],[iTrend]]+3*AC44+2*AC43+AC42)/10)</f>
        <v>219.22124697124508</v>
      </c>
      <c r="AE45" s="14">
        <f>(4*testdata[[#This Row],[price]]+3*H44+2*H43+H42)/10</f>
        <v>224.57</v>
      </c>
      <c r="AF45" t="str">
        <f ca="1">IF(OR(ROUND(testdata[[#This Row],[Trendline]],4)&lt;&gt;Table3[[#This Row],[Trendline]],ROUND(testdata[[#This Row],[SmPrice]],4)&lt;&gt;Table3[[#This Row],[SmPrice]]),"ERR","")</f>
        <v>ERR</v>
      </c>
      <c r="AG45" s="3">
        <v>42801</v>
      </c>
      <c r="AH45" s="14">
        <v>32.005200000000002</v>
      </c>
      <c r="AI45" s="34">
        <v>32</v>
      </c>
      <c r="AJ45" s="14">
        <v>219.4281</v>
      </c>
      <c r="AK45" s="14">
        <v>219.24719999999999</v>
      </c>
      <c r="AL45" s="14">
        <v>224.57</v>
      </c>
      <c r="AN45" s="38">
        <f t="shared" si="1"/>
        <v>2.591485671200644E-2</v>
      </c>
      <c r="AO45" s="38">
        <f t="shared" si="2"/>
        <v>0</v>
      </c>
      <c r="AQ45" s="37">
        <v>42801</v>
      </c>
      <c r="AR45">
        <v>34</v>
      </c>
      <c r="AS45">
        <v>219.22124697124499</v>
      </c>
      <c r="AT45">
        <v>224.57</v>
      </c>
      <c r="AV45" s="37">
        <v>42801</v>
      </c>
      <c r="AW45">
        <v>32</v>
      </c>
      <c r="AX45">
        <v>219.247161827957</v>
      </c>
      <c r="AY45">
        <v>224.57</v>
      </c>
      <c r="BA45" s="38">
        <f>AX45-Table3[[#This Row],[Trendline]]</f>
        <v>-3.8172042991391208E-5</v>
      </c>
      <c r="BB45" s="38">
        <f>AY45-Table3[[#This Row],[SmPrice]]</f>
        <v>0</v>
      </c>
    </row>
    <row r="46" spans="1:54" x14ac:dyDescent="0.35">
      <c r="A46" s="6">
        <v>44</v>
      </c>
      <c r="B46" s="3">
        <v>42802</v>
      </c>
      <c r="C46" s="2">
        <v>224.23</v>
      </c>
      <c r="D46" s="2">
        <v>224.51</v>
      </c>
      <c r="E46" s="2">
        <v>223.34</v>
      </c>
      <c r="F46" s="2">
        <v>223.49</v>
      </c>
      <c r="G46" s="1">
        <v>82739456</v>
      </c>
      <c r="H46" s="30">
        <f>(testdata[[#This Row],[high]]+testdata[[#This Row],[low]])/2</f>
        <v>223.92500000000001</v>
      </c>
      <c r="I46" s="23">
        <f>(4*testdata[[#This Row],[price]]+3*H45+2*H44+H43)/10</f>
        <v>224.20850000000002</v>
      </c>
      <c r="J46" s="9">
        <f>(0.0962*testdata[[#This Row],[smooth]]+0.5769*I44-0.5769*I42-0.0962*I40)*(0.075*$Z45+0.54)</f>
        <v>-1.5553407881694714E-2</v>
      </c>
      <c r="K46" s="14">
        <f t="shared" si="0"/>
        <v>2.503411223693158</v>
      </c>
      <c r="L46" s="14">
        <f>(0.0962*testdata[[#This Row],[detrender]]+0.5769*J44-0.5769*J42-0.0962*J40)*(0.075*$Z45+0.54)</f>
        <v>4.5656515386428049</v>
      </c>
      <c r="M46" s="9">
        <f>(0.0962*testdata[[#This Row],[I1]]+0.5769*K44-0.5769*K42-0.0962*K40)*(0.075*$Z45+0.54)</f>
        <v>-0.62749190199944882</v>
      </c>
      <c r="N46" s="9">
        <f>(0.0962*testdata[[#This Row],[Q1]]+0.5769*L44-0.5769*L42-0.0962*L40)*(0.075*$Z45+0.54)</f>
        <v>5.7796085051150845</v>
      </c>
      <c r="O46" s="9">
        <f>testdata[[#This Row],[I1]]-testdata[[#This Row],[JQ]]</f>
        <v>-3.2761972814219265</v>
      </c>
      <c r="P46" s="9">
        <f>testdata[[#This Row],[Q1]]+testdata[[#This Row],[jI]]</f>
        <v>3.938159636643356</v>
      </c>
      <c r="Q46" s="9">
        <f>0.2*testdata[[#This Row],[I2]]+0.8*Q45</f>
        <v>0.79376068468791794</v>
      </c>
      <c r="R46" s="9">
        <f>0.2*testdata[[#This Row],[Q2]]+0.8*R45</f>
        <v>0.64846220866372828</v>
      </c>
      <c r="S46" s="9">
        <f>testdata[[#This Row],[I2'']]*Q45+testdata[[#This Row],[Q2'']]*R45</f>
        <v>1.324891301083108</v>
      </c>
      <c r="T46" s="9">
        <f>testdata[[#This Row],[I2'']]*R45-testdata[[#This Row],[Q2'']]*Q45</f>
        <v>-1.3126116036803293</v>
      </c>
      <c r="U46" s="9">
        <f>0.2*testdata[[#This Row],[Re]]+0.8*U45</f>
        <v>3.7321458346546685</v>
      </c>
      <c r="V46" s="9">
        <f>0.2*testdata[[#This Row],[Im]]+0.8*V45</f>
        <v>-2.6140698193341527E-2</v>
      </c>
      <c r="W46" s="9">
        <f>IF(AND(testdata[[#This Row],[Re'']]&lt;&gt;0,testdata[[#This Row],[Im'']]&lt;&gt;0),2*PI()/ATAN(testdata[[#This Row],[Im'']]/testdata[[#This Row],[Re'']]),0)</f>
        <v>-897.07425435721655</v>
      </c>
      <c r="X46" s="9">
        <f>IF(testdata[[#This Row],[pd-atan]]&gt;1.5*Z45,1.5*Z45,IF(testdata[[#This Row],[pd-atan]]&lt;0.67*Z45,0.67*Z45,testdata[[#This Row],[pd-atan]]))</f>
        <v>26.192312939706181</v>
      </c>
      <c r="Y46" s="9">
        <f>IF(testdata[[#This Row],[pd-limit1]]&lt;6,6,IF(testdata[[#This Row],[pd-limit1]]&gt;50,50,testdata[[#This Row],[pd-limit1]]))</f>
        <v>26.192312939706181</v>
      </c>
      <c r="Z46" s="14">
        <f>0.2*testdata[[#This Row],[pd-limit2]]+0.8*Z45</f>
        <v>36.512866098038167</v>
      </c>
      <c r="AA46" s="14">
        <f>0.33*testdata[[#This Row],[period]]+0.67*AA45</f>
        <v>34.673650835097853</v>
      </c>
      <c r="AB46" s="31">
        <f>TRUNC(testdata[[#This Row],[SmPd]]+0.5,0)</f>
        <v>35</v>
      </c>
      <c r="AC46" s="14">
        <f ca="1">IF(testdata[[#This Row],[PdInt]]&lt;=0,0,AVERAGE(OFFSET(testdata[[#This Row],[price]],0,0,-testdata[[#This Row],[PdInt]],1)))</f>
        <v>219.23371428571429</v>
      </c>
      <c r="AD46" s="14">
        <f ca="1">IF(testdata[[#This Row],[i]]&lt;11,testdata[[#This Row],[price]],(4*testdata[[#This Row],[iTrend]]+3*AC45+2*AC44+AC43)/10)</f>
        <v>219.20480307671454</v>
      </c>
      <c r="AE46" s="14">
        <f>(4*testdata[[#This Row],[price]]+3*H45+2*H44+H43)/10</f>
        <v>224.20850000000002</v>
      </c>
      <c r="AF46" t="str">
        <f ca="1">IF(OR(ROUND(testdata[[#This Row],[Trendline]],4)&lt;&gt;Table3[[#This Row],[Trendline]],ROUND(testdata[[#This Row],[SmPrice]],4)&lt;&gt;Table3[[#This Row],[SmPrice]]),"ERR","")</f>
        <v>ERR</v>
      </c>
      <c r="AG46" s="3">
        <v>42802</v>
      </c>
      <c r="AH46" s="14">
        <v>33.5548</v>
      </c>
      <c r="AI46" s="34">
        <v>34</v>
      </c>
      <c r="AJ46" s="14">
        <v>219.3922</v>
      </c>
      <c r="AK46" s="14">
        <v>219.35069999999999</v>
      </c>
      <c r="AL46" s="14">
        <v>224.20849999999999</v>
      </c>
      <c r="AN46" s="38">
        <f t="shared" si="1"/>
        <v>0.14593021708699894</v>
      </c>
      <c r="AO46" s="38">
        <f t="shared" si="2"/>
        <v>0</v>
      </c>
      <c r="AQ46" s="37">
        <v>42802</v>
      </c>
      <c r="AR46">
        <v>35</v>
      </c>
      <c r="AS46">
        <v>219.204803076714</v>
      </c>
      <c r="AT46">
        <v>224.20849999999999</v>
      </c>
      <c r="AV46" s="37">
        <v>42802</v>
      </c>
      <c r="AW46">
        <v>34</v>
      </c>
      <c r="AX46">
        <v>219.350733293801</v>
      </c>
      <c r="AY46">
        <v>224.20849999999999</v>
      </c>
      <c r="BA46" s="38">
        <f>AX46-Table3[[#This Row],[Trendline]]</f>
        <v>3.3293801010358948E-5</v>
      </c>
      <c r="BB46" s="38">
        <f>AY46-Table3[[#This Row],[SmPrice]]</f>
        <v>0</v>
      </c>
    </row>
    <row r="47" spans="1:54" x14ac:dyDescent="0.35">
      <c r="A47" s="6">
        <v>45</v>
      </c>
      <c r="B47" s="3">
        <v>42803</v>
      </c>
      <c r="C47" s="2">
        <v>223.62</v>
      </c>
      <c r="D47" s="2">
        <v>224.13</v>
      </c>
      <c r="E47" s="2">
        <v>222.72</v>
      </c>
      <c r="F47" s="2">
        <v>223.78</v>
      </c>
      <c r="G47" s="1">
        <v>95986360</v>
      </c>
      <c r="H47" s="30">
        <f>(testdata[[#This Row],[high]]+testdata[[#This Row],[low]])/2</f>
        <v>223.42500000000001</v>
      </c>
      <c r="I47" s="23">
        <f>(4*testdata[[#This Row],[price]]+3*H46+2*H45+H44)/10</f>
        <v>223.82400000000001</v>
      </c>
      <c r="J47" s="9">
        <f>(0.0962*testdata[[#This Row],[smooth]]+0.5769*I45-0.5769*I43-0.0962*I41)*(0.075*$Z46+0.54)</f>
        <v>-1.566150413156252</v>
      </c>
      <c r="K47" s="14">
        <f t="shared" si="0"/>
        <v>3.6086143976615856</v>
      </c>
      <c r="L47" s="14">
        <f>(0.0962*testdata[[#This Row],[detrender]]+0.5769*J45-0.5769*J43-0.0962*J41)*(0.075*$Z46+0.54)</f>
        <v>-2.1915460991642268</v>
      </c>
      <c r="M47" s="9">
        <f>(0.0962*testdata[[#This Row],[I1]]+0.5769*K45-0.5769*K43-0.0962*K41)*(0.075*$Z46+0.54)</f>
        <v>0.58370540301007501</v>
      </c>
      <c r="N47" s="9">
        <f>(0.0962*testdata[[#This Row],[Q1]]+0.5769*L45-0.5769*L43-0.0962*L41)*(0.075*$Z46+0.54)</f>
        <v>5.5270759441187423</v>
      </c>
      <c r="O47" s="9">
        <f>testdata[[#This Row],[I1]]-testdata[[#This Row],[JQ]]</f>
        <v>-1.9184615464571566</v>
      </c>
      <c r="P47" s="9">
        <f>testdata[[#This Row],[Q1]]+testdata[[#This Row],[jI]]</f>
        <v>-1.6078406961541518</v>
      </c>
      <c r="Q47" s="9">
        <f>0.2*testdata[[#This Row],[I2]]+0.8*Q46</f>
        <v>0.25131623845890311</v>
      </c>
      <c r="R47" s="9">
        <f>0.2*testdata[[#This Row],[Q2]]+0.8*R46</f>
        <v>0.19720162770015226</v>
      </c>
      <c r="S47" s="9">
        <f>testdata[[#This Row],[I2'']]*Q46+testdata[[#This Row],[Q2'']]*R46</f>
        <v>0.32736275256285396</v>
      </c>
      <c r="T47" s="9">
        <f>testdata[[#This Row],[I2'']]*R46-testdata[[#This Row],[Q2'']]*Q46</f>
        <v>6.4381840392757905E-3</v>
      </c>
      <c r="U47" s="9">
        <f>0.2*testdata[[#This Row],[Re]]+0.8*U46</f>
        <v>3.0511892182363058</v>
      </c>
      <c r="V47" s="9">
        <f>0.2*testdata[[#This Row],[Im]]+0.8*V46</f>
        <v>-1.9624921746818062E-2</v>
      </c>
      <c r="W47" s="9">
        <f>IF(AND(testdata[[#This Row],[Re'']]&lt;&gt;0,testdata[[#This Row],[Im'']]&lt;&gt;0),2*PI()/ATAN(testdata[[#This Row],[Im'']]/testdata[[#This Row],[Re'']]),0)</f>
        <v>-976.89315023540894</v>
      </c>
      <c r="X47" s="9">
        <f>IF(testdata[[#This Row],[pd-atan]]&gt;1.5*Z46,1.5*Z46,IF(testdata[[#This Row],[pd-atan]]&lt;0.67*Z46,0.67*Z46,testdata[[#This Row],[pd-atan]]))</f>
        <v>24.463620285685572</v>
      </c>
      <c r="Y47" s="9">
        <f>IF(testdata[[#This Row],[pd-limit1]]&lt;6,6,IF(testdata[[#This Row],[pd-limit1]]&gt;50,50,testdata[[#This Row],[pd-limit1]]))</f>
        <v>24.463620285685572</v>
      </c>
      <c r="Z47" s="14">
        <f>0.2*testdata[[#This Row],[pd-limit2]]+0.8*Z46</f>
        <v>34.103016935567652</v>
      </c>
      <c r="AA47" s="14">
        <f>0.33*testdata[[#This Row],[period]]+0.67*AA46</f>
        <v>34.485341648252884</v>
      </c>
      <c r="AB47" s="31">
        <f>TRUNC(testdata[[#This Row],[SmPd]]+0.5,0)</f>
        <v>34</v>
      </c>
      <c r="AC47" s="14">
        <f ca="1">IF(testdata[[#This Row],[PdInt]]&lt;=0,0,AVERAGE(OFFSET(testdata[[#This Row],[price]],0,0,-testdata[[#This Row],[PdInt]],1)))</f>
        <v>219.67794117647065</v>
      </c>
      <c r="AD47" s="14">
        <f ca="1">IF(testdata[[#This Row],[i]]&lt;11,testdata[[#This Row],[price]],(4*testdata[[#This Row],[iTrend]]+3*AC46+2*AC45+AC44)/10)</f>
        <v>219.38798620222283</v>
      </c>
      <c r="AE47" s="14">
        <f>(4*testdata[[#This Row],[price]]+3*H46+2*H45+H44)/10</f>
        <v>223.82400000000001</v>
      </c>
      <c r="AF47" t="str">
        <f ca="1">IF(OR(ROUND(testdata[[#This Row],[Trendline]],4)&lt;&gt;Table3[[#This Row],[Trendline]],ROUND(testdata[[#This Row],[SmPrice]],4)&lt;&gt;Table3[[#This Row],[SmPrice]]),"ERR","")</f>
        <v>ERR</v>
      </c>
      <c r="AG47" s="3">
        <v>42803</v>
      </c>
      <c r="AH47" s="14">
        <v>34.984000000000002</v>
      </c>
      <c r="AI47" s="34">
        <v>35</v>
      </c>
      <c r="AJ47" s="14">
        <v>219.50739999999999</v>
      </c>
      <c r="AK47" s="14">
        <v>219.43379999999999</v>
      </c>
      <c r="AL47" s="14">
        <v>223.82400000000001</v>
      </c>
      <c r="AN47" s="38">
        <f t="shared" si="1"/>
        <v>4.582037815200124E-2</v>
      </c>
      <c r="AO47" s="38">
        <f t="shared" si="2"/>
        <v>0</v>
      </c>
      <c r="AQ47" s="37">
        <v>42803</v>
      </c>
      <c r="AR47">
        <v>34</v>
      </c>
      <c r="AS47">
        <v>219.38798620222201</v>
      </c>
      <c r="AT47">
        <v>223.82400000000001</v>
      </c>
      <c r="AV47" s="37">
        <v>42803</v>
      </c>
      <c r="AW47">
        <v>35</v>
      </c>
      <c r="AX47">
        <v>219.43380658037401</v>
      </c>
      <c r="AY47">
        <v>223.82400000000001</v>
      </c>
      <c r="BA47" s="38">
        <f>AX47-Table3[[#This Row],[Trendline]]</f>
        <v>6.5803740199044114E-6</v>
      </c>
      <c r="BB47" s="38">
        <f>AY47-Table3[[#This Row],[SmPrice]]</f>
        <v>0</v>
      </c>
    </row>
    <row r="48" spans="1:54" x14ac:dyDescent="0.35">
      <c r="A48" s="6">
        <v>46</v>
      </c>
      <c r="B48" s="3">
        <v>42804</v>
      </c>
      <c r="C48" s="2">
        <v>224.82</v>
      </c>
      <c r="D48" s="2">
        <v>224.87</v>
      </c>
      <c r="E48" s="2">
        <v>223.52</v>
      </c>
      <c r="F48" s="2">
        <v>224.56</v>
      </c>
      <c r="G48" s="1">
        <v>86785840</v>
      </c>
      <c r="H48" s="30">
        <f>(testdata[[#This Row],[high]]+testdata[[#This Row],[low]])/2</f>
        <v>224.19499999999999</v>
      </c>
      <c r="I48" s="23">
        <f>(4*testdata[[#This Row],[price]]+3*H47+2*H46+H45)/10</f>
        <v>223.90649999999999</v>
      </c>
      <c r="J48" s="9">
        <f>(0.0962*testdata[[#This Row],[smooth]]+0.5769*I46-0.5769*I44-0.0962*I42)*(0.075*$Z47+0.54)</f>
        <v>-1.8516091896018811</v>
      </c>
      <c r="K48" s="14">
        <f t="shared" si="0"/>
        <v>1.7951908512062675</v>
      </c>
      <c r="L48" s="14">
        <f>(0.0962*testdata[[#This Row],[detrender]]+0.5769*J46-0.5769*J44-0.0962*J42)*(0.075*$Z47+0.54)</f>
        <v>-7.3692081784387868</v>
      </c>
      <c r="M48" s="9">
        <f>(0.0962*testdata[[#This Row],[I1]]+0.5769*K46-0.5769*K44-0.0962*K42)*(0.075*$Z47+0.54)</f>
        <v>2.5170711376830757</v>
      </c>
      <c r="N48" s="9">
        <f>(0.0962*testdata[[#This Row],[Q1]]+0.5769*L46-0.5769*L44-0.0962*L42)*(0.075*$Z47+0.54)</f>
        <v>5.4809531510270846</v>
      </c>
      <c r="O48" s="9">
        <f>testdata[[#This Row],[I1]]-testdata[[#This Row],[JQ]]</f>
        <v>-3.685762299820817</v>
      </c>
      <c r="P48" s="9">
        <f>testdata[[#This Row],[Q1]]+testdata[[#This Row],[jI]]</f>
        <v>-4.8521370407557107</v>
      </c>
      <c r="Q48" s="9">
        <f>0.2*testdata[[#This Row],[I2]]+0.8*Q47</f>
        <v>-0.53609946919704099</v>
      </c>
      <c r="R48" s="9">
        <f>0.2*testdata[[#This Row],[Q2]]+0.8*R47</f>
        <v>-0.81266610599102029</v>
      </c>
      <c r="S48" s="9">
        <f>testdata[[#This Row],[I2'']]*Q47+testdata[[#This Row],[Q2'']]*R47</f>
        <v>-0.29498958091658861</v>
      </c>
      <c r="T48" s="9">
        <f>testdata[[#This Row],[I2'']]*R47-testdata[[#This Row],[Q2'']]*Q47</f>
        <v>9.8516500945863367E-2</v>
      </c>
      <c r="U48" s="9">
        <f>0.2*testdata[[#This Row],[Re]]+0.8*U47</f>
        <v>2.3819534584057269</v>
      </c>
      <c r="V48" s="9">
        <f>0.2*testdata[[#This Row],[Im]]+0.8*V47</f>
        <v>4.0033627917182221E-3</v>
      </c>
      <c r="W48" s="9">
        <f>IF(AND(testdata[[#This Row],[Re'']]&lt;&gt;0,testdata[[#This Row],[Im'']]&lt;&gt;0),2*PI()/ATAN(testdata[[#This Row],[Im'']]/testdata[[#This Row],[Re'']]),0)</f>
        <v>3738.4243804421531</v>
      </c>
      <c r="X48" s="9">
        <f>IF(testdata[[#This Row],[pd-atan]]&gt;1.5*Z47,1.5*Z47,IF(testdata[[#This Row],[pd-atan]]&lt;0.67*Z47,0.67*Z47,testdata[[#This Row],[pd-atan]]))</f>
        <v>51.154525403351478</v>
      </c>
      <c r="Y48" s="9">
        <f>IF(testdata[[#This Row],[pd-limit1]]&lt;6,6,IF(testdata[[#This Row],[pd-limit1]]&gt;50,50,testdata[[#This Row],[pd-limit1]]))</f>
        <v>50</v>
      </c>
      <c r="Z48" s="14">
        <f>0.2*testdata[[#This Row],[pd-limit2]]+0.8*Z47</f>
        <v>37.282413548454123</v>
      </c>
      <c r="AA48" s="14">
        <f>0.33*testdata[[#This Row],[period]]+0.67*AA47</f>
        <v>35.408375375319295</v>
      </c>
      <c r="AB48" s="31">
        <f>TRUNC(testdata[[#This Row],[SmPd]]+0.5,0)</f>
        <v>35</v>
      </c>
      <c r="AC48" s="14">
        <f ca="1">IF(testdata[[#This Row],[PdInt]]&lt;=0,0,AVERAGE(OFFSET(testdata[[#This Row],[price]],0,0,-testdata[[#This Row],[PdInt]],1)))</f>
        <v>219.80700000000004</v>
      </c>
      <c r="AD48" s="14">
        <f ca="1">IF(testdata[[#This Row],[i]]&lt;11,testdata[[#This Row],[price]],(4*testdata[[#This Row],[iTrend]]+3*AC47+2*AC46+AC45)/10)</f>
        <v>219.58249873949586</v>
      </c>
      <c r="AE48" s="14">
        <f>(4*testdata[[#This Row],[price]]+3*H47+2*H46+H45)/10</f>
        <v>223.90649999999999</v>
      </c>
      <c r="AF48" t="str">
        <f ca="1">IF(OR(ROUND(testdata[[#This Row],[Trendline]],4)&lt;&gt;Table3[[#This Row],[Trendline]],ROUND(testdata[[#This Row],[SmPrice]],4)&lt;&gt;Table3[[#This Row],[SmPrice]]),"ERR","")</f>
        <v>ERR</v>
      </c>
      <c r="AG48" s="3">
        <v>42804</v>
      </c>
      <c r="AH48" s="14">
        <v>35.851999999999997</v>
      </c>
      <c r="AI48" s="34">
        <v>36</v>
      </c>
      <c r="AJ48" s="14">
        <v>219.63759999999999</v>
      </c>
      <c r="AK48" s="14">
        <v>219.52850000000001</v>
      </c>
      <c r="AL48" s="14">
        <v>223.90649999999999</v>
      </c>
      <c r="AN48" s="38">
        <f t="shared" si="1"/>
        <v>-5.3960936041022478E-2</v>
      </c>
      <c r="AO48" s="38">
        <f t="shared" si="2"/>
        <v>0</v>
      </c>
      <c r="AQ48" s="37">
        <v>42804</v>
      </c>
      <c r="AR48">
        <v>35</v>
      </c>
      <c r="AS48">
        <v>219.58249873949501</v>
      </c>
      <c r="AT48">
        <v>223.90649999999999</v>
      </c>
      <c r="AV48" s="37">
        <v>42804</v>
      </c>
      <c r="AW48">
        <v>36</v>
      </c>
      <c r="AX48">
        <v>219.52853780345399</v>
      </c>
      <c r="AY48">
        <v>223.90649999999999</v>
      </c>
      <c r="BA48" s="38">
        <f>AX48-Table3[[#This Row],[Trendline]]</f>
        <v>3.7803453977858226E-5</v>
      </c>
      <c r="BB48" s="38">
        <f>AY48-Table3[[#This Row],[SmPrice]]</f>
        <v>0</v>
      </c>
    </row>
    <row r="49" spans="1:54" x14ac:dyDescent="0.35">
      <c r="A49" s="6">
        <v>47</v>
      </c>
      <c r="B49" s="3">
        <v>42807</v>
      </c>
      <c r="C49" s="2">
        <v>224.49</v>
      </c>
      <c r="D49" s="2">
        <v>224.72</v>
      </c>
      <c r="E49" s="2">
        <v>224.13</v>
      </c>
      <c r="F49" s="2">
        <v>224.67</v>
      </c>
      <c r="G49" s="1">
        <v>60604724</v>
      </c>
      <c r="H49" s="30">
        <f>(testdata[[#This Row],[high]]+testdata[[#This Row],[low]])/2</f>
        <v>224.42500000000001</v>
      </c>
      <c r="I49" s="23">
        <f>(4*testdata[[#This Row],[price]]+3*H48+2*H47+H46)/10</f>
        <v>224.10600000000005</v>
      </c>
      <c r="J49" s="9">
        <f>(0.0962*testdata[[#This Row],[smooth]]+0.5769*I47-0.5769*I45-0.0962*I43)*(0.075*$Z48+0.54)</f>
        <v>-1.8127283006948012</v>
      </c>
      <c r="K49" s="14">
        <f t="shared" si="0"/>
        <v>-1.5553407881694714E-2</v>
      </c>
      <c r="L49" s="14">
        <f>(0.0962*testdata[[#This Row],[detrender]]+0.5769*J47-0.5769*J45-0.0962*J43)*(0.075*$Z48+0.54)</f>
        <v>-7.8546058256108102</v>
      </c>
      <c r="M49" s="9">
        <f>(0.0962*testdata[[#This Row],[I1]]+0.5769*K47-0.5769*K45-0.0962*K43)*(0.075*$Z48+0.54)</f>
        <v>4.3870818614302793</v>
      </c>
      <c r="N49" s="9">
        <f>(0.0962*testdata[[#This Row],[Q1]]+0.5769*L47-0.5769*L45-0.0962*L43)*(0.075*$Z48+0.54)</f>
        <v>-11.686033888210389</v>
      </c>
      <c r="O49" s="9">
        <f>testdata[[#This Row],[I1]]-testdata[[#This Row],[JQ]]</f>
        <v>11.670480480328694</v>
      </c>
      <c r="P49" s="9">
        <f>testdata[[#This Row],[Q1]]+testdata[[#This Row],[jI]]</f>
        <v>-3.4675239641805309</v>
      </c>
      <c r="Q49" s="9">
        <f>0.2*testdata[[#This Row],[I2]]+0.8*Q48</f>
        <v>1.9052165207081058</v>
      </c>
      <c r="R49" s="9">
        <f>0.2*testdata[[#This Row],[Q2]]+0.8*R48</f>
        <v>-1.3436376776289225</v>
      </c>
      <c r="S49" s="9">
        <f>testdata[[#This Row],[I2'']]*Q48+testdata[[#This Row],[Q2'']]*R48</f>
        <v>7.0543233884465595E-2</v>
      </c>
      <c r="T49" s="9">
        <f>testdata[[#This Row],[I2'']]*R48-testdata[[#This Row],[Q2'']]*Q48</f>
        <v>-2.2686283367236264</v>
      </c>
      <c r="U49" s="9">
        <f>0.2*testdata[[#This Row],[Re]]+0.8*U48</f>
        <v>1.9196714135014747</v>
      </c>
      <c r="V49" s="9">
        <f>0.2*testdata[[#This Row],[Im]]+0.8*V48</f>
        <v>-0.4505229771113507</v>
      </c>
      <c r="W49" s="9">
        <f>IF(AND(testdata[[#This Row],[Re'']]&lt;&gt;0,testdata[[#This Row],[Im'']]&lt;&gt;0),2*PI()/ATAN(testdata[[#This Row],[Im'']]/testdata[[#This Row],[Re'']]),0)</f>
        <v>-27.257065318388467</v>
      </c>
      <c r="X49" s="9">
        <f>IF(testdata[[#This Row],[pd-atan]]&gt;1.5*Z48,1.5*Z48,IF(testdata[[#This Row],[pd-atan]]&lt;0.67*Z48,0.67*Z48,testdata[[#This Row],[pd-atan]]))</f>
        <v>24.979217077464263</v>
      </c>
      <c r="Y49" s="9">
        <f>IF(testdata[[#This Row],[pd-limit1]]&lt;6,6,IF(testdata[[#This Row],[pd-limit1]]&gt;50,50,testdata[[#This Row],[pd-limit1]]))</f>
        <v>24.979217077464263</v>
      </c>
      <c r="Z49" s="14">
        <f>0.2*testdata[[#This Row],[pd-limit2]]+0.8*Z48</f>
        <v>34.821774254256155</v>
      </c>
      <c r="AA49" s="14">
        <f>0.33*testdata[[#This Row],[period]]+0.67*AA48</f>
        <v>35.21479700536846</v>
      </c>
      <c r="AB49" s="31">
        <f>TRUNC(testdata[[#This Row],[SmPd]]+0.5,0)</f>
        <v>35</v>
      </c>
      <c r="AC49" s="14">
        <f ca="1">IF(testdata[[#This Row],[PdInt]]&lt;=0,0,AVERAGE(OFFSET(testdata[[#This Row],[price]],0,0,-testdata[[#This Row],[PdInt]],1)))</f>
        <v>220.10142857142861</v>
      </c>
      <c r="AD49" s="14">
        <f ca="1">IF(testdata[[#This Row],[i]]&lt;11,testdata[[#This Row],[price]],(4*testdata[[#This Row],[iTrend]]+3*AC48+2*AC47+AC46)/10)</f>
        <v>219.84163109243701</v>
      </c>
      <c r="AE49" s="14">
        <f>(4*testdata[[#This Row],[price]]+3*H48+2*H47+H46)/10</f>
        <v>224.10600000000005</v>
      </c>
      <c r="AF49" t="str">
        <f ca="1">IF(OR(ROUND(testdata[[#This Row],[Trendline]],4)&lt;&gt;Table3[[#This Row],[Trendline]],ROUND(testdata[[#This Row],[SmPrice]],4)&lt;&gt;Table3[[#This Row],[SmPrice]]),"ERR","")</f>
        <v>ERR</v>
      </c>
      <c r="AG49" s="3">
        <v>42807</v>
      </c>
      <c r="AH49" s="14">
        <v>37.251100000000001</v>
      </c>
      <c r="AI49" s="34">
        <v>37</v>
      </c>
      <c r="AJ49" s="14">
        <v>219.767</v>
      </c>
      <c r="AK49" s="14">
        <v>219.6388</v>
      </c>
      <c r="AL49" s="14">
        <v>224.10599999999999</v>
      </c>
      <c r="AN49" s="38">
        <f t="shared" si="1"/>
        <v>-0.20282231243902515</v>
      </c>
      <c r="AO49" s="38">
        <f t="shared" si="2"/>
        <v>0</v>
      </c>
      <c r="AQ49" s="37">
        <v>42807</v>
      </c>
      <c r="AR49">
        <v>35</v>
      </c>
      <c r="AS49">
        <v>219.84163109243701</v>
      </c>
      <c r="AT49">
        <v>224.10599999999999</v>
      </c>
      <c r="AV49" s="37">
        <v>42807</v>
      </c>
      <c r="AW49">
        <v>37</v>
      </c>
      <c r="AX49">
        <v>219.63880877999799</v>
      </c>
      <c r="AY49">
        <v>224.10599999999999</v>
      </c>
      <c r="BA49" s="38">
        <f>AX49-Table3[[#This Row],[Trendline]]</f>
        <v>8.7799979837654973E-6</v>
      </c>
      <c r="BB49" s="38">
        <f>AY49-Table3[[#This Row],[SmPrice]]</f>
        <v>0</v>
      </c>
    </row>
    <row r="50" spans="1:54" x14ac:dyDescent="0.35">
      <c r="A50" s="6">
        <v>48</v>
      </c>
      <c r="B50" s="3">
        <v>42808</v>
      </c>
      <c r="C50" s="2">
        <v>224.08</v>
      </c>
      <c r="D50" s="2">
        <v>224.13</v>
      </c>
      <c r="E50" s="2">
        <v>223.14</v>
      </c>
      <c r="F50" s="2">
        <v>223.81</v>
      </c>
      <c r="G50" s="1">
        <v>63382108</v>
      </c>
      <c r="H50" s="30">
        <f>(testdata[[#This Row],[high]]+testdata[[#This Row],[low]])/2</f>
        <v>223.63499999999999</v>
      </c>
      <c r="I50" s="23">
        <f>(4*testdata[[#This Row],[price]]+3*H49+2*H48+H47)/10</f>
        <v>223.96300000000002</v>
      </c>
      <c r="J50" s="9">
        <f>(0.0962*testdata[[#This Row],[smooth]]+0.5769*I48-0.5769*I46-0.0962*I44)*(0.075*$Z49+0.54)</f>
        <v>-0.87365128138105452</v>
      </c>
      <c r="K50" s="14">
        <f t="shared" si="0"/>
        <v>-1.566150413156252</v>
      </c>
      <c r="L50" s="14">
        <f>(0.0962*testdata[[#This Row],[detrender]]+0.5769*J48-0.5769*J46-0.0962*J44)*(0.075*$Z49+0.54)</f>
        <v>-4.6972397470981884</v>
      </c>
      <c r="M50" s="9">
        <f>(0.0962*testdata[[#This Row],[I1]]+0.5769*K48-0.5769*K46-0.0962*K44)*(0.075*$Z49+0.54)</f>
        <v>-2.1067631493284291</v>
      </c>
      <c r="N50" s="9">
        <f>(0.0962*testdata[[#This Row],[Q1]]+0.5769*L48-0.5769*L46-0.0962*L44)*(0.075*$Z49+0.54)</f>
        <v>-23.286825270072615</v>
      </c>
      <c r="O50" s="9">
        <f>testdata[[#This Row],[I1]]-testdata[[#This Row],[JQ]]</f>
        <v>21.720674856916364</v>
      </c>
      <c r="P50" s="9">
        <f>testdata[[#This Row],[Q1]]+testdata[[#This Row],[jI]]</f>
        <v>-6.804002896426617</v>
      </c>
      <c r="Q50" s="9">
        <f>0.2*testdata[[#This Row],[I2]]+0.8*Q49</f>
        <v>5.8683081879497578</v>
      </c>
      <c r="R50" s="9">
        <f>0.2*testdata[[#This Row],[Q2]]+0.8*R49</f>
        <v>-2.4357107213884612</v>
      </c>
      <c r="S50" s="9">
        <f>testdata[[#This Row],[I2'']]*Q49+testdata[[#This Row],[Q2'']]*R49</f>
        <v>14.453110405350785</v>
      </c>
      <c r="T50" s="9">
        <f>testdata[[#This Row],[I2'']]*R49-testdata[[#This Row],[Q2'']]*Q49</f>
        <v>-3.2443236792124486</v>
      </c>
      <c r="U50" s="9">
        <f>0.2*testdata[[#This Row],[Re]]+0.8*U49</f>
        <v>4.4263592118713371</v>
      </c>
      <c r="V50" s="9">
        <f>0.2*testdata[[#This Row],[Im]]+0.8*V49</f>
        <v>-1.0092831175315702</v>
      </c>
      <c r="W50" s="9">
        <f>IF(AND(testdata[[#This Row],[Re'']]&lt;&gt;0,testdata[[#This Row],[Im'']]&lt;&gt;0),2*PI()/ATAN(testdata[[#This Row],[Im'']]/testdata[[#This Row],[Re'']]),0)</f>
        <v>-28.02694128449378</v>
      </c>
      <c r="X50" s="9">
        <f>IF(testdata[[#This Row],[pd-atan]]&gt;1.5*Z49,1.5*Z49,IF(testdata[[#This Row],[pd-atan]]&lt;0.67*Z49,0.67*Z49,testdata[[#This Row],[pd-atan]]))</f>
        <v>23.330588750351627</v>
      </c>
      <c r="Y50" s="9">
        <f>IF(testdata[[#This Row],[pd-limit1]]&lt;6,6,IF(testdata[[#This Row],[pd-limit1]]&gt;50,50,testdata[[#This Row],[pd-limit1]]))</f>
        <v>23.330588750351627</v>
      </c>
      <c r="Z50" s="14">
        <f>0.2*testdata[[#This Row],[pd-limit2]]+0.8*Z49</f>
        <v>32.523537153475253</v>
      </c>
      <c r="AA50" s="14">
        <f>0.33*testdata[[#This Row],[period]]+0.67*AA49</f>
        <v>34.326681254243709</v>
      </c>
      <c r="AB50" s="31">
        <f>TRUNC(testdata[[#This Row],[SmPd]]+0.5,0)</f>
        <v>34</v>
      </c>
      <c r="AC50" s="14">
        <f ca="1">IF(testdata[[#This Row],[PdInt]]&lt;=0,0,AVERAGE(OFFSET(testdata[[#This Row],[price]],0,0,-testdata[[#This Row],[PdInt]],1)))</f>
        <v>220.55897058823533</v>
      </c>
      <c r="AD50" s="14">
        <f ca="1">IF(testdata[[#This Row],[i]]&lt;11,testdata[[#This Row],[price]],(4*testdata[[#This Row],[iTrend]]+3*AC49+2*AC48+AC47)/10)</f>
        <v>220.18321092436977</v>
      </c>
      <c r="AE50" s="14">
        <f>(4*testdata[[#This Row],[price]]+3*H49+2*H48+H47)/10</f>
        <v>223.96300000000002</v>
      </c>
      <c r="AF50" t="str">
        <f ca="1">IF(OR(ROUND(testdata[[#This Row],[Trendline]],4)&lt;&gt;Table3[[#This Row],[Trendline]],ROUND(testdata[[#This Row],[SmPrice]],4)&lt;&gt;Table3[[#This Row],[SmPrice]]),"ERR","")</f>
        <v>ERR</v>
      </c>
      <c r="AG50" s="3">
        <v>42808</v>
      </c>
      <c r="AH50" s="14">
        <v>37.315199999999997</v>
      </c>
      <c r="AI50" s="34">
        <v>37</v>
      </c>
      <c r="AJ50" s="14">
        <v>220.03530000000001</v>
      </c>
      <c r="AK50" s="14">
        <v>219.82249999999999</v>
      </c>
      <c r="AL50" s="14">
        <v>223.96299999999999</v>
      </c>
      <c r="AN50" s="38">
        <f t="shared" si="1"/>
        <v>-0.36072407323300126</v>
      </c>
      <c r="AO50" s="38">
        <f t="shared" si="2"/>
        <v>0</v>
      </c>
      <c r="AQ50" s="37">
        <v>42808</v>
      </c>
      <c r="AR50">
        <v>34</v>
      </c>
      <c r="AS50">
        <v>220.18321092436901</v>
      </c>
      <c r="AT50">
        <v>223.96299999999999</v>
      </c>
      <c r="AV50" s="37">
        <v>42808</v>
      </c>
      <c r="AW50">
        <v>37</v>
      </c>
      <c r="AX50">
        <v>219.82248685113601</v>
      </c>
      <c r="AY50">
        <v>223.96299999999999</v>
      </c>
      <c r="BA50" s="38">
        <f>AX50-Table3[[#This Row],[Trendline]]</f>
        <v>-1.314886398517956E-5</v>
      </c>
      <c r="BB50" s="38">
        <f>AY50-Table3[[#This Row],[SmPrice]]</f>
        <v>0</v>
      </c>
    </row>
    <row r="51" spans="1:54" x14ac:dyDescent="0.35">
      <c r="A51" s="6">
        <v>49</v>
      </c>
      <c r="B51" s="3">
        <v>42809</v>
      </c>
      <c r="C51" s="2">
        <v>224.44</v>
      </c>
      <c r="D51" s="2">
        <v>226.21</v>
      </c>
      <c r="E51" s="2">
        <v>224.18</v>
      </c>
      <c r="F51" s="2">
        <v>225.75</v>
      </c>
      <c r="G51" s="1">
        <v>101699816</v>
      </c>
      <c r="H51" s="30">
        <f>(testdata[[#This Row],[high]]+testdata[[#This Row],[low]])/2</f>
        <v>225.19499999999999</v>
      </c>
      <c r="I51" s="23">
        <f>(4*testdata[[#This Row],[price]]+3*H50+2*H49+H48)/10</f>
        <v>224.47300000000001</v>
      </c>
      <c r="J51" s="9">
        <f>(0.0962*testdata[[#This Row],[smooth]]+0.5769*I49-0.5769*I47-0.0962*I45)*(0.075*$Z50+0.54)</f>
        <v>0.4568834404537036</v>
      </c>
      <c r="K51" s="14">
        <f t="shared" si="0"/>
        <v>-1.8516091896018811</v>
      </c>
      <c r="L51" s="14">
        <f>(0.0962*testdata[[#This Row],[detrender]]+0.5769*J49-0.5769*J47-0.0962*J45)*(0.075*$Z50+0.54)</f>
        <v>-0.80736884519684149</v>
      </c>
      <c r="M51" s="9">
        <f>(0.0962*testdata[[#This Row],[I1]]+0.5769*K49-0.5769*K47-0.0962*K45)*(0.075*$Z50+0.54)</f>
        <v>-7.0874003060010038</v>
      </c>
      <c r="N51" s="9">
        <f>(0.0962*testdata[[#This Row],[Q1]]+0.5769*L49-0.5769*L47-0.0962*L45)*(0.075*$Z50+0.54)</f>
        <v>-10.725649084102761</v>
      </c>
      <c r="O51" s="9">
        <f>testdata[[#This Row],[I1]]-testdata[[#This Row],[JQ]]</f>
        <v>8.8740398945008803</v>
      </c>
      <c r="P51" s="9">
        <f>testdata[[#This Row],[Q1]]+testdata[[#This Row],[jI]]</f>
        <v>-7.8947691511978455</v>
      </c>
      <c r="Q51" s="9">
        <f>0.2*testdata[[#This Row],[I2]]+0.8*Q50</f>
        <v>6.4694545292599823</v>
      </c>
      <c r="R51" s="9">
        <f>0.2*testdata[[#This Row],[Q2]]+0.8*R50</f>
        <v>-3.5275224073503382</v>
      </c>
      <c r="S51" s="9">
        <f>testdata[[#This Row],[I2'']]*Q50+testdata[[#This Row],[Q2'']]*R50</f>
        <v>46.556777133146255</v>
      </c>
      <c r="T51" s="9">
        <f>testdata[[#This Row],[I2'']]*R50-testdata[[#This Row],[Q2'']]*Q50</f>
        <v>4.9428688677765518</v>
      </c>
      <c r="U51" s="9">
        <f>0.2*testdata[[#This Row],[Re]]+0.8*U50</f>
        <v>12.852442796126322</v>
      </c>
      <c r="V51" s="9">
        <f>0.2*testdata[[#This Row],[Im]]+0.8*V50</f>
        <v>0.18114727953005416</v>
      </c>
      <c r="W51" s="9">
        <f>IF(AND(testdata[[#This Row],[Re'']]&lt;&gt;0,testdata[[#This Row],[Im'']]&lt;&gt;0),2*PI()/ATAN(testdata[[#This Row],[Im'']]/testdata[[#This Row],[Re'']]),0)</f>
        <v>445.8230175417936</v>
      </c>
      <c r="X51" s="9">
        <f>IF(testdata[[#This Row],[pd-atan]]&gt;1.5*Z50,1.5*Z50,IF(testdata[[#This Row],[pd-atan]]&lt;0.67*Z50,0.67*Z50,testdata[[#This Row],[pd-atan]]))</f>
        <v>48.785305730212883</v>
      </c>
      <c r="Y51" s="9">
        <f>IF(testdata[[#This Row],[pd-limit1]]&lt;6,6,IF(testdata[[#This Row],[pd-limit1]]&gt;50,50,testdata[[#This Row],[pd-limit1]]))</f>
        <v>48.785305730212883</v>
      </c>
      <c r="Z51" s="14">
        <f>0.2*testdata[[#This Row],[pd-limit2]]+0.8*Z50</f>
        <v>35.775890868822785</v>
      </c>
      <c r="AA51" s="14">
        <f>0.33*testdata[[#This Row],[period]]+0.67*AA50</f>
        <v>34.80492042705481</v>
      </c>
      <c r="AB51" s="31">
        <f>TRUNC(testdata[[#This Row],[SmPd]]+0.5,0)</f>
        <v>35</v>
      </c>
      <c r="AC51" s="14">
        <f ca="1">IF(testdata[[#This Row],[PdInt]]&lt;=0,0,AVERAGE(OFFSET(testdata[[#This Row],[price]],0,0,-testdata[[#This Row],[PdInt]],1)))</f>
        <v>220.69142857142859</v>
      </c>
      <c r="AD51" s="14">
        <f ca="1">IF(testdata[[#This Row],[i]]&lt;11,testdata[[#This Row],[price]],(4*testdata[[#This Row],[iTrend]]+3*AC50+2*AC49+AC48)/10)</f>
        <v>220.44524831932776</v>
      </c>
      <c r="AE51" s="14">
        <f>(4*testdata[[#This Row],[price]]+3*H50+2*H49+H48)/10</f>
        <v>224.47300000000001</v>
      </c>
      <c r="AF51" t="str">
        <f ca="1">IF(OR(ROUND(testdata[[#This Row],[Trendline]],4)&lt;&gt;Table3[[#This Row],[Trendline]],ROUND(testdata[[#This Row],[SmPrice]],4)&lt;&gt;Table3[[#This Row],[SmPrice]]),"ERR","")</f>
        <v>ERR</v>
      </c>
      <c r="AG51" s="3">
        <v>42809</v>
      </c>
      <c r="AH51" s="14">
        <v>38.186799999999998</v>
      </c>
      <c r="AI51" s="34">
        <v>38</v>
      </c>
      <c r="AJ51" s="14">
        <v>220.1711</v>
      </c>
      <c r="AK51" s="14">
        <v>219.99619999999999</v>
      </c>
      <c r="AL51" s="14">
        <v>224.47300000000001</v>
      </c>
      <c r="AN51" s="38">
        <f t="shared" si="1"/>
        <v>-0.44907689132000428</v>
      </c>
      <c r="AO51" s="38">
        <f t="shared" si="2"/>
        <v>0</v>
      </c>
      <c r="AQ51" s="37">
        <v>42809</v>
      </c>
      <c r="AR51">
        <v>35</v>
      </c>
      <c r="AS51">
        <v>220.44524831932699</v>
      </c>
      <c r="AT51">
        <v>224.47300000000001</v>
      </c>
      <c r="AV51" s="37">
        <v>42809</v>
      </c>
      <c r="AW51">
        <v>38</v>
      </c>
      <c r="AX51">
        <v>219.99617142800699</v>
      </c>
      <c r="AY51">
        <v>224.47300000000001</v>
      </c>
      <c r="BA51" s="38">
        <f>AX51-Table3[[#This Row],[Trendline]]</f>
        <v>-2.8571992999104623E-5</v>
      </c>
      <c r="BB51" s="38">
        <f>AY51-Table3[[#This Row],[SmPrice]]</f>
        <v>0</v>
      </c>
    </row>
    <row r="52" spans="1:54" x14ac:dyDescent="0.35">
      <c r="A52" s="6">
        <v>50</v>
      </c>
      <c r="B52" s="3">
        <v>42810</v>
      </c>
      <c r="C52" s="2">
        <v>225.9</v>
      </c>
      <c r="D52" s="2">
        <v>225.99</v>
      </c>
      <c r="E52" s="2">
        <v>224.95</v>
      </c>
      <c r="F52" s="2">
        <v>225.31</v>
      </c>
      <c r="G52" s="1">
        <v>82924856</v>
      </c>
      <c r="H52" s="30">
        <f>(testdata[[#This Row],[high]]+testdata[[#This Row],[low]])/2</f>
        <v>225.47</v>
      </c>
      <c r="I52" s="23">
        <f>(4*testdata[[#This Row],[price]]+3*H51+2*H50+H49)/10</f>
        <v>224.91600000000003</v>
      </c>
      <c r="J52" s="9">
        <f>(0.0962*testdata[[#This Row],[smooth]]+0.5769*I50-0.5769*I48-0.0962*I46)*(0.075*$Z51+0.54)</f>
        <v>0.32443472346406782</v>
      </c>
      <c r="K52" s="14">
        <f t="shared" si="0"/>
        <v>-1.8127283006948012</v>
      </c>
      <c r="L52" s="14">
        <f>(0.0962*testdata[[#This Row],[detrender]]+0.5769*J50-0.5769*J48-0.0962*J46)*(0.075*$Z51+0.54)</f>
        <v>1.9238934620986312</v>
      </c>
      <c r="M52" s="9">
        <f>(0.0962*testdata[[#This Row],[I1]]+0.5769*K50-0.5769*K48-0.0962*K46)*(0.075*$Z51+0.54)</f>
        <v>-7.5885873955866066</v>
      </c>
      <c r="N52" s="9">
        <f>(0.0962*testdata[[#This Row],[Q1]]+0.5769*L50-0.5769*L48-0.0962*L46)*(0.075*$Z51+0.54)</f>
        <v>4.1492839968248889</v>
      </c>
      <c r="O52" s="9">
        <f>testdata[[#This Row],[I1]]-testdata[[#This Row],[JQ]]</f>
        <v>-5.9620122975196903</v>
      </c>
      <c r="P52" s="9">
        <f>testdata[[#This Row],[Q1]]+testdata[[#This Row],[jI]]</f>
        <v>-5.6646939334879756</v>
      </c>
      <c r="Q52" s="9">
        <f>0.2*testdata[[#This Row],[I2]]+0.8*Q51</f>
        <v>3.9831611639040476</v>
      </c>
      <c r="R52" s="9">
        <f>0.2*testdata[[#This Row],[Q2]]+0.8*R51</f>
        <v>-3.9549567125778662</v>
      </c>
      <c r="S52" s="9">
        <f>testdata[[#This Row],[I2'']]*Q51+testdata[[#This Row],[Q2'']]*R51</f>
        <v>39.72007845631056</v>
      </c>
      <c r="T52" s="9">
        <f>testdata[[#This Row],[I2'']]*R51-testdata[[#This Row],[Q2'']]*Q51</f>
        <v>11.535722359454867</v>
      </c>
      <c r="U52" s="9">
        <f>0.2*testdata[[#This Row],[Re]]+0.8*U51</f>
        <v>18.22596992816317</v>
      </c>
      <c r="V52" s="9">
        <f>0.2*testdata[[#This Row],[Im]]+0.8*V51</f>
        <v>2.4520622955150166</v>
      </c>
      <c r="W52" s="9">
        <f>IF(AND(testdata[[#This Row],[Re'']]&lt;&gt;0,testdata[[#This Row],[Im'']]&lt;&gt;0),2*PI()/ATAN(testdata[[#This Row],[Im'']]/testdata[[#This Row],[Re'']]),0)</f>
        <v>46.982806319399081</v>
      </c>
      <c r="X52" s="9">
        <f>IF(testdata[[#This Row],[pd-atan]]&gt;1.5*Z51,1.5*Z51,IF(testdata[[#This Row],[pd-atan]]&lt;0.67*Z51,0.67*Z51,testdata[[#This Row],[pd-atan]]))</f>
        <v>46.982806319399081</v>
      </c>
      <c r="Y52" s="9">
        <f>IF(testdata[[#This Row],[pd-limit1]]&lt;6,6,IF(testdata[[#This Row],[pd-limit1]]&gt;50,50,testdata[[#This Row],[pd-limit1]]))</f>
        <v>46.982806319399081</v>
      </c>
      <c r="Z52" s="14">
        <f>0.2*testdata[[#This Row],[pd-limit2]]+0.8*Z51</f>
        <v>38.017273958938048</v>
      </c>
      <c r="AA52" s="14">
        <f>0.33*testdata[[#This Row],[period]]+0.67*AA51</f>
        <v>35.864997092576282</v>
      </c>
      <c r="AB52" s="31">
        <f>TRUNC(testdata[[#This Row],[SmPd]]+0.5,0)</f>
        <v>36</v>
      </c>
      <c r="AC52" s="14">
        <f ca="1">IF(testdata[[#This Row],[PdInt]]&lt;=0,0,AVERAGE(OFFSET(testdata[[#This Row],[price]],0,0,-testdata[[#This Row],[PdInt]],1)))</f>
        <v>220.82416666666668</v>
      </c>
      <c r="AD52" s="14">
        <f ca="1">IF(testdata[[#This Row],[i]]&lt;11,testdata[[#This Row],[price]],(4*testdata[[#This Row],[iTrend]]+3*AC51+2*AC50+AC49)/10)</f>
        <v>220.65903221288517</v>
      </c>
      <c r="AE52" s="14">
        <f>(4*testdata[[#This Row],[price]]+3*H51+2*H50+H49)/10</f>
        <v>224.91600000000003</v>
      </c>
      <c r="AF52" t="str">
        <f ca="1">IF(OR(ROUND(testdata[[#This Row],[Trendline]],4)&lt;&gt;Table3[[#This Row],[Trendline]],ROUND(testdata[[#This Row],[SmPrice]],4)&lt;&gt;Table3[[#This Row],[SmPrice]]),"ERR","")</f>
        <v>ERR</v>
      </c>
      <c r="AG52" s="3">
        <v>42810</v>
      </c>
      <c r="AH52" s="14">
        <v>39.433700000000002</v>
      </c>
      <c r="AI52" s="34">
        <v>39</v>
      </c>
      <c r="AJ52" s="14">
        <v>220.30690000000001</v>
      </c>
      <c r="AK52" s="14">
        <v>220.15780000000001</v>
      </c>
      <c r="AL52" s="14">
        <v>224.916</v>
      </c>
      <c r="AN52" s="38">
        <f t="shared" si="1"/>
        <v>-0.50119043588600221</v>
      </c>
      <c r="AO52" s="38">
        <f t="shared" si="2"/>
        <v>0</v>
      </c>
      <c r="AQ52" s="37">
        <v>42810</v>
      </c>
      <c r="AR52">
        <v>36</v>
      </c>
      <c r="AS52">
        <v>220.65903221288499</v>
      </c>
      <c r="AT52">
        <v>224.916</v>
      </c>
      <c r="AV52" s="37">
        <v>42810</v>
      </c>
      <c r="AW52">
        <v>39</v>
      </c>
      <c r="AX52">
        <v>220.15784177699899</v>
      </c>
      <c r="AY52">
        <v>224.916</v>
      </c>
      <c r="BA52" s="38">
        <f>AX52-Table3[[#This Row],[Trendline]]</f>
        <v>4.1776998983777958E-5</v>
      </c>
      <c r="BB52" s="38">
        <f>AY52-Table3[[#This Row],[SmPrice]]</f>
        <v>0</v>
      </c>
    </row>
    <row r="53" spans="1:54" x14ac:dyDescent="0.35">
      <c r="A53" s="6">
        <v>51</v>
      </c>
      <c r="B53" s="3">
        <v>42811</v>
      </c>
      <c r="C53" s="2">
        <v>225.59</v>
      </c>
      <c r="D53" s="2">
        <v>225.8</v>
      </c>
      <c r="E53" s="2">
        <v>224.91</v>
      </c>
      <c r="F53" s="2">
        <v>224.91</v>
      </c>
      <c r="G53" s="1">
        <v>93798120</v>
      </c>
      <c r="H53" s="30">
        <f>(testdata[[#This Row],[high]]+testdata[[#This Row],[low]])/2</f>
        <v>225.35500000000002</v>
      </c>
      <c r="I53" s="23">
        <f>(4*testdata[[#This Row],[price]]+3*H52+2*H51+H50)/10</f>
        <v>225.18549999999996</v>
      </c>
      <c r="J53" s="9">
        <f>(0.0962*testdata[[#This Row],[smooth]]+0.5769*I51-0.5769*I49-0.0962*I47)*(0.075*$Z52+0.54)</f>
        <v>1.1621922361158104</v>
      </c>
      <c r="K53" s="14">
        <f t="shared" si="0"/>
        <v>-0.87365128138105452</v>
      </c>
      <c r="L53" s="14">
        <f>(0.0962*testdata[[#This Row],[detrender]]+0.5769*J51-0.5769*J49-0.0962*J47)*(0.075*$Z52+0.54)</f>
        <v>5.330457251627573</v>
      </c>
      <c r="M53" s="9">
        <f>(0.0962*testdata[[#This Row],[I1]]+0.5769*K51-0.5769*K49-0.0962*K47)*(0.075*$Z52+0.54)</f>
        <v>-5.0544361884919509</v>
      </c>
      <c r="N53" s="9">
        <f>(0.0962*testdata[[#This Row],[Q1]]+0.5769*L51-0.5769*L49-0.0962*L47)*(0.075*$Z52+0.54)</f>
        <v>16.241483217728174</v>
      </c>
      <c r="O53" s="9">
        <f>testdata[[#This Row],[I1]]-testdata[[#This Row],[JQ]]</f>
        <v>-17.115134499109228</v>
      </c>
      <c r="P53" s="9">
        <f>testdata[[#This Row],[Q1]]+testdata[[#This Row],[jI]]</f>
        <v>0.27602106313562214</v>
      </c>
      <c r="Q53" s="9">
        <f>0.2*testdata[[#This Row],[I2]]+0.8*Q52</f>
        <v>-0.23649796869860751</v>
      </c>
      <c r="R53" s="9">
        <f>0.2*testdata[[#This Row],[Q2]]+0.8*R52</f>
        <v>-3.1087611574351683</v>
      </c>
      <c r="S53" s="9">
        <f>testdata[[#This Row],[I2'']]*Q52+testdata[[#This Row],[Q2'']]*R52</f>
        <v>11.353006283137068</v>
      </c>
      <c r="T53" s="9">
        <f>testdata[[#This Row],[I2'']]*R52-testdata[[#This Row],[Q2'']]*Q52</f>
        <v>13.318035938964748</v>
      </c>
      <c r="U53" s="9">
        <f>0.2*testdata[[#This Row],[Re]]+0.8*U52</f>
        <v>16.851377199157952</v>
      </c>
      <c r="V53" s="9">
        <f>0.2*testdata[[#This Row],[Im]]+0.8*V52</f>
        <v>4.6252570242049629</v>
      </c>
      <c r="W53" s="9">
        <f>IF(AND(testdata[[#This Row],[Re'']]&lt;&gt;0,testdata[[#This Row],[Im'']]&lt;&gt;0),2*PI()/ATAN(testdata[[#This Row],[Im'']]/testdata[[#This Row],[Re'']]),0)</f>
        <v>23.455513261196742</v>
      </c>
      <c r="X53" s="9">
        <f>IF(testdata[[#This Row],[pd-atan]]&gt;1.5*Z52,1.5*Z52,IF(testdata[[#This Row],[pd-atan]]&lt;0.67*Z52,0.67*Z52,testdata[[#This Row],[pd-atan]]))</f>
        <v>25.471573552488493</v>
      </c>
      <c r="Y53" s="9">
        <f>IF(testdata[[#This Row],[pd-limit1]]&lt;6,6,IF(testdata[[#This Row],[pd-limit1]]&gt;50,50,testdata[[#This Row],[pd-limit1]]))</f>
        <v>25.471573552488493</v>
      </c>
      <c r="Z53" s="14">
        <f>0.2*testdata[[#This Row],[pd-limit2]]+0.8*Z52</f>
        <v>35.508133877648135</v>
      </c>
      <c r="AA53" s="14">
        <f>0.33*testdata[[#This Row],[period]]+0.67*AA52</f>
        <v>35.747232231649996</v>
      </c>
      <c r="AB53" s="31">
        <f>TRUNC(testdata[[#This Row],[SmPd]]+0.5,0)</f>
        <v>36</v>
      </c>
      <c r="AC53" s="14">
        <f ca="1">IF(testdata[[#This Row],[PdInt]]&lt;=0,0,AVERAGE(OFFSET(testdata[[#This Row],[price]],0,0,-testdata[[#This Row],[PdInt]],1)))</f>
        <v>221.07319444444445</v>
      </c>
      <c r="AD53" s="14">
        <f ca="1">IF(testdata[[#This Row],[i]]&lt;11,testdata[[#This Row],[price]],(4*testdata[[#This Row],[iTrend]]+3*AC52+2*AC51+AC50)/10)</f>
        <v>220.87071055088705</v>
      </c>
      <c r="AE53" s="14">
        <f>(4*testdata[[#This Row],[price]]+3*H52+2*H51+H50)/10</f>
        <v>225.18549999999996</v>
      </c>
      <c r="AF53" t="str">
        <f ca="1">IF(OR(ROUND(testdata[[#This Row],[Trendline]],4)&lt;&gt;Table3[[#This Row],[Trendline]],ROUND(testdata[[#This Row],[SmPrice]],4)&lt;&gt;Table3[[#This Row],[SmPrice]]),"ERR","")</f>
        <v>ERR</v>
      </c>
      <c r="AG53" s="3">
        <v>42811</v>
      </c>
      <c r="AH53" s="14">
        <v>39.354999999999997</v>
      </c>
      <c r="AI53" s="34">
        <v>39</v>
      </c>
      <c r="AJ53" s="14">
        <v>220.595</v>
      </c>
      <c r="AK53" s="14">
        <v>220.36779999999999</v>
      </c>
      <c r="AL53" s="14">
        <v>225.18549999999999</v>
      </c>
      <c r="AN53" s="38">
        <f t="shared" si="1"/>
        <v>-0.50289607446799778</v>
      </c>
      <c r="AO53" s="38">
        <f t="shared" si="2"/>
        <v>0</v>
      </c>
      <c r="AQ53" s="37">
        <v>42811</v>
      </c>
      <c r="AR53">
        <v>36</v>
      </c>
      <c r="AS53">
        <v>220.870710550887</v>
      </c>
      <c r="AT53">
        <v>225.185499999999</v>
      </c>
      <c r="AV53" s="37">
        <v>42811</v>
      </c>
      <c r="AW53">
        <v>39</v>
      </c>
      <c r="AX53">
        <v>220.367814476419</v>
      </c>
      <c r="AY53">
        <v>225.185499999999</v>
      </c>
      <c r="BA53" s="38">
        <f>AX53-Table3[[#This Row],[Trendline]]</f>
        <v>1.4476419011089092E-5</v>
      </c>
      <c r="BB53" s="38">
        <f>AY53-Table3[[#This Row],[SmPrice]]</f>
        <v>-9.9475983006414026E-13</v>
      </c>
    </row>
    <row r="54" spans="1:54" x14ac:dyDescent="0.35">
      <c r="A54" s="6">
        <v>52</v>
      </c>
      <c r="B54" s="3">
        <v>42814</v>
      </c>
      <c r="C54" s="2">
        <v>224.91</v>
      </c>
      <c r="D54" s="2">
        <v>225.22</v>
      </c>
      <c r="E54" s="2">
        <v>224.24</v>
      </c>
      <c r="F54" s="2">
        <v>224.66</v>
      </c>
      <c r="G54" s="1">
        <v>55368008</v>
      </c>
      <c r="H54" s="30">
        <f>(testdata[[#This Row],[high]]+testdata[[#This Row],[low]])/2</f>
        <v>224.73000000000002</v>
      </c>
      <c r="I54" s="23">
        <f>(4*testdata[[#This Row],[price]]+3*H53+2*H52+H51)/10</f>
        <v>225.11200000000002</v>
      </c>
      <c r="J54" s="9">
        <f>(0.0962*testdata[[#This Row],[smooth]]+0.5769*I52-0.5769*I50-0.0962*I48)*(0.075*$Z53+0.54)</f>
        <v>2.1324858846065662</v>
      </c>
      <c r="K54" s="14">
        <f t="shared" si="0"/>
        <v>0.4568834404537036</v>
      </c>
      <c r="L54" s="14">
        <f>(0.0962*testdata[[#This Row],[detrender]]+0.5769*J52-0.5769*J50-0.0962*J48)*(0.075*$Z53+0.54)</f>
        <v>3.4415680096524248</v>
      </c>
      <c r="M54" s="9">
        <f>(0.0962*testdata[[#This Row],[I1]]+0.5769*K52-0.5769*K50-0.0962*K48)*(0.075*$Z53+0.54)</f>
        <v>-0.86802986844015861</v>
      </c>
      <c r="N54" s="9">
        <f>(0.0962*testdata[[#This Row],[Q1]]+0.5769*L52-0.5769*L50-0.0962*L48)*(0.075*$Z53+0.54)</f>
        <v>15.566244890346704</v>
      </c>
      <c r="O54" s="9">
        <f>testdata[[#This Row],[I1]]-testdata[[#This Row],[JQ]]</f>
        <v>-15.109361449893001</v>
      </c>
      <c r="P54" s="9">
        <f>testdata[[#This Row],[Q1]]+testdata[[#This Row],[jI]]</f>
        <v>2.573538141212266</v>
      </c>
      <c r="Q54" s="9">
        <f>0.2*testdata[[#This Row],[I2]]+0.8*Q53</f>
        <v>-3.2110706649374863</v>
      </c>
      <c r="R54" s="9">
        <f>0.2*testdata[[#This Row],[Q2]]+0.8*R53</f>
        <v>-1.9723012977056817</v>
      </c>
      <c r="S54" s="9">
        <f>testdata[[#This Row],[I2'']]*Q53+testdata[[#This Row],[Q2'']]*R53</f>
        <v>6.8908253546718017</v>
      </c>
      <c r="T54" s="9">
        <f>testdata[[#This Row],[I2'']]*R53-testdata[[#This Row],[Q2'']]*Q53</f>
        <v>9.5160065063681536</v>
      </c>
      <c r="U54" s="9">
        <f>0.2*testdata[[#This Row],[Re]]+0.8*U53</f>
        <v>14.859266830260722</v>
      </c>
      <c r="V54" s="9">
        <f>0.2*testdata[[#This Row],[Im]]+0.8*V53</f>
        <v>5.6034069206376014</v>
      </c>
      <c r="W54" s="9">
        <f>IF(AND(testdata[[#This Row],[Re'']]&lt;&gt;0,testdata[[#This Row],[Im'']]&lt;&gt;0),2*PI()/ATAN(testdata[[#This Row],[Im'']]/testdata[[#This Row],[Re'']]),0)</f>
        <v>17.423809391673228</v>
      </c>
      <c r="X54" s="9">
        <f>IF(testdata[[#This Row],[pd-atan]]&gt;1.5*Z53,1.5*Z53,IF(testdata[[#This Row],[pd-atan]]&lt;0.67*Z53,0.67*Z53,testdata[[#This Row],[pd-atan]]))</f>
        <v>23.790449698024251</v>
      </c>
      <c r="Y54" s="9">
        <f>IF(testdata[[#This Row],[pd-limit1]]&lt;6,6,IF(testdata[[#This Row],[pd-limit1]]&gt;50,50,testdata[[#This Row],[pd-limit1]]))</f>
        <v>23.790449698024251</v>
      </c>
      <c r="Z54" s="14">
        <f>0.2*testdata[[#This Row],[pd-limit2]]+0.8*Z53</f>
        <v>33.164597041723361</v>
      </c>
      <c r="AA54" s="14">
        <f>0.33*testdata[[#This Row],[period]]+0.67*AA53</f>
        <v>34.894962618974205</v>
      </c>
      <c r="AB54" s="31">
        <f>TRUNC(testdata[[#This Row],[SmPd]]+0.5,0)</f>
        <v>35</v>
      </c>
      <c r="AC54" s="14">
        <f ca="1">IF(testdata[[#This Row],[PdInt]]&lt;=0,0,AVERAGE(OFFSET(testdata[[#This Row],[price]],0,0,-testdata[[#This Row],[PdInt]],1)))</f>
        <v>221.43314285714285</v>
      </c>
      <c r="AD54" s="14">
        <f ca="1">IF(testdata[[#This Row],[i]]&lt;11,testdata[[#This Row],[price]],(4*testdata[[#This Row],[iTrend]]+3*AC53+2*AC52+AC51)/10)</f>
        <v>221.12919166666666</v>
      </c>
      <c r="AE54" s="14">
        <f>(4*testdata[[#This Row],[price]]+3*H53+2*H52+H51)/10</f>
        <v>225.11200000000002</v>
      </c>
      <c r="AF54" t="str">
        <f ca="1">IF(OR(ROUND(testdata[[#This Row],[Trendline]],4)&lt;&gt;Table3[[#This Row],[Trendline]],ROUND(testdata[[#This Row],[SmPrice]],4)&lt;&gt;Table3[[#This Row],[SmPrice]]),"ERR","")</f>
        <v>ERR</v>
      </c>
      <c r="AG54" s="3">
        <v>42814</v>
      </c>
      <c r="AH54" s="14">
        <v>38.448700000000002</v>
      </c>
      <c r="AI54" s="34">
        <v>38</v>
      </c>
      <c r="AJ54" s="14">
        <v>221.0462</v>
      </c>
      <c r="AK54" s="14">
        <v>220.6755</v>
      </c>
      <c r="AL54" s="14">
        <v>225.11199999999999</v>
      </c>
      <c r="AN54" s="38">
        <f t="shared" si="1"/>
        <v>-0.45372810391299367</v>
      </c>
      <c r="AO54" s="38">
        <f t="shared" si="2"/>
        <v>0</v>
      </c>
      <c r="AQ54" s="37">
        <v>42814</v>
      </c>
      <c r="AR54">
        <v>35</v>
      </c>
      <c r="AS54">
        <v>221.129191666666</v>
      </c>
      <c r="AT54">
        <v>225.11199999999999</v>
      </c>
      <c r="AV54" s="37">
        <v>42814</v>
      </c>
      <c r="AW54">
        <v>38</v>
      </c>
      <c r="AX54">
        <v>220.67546356275301</v>
      </c>
      <c r="AY54">
        <v>225.11199999999999</v>
      </c>
      <c r="BA54" s="38">
        <f>AX54-Table3[[#This Row],[Trendline]]</f>
        <v>-3.6437246990317362E-5</v>
      </c>
      <c r="BB54" s="38">
        <f>AY54-Table3[[#This Row],[SmPrice]]</f>
        <v>0</v>
      </c>
    </row>
    <row r="55" spans="1:54" x14ac:dyDescent="0.35">
      <c r="A55" s="6">
        <v>53</v>
      </c>
      <c r="B55" s="3">
        <v>42815</v>
      </c>
      <c r="C55" s="2">
        <v>225.33</v>
      </c>
      <c r="D55" s="2">
        <v>225.46</v>
      </c>
      <c r="E55" s="2">
        <v>221.64</v>
      </c>
      <c r="F55" s="2">
        <v>221.78</v>
      </c>
      <c r="G55" s="1">
        <v>138912016</v>
      </c>
      <c r="H55" s="30">
        <f>(testdata[[#This Row],[high]]+testdata[[#This Row],[low]])/2</f>
        <v>223.55</v>
      </c>
      <c r="I55" s="23">
        <f>(4*testdata[[#This Row],[price]]+3*H54+2*H53+H52)/10</f>
        <v>224.45700000000002</v>
      </c>
      <c r="J55" s="9">
        <f>(0.0962*testdata[[#This Row],[smooth]]+0.5769*I53-0.5769*I51-0.0962*I49)*(0.075*$Z54+0.54)</f>
        <v>1.346585511030324</v>
      </c>
      <c r="K55" s="14">
        <f t="shared" si="0"/>
        <v>0.32443472346406782</v>
      </c>
      <c r="L55" s="14">
        <f>(0.0962*testdata[[#This Row],[detrender]]+0.5769*J53-0.5769*J51-0.0962*J49)*(0.075*$Z54+0.54)</f>
        <v>2.1518930765232156</v>
      </c>
      <c r="M55" s="9">
        <f>(0.0962*testdata[[#This Row],[I1]]+0.5769*K53-0.5769*K51-0.0962*K49)*(0.075*$Z54+0.54)</f>
        <v>1.8069941722872898</v>
      </c>
      <c r="N55" s="9">
        <f>(0.0962*testdata[[#This Row],[Q1]]+0.5769*L53-0.5769*L51-0.0962*L49)*(0.075*$Z54+0.54)</f>
        <v>13.633759430896152</v>
      </c>
      <c r="O55" s="9">
        <f>testdata[[#This Row],[I1]]-testdata[[#This Row],[JQ]]</f>
        <v>-13.309324707432085</v>
      </c>
      <c r="P55" s="9">
        <f>testdata[[#This Row],[Q1]]+testdata[[#This Row],[jI]]</f>
        <v>3.9588872488105054</v>
      </c>
      <c r="Q55" s="9">
        <f>0.2*testdata[[#This Row],[I2]]+0.8*Q54</f>
        <v>-5.2307214734364065</v>
      </c>
      <c r="R55" s="9">
        <f>0.2*testdata[[#This Row],[Q2]]+0.8*R54</f>
        <v>-0.7860635884024445</v>
      </c>
      <c r="S55" s="9">
        <f>testdata[[#This Row],[I2'']]*Q54+testdata[[#This Row],[Q2'']]*R54</f>
        <v>18.346570515295557</v>
      </c>
      <c r="T55" s="9">
        <f>testdata[[#This Row],[I2'']]*R54-testdata[[#This Row],[Q2'']]*Q54</f>
        <v>7.7924530205010161</v>
      </c>
      <c r="U55" s="9">
        <f>0.2*testdata[[#This Row],[Re]]+0.8*U54</f>
        <v>15.556727567267689</v>
      </c>
      <c r="V55" s="9">
        <f>0.2*testdata[[#This Row],[Im]]+0.8*V54</f>
        <v>6.0412161406102847</v>
      </c>
      <c r="W55" s="9">
        <f>IF(AND(testdata[[#This Row],[Re'']]&lt;&gt;0,testdata[[#This Row],[Im'']]&lt;&gt;0),2*PI()/ATAN(testdata[[#This Row],[Im'']]/testdata[[#This Row],[Re'']]),0)</f>
        <v>16.962796453315189</v>
      </c>
      <c r="X55" s="9">
        <f>IF(testdata[[#This Row],[pd-atan]]&gt;1.5*Z54,1.5*Z54,IF(testdata[[#This Row],[pd-atan]]&lt;0.67*Z54,0.67*Z54,testdata[[#This Row],[pd-atan]]))</f>
        <v>22.220280017954654</v>
      </c>
      <c r="Y55" s="9">
        <f>IF(testdata[[#This Row],[pd-limit1]]&lt;6,6,IF(testdata[[#This Row],[pd-limit1]]&gt;50,50,testdata[[#This Row],[pd-limit1]]))</f>
        <v>22.220280017954654</v>
      </c>
      <c r="Z55" s="14">
        <f>0.2*testdata[[#This Row],[pd-limit2]]+0.8*Z54</f>
        <v>30.975733636969622</v>
      </c>
      <c r="AA55" s="14">
        <f>0.33*testdata[[#This Row],[period]]+0.67*AA54</f>
        <v>33.601617054912694</v>
      </c>
      <c r="AB55" s="31">
        <f>TRUNC(testdata[[#This Row],[SmPd]]+0.5,0)</f>
        <v>34</v>
      </c>
      <c r="AC55" s="14">
        <f ca="1">IF(testdata[[#This Row],[PdInt]]&lt;=0,0,AVERAGE(OFFSET(testdata[[#This Row],[price]],0,0,-testdata[[#This Row],[PdInt]],1)))</f>
        <v>221.8982352941176</v>
      </c>
      <c r="AD55" s="14">
        <f ca="1">IF(testdata[[#This Row],[i]]&lt;11,testdata[[#This Row],[price]],(4*testdata[[#This Row],[iTrend]]+3*AC54+2*AC53+AC52)/10)</f>
        <v>221.48629253034545</v>
      </c>
      <c r="AE55" s="14">
        <f>(4*testdata[[#This Row],[price]]+3*H54+2*H53+H52)/10</f>
        <v>224.45700000000002</v>
      </c>
      <c r="AF55" t="str">
        <f ca="1">IF(OR(ROUND(testdata[[#This Row],[Trendline]],4)&lt;&gt;Table3[[#This Row],[Trendline]],ROUND(testdata[[#This Row],[SmPrice]],4)&lt;&gt;Table3[[#This Row],[SmPrice]]),"ERR","")</f>
        <v>ERR</v>
      </c>
      <c r="AG55" s="3">
        <v>42815</v>
      </c>
      <c r="AH55" s="14">
        <v>37.0441</v>
      </c>
      <c r="AI55" s="34">
        <v>37</v>
      </c>
      <c r="AJ55" s="14">
        <v>221.35740000000001</v>
      </c>
      <c r="AK55" s="14">
        <v>221.00649999999999</v>
      </c>
      <c r="AL55" s="14">
        <v>224.45699999999999</v>
      </c>
      <c r="AN55" s="38">
        <f t="shared" si="1"/>
        <v>-0.47977198652199604</v>
      </c>
      <c r="AO55" s="38">
        <f t="shared" si="2"/>
        <v>0</v>
      </c>
      <c r="AQ55" s="37">
        <v>42815</v>
      </c>
      <c r="AR55">
        <v>34</v>
      </c>
      <c r="AS55">
        <v>221.486292530345</v>
      </c>
      <c r="AT55">
        <v>224.456999999999</v>
      </c>
      <c r="AV55" s="37">
        <v>42815</v>
      </c>
      <c r="AW55">
        <v>37</v>
      </c>
      <c r="AX55">
        <v>221.006520543823</v>
      </c>
      <c r="AY55">
        <v>224.456999999999</v>
      </c>
      <c r="BA55" s="38">
        <f>AX55-Table3[[#This Row],[Trendline]]</f>
        <v>2.0543823012530993E-5</v>
      </c>
      <c r="BB55" s="38">
        <f>AY55-Table3[[#This Row],[SmPrice]]</f>
        <v>-9.9475983006414026E-13</v>
      </c>
    </row>
    <row r="56" spans="1:54" x14ac:dyDescent="0.35">
      <c r="A56" s="6">
        <v>54</v>
      </c>
      <c r="B56" s="3">
        <v>42816</v>
      </c>
      <c r="C56" s="2">
        <v>221.82</v>
      </c>
      <c r="D56" s="2">
        <v>222.61</v>
      </c>
      <c r="E56" s="2">
        <v>221.13</v>
      </c>
      <c r="F56" s="2">
        <v>222.3</v>
      </c>
      <c r="G56" s="1">
        <v>102826864</v>
      </c>
      <c r="H56" s="30">
        <f>(testdata[[#This Row],[high]]+testdata[[#This Row],[low]])/2</f>
        <v>221.87</v>
      </c>
      <c r="I56" s="23">
        <f>(4*testdata[[#This Row],[price]]+3*H55+2*H54+H53)/10</f>
        <v>223.29450000000003</v>
      </c>
      <c r="J56" s="9">
        <f>(0.0962*testdata[[#This Row],[smooth]]+0.5769*I54-0.5769*I52-0.0962*I50)*(0.075*$Z55+0.54)</f>
        <v>0.13961638849645222</v>
      </c>
      <c r="K56" s="14">
        <f t="shared" si="0"/>
        <v>1.1621922361158104</v>
      </c>
      <c r="L56" s="14">
        <f>(0.0962*testdata[[#This Row],[detrender]]+0.5769*J54-0.5769*J52-0.0962*J50)*(0.075*$Z55+0.54)</f>
        <v>3.2655743916162119</v>
      </c>
      <c r="M56" s="9">
        <f>(0.0962*testdata[[#This Row],[I1]]+0.5769*K54-0.5769*K52-0.0962*K50)*(0.075*$Z55+0.54)</f>
        <v>4.5003623258266536</v>
      </c>
      <c r="N56" s="9">
        <f>(0.0962*testdata[[#This Row],[Q1]]+0.5769*L54-0.5769*L52-0.0962*L50)*(0.075*$Z55+0.54)</f>
        <v>4.7001080438892657</v>
      </c>
      <c r="O56" s="9">
        <f>testdata[[#This Row],[I1]]-testdata[[#This Row],[JQ]]</f>
        <v>-3.5379158077734552</v>
      </c>
      <c r="P56" s="9">
        <f>testdata[[#This Row],[Q1]]+testdata[[#This Row],[jI]]</f>
        <v>7.765936717442866</v>
      </c>
      <c r="Q56" s="9">
        <f>0.2*testdata[[#This Row],[I2]]+0.8*Q55</f>
        <v>-4.8921603403038167</v>
      </c>
      <c r="R56" s="9">
        <f>0.2*testdata[[#This Row],[Q2]]+0.8*R55</f>
        <v>0.92433647276661757</v>
      </c>
      <c r="S56" s="9">
        <f>testdata[[#This Row],[I2'']]*Q55+testdata[[#This Row],[Q2'']]*R55</f>
        <v>24.862940898846947</v>
      </c>
      <c r="T56" s="9">
        <f>testdata[[#This Row],[I2'']]*R55-testdata[[#This Row],[Q2'']]*Q55</f>
        <v>8.6804957489201549</v>
      </c>
      <c r="U56" s="9">
        <f>0.2*testdata[[#This Row],[Re]]+0.8*U55</f>
        <v>17.417970233583542</v>
      </c>
      <c r="V56" s="9">
        <f>0.2*testdata[[#This Row],[Im]]+0.8*V55</f>
        <v>6.5690720622722587</v>
      </c>
      <c r="W56" s="9">
        <f>IF(AND(testdata[[#This Row],[Re'']]&lt;&gt;0,testdata[[#This Row],[Im'']]&lt;&gt;0),2*PI()/ATAN(testdata[[#This Row],[Im'']]/testdata[[#This Row],[Re'']]),0)</f>
        <v>17.421910468845756</v>
      </c>
      <c r="X56" s="9">
        <f>IF(testdata[[#This Row],[pd-atan]]&gt;1.5*Z55,1.5*Z55,IF(testdata[[#This Row],[pd-atan]]&lt;0.67*Z55,0.67*Z55,testdata[[#This Row],[pd-atan]]))</f>
        <v>20.753741536769649</v>
      </c>
      <c r="Y56" s="9">
        <f>IF(testdata[[#This Row],[pd-limit1]]&lt;6,6,IF(testdata[[#This Row],[pd-limit1]]&gt;50,50,testdata[[#This Row],[pd-limit1]]))</f>
        <v>20.753741536769649</v>
      </c>
      <c r="Z56" s="14">
        <f>0.2*testdata[[#This Row],[pd-limit2]]+0.8*Z55</f>
        <v>28.931335216929629</v>
      </c>
      <c r="AA56" s="14">
        <f>0.33*testdata[[#This Row],[period]]+0.67*AA55</f>
        <v>32.060424048378287</v>
      </c>
      <c r="AB56" s="31">
        <f>TRUNC(testdata[[#This Row],[SmPd]]+0.5,0)</f>
        <v>32</v>
      </c>
      <c r="AC56" s="14">
        <f ca="1">IF(testdata[[#This Row],[PdInt]]&lt;=0,0,AVERAGE(OFFSET(testdata[[#This Row],[price]],0,0,-testdata[[#This Row],[PdInt]],1)))</f>
        <v>222.49937499999999</v>
      </c>
      <c r="AD56" s="14">
        <f ca="1">IF(testdata[[#This Row],[i]]&lt;11,testdata[[#This Row],[price]],(4*testdata[[#This Row],[iTrend]]+3*AC55+2*AC54+AC53)/10)</f>
        <v>221.96316860410829</v>
      </c>
      <c r="AE56" s="14">
        <f>(4*testdata[[#This Row],[price]]+3*H55+2*H54+H53)/10</f>
        <v>223.29450000000003</v>
      </c>
      <c r="AF56" t="str">
        <f ca="1">IF(OR(ROUND(testdata[[#This Row],[Trendline]],4)&lt;&gt;Table3[[#This Row],[Trendline]],ROUND(testdata[[#This Row],[SmPrice]],4)&lt;&gt;Table3[[#This Row],[SmPrice]]),"ERR","")</f>
        <v>ERR</v>
      </c>
      <c r="AG56" s="3">
        <v>42816</v>
      </c>
      <c r="AH56" s="14">
        <v>35.3583</v>
      </c>
      <c r="AI56" s="34">
        <v>35</v>
      </c>
      <c r="AJ56" s="14">
        <v>221.8974</v>
      </c>
      <c r="AK56" s="14">
        <v>221.4349</v>
      </c>
      <c r="AL56" s="14">
        <v>223.2945</v>
      </c>
      <c r="AN56" s="38">
        <f t="shared" si="1"/>
        <v>-0.52823060370201347</v>
      </c>
      <c r="AO56" s="38">
        <f t="shared" si="2"/>
        <v>0</v>
      </c>
      <c r="AQ56" s="37">
        <v>42816</v>
      </c>
      <c r="AR56">
        <v>32</v>
      </c>
      <c r="AS56">
        <v>221.96316860410801</v>
      </c>
      <c r="AT56">
        <v>223.2945</v>
      </c>
      <c r="AV56" s="37">
        <v>42816</v>
      </c>
      <c r="AW56">
        <v>35</v>
      </c>
      <c r="AX56">
        <v>221.43493800040599</v>
      </c>
      <c r="AY56">
        <v>223.2945</v>
      </c>
      <c r="BA56" s="38">
        <f>AX56-Table3[[#This Row],[Trendline]]</f>
        <v>3.8000405993443565E-5</v>
      </c>
      <c r="BB56" s="38">
        <f>AY56-Table3[[#This Row],[SmPrice]]</f>
        <v>0</v>
      </c>
    </row>
    <row r="57" spans="1:54" x14ac:dyDescent="0.35">
      <c r="A57" s="6">
        <v>55</v>
      </c>
      <c r="B57" s="3">
        <v>42817</v>
      </c>
      <c r="C57" s="2">
        <v>222.04</v>
      </c>
      <c r="D57" s="2">
        <v>223.31</v>
      </c>
      <c r="E57" s="2">
        <v>221.66</v>
      </c>
      <c r="F57" s="2">
        <v>222.06</v>
      </c>
      <c r="G57" s="1">
        <v>105821032</v>
      </c>
      <c r="H57" s="30">
        <f>(testdata[[#This Row],[high]]+testdata[[#This Row],[low]])/2</f>
        <v>222.48500000000001</v>
      </c>
      <c r="I57" s="23">
        <f>(4*testdata[[#This Row],[price]]+3*H56+2*H55+H54)/10</f>
        <v>222.738</v>
      </c>
      <c r="J57" s="9">
        <f>(0.0962*testdata[[#This Row],[smooth]]+0.5769*I55-0.5769*I53-0.0962*I51)*(0.075*$Z56+0.54)</f>
        <v>-1.5911661476529257</v>
      </c>
      <c r="K57" s="14">
        <f t="shared" si="0"/>
        <v>2.1324858846065662</v>
      </c>
      <c r="L57" s="14">
        <f>(0.0962*testdata[[#This Row],[detrender]]+0.5769*J55-0.5769*J53-0.0962*J51)*(0.075*$Z56+0.54)</f>
        <v>-0.24563677803250669</v>
      </c>
      <c r="M57" s="9">
        <f>(0.0962*testdata[[#This Row],[I1]]+0.5769*K55-0.5769*K53-0.0962*K51)*(0.075*$Z56+0.54)</f>
        <v>2.9115870008474536</v>
      </c>
      <c r="N57" s="9">
        <f>(0.0962*testdata[[#This Row],[Q1]]+0.5769*L55-0.5769*L53-0.0962*L51)*(0.075*$Z56+0.54)</f>
        <v>-4.8226526795771365</v>
      </c>
      <c r="O57" s="9">
        <f>testdata[[#This Row],[I1]]-testdata[[#This Row],[JQ]]</f>
        <v>6.9551385641837022</v>
      </c>
      <c r="P57" s="9">
        <f>testdata[[#This Row],[Q1]]+testdata[[#This Row],[jI]]</f>
        <v>2.665950222814947</v>
      </c>
      <c r="Q57" s="9">
        <f>0.2*testdata[[#This Row],[I2]]+0.8*Q56</f>
        <v>-2.5227005594063132</v>
      </c>
      <c r="R57" s="9">
        <f>0.2*testdata[[#This Row],[Q2]]+0.8*R56</f>
        <v>1.2726592227762836</v>
      </c>
      <c r="S57" s="9">
        <f>testdata[[#This Row],[I2'']]*Q56+testdata[[#This Row],[Q2'']]*R56</f>
        <v>13.517820964204754</v>
      </c>
      <c r="T57" s="9">
        <f>testdata[[#This Row],[I2'']]*R56-testdata[[#This Row],[Q2'']]*Q56</f>
        <v>3.8942288394600104</v>
      </c>
      <c r="U57" s="9">
        <f>0.2*testdata[[#This Row],[Re]]+0.8*U56</f>
        <v>16.637940379707786</v>
      </c>
      <c r="V57" s="9">
        <f>0.2*testdata[[#This Row],[Im]]+0.8*V56</f>
        <v>6.034103417709809</v>
      </c>
      <c r="W57" s="9">
        <f>IF(AND(testdata[[#This Row],[Re'']]&lt;&gt;0,testdata[[#This Row],[Im'']]&lt;&gt;0),2*PI()/ATAN(testdata[[#This Row],[Im'']]/testdata[[#This Row],[Re'']]),0)</f>
        <v>18.059365766137049</v>
      </c>
      <c r="X57" s="9">
        <f>IF(testdata[[#This Row],[pd-atan]]&gt;1.5*Z56,1.5*Z56,IF(testdata[[#This Row],[pd-atan]]&lt;0.67*Z56,0.67*Z56,testdata[[#This Row],[pd-atan]]))</f>
        <v>19.383994595342852</v>
      </c>
      <c r="Y57" s="9">
        <f>IF(testdata[[#This Row],[pd-limit1]]&lt;6,6,IF(testdata[[#This Row],[pd-limit1]]&gt;50,50,testdata[[#This Row],[pd-limit1]]))</f>
        <v>19.383994595342852</v>
      </c>
      <c r="Z57" s="14">
        <f>0.2*testdata[[#This Row],[pd-limit2]]+0.8*Z56</f>
        <v>27.021867092612275</v>
      </c>
      <c r="AA57" s="14">
        <f>0.33*testdata[[#This Row],[period]]+0.67*AA56</f>
        <v>30.397700252975504</v>
      </c>
      <c r="AB57" s="31">
        <f>TRUNC(testdata[[#This Row],[SmPd]]+0.5,0)</f>
        <v>30</v>
      </c>
      <c r="AC57" s="14">
        <f ca="1">IF(testdata[[#This Row],[PdInt]]&lt;=0,0,AVERAGE(OFFSET(testdata[[#This Row],[price]],0,0,-testdata[[#This Row],[PdInt]],1)))</f>
        <v>223.11449999999996</v>
      </c>
      <c r="AD57" s="14">
        <f ca="1">IF(testdata[[#This Row],[i]]&lt;11,testdata[[#This Row],[price]],(4*testdata[[#This Row],[iTrend]]+3*AC56+2*AC55+AC54)/10)</f>
        <v>222.5185738445378</v>
      </c>
      <c r="AE57" s="14">
        <f>(4*testdata[[#This Row],[price]]+3*H56+2*H55+H54)/10</f>
        <v>222.738</v>
      </c>
      <c r="AF57" t="str">
        <f ca="1">IF(OR(ROUND(testdata[[#This Row],[Trendline]],4)&lt;&gt;Table3[[#This Row],[Trendline]],ROUND(testdata[[#This Row],[SmPrice]],4)&lt;&gt;Table3[[#This Row],[SmPrice]]),"ERR","")</f>
        <v>ERR</v>
      </c>
      <c r="AG57" s="3">
        <v>42817</v>
      </c>
      <c r="AH57" s="14">
        <v>33.533299999999997</v>
      </c>
      <c r="AI57" s="34">
        <v>34</v>
      </c>
      <c r="AJ57" s="14">
        <v>222.31819999999999</v>
      </c>
      <c r="AK57" s="14">
        <v>221.87260000000001</v>
      </c>
      <c r="AL57" s="14">
        <v>222.738</v>
      </c>
      <c r="AN57" s="38">
        <f t="shared" si="1"/>
        <v>-0.64594624792300692</v>
      </c>
      <c r="AO57" s="38">
        <f t="shared" si="2"/>
        <v>0</v>
      </c>
      <c r="AQ57" s="37">
        <v>42817</v>
      </c>
      <c r="AR57">
        <v>30</v>
      </c>
      <c r="AS57">
        <v>222.518573844537</v>
      </c>
      <c r="AT57">
        <v>222.738</v>
      </c>
      <c r="AV57" s="37">
        <v>42817</v>
      </c>
      <c r="AW57">
        <v>34</v>
      </c>
      <c r="AX57">
        <v>221.872627596614</v>
      </c>
      <c r="AY57">
        <v>222.738</v>
      </c>
      <c r="BA57" s="38">
        <f>AX57-Table3[[#This Row],[Trendline]]</f>
        <v>2.7596613989544494E-5</v>
      </c>
      <c r="BB57" s="38">
        <f>AY57-Table3[[#This Row],[SmPrice]]</f>
        <v>0</v>
      </c>
    </row>
    <row r="58" spans="1:54" x14ac:dyDescent="0.35">
      <c r="A58" s="6">
        <v>56</v>
      </c>
      <c r="B58" s="3">
        <v>42818</v>
      </c>
      <c r="C58" s="2">
        <v>222.4</v>
      </c>
      <c r="D58" s="2">
        <v>223.02</v>
      </c>
      <c r="E58" s="2">
        <v>221.05</v>
      </c>
      <c r="F58" s="2">
        <v>221.9</v>
      </c>
      <c r="G58" s="1">
        <v>118567344</v>
      </c>
      <c r="H58" s="30">
        <f>(testdata[[#This Row],[high]]+testdata[[#This Row],[low]])/2</f>
        <v>222.03500000000003</v>
      </c>
      <c r="I58" s="23">
        <f>(4*testdata[[#This Row],[price]]+3*H57+2*H56+H55)/10</f>
        <v>222.28850000000003</v>
      </c>
      <c r="J58" s="9">
        <f>(0.0962*testdata[[#This Row],[smooth]]+0.5769*I56-0.5769*I54-0.0962*I52)*(0.075*$Z57+0.54)</f>
        <v>-3.3399205490705426</v>
      </c>
      <c r="K58" s="14">
        <f t="shared" si="0"/>
        <v>1.346585511030324</v>
      </c>
      <c r="L58" s="14">
        <f>(0.0962*testdata[[#This Row],[detrender]]+0.5769*J56-0.5769*J54-0.0962*J52)*(0.075*$Z57+0.54)</f>
        <v>-3.8555999558363268</v>
      </c>
      <c r="M58" s="9">
        <f>(0.0962*testdata[[#This Row],[I1]]+0.5769*K56-0.5769*K54-0.0962*K52)*(0.075*$Z57+0.54)</f>
        <v>1.8244155586681388</v>
      </c>
      <c r="N58" s="9">
        <f>(0.0962*testdata[[#This Row],[Q1]]+0.5769*L56-0.5769*L54-0.0962*L52)*(0.075*$Z57+0.54)</f>
        <v>-1.6876119821548639</v>
      </c>
      <c r="O58" s="9">
        <f>testdata[[#This Row],[I1]]-testdata[[#This Row],[JQ]]</f>
        <v>3.0341974931851876</v>
      </c>
      <c r="P58" s="9">
        <f>testdata[[#This Row],[Q1]]+testdata[[#This Row],[jI]]</f>
        <v>-2.0311843971681878</v>
      </c>
      <c r="Q58" s="9">
        <f>0.2*testdata[[#This Row],[I2]]+0.8*Q57</f>
        <v>-1.4113209488880132</v>
      </c>
      <c r="R58" s="9">
        <f>0.2*testdata[[#This Row],[Q2]]+0.8*R57</f>
        <v>0.61189049878738944</v>
      </c>
      <c r="S58" s="9">
        <f>testdata[[#This Row],[I2'']]*Q57+testdata[[#This Row],[Q2'']]*R57</f>
        <v>4.3390682338725917</v>
      </c>
      <c r="T58" s="9">
        <f>testdata[[#This Row],[I2'']]*R57-testdata[[#This Row],[Q2'']]*Q57</f>
        <v>-0.25251411831335058</v>
      </c>
      <c r="U58" s="9">
        <f>0.2*testdata[[#This Row],[Re]]+0.8*U57</f>
        <v>14.178165950540748</v>
      </c>
      <c r="V58" s="9">
        <f>0.2*testdata[[#This Row],[Im]]+0.8*V57</f>
        <v>4.7767799105051774</v>
      </c>
      <c r="W58" s="9">
        <f>IF(AND(testdata[[#This Row],[Re'']]&lt;&gt;0,testdata[[#This Row],[Im'']]&lt;&gt;0),2*PI()/ATAN(testdata[[#This Row],[Im'']]/testdata[[#This Row],[Re'']]),0)</f>
        <v>19.334842223975841</v>
      </c>
      <c r="X58" s="9">
        <f>IF(testdata[[#This Row],[pd-atan]]&gt;1.5*Z57,1.5*Z57,IF(testdata[[#This Row],[pd-atan]]&lt;0.67*Z57,0.67*Z57,testdata[[#This Row],[pd-atan]]))</f>
        <v>19.334842223975841</v>
      </c>
      <c r="Y58" s="9">
        <f>IF(testdata[[#This Row],[pd-limit1]]&lt;6,6,IF(testdata[[#This Row],[pd-limit1]]&gt;50,50,testdata[[#This Row],[pd-limit1]]))</f>
        <v>19.334842223975841</v>
      </c>
      <c r="Z58" s="14">
        <f>0.2*testdata[[#This Row],[pd-limit2]]+0.8*Z57</f>
        <v>25.484462118884991</v>
      </c>
      <c r="AA58" s="14">
        <f>0.33*testdata[[#This Row],[period]]+0.67*AA57</f>
        <v>28.776331668725636</v>
      </c>
      <c r="AB58" s="31">
        <f>TRUNC(testdata[[#This Row],[SmPd]]+0.5,0)</f>
        <v>29</v>
      </c>
      <c r="AC58" s="14">
        <f ca="1">IF(testdata[[#This Row],[PdInt]]&lt;=0,0,AVERAGE(OFFSET(testdata[[#This Row],[price]],0,0,-testdata[[#This Row],[PdInt]],1)))</f>
        <v>223.43206896551723</v>
      </c>
      <c r="AD58" s="14">
        <f ca="1">IF(testdata[[#This Row],[i]]&lt;11,testdata[[#This Row],[price]],(4*testdata[[#This Row],[iTrend]]+3*AC57+2*AC56+AC55)/10)</f>
        <v>222.99687611561868</v>
      </c>
      <c r="AE58" s="14">
        <f>(4*testdata[[#This Row],[price]]+3*H57+2*H56+H55)/10</f>
        <v>222.28850000000003</v>
      </c>
      <c r="AF58" t="str">
        <f ca="1">IF(OR(ROUND(testdata[[#This Row],[Trendline]],4)&lt;&gt;Table3[[#This Row],[Trendline]],ROUND(testdata[[#This Row],[SmPrice]],4)&lt;&gt;Table3[[#This Row],[SmPrice]]),"ERR","")</f>
        <v>ERR</v>
      </c>
      <c r="AG58" s="3">
        <v>42818</v>
      </c>
      <c r="AH58" s="14">
        <v>31.738700000000001</v>
      </c>
      <c r="AI58" s="34">
        <v>32</v>
      </c>
      <c r="AJ58" s="14">
        <v>222.86500000000001</v>
      </c>
      <c r="AK58" s="14">
        <v>222.35669999999999</v>
      </c>
      <c r="AL58" s="14">
        <v>222.2885</v>
      </c>
      <c r="AN58" s="38">
        <f t="shared" si="1"/>
        <v>-0.64017656985399185</v>
      </c>
      <c r="AO58" s="38">
        <f t="shared" si="2"/>
        <v>0</v>
      </c>
      <c r="AQ58" s="37">
        <v>42818</v>
      </c>
      <c r="AR58">
        <v>29</v>
      </c>
      <c r="AS58">
        <v>222.99687611561799</v>
      </c>
      <c r="AT58">
        <v>222.2885</v>
      </c>
      <c r="AV58" s="37">
        <v>42818</v>
      </c>
      <c r="AW58">
        <v>32</v>
      </c>
      <c r="AX58">
        <v>222.356699545764</v>
      </c>
      <c r="AY58">
        <v>222.2885</v>
      </c>
      <c r="BA58" s="38">
        <f>AX58-Table3[[#This Row],[Trendline]]</f>
        <v>-4.5423598749039229E-7</v>
      </c>
      <c r="BB58" s="38">
        <f>AY58-Table3[[#This Row],[SmPrice]]</f>
        <v>0</v>
      </c>
    </row>
    <row r="59" spans="1:54" x14ac:dyDescent="0.35">
      <c r="A59" s="6">
        <v>57</v>
      </c>
      <c r="B59" s="3">
        <v>42821</v>
      </c>
      <c r="C59" s="2">
        <v>220.07</v>
      </c>
      <c r="D59" s="2">
        <v>221.96</v>
      </c>
      <c r="E59" s="2">
        <v>219.77</v>
      </c>
      <c r="F59" s="2">
        <v>221.67</v>
      </c>
      <c r="G59" s="1">
        <v>92167056</v>
      </c>
      <c r="H59" s="30">
        <f>(testdata[[#This Row],[high]]+testdata[[#This Row],[low]])/2</f>
        <v>220.86500000000001</v>
      </c>
      <c r="I59" s="23">
        <f>(4*testdata[[#This Row],[price]]+3*H58+2*H57+H56)/10</f>
        <v>221.64050000000003</v>
      </c>
      <c r="J59" s="9">
        <f>(0.0962*testdata[[#This Row],[smooth]]+0.5769*I57-0.5769*I55-0.0962*I53)*(0.075*$Z58+0.54)</f>
        <v>-3.2669429717644598</v>
      </c>
      <c r="K59" s="14">
        <f t="shared" si="0"/>
        <v>0.13961638849645222</v>
      </c>
      <c r="L59" s="14">
        <f>(0.0962*testdata[[#This Row],[detrender]]+0.5769*J57-0.5769*J55-0.0962*J53)*(0.075*$Z58+0.54)</f>
        <v>-5.1989664006632976</v>
      </c>
      <c r="M59" s="9">
        <f>(0.0962*testdata[[#This Row],[I1]]+0.5769*K57-0.5769*K55-0.0962*K53)*(0.075*$Z58+0.54)</f>
        <v>2.7958478418295418</v>
      </c>
      <c r="N59" s="9">
        <f>(0.0962*testdata[[#This Row],[Q1]]+0.5769*L57-0.5769*L55-0.0962*L53)*(0.075*$Z58+0.54)</f>
        <v>-5.8735584749085197</v>
      </c>
      <c r="O59" s="9">
        <f>testdata[[#This Row],[I1]]-testdata[[#This Row],[JQ]]</f>
        <v>6.0131748634049718</v>
      </c>
      <c r="P59" s="9">
        <f>testdata[[#This Row],[Q1]]+testdata[[#This Row],[jI]]</f>
        <v>-2.4031185588337558</v>
      </c>
      <c r="Q59" s="9">
        <f>0.2*testdata[[#This Row],[I2]]+0.8*Q58</f>
        <v>7.3578213570583806E-2</v>
      </c>
      <c r="R59" s="9">
        <f>0.2*testdata[[#This Row],[Q2]]+0.8*R58</f>
        <v>8.8886872631603886E-3</v>
      </c>
      <c r="S59" s="9">
        <f>testdata[[#This Row],[I2'']]*Q58+testdata[[#This Row],[Q2'']]*R58</f>
        <v>-9.8403570910900906E-2</v>
      </c>
      <c r="T59" s="9">
        <f>testdata[[#This Row],[I2'']]*R58-testdata[[#This Row],[Q2'']]*Q58</f>
        <v>5.7566600344201906E-2</v>
      </c>
      <c r="U59" s="9">
        <f>0.2*testdata[[#This Row],[Re]]+0.8*U58</f>
        <v>11.32285204625042</v>
      </c>
      <c r="V59" s="9">
        <f>0.2*testdata[[#This Row],[Im]]+0.8*V58</f>
        <v>3.8329372484729824</v>
      </c>
      <c r="W59" s="9">
        <f>IF(AND(testdata[[#This Row],[Re'']]&lt;&gt;0,testdata[[#This Row],[Im'']]&lt;&gt;0),2*PI()/ATAN(testdata[[#This Row],[Im'']]/testdata[[#This Row],[Re'']]),0)</f>
        <v>19.249639148856424</v>
      </c>
      <c r="X59" s="9">
        <f>IF(testdata[[#This Row],[pd-atan]]&gt;1.5*Z58,1.5*Z58,IF(testdata[[#This Row],[pd-atan]]&lt;0.67*Z58,0.67*Z58,testdata[[#This Row],[pd-atan]]))</f>
        <v>19.249639148856424</v>
      </c>
      <c r="Y59" s="9">
        <f>IF(testdata[[#This Row],[pd-limit1]]&lt;6,6,IF(testdata[[#This Row],[pd-limit1]]&gt;50,50,testdata[[#This Row],[pd-limit1]]))</f>
        <v>19.249639148856424</v>
      </c>
      <c r="Z59" s="14">
        <f>0.2*testdata[[#This Row],[pd-limit2]]+0.8*Z58</f>
        <v>24.237497524879281</v>
      </c>
      <c r="AA59" s="14">
        <f>0.33*testdata[[#This Row],[period]]+0.67*AA58</f>
        <v>27.27851640125634</v>
      </c>
      <c r="AB59" s="31">
        <f>TRUNC(testdata[[#This Row],[SmPd]]+0.5,0)</f>
        <v>27</v>
      </c>
      <c r="AC59" s="14">
        <f ca="1">IF(testdata[[#This Row],[PdInt]]&lt;=0,0,AVERAGE(OFFSET(testdata[[#This Row],[price]],0,0,-testdata[[#This Row],[PdInt]],1)))</f>
        <v>223.67759259259256</v>
      </c>
      <c r="AD59" s="14">
        <f ca="1">IF(testdata[[#This Row],[i]]&lt;11,testdata[[#This Row],[price]],(4*testdata[[#This Row],[iTrend]]+3*AC58+2*AC57+AC56)/10)</f>
        <v>223.37349522669214</v>
      </c>
      <c r="AE59" s="14">
        <f>(4*testdata[[#This Row],[price]]+3*H58+2*H57+H56)/10</f>
        <v>221.64050000000003</v>
      </c>
      <c r="AF59" t="str">
        <f ca="1">IF(OR(ROUND(testdata[[#This Row],[Trendline]],4)&lt;&gt;Table3[[#This Row],[Trendline]],ROUND(testdata[[#This Row],[SmPrice]],4)&lt;&gt;Table3[[#This Row],[SmPrice]]),"ERR","")</f>
        <v>ERR</v>
      </c>
      <c r="AG59" s="3">
        <v>42821</v>
      </c>
      <c r="AH59" s="14">
        <v>30.080500000000001</v>
      </c>
      <c r="AI59" s="34">
        <v>30</v>
      </c>
      <c r="AJ59" s="14">
        <v>223.34649999999999</v>
      </c>
      <c r="AK59" s="14">
        <v>222.85149999999999</v>
      </c>
      <c r="AL59" s="14">
        <v>221.6405</v>
      </c>
      <c r="AN59" s="38">
        <f t="shared" si="1"/>
        <v>-0.52200531072600143</v>
      </c>
      <c r="AO59" s="38">
        <f t="shared" si="2"/>
        <v>0</v>
      </c>
      <c r="AQ59" s="37">
        <v>42821</v>
      </c>
      <c r="AR59">
        <v>27</v>
      </c>
      <c r="AS59">
        <v>223.373495226692</v>
      </c>
      <c r="AT59">
        <v>221.6405</v>
      </c>
      <c r="AV59" s="37">
        <v>42821</v>
      </c>
      <c r="AW59">
        <v>30</v>
      </c>
      <c r="AX59">
        <v>222.851489915966</v>
      </c>
      <c r="AY59">
        <v>221.6405</v>
      </c>
      <c r="BA59" s="38">
        <f>AX59-Table3[[#This Row],[Trendline]]</f>
        <v>-1.0084033988277952E-5</v>
      </c>
      <c r="BB59" s="38">
        <f>AY59-Table3[[#This Row],[SmPrice]]</f>
        <v>0</v>
      </c>
    </row>
    <row r="60" spans="1:54" x14ac:dyDescent="0.35">
      <c r="A60" s="6">
        <v>58</v>
      </c>
      <c r="B60" s="3">
        <v>42822</v>
      </c>
      <c r="C60" s="2">
        <v>221.34</v>
      </c>
      <c r="D60" s="2">
        <v>223.75</v>
      </c>
      <c r="E60" s="2">
        <v>221.22</v>
      </c>
      <c r="F60" s="2">
        <v>223.29</v>
      </c>
      <c r="G60" s="1">
        <v>98521432</v>
      </c>
      <c r="H60" s="30">
        <f>(testdata[[#This Row],[high]]+testdata[[#This Row],[low]])/2</f>
        <v>222.48500000000001</v>
      </c>
      <c r="I60" s="23">
        <f>(4*testdata[[#This Row],[price]]+3*H59+2*H58+H57)/10</f>
        <v>221.90900000000002</v>
      </c>
      <c r="J60" s="9">
        <f>(0.0962*testdata[[#This Row],[smooth]]+0.5769*I58-0.5769*I56-0.0962*I54)*(0.075*$Z59+0.54)</f>
        <v>-2.0948926631910179</v>
      </c>
      <c r="K60" s="14">
        <f t="shared" si="0"/>
        <v>-1.5911661476529257</v>
      </c>
      <c r="L60" s="14">
        <f>(0.0962*testdata[[#This Row],[detrender]]+0.5769*J58-0.5769*J56-0.0962*J54)*(0.075*$Z59+0.54)</f>
        <v>-5.6918029603931366</v>
      </c>
      <c r="M60" s="9">
        <f>(0.0962*testdata[[#This Row],[I1]]+0.5769*K58-0.5769*K56-0.0962*K54)*(0.075*$Z59+0.54)</f>
        <v>-0.21372599587180349</v>
      </c>
      <c r="N60" s="9">
        <f>(0.0962*testdata[[#This Row],[Q1]]+0.5769*L58-0.5769*L56-0.0962*L54)*(0.075*$Z59+0.54)</f>
        <v>-11.758022784368618</v>
      </c>
      <c r="O60" s="9">
        <f>testdata[[#This Row],[I1]]-testdata[[#This Row],[JQ]]</f>
        <v>10.166856636715693</v>
      </c>
      <c r="P60" s="9">
        <f>testdata[[#This Row],[Q1]]+testdata[[#This Row],[jI]]</f>
        <v>-5.9055289562649405</v>
      </c>
      <c r="Q60" s="9">
        <f>0.2*testdata[[#This Row],[I2]]+0.8*Q59</f>
        <v>2.0922338981996056</v>
      </c>
      <c r="R60" s="9">
        <f>0.2*testdata[[#This Row],[Q2]]+0.8*R59</f>
        <v>-1.1739948414424597</v>
      </c>
      <c r="S60" s="9">
        <f>testdata[[#This Row],[I2'']]*Q59+testdata[[#This Row],[Q2'']]*R59</f>
        <v>0.14350755960720007</v>
      </c>
      <c r="T60" s="9">
        <f>testdata[[#This Row],[I2'']]*R59-testdata[[#This Row],[Q2'']]*Q59</f>
        <v>0.10497765597689621</v>
      </c>
      <c r="U60" s="9">
        <f>0.2*testdata[[#This Row],[Re]]+0.8*U59</f>
        <v>9.0869831489217763</v>
      </c>
      <c r="V60" s="9">
        <f>0.2*testdata[[#This Row],[Im]]+0.8*V59</f>
        <v>3.0873453299737657</v>
      </c>
      <c r="W60" s="9">
        <f>IF(AND(testdata[[#This Row],[Re'']]&lt;&gt;0,testdata[[#This Row],[Im'']]&lt;&gt;0),2*PI()/ATAN(testdata[[#This Row],[Im'']]/testdata[[#This Row],[Re'']]),0)</f>
        <v>19.184208037770698</v>
      </c>
      <c r="X60" s="9">
        <f>IF(testdata[[#This Row],[pd-atan]]&gt;1.5*Z59,1.5*Z59,IF(testdata[[#This Row],[pd-atan]]&lt;0.67*Z59,0.67*Z59,testdata[[#This Row],[pd-atan]]))</f>
        <v>19.184208037770698</v>
      </c>
      <c r="Y60" s="9">
        <f>IF(testdata[[#This Row],[pd-limit1]]&lt;6,6,IF(testdata[[#This Row],[pd-limit1]]&gt;50,50,testdata[[#This Row],[pd-limit1]]))</f>
        <v>19.184208037770698</v>
      </c>
      <c r="Z60" s="14">
        <f>0.2*testdata[[#This Row],[pd-limit2]]+0.8*Z59</f>
        <v>23.226839627457565</v>
      </c>
      <c r="AA60" s="14">
        <f>0.33*testdata[[#This Row],[period]]+0.67*AA59</f>
        <v>25.941463065902745</v>
      </c>
      <c r="AB60" s="31">
        <f>TRUNC(testdata[[#This Row],[SmPd]]+0.5,0)</f>
        <v>26</v>
      </c>
      <c r="AC60" s="14">
        <f ca="1">IF(testdata[[#This Row],[PdInt]]&lt;=0,0,AVERAGE(OFFSET(testdata[[#This Row],[price]],0,0,-testdata[[#This Row],[PdInt]],1)))</f>
        <v>223.79538461538456</v>
      </c>
      <c r="AD60" s="14">
        <f ca="1">IF(testdata[[#This Row],[i]]&lt;11,testdata[[#This Row],[price]],(4*testdata[[#This Row],[iTrend]]+3*AC59+2*AC58+AC57)/10)</f>
        <v>223.61929541703503</v>
      </c>
      <c r="AE60" s="14">
        <f>(4*testdata[[#This Row],[price]]+3*H59+2*H58+H57)/10</f>
        <v>221.90900000000002</v>
      </c>
      <c r="AF60" t="str">
        <f ca="1">IF(OR(ROUND(testdata[[#This Row],[Trendline]],4)&lt;&gt;Table3[[#This Row],[Trendline]],ROUND(testdata[[#This Row],[SmPrice]],4)&lt;&gt;Table3[[#This Row],[SmPrice]]),"ERR","")</f>
        <v>ERR</v>
      </c>
      <c r="AG60" s="3">
        <v>42822</v>
      </c>
      <c r="AH60" s="14">
        <v>28.609200000000001</v>
      </c>
      <c r="AI60" s="34">
        <v>29</v>
      </c>
      <c r="AJ60" s="14">
        <v>223.55529999999999</v>
      </c>
      <c r="AK60" s="14">
        <v>223.23089999999999</v>
      </c>
      <c r="AL60" s="14">
        <v>221.90899999999999</v>
      </c>
      <c r="AN60" s="38">
        <f t="shared" si="1"/>
        <v>-0.38838395658899572</v>
      </c>
      <c r="AO60" s="38">
        <f t="shared" si="2"/>
        <v>0</v>
      </c>
      <c r="AQ60" s="37">
        <v>42822</v>
      </c>
      <c r="AR60">
        <v>26</v>
      </c>
      <c r="AS60">
        <v>223.619295417035</v>
      </c>
      <c r="AT60">
        <v>221.90899999999999</v>
      </c>
      <c r="AV60" s="37">
        <v>42822</v>
      </c>
      <c r="AW60">
        <v>29</v>
      </c>
      <c r="AX60">
        <v>223.23091146044601</v>
      </c>
      <c r="AY60">
        <v>221.90899999999999</v>
      </c>
      <c r="BA60" s="38">
        <f>AX60-Table3[[#This Row],[Trendline]]</f>
        <v>1.1460446017963477E-5</v>
      </c>
      <c r="BB60" s="38">
        <f>AY60-Table3[[#This Row],[SmPrice]]</f>
        <v>0</v>
      </c>
    </row>
    <row r="61" spans="1:54" x14ac:dyDescent="0.35">
      <c r="A61" s="6">
        <v>59</v>
      </c>
      <c r="B61" s="3">
        <v>42823</v>
      </c>
      <c r="C61" s="2">
        <v>222.97</v>
      </c>
      <c r="D61" s="2">
        <v>223.75</v>
      </c>
      <c r="E61" s="2">
        <v>222.72</v>
      </c>
      <c r="F61" s="2">
        <v>223.5</v>
      </c>
      <c r="G61" s="1">
        <v>65288636</v>
      </c>
      <c r="H61" s="30">
        <f>(testdata[[#This Row],[high]]+testdata[[#This Row],[low]])/2</f>
        <v>223.23500000000001</v>
      </c>
      <c r="I61" s="23">
        <f>(4*testdata[[#This Row],[price]]+3*H60+2*H59+H58)/10</f>
        <v>222.416</v>
      </c>
      <c r="J61" s="9">
        <f>(0.0962*testdata[[#This Row],[smooth]]+0.5769*I59-0.5769*I57-0.0962*I55)*(0.075*$Z60+0.54)</f>
        <v>-1.8929113901187331</v>
      </c>
      <c r="K61" s="14">
        <f t="shared" si="0"/>
        <v>-3.3399205490705426</v>
      </c>
      <c r="L61" s="14">
        <f>(0.0962*testdata[[#This Row],[detrender]]+0.5769*J59-0.5769*J57-0.0962*J55)*(0.075*$Z60+0.54)</f>
        <v>-2.9173145478451796</v>
      </c>
      <c r="M61" s="9">
        <f>(0.0962*testdata[[#This Row],[I1]]+0.5769*K59-0.5769*K57-0.0962*K55)*(0.075*$Z60+0.54)</f>
        <v>-3.4280339294868503</v>
      </c>
      <c r="N61" s="9">
        <f>(0.0962*testdata[[#This Row],[Q1]]+0.5769*L59-0.5769*L57-0.0962*L55)*(0.075*$Z60+0.54)</f>
        <v>-7.6338665445273026</v>
      </c>
      <c r="O61" s="9">
        <f>testdata[[#This Row],[I1]]-testdata[[#This Row],[JQ]]</f>
        <v>4.2939459954567596</v>
      </c>
      <c r="P61" s="9">
        <f>testdata[[#This Row],[Q1]]+testdata[[#This Row],[jI]]</f>
        <v>-6.3453484773320294</v>
      </c>
      <c r="Q61" s="9">
        <f>0.2*testdata[[#This Row],[I2]]+0.8*Q60</f>
        <v>2.5325763176510367</v>
      </c>
      <c r="R61" s="9">
        <f>0.2*testdata[[#This Row],[Q2]]+0.8*R60</f>
        <v>-2.2082655686203738</v>
      </c>
      <c r="S61" s="9">
        <f>testdata[[#This Row],[I2'']]*Q60+testdata[[#This Row],[Q2'']]*R60</f>
        <v>7.8912344076623508</v>
      </c>
      <c r="T61" s="9">
        <f>testdata[[#This Row],[I2'']]*R60-testdata[[#This Row],[Q2'']]*Q60</f>
        <v>1.6469765464129162</v>
      </c>
      <c r="U61" s="9">
        <f>0.2*testdata[[#This Row],[Re]]+0.8*U60</f>
        <v>8.8478334006698915</v>
      </c>
      <c r="V61" s="9">
        <f>0.2*testdata[[#This Row],[Im]]+0.8*V60</f>
        <v>2.799271573261596</v>
      </c>
      <c r="W61" s="9">
        <f>IF(AND(testdata[[#This Row],[Re'']]&lt;&gt;0,testdata[[#This Row],[Im'']]&lt;&gt;0),2*PI()/ATAN(testdata[[#This Row],[Im'']]/testdata[[#This Row],[Re'']]),0)</f>
        <v>20.505465865436747</v>
      </c>
      <c r="X61" s="9">
        <f>IF(testdata[[#This Row],[pd-atan]]&gt;1.5*Z60,1.5*Z60,IF(testdata[[#This Row],[pd-atan]]&lt;0.67*Z60,0.67*Z60,testdata[[#This Row],[pd-atan]]))</f>
        <v>20.505465865436747</v>
      </c>
      <c r="Y61" s="9">
        <f>IF(testdata[[#This Row],[pd-limit1]]&lt;6,6,IF(testdata[[#This Row],[pd-limit1]]&gt;50,50,testdata[[#This Row],[pd-limit1]]))</f>
        <v>20.505465865436747</v>
      </c>
      <c r="Z61" s="14">
        <f>0.2*testdata[[#This Row],[pd-limit2]]+0.8*Z60</f>
        <v>22.682564875053401</v>
      </c>
      <c r="AA61" s="14">
        <f>0.33*testdata[[#This Row],[period]]+0.67*AA60</f>
        <v>24.866026662922462</v>
      </c>
      <c r="AB61" s="31">
        <f>TRUNC(testdata[[#This Row],[SmPd]]+0.5,0)</f>
        <v>25</v>
      </c>
      <c r="AC61" s="14">
        <f ca="1">IF(testdata[[#This Row],[PdInt]]&lt;=0,0,AVERAGE(OFFSET(testdata[[#This Row],[price]],0,0,-testdata[[#This Row],[PdInt]],1)))</f>
        <v>223.82879999999997</v>
      </c>
      <c r="AD61" s="14">
        <f ca="1">IF(testdata[[#This Row],[i]]&lt;11,testdata[[#This Row],[price]],(4*testdata[[#This Row],[iTrend]]+3*AC60+2*AC59+AC58)/10)</f>
        <v>223.74886079968559</v>
      </c>
      <c r="AE61" s="14">
        <f>(4*testdata[[#This Row],[price]]+3*H60+2*H59+H58)/10</f>
        <v>222.416</v>
      </c>
      <c r="AF61" t="str">
        <f ca="1">IF(OR(ROUND(testdata[[#This Row],[Trendline]],4)&lt;&gt;Table3[[#This Row],[Trendline]],ROUND(testdata[[#This Row],[SmPrice]],4)&lt;&gt;Table3[[#This Row],[SmPrice]]),"ERR","")</f>
        <v>ERR</v>
      </c>
      <c r="AG61" s="3">
        <v>42823</v>
      </c>
      <c r="AH61" s="14">
        <v>27.442599999999999</v>
      </c>
      <c r="AI61" s="34">
        <v>27</v>
      </c>
      <c r="AJ61" s="14">
        <v>223.77459999999999</v>
      </c>
      <c r="AK61" s="14">
        <v>223.53229999999999</v>
      </c>
      <c r="AL61" s="14">
        <v>222.416</v>
      </c>
      <c r="AN61" s="38">
        <f t="shared" si="1"/>
        <v>-0.21660549955799979</v>
      </c>
      <c r="AO61" s="38">
        <f t="shared" si="2"/>
        <v>0</v>
      </c>
      <c r="AQ61" s="37">
        <v>42823</v>
      </c>
      <c r="AR61">
        <v>25</v>
      </c>
      <c r="AS61">
        <v>223.74886079968499</v>
      </c>
      <c r="AT61">
        <v>222.416</v>
      </c>
      <c r="AV61" s="37">
        <v>42823</v>
      </c>
      <c r="AW61">
        <v>27</v>
      </c>
      <c r="AX61">
        <v>223.53225530012699</v>
      </c>
      <c r="AY61">
        <v>222.416</v>
      </c>
      <c r="BA61" s="38">
        <f>AX61-Table3[[#This Row],[Trendline]]</f>
        <v>-4.4699873001263768E-5</v>
      </c>
      <c r="BB61" s="38">
        <f>AY61-Table3[[#This Row],[SmPrice]]</f>
        <v>0</v>
      </c>
    </row>
    <row r="62" spans="1:54" x14ac:dyDescent="0.35">
      <c r="A62" s="6">
        <v>60</v>
      </c>
      <c r="B62" s="3">
        <v>42824</v>
      </c>
      <c r="C62" s="2">
        <v>223.43</v>
      </c>
      <c r="D62" s="2">
        <v>224.43</v>
      </c>
      <c r="E62" s="2">
        <v>223.24</v>
      </c>
      <c r="F62" s="2">
        <v>224.21</v>
      </c>
      <c r="G62" s="1">
        <v>59795288</v>
      </c>
      <c r="H62" s="30">
        <f>(testdata[[#This Row],[high]]+testdata[[#This Row],[low]])/2</f>
        <v>223.83500000000001</v>
      </c>
      <c r="I62" s="23">
        <f>(4*testdata[[#This Row],[price]]+3*H61+2*H60+H59)/10</f>
        <v>223.08800000000002</v>
      </c>
      <c r="J62" s="9">
        <f>(0.0962*testdata[[#This Row],[smooth]]+0.5769*I60-0.5769*I58-0.0962*I56)*(0.075*$Z61+0.54)</f>
        <v>-0.53519415954096661</v>
      </c>
      <c r="K62" s="14">
        <f t="shared" si="0"/>
        <v>-3.2669429717644598</v>
      </c>
      <c r="L62" s="14">
        <f>(0.0962*testdata[[#This Row],[detrender]]+0.5769*J60-0.5769*J58-0.0962*J56)*(0.075*$Z61+0.54)</f>
        <v>1.4642602002562999</v>
      </c>
      <c r="M62" s="9">
        <f>(0.0962*testdata[[#This Row],[I1]]+0.5769*K60-0.5769*K58-0.0962*K56)*(0.075*$Z61+0.54)</f>
        <v>-4.7532815496840692</v>
      </c>
      <c r="N62" s="9">
        <f>(0.0962*testdata[[#This Row],[Q1]]+0.5769*L60-0.5769*L58-0.0962*L56)*(0.075*$Z61+0.54)</f>
        <v>-2.7624756425864301</v>
      </c>
      <c r="O62" s="9">
        <f>testdata[[#This Row],[I1]]-testdata[[#This Row],[JQ]]</f>
        <v>-0.50446732917802972</v>
      </c>
      <c r="P62" s="9">
        <f>testdata[[#This Row],[Q1]]+testdata[[#This Row],[jI]]</f>
        <v>-3.2890213494277694</v>
      </c>
      <c r="Q62" s="9">
        <f>0.2*testdata[[#This Row],[I2]]+0.8*Q61</f>
        <v>1.9251675882852235</v>
      </c>
      <c r="R62" s="9">
        <f>0.2*testdata[[#This Row],[Q2]]+0.8*R61</f>
        <v>-2.4244167247818531</v>
      </c>
      <c r="S62" s="9">
        <f>testdata[[#This Row],[I2'']]*Q61+testdata[[#This Row],[Q2'']]*R61</f>
        <v>10.229389818923661</v>
      </c>
      <c r="T62" s="9">
        <f>testdata[[#This Row],[I2'']]*R61-testdata[[#This Row],[Q2'']]*Q61</f>
        <v>1.8887390822654293</v>
      </c>
      <c r="U62" s="9">
        <f>0.2*testdata[[#This Row],[Re]]+0.8*U61</f>
        <v>9.1241446843206457</v>
      </c>
      <c r="V62" s="9">
        <f>0.2*testdata[[#This Row],[Im]]+0.8*V61</f>
        <v>2.617165075062363</v>
      </c>
      <c r="W62" s="9">
        <f>IF(AND(testdata[[#This Row],[Re'']]&lt;&gt;0,testdata[[#This Row],[Im'']]&lt;&gt;0),2*PI()/ATAN(testdata[[#This Row],[Im'']]/testdata[[#This Row],[Re'']]),0)</f>
        <v>22.492995687055661</v>
      </c>
      <c r="X62" s="9">
        <f>IF(testdata[[#This Row],[pd-atan]]&gt;1.5*Z61,1.5*Z61,IF(testdata[[#This Row],[pd-atan]]&lt;0.67*Z61,0.67*Z61,testdata[[#This Row],[pd-atan]]))</f>
        <v>22.492995687055661</v>
      </c>
      <c r="Y62" s="9">
        <f>IF(testdata[[#This Row],[pd-limit1]]&lt;6,6,IF(testdata[[#This Row],[pd-limit1]]&gt;50,50,testdata[[#This Row],[pd-limit1]]))</f>
        <v>22.492995687055661</v>
      </c>
      <c r="Z62" s="14">
        <f>0.2*testdata[[#This Row],[pd-limit2]]+0.8*Z61</f>
        <v>22.644651037453855</v>
      </c>
      <c r="AA62" s="14">
        <f>0.33*testdata[[#This Row],[period]]+0.67*AA61</f>
        <v>24.132972706517819</v>
      </c>
      <c r="AB62" s="31">
        <f>TRUNC(testdata[[#This Row],[SmPd]]+0.5,0)</f>
        <v>24</v>
      </c>
      <c r="AC62" s="14">
        <f ca="1">IF(testdata[[#This Row],[PdInt]]&lt;=0,0,AVERAGE(OFFSET(testdata[[#This Row],[price]],0,0,-testdata[[#This Row],[PdInt]],1)))</f>
        <v>223.88812499999995</v>
      </c>
      <c r="AD62" s="14">
        <f ca="1">IF(testdata[[#This Row],[i]]&lt;11,testdata[[#This Row],[price]],(4*testdata[[#This Row],[iTrend]]+3*AC61+2*AC60+AC59)/10)</f>
        <v>223.83072618233615</v>
      </c>
      <c r="AE62" s="14">
        <f>(4*testdata[[#This Row],[price]]+3*H61+2*H60+H59)/10</f>
        <v>223.08800000000002</v>
      </c>
      <c r="AF62" t="str">
        <f ca="1">IF(OR(ROUND(testdata[[#This Row],[Trendline]],4)&lt;&gt;Table3[[#This Row],[Trendline]],ROUND(testdata[[#This Row],[SmPrice]],4)&lt;&gt;Table3[[#This Row],[SmPrice]]),"ERR","")</f>
        <v>ERR</v>
      </c>
      <c r="AG62" s="3">
        <v>42824</v>
      </c>
      <c r="AH62" s="14">
        <v>26.675599999999999</v>
      </c>
      <c r="AI62" s="34">
        <v>27</v>
      </c>
      <c r="AJ62" s="14">
        <v>223.80330000000001</v>
      </c>
      <c r="AK62" s="14">
        <v>223.6994</v>
      </c>
      <c r="AL62" s="14">
        <v>223.08799999999999</v>
      </c>
      <c r="AN62" s="38">
        <f t="shared" si="1"/>
        <v>-0.13128499459699583</v>
      </c>
      <c r="AO62" s="38">
        <f t="shared" si="2"/>
        <v>0</v>
      </c>
      <c r="AQ62" s="37">
        <v>42824</v>
      </c>
      <c r="AR62">
        <v>24</v>
      </c>
      <c r="AS62">
        <v>223.83072618233601</v>
      </c>
      <c r="AT62">
        <v>223.08799999999999</v>
      </c>
      <c r="AV62" s="37">
        <v>42824</v>
      </c>
      <c r="AW62">
        <v>27</v>
      </c>
      <c r="AX62">
        <v>223.69944118773901</v>
      </c>
      <c r="AY62">
        <v>223.08799999999999</v>
      </c>
      <c r="BA62" s="38">
        <f>AX62-Table3[[#This Row],[Trendline]]</f>
        <v>4.1187739014958424E-5</v>
      </c>
      <c r="BB62" s="38">
        <f>AY62-Table3[[#This Row],[SmPrice]]</f>
        <v>0</v>
      </c>
    </row>
    <row r="63" spans="1:54" x14ac:dyDescent="0.35">
      <c r="A63" s="6">
        <v>61</v>
      </c>
      <c r="B63" s="3">
        <v>42825</v>
      </c>
      <c r="C63" s="2">
        <v>223.84</v>
      </c>
      <c r="D63" s="2">
        <v>224.42</v>
      </c>
      <c r="E63" s="2">
        <v>223.63</v>
      </c>
      <c r="F63" s="2">
        <v>223.69</v>
      </c>
      <c r="G63" s="1">
        <v>77706304</v>
      </c>
      <c r="H63" s="30">
        <f>(testdata[[#This Row],[high]]+testdata[[#This Row],[low]])/2</f>
        <v>224.02499999999998</v>
      </c>
      <c r="I63" s="23">
        <f>(4*testdata[[#This Row],[price]]+3*H62+2*H61+H60)/10</f>
        <v>223.65600000000001</v>
      </c>
      <c r="J63" s="9">
        <f>(0.0962*testdata[[#This Row],[smooth]]+0.5769*I61-0.5769*I59-0.0962*I57)*(0.075*$Z62+0.54)</f>
        <v>1.1990779831026306</v>
      </c>
      <c r="K63" s="14">
        <f t="shared" si="0"/>
        <v>-2.0948926631910179</v>
      </c>
      <c r="L63" s="14">
        <f>(0.0962*testdata[[#This Row],[detrender]]+0.5769*J61-0.5769*J59-0.0962*J57)*(0.075*$Z62+0.54)</f>
        <v>2.3751126235042781</v>
      </c>
      <c r="M63" s="9">
        <f>(0.0962*testdata[[#This Row],[I1]]+0.5769*K61-0.5769*K59-0.0962*K57)*(0.075*$Z62+0.54)</f>
        <v>-5.4034158727948016</v>
      </c>
      <c r="N63" s="9">
        <f>(0.0962*testdata[[#This Row],[Q1]]+0.5769*L61-0.5769*L59-0.0962*L57)*(0.075*$Z62+0.54)</f>
        <v>3.5106286435617329</v>
      </c>
      <c r="O63" s="9">
        <f>testdata[[#This Row],[I1]]-testdata[[#This Row],[JQ]]</f>
        <v>-5.6055213067527507</v>
      </c>
      <c r="P63" s="9">
        <f>testdata[[#This Row],[Q1]]+testdata[[#This Row],[jI]]</f>
        <v>-3.0283032492905235</v>
      </c>
      <c r="Q63" s="9">
        <f>0.2*testdata[[#This Row],[I2]]+0.8*Q62</f>
        <v>0.41902980927762878</v>
      </c>
      <c r="R63" s="9">
        <f>0.2*testdata[[#This Row],[Q2]]+0.8*R62</f>
        <v>-2.5451940296835875</v>
      </c>
      <c r="S63" s="9">
        <f>testdata[[#This Row],[I2'']]*Q62+testdata[[#This Row],[Q2'']]*R62</f>
        <v>6.977313580726439</v>
      </c>
      <c r="T63" s="9">
        <f>testdata[[#This Row],[I2'']]*R62-testdata[[#This Row],[Q2'']]*Q62</f>
        <v>3.8840221740490688</v>
      </c>
      <c r="U63" s="9">
        <f>0.2*testdata[[#This Row],[Re]]+0.8*U62</f>
        <v>8.6947784636018053</v>
      </c>
      <c r="V63" s="9">
        <f>0.2*testdata[[#This Row],[Im]]+0.8*V62</f>
        <v>2.8705364948597043</v>
      </c>
      <c r="W63" s="9">
        <f>IF(AND(testdata[[#This Row],[Re'']]&lt;&gt;0,testdata[[#This Row],[Im'']]&lt;&gt;0),2*PI()/ATAN(testdata[[#This Row],[Im'']]/testdata[[#This Row],[Re'']]),0)</f>
        <v>19.704029228105362</v>
      </c>
      <c r="X63" s="9">
        <f>IF(testdata[[#This Row],[pd-atan]]&gt;1.5*Z62,1.5*Z62,IF(testdata[[#This Row],[pd-atan]]&lt;0.67*Z62,0.67*Z62,testdata[[#This Row],[pd-atan]]))</f>
        <v>19.704029228105362</v>
      </c>
      <c r="Y63" s="9">
        <f>IF(testdata[[#This Row],[pd-limit1]]&lt;6,6,IF(testdata[[#This Row],[pd-limit1]]&gt;50,50,testdata[[#This Row],[pd-limit1]]))</f>
        <v>19.704029228105362</v>
      </c>
      <c r="Z63" s="14">
        <f>0.2*testdata[[#This Row],[pd-limit2]]+0.8*Z62</f>
        <v>22.056526675584159</v>
      </c>
      <c r="AA63" s="14">
        <f>0.33*testdata[[#This Row],[period]]+0.67*AA62</f>
        <v>23.447745516309713</v>
      </c>
      <c r="AB63" s="31">
        <f>TRUNC(testdata[[#This Row],[SmPd]]+0.5,0)</f>
        <v>23</v>
      </c>
      <c r="AC63" s="14">
        <f ca="1">IF(testdata[[#This Row],[PdInt]]&lt;=0,0,AVERAGE(OFFSET(testdata[[#This Row],[price]],0,0,-testdata[[#This Row],[PdInt]],1)))</f>
        <v>223.920652173913</v>
      </c>
      <c r="AD63" s="14">
        <f ca="1">IF(testdata[[#This Row],[i]]&lt;11,testdata[[#This Row],[price]],(4*testdata[[#This Row],[iTrend]]+3*AC62+2*AC61+AC60)/10)</f>
        <v>223.87999683110365</v>
      </c>
      <c r="AE63" s="14">
        <f>(4*testdata[[#This Row],[price]]+3*H62+2*H61+H60)/10</f>
        <v>223.65600000000001</v>
      </c>
      <c r="AF63" t="str">
        <f ca="1">IF(OR(ROUND(testdata[[#This Row],[Trendline]],4)&lt;&gt;Table3[[#This Row],[Trendline]],ROUND(testdata[[#This Row],[SmPrice]],4)&lt;&gt;Table3[[#This Row],[SmPrice]]),"ERR","")</f>
        <v>ERR</v>
      </c>
      <c r="AG63" s="3">
        <v>42825</v>
      </c>
      <c r="AH63" s="14">
        <v>25.929099999999998</v>
      </c>
      <c r="AI63" s="34">
        <v>26</v>
      </c>
      <c r="AJ63" s="14">
        <v>223.86150000000001</v>
      </c>
      <c r="AK63" s="14">
        <v>223.7961</v>
      </c>
      <c r="AL63" s="14">
        <v>223.65600000000001</v>
      </c>
      <c r="AN63" s="38">
        <f t="shared" si="1"/>
        <v>-8.3921037804003618E-2</v>
      </c>
      <c r="AO63" s="38">
        <f t="shared" si="2"/>
        <v>0</v>
      </c>
      <c r="AQ63" s="37">
        <v>42825</v>
      </c>
      <c r="AR63">
        <v>23</v>
      </c>
      <c r="AS63">
        <v>223.879996831103</v>
      </c>
      <c r="AT63">
        <v>223.65600000000001</v>
      </c>
      <c r="AV63" s="37">
        <v>42825</v>
      </c>
      <c r="AW63">
        <v>26</v>
      </c>
      <c r="AX63">
        <v>223.796075793299</v>
      </c>
      <c r="AY63">
        <v>223.65600000000001</v>
      </c>
      <c r="BA63" s="38">
        <f>AX63-Table3[[#This Row],[Trendline]]</f>
        <v>-2.4206700999229724E-5</v>
      </c>
      <c r="BB63" s="38">
        <f>AY63-Table3[[#This Row],[SmPrice]]</f>
        <v>0</v>
      </c>
    </row>
    <row r="64" spans="1:54" x14ac:dyDescent="0.35">
      <c r="A64" s="6">
        <v>62</v>
      </c>
      <c r="B64" s="3">
        <v>42828</v>
      </c>
      <c r="C64" s="2">
        <v>223.74</v>
      </c>
      <c r="D64" s="2">
        <v>223.96</v>
      </c>
      <c r="E64" s="2">
        <v>221.95</v>
      </c>
      <c r="F64" s="2">
        <v>223.3</v>
      </c>
      <c r="G64" s="1">
        <v>90156280</v>
      </c>
      <c r="H64" s="30">
        <f>(testdata[[#This Row],[high]]+testdata[[#This Row],[low]])/2</f>
        <v>222.95499999999998</v>
      </c>
      <c r="I64" s="23">
        <f>(4*testdata[[#This Row],[price]]+3*H63+2*H62+H61)/10</f>
        <v>223.48000000000002</v>
      </c>
      <c r="J64" s="9">
        <f>(0.0962*testdata[[#This Row],[smooth]]+0.5769*I62-0.5769*I60-0.0962*I58)*(0.075*$Z63+0.54)</f>
        <v>1.7439539077138644</v>
      </c>
      <c r="K64" s="14">
        <f t="shared" si="0"/>
        <v>-1.8929113901187331</v>
      </c>
      <c r="L64" s="14">
        <f>(0.0962*testdata[[#This Row],[detrender]]+0.5769*J62-0.5769*J60-0.0962*J58)*(0.075*$Z63+0.54)</f>
        <v>3.0474888167684036</v>
      </c>
      <c r="M64" s="9">
        <f>(0.0962*testdata[[#This Row],[I1]]+0.5769*K62-0.5769*K60-0.0962*K58)*(0.075*$Z63+0.54)</f>
        <v>-2.8051053587925336</v>
      </c>
      <c r="N64" s="9">
        <f>(0.0962*testdata[[#This Row],[Q1]]+0.5769*L62-0.5769*L60-0.0962*L58)*(0.075*$Z63+0.54)</f>
        <v>10.515695275598082</v>
      </c>
      <c r="O64" s="9">
        <f>testdata[[#This Row],[I1]]-testdata[[#This Row],[JQ]]</f>
        <v>-12.408606665716816</v>
      </c>
      <c r="P64" s="9">
        <f>testdata[[#This Row],[Q1]]+testdata[[#This Row],[jI]]</f>
        <v>0.24238345797586991</v>
      </c>
      <c r="Q64" s="9">
        <f>0.2*testdata[[#This Row],[I2]]+0.8*Q63</f>
        <v>-2.1464974857212602</v>
      </c>
      <c r="R64" s="9">
        <f>0.2*testdata[[#This Row],[Q2]]+0.8*R63</f>
        <v>-1.9876785321516963</v>
      </c>
      <c r="S64" s="9">
        <f>testdata[[#This Row],[I2'']]*Q63+testdata[[#This Row],[Q2'']]*R63</f>
        <v>4.1595811009060446</v>
      </c>
      <c r="T64" s="9">
        <f>testdata[[#This Row],[I2'']]*R63-testdata[[#This Row],[Q2'']]*Q63</f>
        <v>6.2961491416213464</v>
      </c>
      <c r="U64" s="9">
        <f>0.2*testdata[[#This Row],[Re]]+0.8*U63</f>
        <v>7.7877389910626533</v>
      </c>
      <c r="V64" s="9">
        <f>0.2*testdata[[#This Row],[Im]]+0.8*V63</f>
        <v>3.5556590242120327</v>
      </c>
      <c r="W64" s="9">
        <f>IF(AND(testdata[[#This Row],[Re'']]&lt;&gt;0,testdata[[#This Row],[Im'']]&lt;&gt;0),2*PI()/ATAN(testdata[[#This Row],[Im'']]/testdata[[#This Row],[Re'']]),0)</f>
        <v>14.669876524713418</v>
      </c>
      <c r="X64" s="9">
        <f>IF(testdata[[#This Row],[pd-atan]]&gt;1.5*Z63,1.5*Z63,IF(testdata[[#This Row],[pd-atan]]&lt;0.67*Z63,0.67*Z63,testdata[[#This Row],[pd-atan]]))</f>
        <v>14.777872872641387</v>
      </c>
      <c r="Y64" s="9">
        <f>IF(testdata[[#This Row],[pd-limit1]]&lt;6,6,IF(testdata[[#This Row],[pd-limit1]]&gt;50,50,testdata[[#This Row],[pd-limit1]]))</f>
        <v>14.777872872641387</v>
      </c>
      <c r="Z64" s="14">
        <f>0.2*testdata[[#This Row],[pd-limit2]]+0.8*Z63</f>
        <v>20.600795914995604</v>
      </c>
      <c r="AA64" s="14">
        <f>0.33*testdata[[#This Row],[period]]+0.67*AA63</f>
        <v>22.508252147876057</v>
      </c>
      <c r="AB64" s="31">
        <f>TRUNC(testdata[[#This Row],[SmPd]]+0.5,0)</f>
        <v>23</v>
      </c>
      <c r="AC64" s="14">
        <f ca="1">IF(testdata[[#This Row],[PdInt]]&lt;=0,0,AVERAGE(OFFSET(testdata[[#This Row],[price]],0,0,-testdata[[#This Row],[PdInt]],1)))</f>
        <v>223.78304347826079</v>
      </c>
      <c r="AD64" s="14">
        <f ca="1">IF(testdata[[#This Row],[i]]&lt;11,testdata[[#This Row],[price]],(4*testdata[[#This Row],[iTrend]]+3*AC63+2*AC62+AC61)/10)</f>
        <v>223.8499180434782</v>
      </c>
      <c r="AE64" s="14">
        <f>(4*testdata[[#This Row],[price]]+3*H63+2*H62+H61)/10</f>
        <v>223.48000000000002</v>
      </c>
      <c r="AF64" t="str">
        <f ca="1">IF(OR(ROUND(testdata[[#This Row],[Trendline]],4)&lt;&gt;Table3[[#This Row],[Trendline]],ROUND(testdata[[#This Row],[SmPrice]],4)&lt;&gt;Table3[[#This Row],[SmPrice]]),"ERR","")</f>
        <v>ERR</v>
      </c>
      <c r="AG64" s="3">
        <v>42828</v>
      </c>
      <c r="AH64" s="14">
        <v>24.897200000000002</v>
      </c>
      <c r="AI64" s="34">
        <v>25</v>
      </c>
      <c r="AJ64" s="14">
        <v>223.86199999999999</v>
      </c>
      <c r="AK64" s="14">
        <v>223.84139999999999</v>
      </c>
      <c r="AL64" s="14">
        <v>223.48</v>
      </c>
      <c r="AN64" s="38">
        <f t="shared" si="1"/>
        <v>-8.5268753869911507E-3</v>
      </c>
      <c r="AO64" s="38">
        <f t="shared" si="2"/>
        <v>0</v>
      </c>
      <c r="AQ64" s="37">
        <v>42828</v>
      </c>
      <c r="AR64">
        <v>23</v>
      </c>
      <c r="AS64">
        <v>223.849918043478</v>
      </c>
      <c r="AT64">
        <v>223.48</v>
      </c>
      <c r="AV64" s="37">
        <v>42828</v>
      </c>
      <c r="AW64">
        <v>25</v>
      </c>
      <c r="AX64">
        <v>223.84139116809101</v>
      </c>
      <c r="AY64">
        <v>223.48</v>
      </c>
      <c r="BA64" s="38">
        <f>AX64-Table3[[#This Row],[Trendline]]</f>
        <v>-8.8319089854849153E-6</v>
      </c>
      <c r="BB64" s="38">
        <f>AY64-Table3[[#This Row],[SmPrice]]</f>
        <v>0</v>
      </c>
    </row>
    <row r="65" spans="1:54" x14ac:dyDescent="0.35">
      <c r="A65" s="6">
        <v>63</v>
      </c>
      <c r="B65" s="3">
        <v>42829</v>
      </c>
      <c r="C65" s="2">
        <v>222.98</v>
      </c>
      <c r="D65" s="2">
        <v>223.53</v>
      </c>
      <c r="E65" s="2">
        <v>222.56</v>
      </c>
      <c r="F65" s="2">
        <v>223.44</v>
      </c>
      <c r="G65" s="1">
        <v>59508952</v>
      </c>
      <c r="H65" s="30">
        <f>(testdata[[#This Row],[high]]+testdata[[#This Row],[low]])/2</f>
        <v>223.04500000000002</v>
      </c>
      <c r="I65" s="23">
        <f>(4*testdata[[#This Row],[price]]+3*H64+2*H63+H62)/10</f>
        <v>223.29299999999998</v>
      </c>
      <c r="J65" s="9">
        <f>(0.0962*testdata[[#This Row],[smooth]]+0.5769*I63-0.5769*I61-0.0962*I59)*(0.075*$Z64+0.54)</f>
        <v>1.8230229442179275</v>
      </c>
      <c r="K65" s="14">
        <f t="shared" si="0"/>
        <v>-0.53519415954096661</v>
      </c>
      <c r="L65" s="14">
        <f>(0.0962*testdata[[#This Row],[detrender]]+0.5769*J63-0.5769*J61-0.0962*J59)*(0.075*$Z64+0.54)</f>
        <v>4.7402234781353689</v>
      </c>
      <c r="M65" s="9">
        <f>(0.0962*testdata[[#This Row],[I1]]+0.5769*K63-0.5769*K61-0.0962*K59)*(0.075*$Z64+0.54)</f>
        <v>1.3622525095815838</v>
      </c>
      <c r="N65" s="9">
        <f>(0.0962*testdata[[#This Row],[Q1]]+0.5769*L63-0.5769*L61-0.0962*L59)*(0.075*$Z64+0.54)</f>
        <v>8.359736796322446</v>
      </c>
      <c r="O65" s="9">
        <f>testdata[[#This Row],[I1]]-testdata[[#This Row],[JQ]]</f>
        <v>-8.894930955863412</v>
      </c>
      <c r="P65" s="9">
        <f>testdata[[#This Row],[Q1]]+testdata[[#This Row],[jI]]</f>
        <v>6.1024759877169528</v>
      </c>
      <c r="Q65" s="9">
        <f>0.2*testdata[[#This Row],[I2]]+0.8*Q64</f>
        <v>-3.4961841797496911</v>
      </c>
      <c r="R65" s="9">
        <f>0.2*testdata[[#This Row],[Q2]]+0.8*R64</f>
        <v>-0.36964762817796659</v>
      </c>
      <c r="S65" s="9">
        <f>testdata[[#This Row],[I2'']]*Q64+testdata[[#This Row],[Q2'']]*R64</f>
        <v>8.2392912064412958</v>
      </c>
      <c r="T65" s="9">
        <f>testdata[[#This Row],[I2'']]*R64-testdata[[#This Row],[Q2'']]*Q64</f>
        <v>6.1558425340500156</v>
      </c>
      <c r="U65" s="9">
        <f>0.2*testdata[[#This Row],[Re]]+0.8*U64</f>
        <v>7.878049434138382</v>
      </c>
      <c r="V65" s="9">
        <f>0.2*testdata[[#This Row],[Im]]+0.8*V64</f>
        <v>4.0756957261796298</v>
      </c>
      <c r="W65" s="9">
        <f>IF(AND(testdata[[#This Row],[Re'']]&lt;&gt;0,testdata[[#This Row],[Im'']]&lt;&gt;0),2*PI()/ATAN(testdata[[#This Row],[Im'']]/testdata[[#This Row],[Re'']]),0)</f>
        <v>13.160439261245504</v>
      </c>
      <c r="X65" s="9">
        <f>IF(testdata[[#This Row],[pd-atan]]&gt;1.5*Z64,1.5*Z64,IF(testdata[[#This Row],[pd-atan]]&lt;0.67*Z64,0.67*Z64,testdata[[#This Row],[pd-atan]]))</f>
        <v>13.802533263047057</v>
      </c>
      <c r="Y65" s="9">
        <f>IF(testdata[[#This Row],[pd-limit1]]&lt;6,6,IF(testdata[[#This Row],[pd-limit1]]&gt;50,50,testdata[[#This Row],[pd-limit1]]))</f>
        <v>13.802533263047057</v>
      </c>
      <c r="Z65" s="14">
        <f>0.2*testdata[[#This Row],[pd-limit2]]+0.8*Z64</f>
        <v>19.241143384605895</v>
      </c>
      <c r="AA65" s="14">
        <f>0.33*testdata[[#This Row],[period]]+0.67*AA64</f>
        <v>21.430106255996904</v>
      </c>
      <c r="AB65" s="31">
        <f>TRUNC(testdata[[#This Row],[SmPd]]+0.5,0)</f>
        <v>21</v>
      </c>
      <c r="AC65" s="14">
        <f ca="1">IF(testdata[[#This Row],[PdInt]]&lt;=0,0,AVERAGE(OFFSET(testdata[[#This Row],[price]],0,0,-testdata[[#This Row],[PdInt]],1)))</f>
        <v>223.56666666666666</v>
      </c>
      <c r="AD65" s="14">
        <f ca="1">IF(testdata[[#This Row],[i]]&lt;11,testdata[[#This Row],[price]],(4*testdata[[#This Row],[iTrend]]+3*AC64+2*AC63+AC62)/10)</f>
        <v>223.73452264492752</v>
      </c>
      <c r="AE65" s="14">
        <f>(4*testdata[[#This Row],[price]]+3*H64+2*H63+H62)/10</f>
        <v>223.29299999999998</v>
      </c>
      <c r="AF65" t="str">
        <f ca="1">IF(OR(ROUND(testdata[[#This Row],[Trendline]],4)&lt;&gt;Table3[[#This Row],[Trendline]],ROUND(testdata[[#This Row],[SmPrice]],4)&lt;&gt;Table3[[#This Row],[SmPrice]]),"ERR","")</f>
        <v>ERR</v>
      </c>
      <c r="AG65" s="3">
        <v>42829</v>
      </c>
      <c r="AH65" s="14">
        <v>23.709199999999999</v>
      </c>
      <c r="AI65" s="34">
        <v>24</v>
      </c>
      <c r="AJ65" s="14">
        <v>223.75229999999999</v>
      </c>
      <c r="AK65" s="14">
        <v>223.81219999999999</v>
      </c>
      <c r="AL65" s="14">
        <v>223.29300000000001</v>
      </c>
      <c r="AN65" s="38">
        <f t="shared" si="1"/>
        <v>7.7635047379999378E-2</v>
      </c>
      <c r="AO65" s="38">
        <f t="shared" si="2"/>
        <v>0</v>
      </c>
      <c r="AQ65" s="37">
        <v>42829</v>
      </c>
      <c r="AR65">
        <v>21</v>
      </c>
      <c r="AS65">
        <v>223.73452264492701</v>
      </c>
      <c r="AT65">
        <v>223.29299999999901</v>
      </c>
      <c r="AV65" s="37">
        <v>42829</v>
      </c>
      <c r="AW65">
        <v>24</v>
      </c>
      <c r="AX65">
        <v>223.81215769230701</v>
      </c>
      <c r="AY65">
        <v>223.29299999999901</v>
      </c>
      <c r="BA65" s="38">
        <f>AX65-Table3[[#This Row],[Trendline]]</f>
        <v>-4.2307692979193234E-5</v>
      </c>
      <c r="BB65" s="38">
        <f>AY65-Table3[[#This Row],[SmPrice]]</f>
        <v>-9.9475983006414026E-13</v>
      </c>
    </row>
    <row r="66" spans="1:54" x14ac:dyDescent="0.35">
      <c r="A66" s="6">
        <v>64</v>
      </c>
      <c r="B66" s="3">
        <v>42830</v>
      </c>
      <c r="C66" s="2">
        <v>224.18</v>
      </c>
      <c r="D66" s="2">
        <v>225.25</v>
      </c>
      <c r="E66" s="2">
        <v>222.55</v>
      </c>
      <c r="F66" s="2">
        <v>222.78</v>
      </c>
      <c r="G66" s="1">
        <v>114663488</v>
      </c>
      <c r="H66" s="30">
        <f>(testdata[[#This Row],[high]]+testdata[[#This Row],[low]])/2</f>
        <v>223.9</v>
      </c>
      <c r="I66" s="23">
        <f>(4*testdata[[#This Row],[price]]+3*H65+2*H64+H63)/10</f>
        <v>223.46700000000001</v>
      </c>
      <c r="J66" s="9">
        <f>(0.0962*testdata[[#This Row],[smooth]]+0.5769*I64-0.5769*I62-0.0962*I60)*(0.075*$Z65+0.54)</f>
        <v>0.74568863073824909</v>
      </c>
      <c r="K66" s="14">
        <f t="shared" si="0"/>
        <v>1.1990779831026306</v>
      </c>
      <c r="L66" s="14">
        <f>(0.0962*testdata[[#This Row],[detrender]]+0.5769*J64-0.5769*J62-0.0962*J60)*(0.075*$Z65+0.54)</f>
        <v>3.1493472915252694</v>
      </c>
      <c r="M66" s="9">
        <f>(0.0962*testdata[[#This Row],[I1]]+0.5769*K64-0.5769*K62-0.0962*K60)*(0.075*$Z65+0.54)</f>
        <v>2.1042528979096358</v>
      </c>
      <c r="N66" s="9">
        <f>(0.0962*testdata[[#This Row],[Q1]]+0.5769*L64-0.5769*L62-0.0962*L60)*(0.075*$Z65+0.54)</f>
        <v>3.4979317308390656</v>
      </c>
      <c r="O66" s="9">
        <f>testdata[[#This Row],[I1]]-testdata[[#This Row],[JQ]]</f>
        <v>-2.2988537477364348</v>
      </c>
      <c r="P66" s="9">
        <f>testdata[[#This Row],[Q1]]+testdata[[#This Row],[jI]]</f>
        <v>5.2536001894349056</v>
      </c>
      <c r="Q66" s="9">
        <f>0.2*testdata[[#This Row],[I2]]+0.8*Q65</f>
        <v>-3.2567180933470401</v>
      </c>
      <c r="R66" s="9">
        <f>0.2*testdata[[#This Row],[Q2]]+0.8*R65</f>
        <v>0.75500193534460791</v>
      </c>
      <c r="S66" s="9">
        <f>testdata[[#This Row],[I2'']]*Q65+testdata[[#This Row],[Q2'']]*R65</f>
        <v>11.107001601194591</v>
      </c>
      <c r="T66" s="9">
        <f>testdata[[#This Row],[I2'']]*R65-testdata[[#This Row],[Q2'']]*Q65</f>
        <v>3.8434639408822204</v>
      </c>
      <c r="U66" s="9">
        <f>0.2*testdata[[#This Row],[Re]]+0.8*U65</f>
        <v>8.5238398675496239</v>
      </c>
      <c r="V66" s="9">
        <f>0.2*testdata[[#This Row],[Im]]+0.8*V65</f>
        <v>4.0292493691201479</v>
      </c>
      <c r="W66" s="9">
        <f>IF(AND(testdata[[#This Row],[Re'']]&lt;&gt;0,testdata[[#This Row],[Im'']]&lt;&gt;0),2*PI()/ATAN(testdata[[#This Row],[Im'']]/testdata[[#This Row],[Re'']]),0)</f>
        <v>14.229098458865126</v>
      </c>
      <c r="X66" s="9">
        <f>IF(testdata[[#This Row],[pd-atan]]&gt;1.5*Z65,1.5*Z65,IF(testdata[[#This Row],[pd-atan]]&lt;0.67*Z65,0.67*Z65,testdata[[#This Row],[pd-atan]]))</f>
        <v>14.229098458865126</v>
      </c>
      <c r="Y66" s="9">
        <f>IF(testdata[[#This Row],[pd-limit1]]&lt;6,6,IF(testdata[[#This Row],[pd-limit1]]&gt;50,50,testdata[[#This Row],[pd-limit1]]))</f>
        <v>14.229098458865126</v>
      </c>
      <c r="Z66" s="14">
        <f>0.2*testdata[[#This Row],[pd-limit2]]+0.8*Z65</f>
        <v>18.238734399457741</v>
      </c>
      <c r="AA66" s="14">
        <f>0.33*testdata[[#This Row],[period]]+0.67*AA65</f>
        <v>20.376953543338981</v>
      </c>
      <c r="AB66" s="31">
        <f>TRUNC(testdata[[#This Row],[SmPd]]+0.5,0)</f>
        <v>20</v>
      </c>
      <c r="AC66" s="14">
        <f ca="1">IF(testdata[[#This Row],[PdInt]]&lt;=0,0,AVERAGE(OFFSET(testdata[[#This Row],[price]],0,0,-testdata[[#This Row],[PdInt]],1)))</f>
        <v>223.53574999999995</v>
      </c>
      <c r="AD66" s="14">
        <f ca="1">IF(testdata[[#This Row],[i]]&lt;11,testdata[[#This Row],[price]],(4*testdata[[#This Row],[iTrend]]+3*AC65+2*AC64+AC63)/10)</f>
        <v>223.63297391304346</v>
      </c>
      <c r="AE66" s="14">
        <f>(4*testdata[[#This Row],[price]]+3*H65+2*H64+H63)/10</f>
        <v>223.46700000000001</v>
      </c>
      <c r="AF66" t="str">
        <f ca="1">IF(OR(ROUND(testdata[[#This Row],[Trendline]],4)&lt;&gt;Table3[[#This Row],[Trendline]],ROUND(testdata[[#This Row],[SmPrice]],4)&lt;&gt;Table3[[#This Row],[SmPrice]]),"ERR","")</f>
        <v>ERR</v>
      </c>
      <c r="AG66" s="3">
        <v>42830</v>
      </c>
      <c r="AH66" s="14">
        <v>22.4817</v>
      </c>
      <c r="AI66" s="34">
        <v>22</v>
      </c>
      <c r="AJ66" s="14">
        <v>223.58179999999999</v>
      </c>
      <c r="AK66" s="14">
        <v>223.71700000000001</v>
      </c>
      <c r="AL66" s="14">
        <v>223.46700000000001</v>
      </c>
      <c r="AN66" s="38">
        <f t="shared" si="1"/>
        <v>8.3994705837994843E-2</v>
      </c>
      <c r="AO66" s="38">
        <f t="shared" si="2"/>
        <v>0</v>
      </c>
      <c r="AQ66" s="37">
        <v>42830</v>
      </c>
      <c r="AR66">
        <v>20</v>
      </c>
      <c r="AS66">
        <v>223.632973913043</v>
      </c>
      <c r="AT66">
        <v>223.46700000000001</v>
      </c>
      <c r="AV66" s="37">
        <v>42830</v>
      </c>
      <c r="AW66">
        <v>22</v>
      </c>
      <c r="AX66">
        <v>223.716968618881</v>
      </c>
      <c r="AY66">
        <v>223.46700000000001</v>
      </c>
      <c r="BA66" s="38">
        <f>AX66-Table3[[#This Row],[Trendline]]</f>
        <v>-3.1381119015350123E-5</v>
      </c>
      <c r="BB66" s="38">
        <f>AY66-Table3[[#This Row],[SmPrice]]</f>
        <v>0</v>
      </c>
    </row>
    <row r="67" spans="1:54" x14ac:dyDescent="0.35">
      <c r="A67" s="6">
        <v>65</v>
      </c>
      <c r="B67" s="3">
        <v>42831</v>
      </c>
      <c r="C67" s="2">
        <v>222.93</v>
      </c>
      <c r="D67" s="2">
        <v>223.97</v>
      </c>
      <c r="E67" s="2">
        <v>222.44</v>
      </c>
      <c r="F67" s="2">
        <v>223.4</v>
      </c>
      <c r="G67" s="1">
        <v>72861232</v>
      </c>
      <c r="H67" s="30">
        <f>(testdata[[#This Row],[high]]+testdata[[#This Row],[low]])/2</f>
        <v>223.20499999999998</v>
      </c>
      <c r="I67" s="23">
        <f>(4*testdata[[#This Row],[price]]+3*H66+2*H65+H64)/10</f>
        <v>223.35650000000001</v>
      </c>
      <c r="J67" s="9">
        <f>(0.0962*testdata[[#This Row],[smooth]]+0.5769*I65-0.5769*I63-0.0962*I61)*(0.075*$Z66+0.54)</f>
        <v>-0.22692355914326418</v>
      </c>
      <c r="K67" s="14">
        <f t="shared" si="0"/>
        <v>1.7439539077138644</v>
      </c>
      <c r="L67" s="14">
        <f>(0.0962*testdata[[#This Row],[detrender]]+0.5769*J65-0.5769*J63-0.0962*J61)*(0.075*$Z66+0.54)</f>
        <v>0.99253396261128168</v>
      </c>
      <c r="M67" s="9">
        <f>(0.0962*testdata[[#This Row],[I1]]+0.5769*K65-0.5769*K63-0.0962*K61)*(0.075*$Z66+0.54)</f>
        <v>2.6498107398301149</v>
      </c>
      <c r="N67" s="9">
        <f>(0.0962*testdata[[#This Row],[Q1]]+0.5769*L65-0.5769*L63-0.0962*L61)*(0.075*$Z66+0.54)</f>
        <v>3.320823034626379</v>
      </c>
      <c r="O67" s="9">
        <f>testdata[[#This Row],[I1]]-testdata[[#This Row],[JQ]]</f>
        <v>-1.5768691269125146</v>
      </c>
      <c r="P67" s="9">
        <f>testdata[[#This Row],[Q1]]+testdata[[#This Row],[jI]]</f>
        <v>3.6423447024413966</v>
      </c>
      <c r="Q67" s="9">
        <f>0.2*testdata[[#This Row],[I2]]+0.8*Q66</f>
        <v>-2.9207483000601351</v>
      </c>
      <c r="R67" s="9">
        <f>0.2*testdata[[#This Row],[Q2]]+0.8*R66</f>
        <v>1.3324704887639658</v>
      </c>
      <c r="S67" s="9">
        <f>testdata[[#This Row],[I2'']]*Q66+testdata[[#This Row],[Q2'']]*R66</f>
        <v>10.518071632724823</v>
      </c>
      <c r="T67" s="9">
        <f>testdata[[#This Row],[I2'']]*R66-testdata[[#This Row],[Q2'']]*Q66</f>
        <v>2.1343101304087058</v>
      </c>
      <c r="U67" s="9">
        <f>0.2*testdata[[#This Row],[Re]]+0.8*U66</f>
        <v>8.922686220584664</v>
      </c>
      <c r="V67" s="9">
        <f>0.2*testdata[[#This Row],[Im]]+0.8*V66</f>
        <v>3.6502615213778595</v>
      </c>
      <c r="W67" s="9">
        <f>IF(AND(testdata[[#This Row],[Re'']]&lt;&gt;0,testdata[[#This Row],[Im'']]&lt;&gt;0),2*PI()/ATAN(testdata[[#This Row],[Im'']]/testdata[[#This Row],[Re'']]),0)</f>
        <v>16.180198450918873</v>
      </c>
      <c r="X67" s="9">
        <f>IF(testdata[[#This Row],[pd-atan]]&gt;1.5*Z66,1.5*Z66,IF(testdata[[#This Row],[pd-atan]]&lt;0.67*Z66,0.67*Z66,testdata[[#This Row],[pd-atan]]))</f>
        <v>16.180198450918873</v>
      </c>
      <c r="Y67" s="9">
        <f>IF(testdata[[#This Row],[pd-limit1]]&lt;6,6,IF(testdata[[#This Row],[pd-limit1]]&gt;50,50,testdata[[#This Row],[pd-limit1]]))</f>
        <v>16.180198450918873</v>
      </c>
      <c r="Z67" s="14">
        <f>0.2*testdata[[#This Row],[pd-limit2]]+0.8*Z66</f>
        <v>17.827027209749968</v>
      </c>
      <c r="AA67" s="14">
        <f>0.33*testdata[[#This Row],[period]]+0.67*AA66</f>
        <v>19.535477853254609</v>
      </c>
      <c r="AB67" s="31">
        <f>TRUNC(testdata[[#This Row],[SmPd]]+0.5,0)</f>
        <v>20</v>
      </c>
      <c r="AC67" s="14">
        <f ca="1">IF(testdata[[#This Row],[PdInt]]&lt;=0,0,AVERAGE(OFFSET(testdata[[#This Row],[price]],0,0,-testdata[[#This Row],[PdInt]],1)))</f>
        <v>223.52475000000004</v>
      </c>
      <c r="AD67" s="14">
        <f ca="1">IF(testdata[[#This Row],[i]]&lt;11,testdata[[#This Row],[price]],(4*testdata[[#This Row],[iTrend]]+3*AC66+2*AC65+AC64)/10)</f>
        <v>223.56226268115944</v>
      </c>
      <c r="AE67" s="14">
        <f>(4*testdata[[#This Row],[price]]+3*H66+2*H65+H64)/10</f>
        <v>223.35650000000001</v>
      </c>
      <c r="AF67" t="str">
        <f ca="1">IF(OR(ROUND(testdata[[#This Row],[Trendline]],4)&lt;&gt;Table3[[#This Row],[Trendline]],ROUND(testdata[[#This Row],[SmPrice]],4)&lt;&gt;Table3[[#This Row],[SmPrice]]),"ERR","")</f>
        <v>ERR</v>
      </c>
      <c r="AG67" s="3">
        <v>42831</v>
      </c>
      <c r="AH67" s="14">
        <v>21.455200000000001</v>
      </c>
      <c r="AI67" s="34">
        <v>21</v>
      </c>
      <c r="AJ67" s="14">
        <v>223.52</v>
      </c>
      <c r="AK67" s="14">
        <v>223.61920000000001</v>
      </c>
      <c r="AL67" s="14">
        <v>223.35650000000001</v>
      </c>
      <c r="AN67" s="38">
        <f t="shared" si="1"/>
        <v>5.6941106718994661E-2</v>
      </c>
      <c r="AO67" s="38">
        <f t="shared" si="2"/>
        <v>0</v>
      </c>
      <c r="AQ67" s="37">
        <v>42831</v>
      </c>
      <c r="AR67">
        <v>20</v>
      </c>
      <c r="AS67">
        <v>223.56226268115901</v>
      </c>
      <c r="AT67">
        <v>223.35650000000001</v>
      </c>
      <c r="AV67" s="37">
        <v>42831</v>
      </c>
      <c r="AW67">
        <v>21</v>
      </c>
      <c r="AX67">
        <v>223.61920378787801</v>
      </c>
      <c r="AY67">
        <v>223.35650000000001</v>
      </c>
      <c r="BA67" s="38">
        <f>AX67-Table3[[#This Row],[Trendline]]</f>
        <v>3.7878780005939916E-6</v>
      </c>
      <c r="BB67" s="38">
        <f>AY67-Table3[[#This Row],[SmPrice]]</f>
        <v>0</v>
      </c>
    </row>
    <row r="68" spans="1:54" x14ac:dyDescent="0.35">
      <c r="A68" s="6">
        <v>66</v>
      </c>
      <c r="B68" s="3">
        <v>42832</v>
      </c>
      <c r="C68" s="2">
        <v>223.13</v>
      </c>
      <c r="D68" s="2">
        <v>223.93</v>
      </c>
      <c r="E68" s="2">
        <v>222.64</v>
      </c>
      <c r="F68" s="2">
        <v>223.17</v>
      </c>
      <c r="G68" s="1">
        <v>78422128</v>
      </c>
      <c r="H68" s="30">
        <f>(testdata[[#This Row],[high]]+testdata[[#This Row],[low]])/2</f>
        <v>223.285</v>
      </c>
      <c r="I68" s="23">
        <f>(4*testdata[[#This Row],[price]]+3*H67+2*H66+H65)/10</f>
        <v>223.35999999999999</v>
      </c>
      <c r="J68" s="9">
        <f>(0.0962*testdata[[#This Row],[smooth]]+0.5769*I66-0.5769*I64-0.0962*I62)*(0.075*$Z67+0.54)</f>
        <v>3.5037900661205962E-2</v>
      </c>
      <c r="K68" s="14">
        <f t="shared" si="0"/>
        <v>1.8230229442179275</v>
      </c>
      <c r="L68" s="14">
        <f>(0.0962*testdata[[#This Row],[detrender]]+0.5769*J66-0.5769*J64-0.0962*J62)*(0.075*$Z67+0.54)</f>
        <v>-0.97801163913919409</v>
      </c>
      <c r="M68" s="9">
        <f>(0.0962*testdata[[#This Row],[I1]]+0.5769*K66-0.5769*K64-0.0962*K62)*(0.075*$Z67+0.54)</f>
        <v>4.2672771790536794</v>
      </c>
      <c r="N68" s="9">
        <f>(0.0962*testdata[[#This Row],[Q1]]+0.5769*L66-0.5769*L64-0.0962*L62)*(0.075*$Z67+0.54)</f>
        <v>-0.33070287706604562</v>
      </c>
      <c r="O68" s="9">
        <f>testdata[[#This Row],[I1]]-testdata[[#This Row],[JQ]]</f>
        <v>2.1537258212839729</v>
      </c>
      <c r="P68" s="9">
        <f>testdata[[#This Row],[Q1]]+testdata[[#This Row],[jI]]</f>
        <v>3.2892655399144854</v>
      </c>
      <c r="Q68" s="9">
        <f>0.2*testdata[[#This Row],[I2]]+0.8*Q67</f>
        <v>-1.9058534757913137</v>
      </c>
      <c r="R68" s="9">
        <f>0.2*testdata[[#This Row],[Q2]]+0.8*R67</f>
        <v>1.7238294989940697</v>
      </c>
      <c r="S68" s="9">
        <f>testdata[[#This Row],[I2'']]*Q67+testdata[[#This Row],[Q2'']]*R67</f>
        <v>7.8634702346515502</v>
      </c>
      <c r="T68" s="9">
        <f>testdata[[#This Row],[I2'']]*R67-testdata[[#This Row],[Q2'']]*Q67</f>
        <v>2.4953785663802885</v>
      </c>
      <c r="U68" s="9">
        <f>0.2*testdata[[#This Row],[Re]]+0.8*U67</f>
        <v>8.7108430233980414</v>
      </c>
      <c r="V68" s="9">
        <f>0.2*testdata[[#This Row],[Im]]+0.8*V67</f>
        <v>3.4192849303783457</v>
      </c>
      <c r="W68" s="9">
        <f>IF(AND(testdata[[#This Row],[Re'']]&lt;&gt;0,testdata[[#This Row],[Im'']]&lt;&gt;0),2*PI()/ATAN(testdata[[#This Row],[Im'']]/testdata[[#This Row],[Re'']]),0)</f>
        <v>16.797627746661004</v>
      </c>
      <c r="X68" s="9">
        <f>IF(testdata[[#This Row],[pd-atan]]&gt;1.5*Z67,1.5*Z67,IF(testdata[[#This Row],[pd-atan]]&lt;0.67*Z67,0.67*Z67,testdata[[#This Row],[pd-atan]]))</f>
        <v>16.797627746661004</v>
      </c>
      <c r="Y68" s="9">
        <f>IF(testdata[[#This Row],[pd-limit1]]&lt;6,6,IF(testdata[[#This Row],[pd-limit1]]&gt;50,50,testdata[[#This Row],[pd-limit1]]))</f>
        <v>16.797627746661004</v>
      </c>
      <c r="Z68" s="14">
        <f>0.2*testdata[[#This Row],[pd-limit2]]+0.8*Z67</f>
        <v>17.621147317132177</v>
      </c>
      <c r="AA68" s="14">
        <f>0.33*testdata[[#This Row],[period]]+0.67*AA67</f>
        <v>18.903748776334208</v>
      </c>
      <c r="AB68" s="31">
        <f>TRUNC(testdata[[#This Row],[SmPd]]+0.5,0)</f>
        <v>19</v>
      </c>
      <c r="AC68" s="14">
        <f ca="1">IF(testdata[[#This Row],[PdInt]]&lt;=0,0,AVERAGE(OFFSET(testdata[[#This Row],[price]],0,0,-testdata[[#This Row],[PdInt]],1)))</f>
        <v>223.42947368421056</v>
      </c>
      <c r="AD68" s="14">
        <f ca="1">IF(testdata[[#This Row],[i]]&lt;11,testdata[[#This Row],[price]],(4*testdata[[#This Row],[iTrend]]+3*AC67+2*AC66+AC65)/10)</f>
        <v>223.49303114035087</v>
      </c>
      <c r="AE68" s="14">
        <f>(4*testdata[[#This Row],[price]]+3*H67+2*H66+H65)/10</f>
        <v>223.35999999999999</v>
      </c>
      <c r="AF68" t="str">
        <f ca="1">IF(OR(ROUND(testdata[[#This Row],[Trendline]],4)&lt;&gt;Table3[[#This Row],[Trendline]],ROUND(testdata[[#This Row],[SmPrice]],4)&lt;&gt;Table3[[#This Row],[SmPrice]]),"ERR","")</f>
        <v>ERR</v>
      </c>
      <c r="AG68" s="3">
        <v>42832</v>
      </c>
      <c r="AH68" s="14">
        <v>20.6526</v>
      </c>
      <c r="AI68" s="34">
        <v>21</v>
      </c>
      <c r="AJ68" s="14">
        <v>223.51329999999999</v>
      </c>
      <c r="AK68" s="14">
        <v>223.55289999999999</v>
      </c>
      <c r="AL68" s="14">
        <v>223.36</v>
      </c>
      <c r="AN68" s="38">
        <f t="shared" si="1"/>
        <v>5.9894996012985757E-2</v>
      </c>
      <c r="AO68" s="38">
        <f t="shared" si="2"/>
        <v>0</v>
      </c>
      <c r="AQ68" s="37">
        <v>42832</v>
      </c>
      <c r="AR68">
        <v>19</v>
      </c>
      <c r="AS68">
        <v>223.49303114035001</v>
      </c>
      <c r="AT68">
        <v>223.35999999999899</v>
      </c>
      <c r="AV68" s="37">
        <v>42832</v>
      </c>
      <c r="AW68">
        <v>21</v>
      </c>
      <c r="AX68">
        <v>223.552926136363</v>
      </c>
      <c r="AY68">
        <v>223.35999999999899</v>
      </c>
      <c r="BA68" s="38">
        <f>AX68-Table3[[#This Row],[Trendline]]</f>
        <v>2.6136363004525265E-5</v>
      </c>
      <c r="BB68" s="38">
        <f>AY68-Table3[[#This Row],[SmPrice]]</f>
        <v>-1.0231815394945443E-12</v>
      </c>
    </row>
    <row r="69" spans="1:54" x14ac:dyDescent="0.35">
      <c r="A69" s="6">
        <v>67</v>
      </c>
      <c r="B69" s="3">
        <v>42835</v>
      </c>
      <c r="C69" s="2">
        <v>223.33</v>
      </c>
      <c r="D69" s="2">
        <v>224.18</v>
      </c>
      <c r="E69" s="2">
        <v>222.73</v>
      </c>
      <c r="F69" s="2">
        <v>223.31</v>
      </c>
      <c r="G69" s="1">
        <v>71258848</v>
      </c>
      <c r="H69" s="30">
        <f>(testdata[[#This Row],[high]]+testdata[[#This Row],[low]])/2</f>
        <v>223.45499999999998</v>
      </c>
      <c r="I69" s="23">
        <f>(4*testdata[[#This Row],[price]]+3*H68+2*H67+H66)/10</f>
        <v>223.39850000000001</v>
      </c>
      <c r="J69" s="9">
        <f>(0.0962*testdata[[#This Row],[smooth]]+0.5769*I67-0.5769*I65-0.0962*I63)*(0.075*$Z68+0.54)</f>
        <v>2.2081482155616172E-2</v>
      </c>
      <c r="K69" s="14">
        <f t="shared" ref="K69:K132" si="3">J66</f>
        <v>0.74568863073824909</v>
      </c>
      <c r="L69" s="14">
        <f>(0.0962*testdata[[#This Row],[detrender]]+0.5769*J67-0.5769*J65-0.0962*J63)*(0.075*$Z68+0.54)</f>
        <v>-2.4123199015576962</v>
      </c>
      <c r="M69" s="9">
        <f>(0.0962*testdata[[#This Row],[I1]]+0.5769*K67-0.5769*K65-0.0962*K63)*(0.075*$Z68+0.54)</f>
        <v>2.956393070402203</v>
      </c>
      <c r="N69" s="9">
        <f>(0.0962*testdata[[#This Row],[Q1]]+0.5769*L67-0.5769*L65-0.0962*L63)*(0.075*$Z68+0.54)</f>
        <v>-4.8821827087596388</v>
      </c>
      <c r="O69" s="9">
        <f>testdata[[#This Row],[I1]]-testdata[[#This Row],[JQ]]</f>
        <v>5.6278713394978883</v>
      </c>
      <c r="P69" s="9">
        <f>testdata[[#This Row],[Q1]]+testdata[[#This Row],[jI]]</f>
        <v>0.54407316884450685</v>
      </c>
      <c r="Q69" s="9">
        <f>0.2*testdata[[#This Row],[I2]]+0.8*Q68</f>
        <v>-0.39910851273347325</v>
      </c>
      <c r="R69" s="9">
        <f>0.2*testdata[[#This Row],[Q2]]+0.8*R68</f>
        <v>1.4878782329641571</v>
      </c>
      <c r="S69" s="9">
        <f>testdata[[#This Row],[I2'']]*Q68+testdata[[#This Row],[Q2'']]*R68</f>
        <v>3.3254907351057765</v>
      </c>
      <c r="T69" s="9">
        <f>testdata[[#This Row],[I2'']]*R68-testdata[[#This Row],[Q2'']]*Q68</f>
        <v>2.1476828742993654</v>
      </c>
      <c r="U69" s="9">
        <f>0.2*testdata[[#This Row],[Re]]+0.8*U68</f>
        <v>7.633772565739589</v>
      </c>
      <c r="V69" s="9">
        <f>0.2*testdata[[#This Row],[Im]]+0.8*V68</f>
        <v>3.1649645191625497</v>
      </c>
      <c r="W69" s="9">
        <f>IF(AND(testdata[[#This Row],[Re'']]&lt;&gt;0,testdata[[#This Row],[Im'']]&lt;&gt;0),2*PI()/ATAN(testdata[[#This Row],[Im'']]/testdata[[#This Row],[Re'']]),0)</f>
        <v>15.986563038388972</v>
      </c>
      <c r="X69" s="9">
        <f>IF(testdata[[#This Row],[pd-atan]]&gt;1.5*Z68,1.5*Z68,IF(testdata[[#This Row],[pd-atan]]&lt;0.67*Z68,0.67*Z68,testdata[[#This Row],[pd-atan]]))</f>
        <v>15.986563038388972</v>
      </c>
      <c r="Y69" s="9">
        <f>IF(testdata[[#This Row],[pd-limit1]]&lt;6,6,IF(testdata[[#This Row],[pd-limit1]]&gt;50,50,testdata[[#This Row],[pd-limit1]]))</f>
        <v>15.986563038388972</v>
      </c>
      <c r="Z69" s="14">
        <f>0.2*testdata[[#This Row],[pd-limit2]]+0.8*Z68</f>
        <v>17.294230461383535</v>
      </c>
      <c r="AA69" s="14">
        <f>0.33*testdata[[#This Row],[period]]+0.67*AA68</f>
        <v>18.372607732400489</v>
      </c>
      <c r="AB69" s="31">
        <f>TRUNC(testdata[[#This Row],[SmPd]]+0.5,0)</f>
        <v>18</v>
      </c>
      <c r="AC69" s="14">
        <f ca="1">IF(testdata[[#This Row],[PdInt]]&lt;=0,0,AVERAGE(OFFSET(testdata[[#This Row],[price]],0,0,-testdata[[#This Row],[PdInt]],1)))</f>
        <v>223.32138888888892</v>
      </c>
      <c r="AD69" s="14">
        <f ca="1">IF(testdata[[#This Row],[i]]&lt;11,testdata[[#This Row],[price]],(4*testdata[[#This Row],[iTrend]]+3*AC68+2*AC67+AC66)/10)</f>
        <v>223.41592266081875</v>
      </c>
      <c r="AE69" s="14">
        <f>(4*testdata[[#This Row],[price]]+3*H68+2*H67+H66)/10</f>
        <v>223.39850000000001</v>
      </c>
      <c r="AF69" t="str">
        <f ca="1">IF(OR(ROUND(testdata[[#This Row],[Trendline]],4)&lt;&gt;Table3[[#This Row],[Trendline]],ROUND(testdata[[#This Row],[SmPrice]],4)&lt;&gt;Table3[[#This Row],[SmPrice]]),"ERR","")</f>
        <v>ERR</v>
      </c>
      <c r="AG69" s="3">
        <v>42835</v>
      </c>
      <c r="AH69" s="14">
        <v>19.963799999999999</v>
      </c>
      <c r="AI69" s="34">
        <v>20</v>
      </c>
      <c r="AJ69" s="14">
        <v>223.4308</v>
      </c>
      <c r="AK69" s="14">
        <v>223.48849999999999</v>
      </c>
      <c r="AL69" s="14">
        <v>223.39850000000001</v>
      </c>
      <c r="AN69" s="38">
        <f t="shared" si="1"/>
        <v>7.2559157362974247E-2</v>
      </c>
      <c r="AO69" s="38">
        <f t="shared" si="2"/>
        <v>0</v>
      </c>
      <c r="AQ69" s="37">
        <v>42835</v>
      </c>
      <c r="AR69">
        <v>18</v>
      </c>
      <c r="AS69">
        <v>223.41592266081801</v>
      </c>
      <c r="AT69">
        <v>223.39850000000001</v>
      </c>
      <c r="AV69" s="37">
        <v>42835</v>
      </c>
      <c r="AW69">
        <v>20</v>
      </c>
      <c r="AX69">
        <v>223.48848181818099</v>
      </c>
      <c r="AY69">
        <v>223.39850000000001</v>
      </c>
      <c r="BA69" s="38">
        <f>AX69-Table3[[#This Row],[Trendline]]</f>
        <v>-1.8181819001483746E-5</v>
      </c>
      <c r="BB69" s="38">
        <f>AY69-Table3[[#This Row],[SmPrice]]</f>
        <v>0</v>
      </c>
    </row>
    <row r="70" spans="1:54" x14ac:dyDescent="0.35">
      <c r="A70" s="6">
        <v>68</v>
      </c>
      <c r="B70" s="3">
        <v>42836</v>
      </c>
      <c r="C70" s="2">
        <v>222.89</v>
      </c>
      <c r="D70" s="2">
        <v>223.15</v>
      </c>
      <c r="E70" s="2">
        <v>221.41</v>
      </c>
      <c r="F70" s="2">
        <v>223.04</v>
      </c>
      <c r="G70" s="1">
        <v>92789720</v>
      </c>
      <c r="H70" s="30">
        <f>(testdata[[#This Row],[high]]+testdata[[#This Row],[low]])/2</f>
        <v>222.28</v>
      </c>
      <c r="I70" s="23">
        <f>(4*testdata[[#This Row],[price]]+3*H69+2*H68+H67)/10</f>
        <v>222.92600000000002</v>
      </c>
      <c r="J70" s="9">
        <f>(0.0962*testdata[[#This Row],[smooth]]+0.5769*I68-0.5769*I66-0.0962*I64)*(0.075*$Z69+0.54)</f>
        <v>-0.21130517398372392</v>
      </c>
      <c r="K70" s="14">
        <f t="shared" si="3"/>
        <v>-0.22692355914326418</v>
      </c>
      <c r="L70" s="14">
        <f>(0.0962*testdata[[#This Row],[detrender]]+0.5769*J68-0.5769*J66-0.0962*J64)*(0.075*$Z69+0.54)</f>
        <v>-1.0986954368426323</v>
      </c>
      <c r="M70" s="9">
        <f>(0.0962*testdata[[#This Row],[I1]]+0.5769*K68-0.5769*K66-0.0962*K64)*(0.075*$Z69+0.54)</f>
        <v>0.95568259172001846</v>
      </c>
      <c r="N70" s="9">
        <f>(0.0962*testdata[[#This Row],[Q1]]+0.5769*L68-0.5769*L66-0.0962*L64)*(0.075*$Z69+0.54)</f>
        <v>-5.1069300158628126</v>
      </c>
      <c r="O70" s="9">
        <f>testdata[[#This Row],[I1]]-testdata[[#This Row],[JQ]]</f>
        <v>4.8800064567195482</v>
      </c>
      <c r="P70" s="9">
        <f>testdata[[#This Row],[Q1]]+testdata[[#This Row],[jI]]</f>
        <v>-0.14301284512261381</v>
      </c>
      <c r="Q70" s="9">
        <f>0.2*testdata[[#This Row],[I2]]+0.8*Q69</f>
        <v>0.65671448115713105</v>
      </c>
      <c r="R70" s="9">
        <f>0.2*testdata[[#This Row],[Q2]]+0.8*R69</f>
        <v>1.1617000173468028</v>
      </c>
      <c r="S70" s="9">
        <f>testdata[[#This Row],[I2'']]*Q69+testdata[[#This Row],[Q2'']]*R69</f>
        <v>1.4663678291792346</v>
      </c>
      <c r="T70" s="9">
        <f>testdata[[#This Row],[I2'']]*R69-testdata[[#This Row],[Q2'']]*Q69</f>
        <v>1.440755547951778</v>
      </c>
      <c r="U70" s="9">
        <f>0.2*testdata[[#This Row],[Re]]+0.8*U69</f>
        <v>6.4002916184275183</v>
      </c>
      <c r="V70" s="9">
        <f>0.2*testdata[[#This Row],[Im]]+0.8*V69</f>
        <v>2.8201227249203953</v>
      </c>
      <c r="W70" s="9">
        <f>IF(AND(testdata[[#This Row],[Re'']]&lt;&gt;0,testdata[[#This Row],[Im'']]&lt;&gt;0),2*PI()/ATAN(testdata[[#This Row],[Im'']]/testdata[[#This Row],[Re'']]),0)</f>
        <v>15.139124842904138</v>
      </c>
      <c r="X70" s="9">
        <f>IF(testdata[[#This Row],[pd-atan]]&gt;1.5*Z69,1.5*Z69,IF(testdata[[#This Row],[pd-atan]]&lt;0.67*Z69,0.67*Z69,testdata[[#This Row],[pd-atan]]))</f>
        <v>15.139124842904138</v>
      </c>
      <c r="Y70" s="9">
        <f>IF(testdata[[#This Row],[pd-limit1]]&lt;6,6,IF(testdata[[#This Row],[pd-limit1]]&gt;50,50,testdata[[#This Row],[pd-limit1]]))</f>
        <v>15.139124842904138</v>
      </c>
      <c r="Z70" s="14">
        <f>0.2*testdata[[#This Row],[pd-limit2]]+0.8*Z69</f>
        <v>16.863209337687657</v>
      </c>
      <c r="AA70" s="14">
        <f>0.33*testdata[[#This Row],[period]]+0.67*AA69</f>
        <v>17.874506262145253</v>
      </c>
      <c r="AB70" s="31">
        <f>TRUNC(testdata[[#This Row],[SmPd]]+0.5,0)</f>
        <v>18</v>
      </c>
      <c r="AC70" s="14">
        <f ca="1">IF(testdata[[#This Row],[PdInt]]&lt;=0,0,AVERAGE(OFFSET(testdata[[#This Row],[price]],0,0,-testdata[[#This Row],[PdInt]],1)))</f>
        <v>223.14416666666668</v>
      </c>
      <c r="AD70" s="14">
        <f ca="1">IF(testdata[[#This Row],[i]]&lt;11,testdata[[#This Row],[price]],(4*testdata[[#This Row],[iTrend]]+3*AC69+2*AC68+AC67)/10)</f>
        <v>223.29245307017544</v>
      </c>
      <c r="AE70" s="14">
        <f>(4*testdata[[#This Row],[price]]+3*H69+2*H68+H67)/10</f>
        <v>222.92600000000002</v>
      </c>
      <c r="AF70" t="str">
        <f ca="1">IF(OR(ROUND(testdata[[#This Row],[Trendline]],4)&lt;&gt;Table3[[#This Row],[Trendline]],ROUND(testdata[[#This Row],[SmPrice]],4)&lt;&gt;Table3[[#This Row],[SmPrice]]),"ERR","")</f>
        <v>ERR</v>
      </c>
      <c r="AG70" s="3">
        <v>42836</v>
      </c>
      <c r="AH70" s="14">
        <v>19.315799999999999</v>
      </c>
      <c r="AI70" s="34">
        <v>19</v>
      </c>
      <c r="AJ70" s="14">
        <v>223.26660000000001</v>
      </c>
      <c r="AK70" s="14">
        <v>223.3905</v>
      </c>
      <c r="AL70" s="14">
        <v>222.92599999999999</v>
      </c>
      <c r="AN70" s="38">
        <f t="shared" si="1"/>
        <v>9.8070175439005425E-2</v>
      </c>
      <c r="AO70" s="38">
        <f t="shared" si="2"/>
        <v>0</v>
      </c>
      <c r="AQ70" s="37">
        <v>42836</v>
      </c>
      <c r="AR70">
        <v>18</v>
      </c>
      <c r="AS70">
        <v>223.29245307017499</v>
      </c>
      <c r="AT70">
        <v>222.92599999999999</v>
      </c>
      <c r="AV70" s="37">
        <v>42836</v>
      </c>
      <c r="AW70">
        <v>19</v>
      </c>
      <c r="AX70">
        <v>223.39052324561399</v>
      </c>
      <c r="AY70">
        <v>222.92599999999999</v>
      </c>
      <c r="BA70" s="38">
        <f>AX70-Table3[[#This Row],[Trendline]]</f>
        <v>2.3245613988365221E-5</v>
      </c>
      <c r="BB70" s="38">
        <f>AY70-Table3[[#This Row],[SmPrice]]</f>
        <v>0</v>
      </c>
    </row>
    <row r="71" spans="1:54" x14ac:dyDescent="0.35">
      <c r="A71" s="6">
        <v>69</v>
      </c>
      <c r="B71" s="3">
        <v>42837</v>
      </c>
      <c r="C71" s="2">
        <v>222.74</v>
      </c>
      <c r="D71" s="2">
        <v>222.95</v>
      </c>
      <c r="E71" s="2">
        <v>221.82</v>
      </c>
      <c r="F71" s="2">
        <v>222.06</v>
      </c>
      <c r="G71" s="1">
        <v>86275816</v>
      </c>
      <c r="H71" s="30">
        <f>(testdata[[#This Row],[high]]+testdata[[#This Row],[low]])/2</f>
        <v>222.38499999999999</v>
      </c>
      <c r="I71" s="23">
        <f>(4*testdata[[#This Row],[price]]+3*H70+2*H69+H68)/10</f>
        <v>222.65749999999997</v>
      </c>
      <c r="J71" s="9">
        <f>(0.0962*testdata[[#This Row],[smooth]]+0.5769*I69-0.5769*I67-0.0962*I65)*(0.075*$Z70+0.54)</f>
        <v>-6.6604496967776608E-2</v>
      </c>
      <c r="K71" s="14">
        <f t="shared" si="3"/>
        <v>3.5037900661205962E-2</v>
      </c>
      <c r="L71" s="14">
        <f>(0.0962*testdata[[#This Row],[detrender]]+0.5769*J69-0.5769*J67-0.0962*J65)*(0.075*$Z70+0.54)</f>
        <v>-6.8816841092581238E-2</v>
      </c>
      <c r="M71" s="9">
        <f>(0.0962*testdata[[#This Row],[I1]]+0.5769*K69-0.5769*K67-0.0962*K65)*(0.075*$Z70+0.54)</f>
        <v>-0.94034735368542344</v>
      </c>
      <c r="N71" s="9">
        <f>(0.0962*testdata[[#This Row],[Q1]]+0.5769*L69-0.5769*L67-0.0962*L65)*(0.075*$Z70+0.54)</f>
        <v>-4.3799069289211099</v>
      </c>
      <c r="O71" s="9">
        <f>testdata[[#This Row],[I1]]-testdata[[#This Row],[JQ]]</f>
        <v>4.4149448295823159</v>
      </c>
      <c r="P71" s="9">
        <f>testdata[[#This Row],[Q1]]+testdata[[#This Row],[jI]]</f>
        <v>-1.0091641947780046</v>
      </c>
      <c r="Q71" s="9">
        <f>0.2*testdata[[#This Row],[I2]]+0.8*Q70</f>
        <v>1.4083605508421682</v>
      </c>
      <c r="R71" s="9">
        <f>0.2*testdata[[#This Row],[Q2]]+0.8*R70</f>
        <v>0.72752717492184138</v>
      </c>
      <c r="S71" s="9">
        <f>testdata[[#This Row],[I2'']]*Q70+testdata[[#This Row],[Q2'']]*R70</f>
        <v>1.7700591001554593</v>
      </c>
      <c r="T71" s="9">
        <f>testdata[[#This Row],[I2'']]*R70-testdata[[#This Row],[Q2'']]*Q70</f>
        <v>1.1583148451373892</v>
      </c>
      <c r="U71" s="9">
        <f>0.2*testdata[[#This Row],[Re]]+0.8*U70</f>
        <v>5.4742451147731064</v>
      </c>
      <c r="V71" s="9">
        <f>0.2*testdata[[#This Row],[Im]]+0.8*V70</f>
        <v>2.4877611489637941</v>
      </c>
      <c r="W71" s="9">
        <f>IF(AND(testdata[[#This Row],[Re'']]&lt;&gt;0,testdata[[#This Row],[Im'']]&lt;&gt;0),2*PI()/ATAN(testdata[[#This Row],[Im'']]/testdata[[#This Row],[Re'']]),0)</f>
        <v>14.730349183840062</v>
      </c>
      <c r="X71" s="9">
        <f>IF(testdata[[#This Row],[pd-atan]]&gt;1.5*Z70,1.5*Z70,IF(testdata[[#This Row],[pd-atan]]&lt;0.67*Z70,0.67*Z70,testdata[[#This Row],[pd-atan]]))</f>
        <v>14.730349183840062</v>
      </c>
      <c r="Y71" s="9">
        <f>IF(testdata[[#This Row],[pd-limit1]]&lt;6,6,IF(testdata[[#This Row],[pd-limit1]]&gt;50,50,testdata[[#This Row],[pd-limit1]]))</f>
        <v>14.730349183840062</v>
      </c>
      <c r="Z71" s="14">
        <f>0.2*testdata[[#This Row],[pd-limit2]]+0.8*Z70</f>
        <v>16.436637306918136</v>
      </c>
      <c r="AA71" s="14">
        <f>0.33*testdata[[#This Row],[period]]+0.67*AA70</f>
        <v>17.400009506920306</v>
      </c>
      <c r="AB71" s="31">
        <f>TRUNC(testdata[[#This Row],[SmPd]]+0.5,0)</f>
        <v>17</v>
      </c>
      <c r="AC71" s="14">
        <f ca="1">IF(testdata[[#This Row],[PdInt]]&lt;=0,0,AVERAGE(OFFSET(testdata[[#This Row],[price]],0,0,-testdata[[#This Row],[PdInt]],1)))</f>
        <v>222.87617647058826</v>
      </c>
      <c r="AD71" s="14">
        <f ca="1">IF(testdata[[#This Row],[i]]&lt;11,testdata[[#This Row],[price]],(4*testdata[[#This Row],[iTrend]]+3*AC70+2*AC69+AC68)/10)</f>
        <v>223.10094573443416</v>
      </c>
      <c r="AE71" s="14">
        <f>(4*testdata[[#This Row],[price]]+3*H70+2*H69+H68)/10</f>
        <v>222.65749999999997</v>
      </c>
      <c r="AF71" t="str">
        <f ca="1">IF(OR(ROUND(testdata[[#This Row],[Trendline]],4)&lt;&gt;Table3[[#This Row],[Trendline]],ROUND(testdata[[#This Row],[SmPrice]],4)&lt;&gt;Table3[[#This Row],[SmPrice]]),"ERR","")</f>
        <v>ERR</v>
      </c>
      <c r="AG71" s="3">
        <v>42837</v>
      </c>
      <c r="AH71" s="14">
        <v>18.700600000000001</v>
      </c>
      <c r="AI71" s="34">
        <v>19</v>
      </c>
      <c r="AJ71" s="14">
        <v>223.10419999999999</v>
      </c>
      <c r="AK71" s="14">
        <v>223.25909999999999</v>
      </c>
      <c r="AL71" s="14">
        <v>222.6575</v>
      </c>
      <c r="AN71" s="38">
        <f t="shared" si="1"/>
        <v>0.15819549363601482</v>
      </c>
      <c r="AO71" s="38">
        <f t="shared" si="2"/>
        <v>0</v>
      </c>
      <c r="AQ71" s="37">
        <v>42837</v>
      </c>
      <c r="AR71">
        <v>17</v>
      </c>
      <c r="AS71">
        <v>223.10094573443399</v>
      </c>
      <c r="AT71">
        <v>222.6575</v>
      </c>
      <c r="AV71" s="37">
        <v>42837</v>
      </c>
      <c r="AW71">
        <v>19</v>
      </c>
      <c r="AX71">
        <v>223.25914122807001</v>
      </c>
      <c r="AY71">
        <v>222.6575</v>
      </c>
      <c r="BA71" s="38">
        <f>AX71-Table3[[#This Row],[Trendline]]</f>
        <v>4.1228070017496066E-5</v>
      </c>
      <c r="BB71" s="38">
        <f>AY71-Table3[[#This Row],[SmPrice]]</f>
        <v>0</v>
      </c>
    </row>
    <row r="72" spans="1:54" x14ac:dyDescent="0.35">
      <c r="A72" s="6">
        <v>70</v>
      </c>
      <c r="B72" s="3">
        <v>42838</v>
      </c>
      <c r="C72" s="2">
        <v>221.69</v>
      </c>
      <c r="D72" s="2">
        <v>222.5</v>
      </c>
      <c r="E72" s="2">
        <v>220.62</v>
      </c>
      <c r="F72" s="2">
        <v>220.62</v>
      </c>
      <c r="G72" s="1">
        <v>97885392</v>
      </c>
      <c r="H72" s="30">
        <f>(testdata[[#This Row],[high]]+testdata[[#This Row],[low]])/2</f>
        <v>221.56</v>
      </c>
      <c r="I72" s="23">
        <f>(4*testdata[[#This Row],[price]]+3*H71+2*H70+H69)/10</f>
        <v>222.14099999999999</v>
      </c>
      <c r="J72" s="9">
        <f>(0.0962*testdata[[#This Row],[smooth]]+0.5769*I70-0.5769*I68-0.0962*I66)*(0.075*$Z71+0.54)</f>
        <v>-0.66998485724247658</v>
      </c>
      <c r="K72" s="14">
        <f t="shared" si="3"/>
        <v>2.2081482155616172E-2</v>
      </c>
      <c r="L72" s="14">
        <f>(0.0962*testdata[[#This Row],[detrender]]+0.5769*J70-0.5769*J68-0.0962*J66)*(0.075*$Z71+0.54)</f>
        <v>-0.49336122420473311</v>
      </c>
      <c r="M72" s="9">
        <f>(0.0962*testdata[[#This Row],[I1]]+0.5769*K70-0.5769*K68-0.0962*K66)*(0.075*$Z71+0.54)</f>
        <v>-2.2971996359742684</v>
      </c>
      <c r="N72" s="9">
        <f>(0.0962*testdata[[#This Row],[Q1]]+0.5769*L70-0.5769*L68-0.0962*L66)*(0.075*$Z71+0.54)</f>
        <v>-0.74464455995308687</v>
      </c>
      <c r="O72" s="9">
        <f>testdata[[#This Row],[I1]]-testdata[[#This Row],[JQ]]</f>
        <v>0.76672604210870299</v>
      </c>
      <c r="P72" s="9">
        <f>testdata[[#This Row],[Q1]]+testdata[[#This Row],[jI]]</f>
        <v>-2.7905608601790015</v>
      </c>
      <c r="Q72" s="9">
        <f>0.2*testdata[[#This Row],[I2]]+0.8*Q71</f>
        <v>1.2800336490954751</v>
      </c>
      <c r="R72" s="9">
        <f>0.2*testdata[[#This Row],[Q2]]+0.8*R71</f>
        <v>2.3909567901672757E-2</v>
      </c>
      <c r="S72" s="9">
        <f>testdata[[#This Row],[I2'']]*Q71+testdata[[#This Row],[Q2'']]*R71</f>
        <v>1.8201437555257198</v>
      </c>
      <c r="T72" s="9">
        <f>testdata[[#This Row],[I2'']]*R71-testdata[[#This Row],[Q2'']]*Q71</f>
        <v>0.89758597231092863</v>
      </c>
      <c r="U72" s="9">
        <f>0.2*testdata[[#This Row],[Re]]+0.8*U71</f>
        <v>4.7434248429236288</v>
      </c>
      <c r="V72" s="9">
        <f>0.2*testdata[[#This Row],[Im]]+0.8*V71</f>
        <v>2.1697261136332209</v>
      </c>
      <c r="W72" s="9">
        <f>IF(AND(testdata[[#This Row],[Re'']]&lt;&gt;0,testdata[[#This Row],[Im'']]&lt;&gt;0),2*PI()/ATAN(testdata[[#This Row],[Im'']]/testdata[[#This Row],[Re'']]),0)</f>
        <v>14.645939537159666</v>
      </c>
      <c r="X72" s="9">
        <f>IF(testdata[[#This Row],[pd-atan]]&gt;1.5*Z71,1.5*Z71,IF(testdata[[#This Row],[pd-atan]]&lt;0.67*Z71,0.67*Z71,testdata[[#This Row],[pd-atan]]))</f>
        <v>14.645939537159666</v>
      </c>
      <c r="Y72" s="9">
        <f>IF(testdata[[#This Row],[pd-limit1]]&lt;6,6,IF(testdata[[#This Row],[pd-limit1]]&gt;50,50,testdata[[#This Row],[pd-limit1]]))</f>
        <v>14.645939537159666</v>
      </c>
      <c r="Z72" s="14">
        <f>0.2*testdata[[#This Row],[pd-limit2]]+0.8*Z71</f>
        <v>16.078497752966445</v>
      </c>
      <c r="AA72" s="14">
        <f>0.33*testdata[[#This Row],[period]]+0.67*AA71</f>
        <v>16.963910628115535</v>
      </c>
      <c r="AB72" s="31">
        <f>TRUNC(testdata[[#This Row],[SmPd]]+0.5,0)</f>
        <v>17</v>
      </c>
      <c r="AC72" s="14">
        <f ca="1">IF(testdata[[#This Row],[PdInt]]&lt;=0,0,AVERAGE(OFFSET(testdata[[#This Row],[price]],0,0,-testdata[[#This Row],[PdInt]],1)))</f>
        <v>222.75911764705884</v>
      </c>
      <c r="AD72" s="14">
        <f ca="1">IF(testdata[[#This Row],[i]]&lt;11,testdata[[#This Row],[price]],(4*testdata[[#This Row],[iTrend]]+3*AC71+2*AC70+AC69)/10)</f>
        <v>222.92747222222224</v>
      </c>
      <c r="AE72" s="14">
        <f>(4*testdata[[#This Row],[price]]+3*H71+2*H70+H69)/10</f>
        <v>222.14099999999999</v>
      </c>
      <c r="AF72" t="str">
        <f ca="1">IF(OR(ROUND(testdata[[#This Row],[Trendline]],4)&lt;&gt;Table3[[#This Row],[Trendline]],ROUND(testdata[[#This Row],[SmPrice]],4)&lt;&gt;Table3[[#This Row],[SmPrice]]),"ERR","")</f>
        <v>ERR</v>
      </c>
      <c r="AG72" s="3">
        <v>42838</v>
      </c>
      <c r="AH72" s="14">
        <v>18.1388</v>
      </c>
      <c r="AI72" s="34">
        <v>18</v>
      </c>
      <c r="AJ72" s="14">
        <v>222.8031</v>
      </c>
      <c r="AK72" s="14">
        <v>223.0489</v>
      </c>
      <c r="AL72" s="14">
        <v>222.14099999999999</v>
      </c>
      <c r="AN72" s="38">
        <f t="shared" si="1"/>
        <v>0.12140394736798044</v>
      </c>
      <c r="AO72" s="38">
        <f t="shared" si="2"/>
        <v>0</v>
      </c>
      <c r="AQ72" s="37">
        <v>42838</v>
      </c>
      <c r="AR72">
        <v>17</v>
      </c>
      <c r="AS72">
        <v>222.92747222222201</v>
      </c>
      <c r="AT72">
        <v>222.14099999999999</v>
      </c>
      <c r="AV72" s="37">
        <v>42838</v>
      </c>
      <c r="AW72">
        <v>18</v>
      </c>
      <c r="AX72">
        <v>223.04887616958999</v>
      </c>
      <c r="AY72">
        <v>222.14099999999999</v>
      </c>
      <c r="BA72" s="38">
        <f>AX72-Table3[[#This Row],[Trendline]]</f>
        <v>-2.3830410015079906E-5</v>
      </c>
      <c r="BB72" s="38">
        <f>AY72-Table3[[#This Row],[SmPrice]]</f>
        <v>0</v>
      </c>
    </row>
    <row r="73" spans="1:54" x14ac:dyDescent="0.35">
      <c r="A73" s="6">
        <v>71</v>
      </c>
      <c r="B73" s="3">
        <v>42842</v>
      </c>
      <c r="C73" s="2">
        <v>221.19</v>
      </c>
      <c r="D73" s="2">
        <v>222.58</v>
      </c>
      <c r="E73" s="2">
        <v>220.97</v>
      </c>
      <c r="F73" s="2">
        <v>222.58</v>
      </c>
      <c r="G73" s="1">
        <v>72091488</v>
      </c>
      <c r="H73" s="30">
        <f>(testdata[[#This Row],[high]]+testdata[[#This Row],[low]])/2</f>
        <v>221.77500000000001</v>
      </c>
      <c r="I73" s="23">
        <f>(4*testdata[[#This Row],[price]]+3*H72+2*H71+H70)/10</f>
        <v>221.88300000000004</v>
      </c>
      <c r="J73" s="9">
        <f>(0.0962*testdata[[#This Row],[smooth]]+0.5769*I71-0.5769*I69-0.0962*I67)*(0.075*$Z72+0.54)</f>
        <v>-0.99381773088853165</v>
      </c>
      <c r="K73" s="14">
        <f t="shared" si="3"/>
        <v>-0.21130517398372392</v>
      </c>
      <c r="L73" s="14">
        <f>(0.0962*testdata[[#This Row],[detrender]]+0.5769*J71-0.5769*J69-0.0962*J67)*(0.075*$Z72+0.54)</f>
        <v>-0.21812795194550808</v>
      </c>
      <c r="M73" s="9">
        <f>(0.0962*testdata[[#This Row],[I1]]+0.5769*K71-0.5769*K69-0.0962*K67)*(0.075*$Z72+0.54)</f>
        <v>-1.0441634121985421</v>
      </c>
      <c r="N73" s="9">
        <f>(0.0962*testdata[[#This Row],[Q1]]+0.5769*L71-0.5769*L69-0.0962*L67)*(0.075*$Z72+0.54)</f>
        <v>2.1570459618904367</v>
      </c>
      <c r="O73" s="9">
        <f>testdata[[#This Row],[I1]]-testdata[[#This Row],[JQ]]</f>
        <v>-2.3683511358741605</v>
      </c>
      <c r="P73" s="9">
        <f>testdata[[#This Row],[Q1]]+testdata[[#This Row],[jI]]</f>
        <v>-1.2622913641440503</v>
      </c>
      <c r="Q73" s="9">
        <f>0.2*testdata[[#This Row],[I2]]+0.8*Q72</f>
        <v>0.55035669210154814</v>
      </c>
      <c r="R73" s="9">
        <f>0.2*testdata[[#This Row],[Q2]]+0.8*R72</f>
        <v>-0.23333061850747186</v>
      </c>
      <c r="S73" s="9">
        <f>testdata[[#This Row],[I2'']]*Q72+testdata[[#This Row],[Q2'']]*R72</f>
        <v>0.69889625062811589</v>
      </c>
      <c r="T73" s="9">
        <f>testdata[[#This Row],[I2'']]*R72-testdata[[#This Row],[Q2'']]*Q72</f>
        <v>0.31182983375376538</v>
      </c>
      <c r="U73" s="9">
        <f>0.2*testdata[[#This Row],[Re]]+0.8*U72</f>
        <v>3.9345191244645266</v>
      </c>
      <c r="V73" s="9">
        <f>0.2*testdata[[#This Row],[Im]]+0.8*V72</f>
        <v>1.7981468576573298</v>
      </c>
      <c r="W73" s="9">
        <f>IF(AND(testdata[[#This Row],[Re'']]&lt;&gt;0,testdata[[#This Row],[Im'']]&lt;&gt;0),2*PI()/ATAN(testdata[[#This Row],[Im'']]/testdata[[#This Row],[Re'']]),0)</f>
        <v>14.657226453735591</v>
      </c>
      <c r="X73" s="9">
        <f>IF(testdata[[#This Row],[pd-atan]]&gt;1.5*Z72,1.5*Z72,IF(testdata[[#This Row],[pd-atan]]&lt;0.67*Z72,0.67*Z72,testdata[[#This Row],[pd-atan]]))</f>
        <v>14.657226453735591</v>
      </c>
      <c r="Y73" s="9">
        <f>IF(testdata[[#This Row],[pd-limit1]]&lt;6,6,IF(testdata[[#This Row],[pd-limit1]]&gt;50,50,testdata[[#This Row],[pd-limit1]]))</f>
        <v>14.657226453735591</v>
      </c>
      <c r="Z73" s="14">
        <f>0.2*testdata[[#This Row],[pd-limit2]]+0.8*Z72</f>
        <v>15.794243493120275</v>
      </c>
      <c r="AA73" s="14">
        <f>0.33*testdata[[#This Row],[period]]+0.67*AA72</f>
        <v>16.577920473567101</v>
      </c>
      <c r="AB73" s="31">
        <f>TRUNC(testdata[[#This Row],[SmPd]]+0.5,0)</f>
        <v>17</v>
      </c>
      <c r="AC73" s="14">
        <f ca="1">IF(testdata[[#This Row],[PdInt]]&lt;=0,0,AVERAGE(OFFSET(testdata[[#This Row],[price]],0,0,-testdata[[#This Row],[PdInt]],1)))</f>
        <v>222.75352941176473</v>
      </c>
      <c r="AD73" s="14">
        <f ca="1">IF(testdata[[#This Row],[i]]&lt;11,testdata[[#This Row],[price]],(4*testdata[[#This Row],[iTrend]]+3*AC72+2*AC71+AC70)/10)</f>
        <v>222.81879901960784</v>
      </c>
      <c r="AE73" s="14">
        <f>(4*testdata[[#This Row],[price]]+3*H72+2*H71+H70)/10</f>
        <v>221.88300000000004</v>
      </c>
      <c r="AF73" t="str">
        <f ca="1">IF(OR(ROUND(testdata[[#This Row],[Trendline]],4)&lt;&gt;Table3[[#This Row],[Trendline]],ROUND(testdata[[#This Row],[SmPrice]],4)&lt;&gt;Table3[[#This Row],[SmPrice]]),"ERR","")</f>
        <v>ERR</v>
      </c>
      <c r="AG73" s="3">
        <v>42842</v>
      </c>
      <c r="AH73" s="14">
        <v>17.644300000000001</v>
      </c>
      <c r="AI73" s="34">
        <v>18</v>
      </c>
      <c r="AJ73" s="14">
        <v>222.70439999999999</v>
      </c>
      <c r="AK73" s="14">
        <v>222.87020000000001</v>
      </c>
      <c r="AL73" s="14">
        <v>221.88300000000001</v>
      </c>
      <c r="AN73" s="38">
        <f t="shared" ref="AN73:AN136" si="4">AX73-AS73</f>
        <v>5.1395424836982784E-2</v>
      </c>
      <c r="AO73" s="38">
        <f t="shared" ref="AO73:AO136" si="5">AY73-AT73</f>
        <v>0</v>
      </c>
      <c r="AQ73" s="37">
        <v>42842</v>
      </c>
      <c r="AR73">
        <v>17</v>
      </c>
      <c r="AS73">
        <v>222.81879901960701</v>
      </c>
      <c r="AT73">
        <v>221.88300000000001</v>
      </c>
      <c r="AV73" s="37">
        <v>42842</v>
      </c>
      <c r="AW73">
        <v>18</v>
      </c>
      <c r="AX73">
        <v>222.870194444444</v>
      </c>
      <c r="AY73">
        <v>221.88300000000001</v>
      </c>
      <c r="BA73" s="38">
        <f>AX73-Table3[[#This Row],[Trendline]]</f>
        <v>-5.5555560152242833E-6</v>
      </c>
      <c r="BB73" s="38">
        <f>AY73-Table3[[#This Row],[SmPrice]]</f>
        <v>0</v>
      </c>
    </row>
    <row r="74" spans="1:54" x14ac:dyDescent="0.35">
      <c r="A74" s="6">
        <v>72</v>
      </c>
      <c r="B74" s="3">
        <v>42843</v>
      </c>
      <c r="C74" s="2">
        <v>221.77</v>
      </c>
      <c r="D74" s="2">
        <v>222.5</v>
      </c>
      <c r="E74" s="2">
        <v>221.16</v>
      </c>
      <c r="F74" s="2">
        <v>221.91</v>
      </c>
      <c r="G74" s="1">
        <v>87710560</v>
      </c>
      <c r="H74" s="30">
        <f>(testdata[[#This Row],[high]]+testdata[[#This Row],[low]])/2</f>
        <v>221.82999999999998</v>
      </c>
      <c r="I74" s="23">
        <f>(4*testdata[[#This Row],[price]]+3*H73+2*H72+H71)/10</f>
        <v>221.81499999999997</v>
      </c>
      <c r="J74" s="9">
        <f>(0.0962*testdata[[#This Row],[smooth]]+0.5769*I72-0.5769*I70-0.0962*I68)*(0.075*$Z73+0.54)</f>
        <v>-1.0373200490262438</v>
      </c>
      <c r="K74" s="14">
        <f t="shared" si="3"/>
        <v>-6.6604496967776608E-2</v>
      </c>
      <c r="L74" s="14">
        <f>(0.0962*testdata[[#This Row],[detrender]]+0.5769*J72-0.5769*J70-0.0962*J68)*(0.075*$Z73+0.54)</f>
        <v>-0.63424989180750502</v>
      </c>
      <c r="M74" s="9">
        <f>(0.0962*testdata[[#This Row],[I1]]+0.5769*K72-0.5769*K70-0.0962*K68)*(0.075*$Z73+0.54)</f>
        <v>-6.5759773698674778E-2</v>
      </c>
      <c r="N74" s="9">
        <f>(0.0962*testdata[[#This Row],[Q1]]+0.5769*L72-0.5769*L70-0.0962*L68)*(0.075*$Z73+0.54)</f>
        <v>0.65928035029128707</v>
      </c>
      <c r="O74" s="9">
        <f>testdata[[#This Row],[I1]]-testdata[[#This Row],[JQ]]</f>
        <v>-0.72588484725906366</v>
      </c>
      <c r="P74" s="9">
        <f>testdata[[#This Row],[Q1]]+testdata[[#This Row],[jI]]</f>
        <v>-0.70000966550617982</v>
      </c>
      <c r="Q74" s="9">
        <f>0.2*testdata[[#This Row],[I2]]+0.8*Q73</f>
        <v>0.29510838422942581</v>
      </c>
      <c r="R74" s="9">
        <f>0.2*testdata[[#This Row],[Q2]]+0.8*R73</f>
        <v>-0.32666642790721345</v>
      </c>
      <c r="S74" s="9">
        <f>testdata[[#This Row],[I2'']]*Q73+testdata[[#This Row],[Q2'']]*R73</f>
        <v>0.23863615382515607</v>
      </c>
      <c r="T74" s="9">
        <f>testdata[[#This Row],[I2'']]*R73-testdata[[#This Row],[Q2'']]*Q73</f>
        <v>0.11092523286465025</v>
      </c>
      <c r="U74" s="9">
        <f>0.2*testdata[[#This Row],[Re]]+0.8*U73</f>
        <v>3.1953425303366525</v>
      </c>
      <c r="V74" s="9">
        <f>0.2*testdata[[#This Row],[Im]]+0.8*V73</f>
        <v>1.4607025326987941</v>
      </c>
      <c r="W74" s="9">
        <f>IF(AND(testdata[[#This Row],[Re'']]&lt;&gt;0,testdata[[#This Row],[Im'']]&lt;&gt;0),2*PI()/ATAN(testdata[[#This Row],[Im'']]/testdata[[#This Row],[Re'']]),0)</f>
        <v>14.653927121023798</v>
      </c>
      <c r="X74" s="9">
        <f>IF(testdata[[#This Row],[pd-atan]]&gt;1.5*Z73,1.5*Z73,IF(testdata[[#This Row],[pd-atan]]&lt;0.67*Z73,0.67*Z73,testdata[[#This Row],[pd-atan]]))</f>
        <v>14.653927121023798</v>
      </c>
      <c r="Y74" s="9">
        <f>IF(testdata[[#This Row],[pd-limit1]]&lt;6,6,IF(testdata[[#This Row],[pd-limit1]]&gt;50,50,testdata[[#This Row],[pd-limit1]]))</f>
        <v>14.653927121023798</v>
      </c>
      <c r="Z74" s="14">
        <f>0.2*testdata[[#This Row],[pd-limit2]]+0.8*Z73</f>
        <v>15.566180218700982</v>
      </c>
      <c r="AA74" s="14">
        <f>0.33*testdata[[#This Row],[period]]+0.67*AA73</f>
        <v>16.244046189461283</v>
      </c>
      <c r="AB74" s="31">
        <f>TRUNC(testdata[[#This Row],[SmPd]]+0.5,0)</f>
        <v>16</v>
      </c>
      <c r="AC74" s="14">
        <f ca="1">IF(testdata[[#This Row],[PdInt]]&lt;=0,0,AVERAGE(OFFSET(testdata[[#This Row],[price]],0,0,-testdata[[#This Row],[PdInt]],1)))</f>
        <v>222.75749999999999</v>
      </c>
      <c r="AD74" s="14">
        <f ca="1">IF(testdata[[#This Row],[i]]&lt;11,testdata[[#This Row],[price]],(4*testdata[[#This Row],[iTrend]]+3*AC73+2*AC72+AC71)/10)</f>
        <v>222.76850000000005</v>
      </c>
      <c r="AE74" s="14">
        <f>(4*testdata[[#This Row],[price]]+3*H73+2*H72+H71)/10</f>
        <v>221.81499999999997</v>
      </c>
      <c r="AF74" t="str">
        <f ca="1">IF(OR(ROUND(testdata[[#This Row],[Trendline]],4)&lt;&gt;Table3[[#This Row],[Trendline]],ROUND(testdata[[#This Row],[SmPrice]],4)&lt;&gt;Table3[[#This Row],[SmPrice]]),"ERR","")</f>
        <v>ERR</v>
      </c>
      <c r="AG74" s="3">
        <v>42843</v>
      </c>
      <c r="AH74" s="14">
        <v>17.2181</v>
      </c>
      <c r="AI74" s="34">
        <v>17</v>
      </c>
      <c r="AJ74" s="14">
        <v>222.715</v>
      </c>
      <c r="AK74" s="14">
        <v>222.76840000000001</v>
      </c>
      <c r="AL74" s="14">
        <v>221.815</v>
      </c>
      <c r="AN74" s="38">
        <f t="shared" si="4"/>
        <v>-1.3450292399852515E-4</v>
      </c>
      <c r="AO74" s="38">
        <f t="shared" si="5"/>
        <v>0</v>
      </c>
      <c r="AQ74" s="37">
        <v>42843</v>
      </c>
      <c r="AR74">
        <v>16</v>
      </c>
      <c r="AS74">
        <v>222.76849999999999</v>
      </c>
      <c r="AT74">
        <v>221.814999999999</v>
      </c>
      <c r="AV74" s="37">
        <v>42843</v>
      </c>
      <c r="AW74">
        <v>17</v>
      </c>
      <c r="AX74">
        <v>222.76836549707599</v>
      </c>
      <c r="AY74">
        <v>221.814999999999</v>
      </c>
      <c r="BA74" s="38">
        <f>AX74-Table3[[#This Row],[Trendline]]</f>
        <v>-3.4502924023627202E-5</v>
      </c>
      <c r="BB74" s="38">
        <f>AY74-Table3[[#This Row],[SmPrice]]</f>
        <v>-9.9475983006414026E-13</v>
      </c>
    </row>
    <row r="75" spans="1:54" x14ac:dyDescent="0.35">
      <c r="A75" s="6">
        <v>73</v>
      </c>
      <c r="B75" s="3">
        <v>42844</v>
      </c>
      <c r="C75" s="2">
        <v>222.53</v>
      </c>
      <c r="D75" s="2">
        <v>222.94</v>
      </c>
      <c r="E75" s="2">
        <v>221.26</v>
      </c>
      <c r="F75" s="2">
        <v>221.5</v>
      </c>
      <c r="G75" s="1">
        <v>72401856</v>
      </c>
      <c r="H75" s="30">
        <f>(testdata[[#This Row],[high]]+testdata[[#This Row],[low]])/2</f>
        <v>222.1</v>
      </c>
      <c r="I75" s="23">
        <f>(4*testdata[[#This Row],[price]]+3*H74+2*H73+H72)/10</f>
        <v>221.9</v>
      </c>
      <c r="J75" s="9">
        <f>(0.0962*testdata[[#This Row],[smooth]]+0.5769*I73-0.5769*I71-0.0962*I69)*(0.075*$Z74+0.54)</f>
        <v>-1.0090507501049033</v>
      </c>
      <c r="K75" s="14">
        <f t="shared" si="3"/>
        <v>-0.66998485724247658</v>
      </c>
      <c r="L75" s="14">
        <f>(0.0962*testdata[[#This Row],[detrender]]+0.5769*J73-0.5769*J71-0.0962*J69)*(0.075*$Z74+0.54)</f>
        <v>-1.0827098475287797</v>
      </c>
      <c r="M75" s="9">
        <f>(0.0962*testdata[[#This Row],[I1]]+0.5769*K73-0.5769*K71-0.0962*K69)*(0.075*$Z74+0.54)</f>
        <v>-0.47519240564208548</v>
      </c>
      <c r="N75" s="9">
        <f>(0.0962*testdata[[#This Row],[Q1]]+0.5769*L73-0.5769*L71-0.0962*L69)*(0.075*$Z74+0.54)</f>
        <v>7.1322300341229258E-2</v>
      </c>
      <c r="O75" s="9">
        <f>testdata[[#This Row],[I1]]-testdata[[#This Row],[JQ]]</f>
        <v>-0.7413071575837058</v>
      </c>
      <c r="P75" s="9">
        <f>testdata[[#This Row],[Q1]]+testdata[[#This Row],[jI]]</f>
        <v>-1.5579022531708653</v>
      </c>
      <c r="Q75" s="9">
        <f>0.2*testdata[[#This Row],[I2]]+0.8*Q74</f>
        <v>8.7825275866799474E-2</v>
      </c>
      <c r="R75" s="9">
        <f>0.2*testdata[[#This Row],[Q2]]+0.8*R74</f>
        <v>-0.57291359295994382</v>
      </c>
      <c r="S75" s="9">
        <f>testdata[[#This Row],[I2'']]*Q74+testdata[[#This Row],[Q2'']]*R74</f>
        <v>0.21306961216726691</v>
      </c>
      <c r="T75" s="9">
        <f>testdata[[#This Row],[I2'']]*R74-testdata[[#This Row],[Q2'']]*Q74</f>
        <v>0.140382035574111</v>
      </c>
      <c r="U75" s="9">
        <f>0.2*testdata[[#This Row],[Re]]+0.8*U74</f>
        <v>2.5988879467027757</v>
      </c>
      <c r="V75" s="9">
        <f>0.2*testdata[[#This Row],[Im]]+0.8*V74</f>
        <v>1.1966384332738575</v>
      </c>
      <c r="W75" s="9">
        <f>IF(AND(testdata[[#This Row],[Re'']]&lt;&gt;0,testdata[[#This Row],[Im'']]&lt;&gt;0),2*PI()/ATAN(testdata[[#This Row],[Im'']]/testdata[[#This Row],[Re'']]),0)</f>
        <v>14.561132500682875</v>
      </c>
      <c r="X75" s="9">
        <f>IF(testdata[[#This Row],[pd-atan]]&gt;1.5*Z74,1.5*Z74,IF(testdata[[#This Row],[pd-atan]]&lt;0.67*Z74,0.67*Z74,testdata[[#This Row],[pd-atan]]))</f>
        <v>14.561132500682875</v>
      </c>
      <c r="Y75" s="9">
        <f>IF(testdata[[#This Row],[pd-limit1]]&lt;6,6,IF(testdata[[#This Row],[pd-limit1]]&gt;50,50,testdata[[#This Row],[pd-limit1]]))</f>
        <v>14.561132500682875</v>
      </c>
      <c r="Z75" s="14">
        <f>0.2*testdata[[#This Row],[pd-limit2]]+0.8*Z74</f>
        <v>15.36517067509736</v>
      </c>
      <c r="AA75" s="14">
        <f>0.33*testdata[[#This Row],[period]]+0.67*AA74</f>
        <v>15.954017269721188</v>
      </c>
      <c r="AB75" s="31">
        <f>TRUNC(testdata[[#This Row],[SmPd]]+0.5,0)</f>
        <v>16</v>
      </c>
      <c r="AC75" s="14">
        <f ca="1">IF(testdata[[#This Row],[PdInt]]&lt;=0,0,AVERAGE(OFFSET(testdata[[#This Row],[price]],0,0,-testdata[[#This Row],[PdInt]],1)))</f>
        <v>222.8346875</v>
      </c>
      <c r="AD75" s="14">
        <f ca="1">IF(testdata[[#This Row],[i]]&lt;11,testdata[[#This Row],[price]],(4*testdata[[#This Row],[iTrend]]+3*AC74+2*AC73+AC72)/10)</f>
        <v>222.78774264705879</v>
      </c>
      <c r="AE75" s="14">
        <f>(4*testdata[[#This Row],[price]]+3*H74+2*H73+H72)/10</f>
        <v>221.9</v>
      </c>
      <c r="AF75" t="str">
        <f ca="1">IF(OR(ROUND(testdata[[#This Row],[Trendline]],4)&lt;&gt;Table3[[#This Row],[Trendline]],ROUND(testdata[[#This Row],[SmPrice]],4)&lt;&gt;Table3[[#This Row],[SmPrice]]),"ERR","")</f>
        <v>ERR</v>
      </c>
      <c r="AG75" s="3">
        <v>42844</v>
      </c>
      <c r="AH75" s="14">
        <v>16.850000000000001</v>
      </c>
      <c r="AI75" s="34">
        <v>17</v>
      </c>
      <c r="AJ75" s="14">
        <v>222.71879999999999</v>
      </c>
      <c r="AK75" s="14">
        <v>222.72319999999999</v>
      </c>
      <c r="AL75" s="14">
        <v>221.9</v>
      </c>
      <c r="AN75" s="38">
        <f t="shared" si="4"/>
        <v>-6.4518790849007246E-2</v>
      </c>
      <c r="AO75" s="38">
        <f t="shared" si="5"/>
        <v>0</v>
      </c>
      <c r="AQ75" s="37">
        <v>42844</v>
      </c>
      <c r="AR75">
        <v>16</v>
      </c>
      <c r="AS75">
        <v>222.787742647058</v>
      </c>
      <c r="AT75">
        <v>221.9</v>
      </c>
      <c r="AV75" s="37">
        <v>42844</v>
      </c>
      <c r="AW75">
        <v>17</v>
      </c>
      <c r="AX75">
        <v>222.72322385620899</v>
      </c>
      <c r="AY75">
        <v>221.9</v>
      </c>
      <c r="BA75" s="38">
        <f>AX75-Table3[[#This Row],[Trendline]]</f>
        <v>2.3856208997585782E-5</v>
      </c>
      <c r="BB75" s="38">
        <f>AY75-Table3[[#This Row],[SmPrice]]</f>
        <v>0</v>
      </c>
    </row>
    <row r="76" spans="1:54" x14ac:dyDescent="0.35">
      <c r="A76" s="6">
        <v>74</v>
      </c>
      <c r="B76" s="3">
        <v>42845</v>
      </c>
      <c r="C76" s="2">
        <v>222.18</v>
      </c>
      <c r="D76" s="2">
        <v>223.79</v>
      </c>
      <c r="E76" s="2">
        <v>221.83</v>
      </c>
      <c r="F76" s="2">
        <v>223.31</v>
      </c>
      <c r="G76" s="1">
        <v>97560568</v>
      </c>
      <c r="H76" s="30">
        <f>(testdata[[#This Row],[high]]+testdata[[#This Row],[low]])/2</f>
        <v>222.81</v>
      </c>
      <c r="I76" s="23">
        <f>(4*testdata[[#This Row],[price]]+3*H75+2*H74+H73)/10</f>
        <v>222.29749999999999</v>
      </c>
      <c r="J76" s="9">
        <f>(0.0962*testdata[[#This Row],[smooth]]+0.5769*I74-0.5769*I72-0.0962*I70)*(0.075*$Z75+0.54)</f>
        <v>-0.4206110017177585</v>
      </c>
      <c r="K76" s="14">
        <f t="shared" si="3"/>
        <v>-0.99381773088853165</v>
      </c>
      <c r="L76" s="14">
        <f>(0.0962*testdata[[#This Row],[detrender]]+0.5769*J74-0.5769*J72-0.0962*J70)*(0.075*$Z75+0.54)</f>
        <v>-0.3927201000465152</v>
      </c>
      <c r="M76" s="9">
        <f>(0.0962*testdata[[#This Row],[I1]]+0.5769*K74-0.5769*K72-0.0962*K70)*(0.075*$Z75+0.54)</f>
        <v>-0.21144381896519024</v>
      </c>
      <c r="N76" s="9">
        <f>(0.0962*testdata[[#This Row],[Q1]]+0.5769*L74-0.5769*L72-0.0962*L70)*(0.075*$Z75+0.54)</f>
        <v>-2.2616808146425402E-2</v>
      </c>
      <c r="O76" s="9">
        <f>testdata[[#This Row],[I1]]-testdata[[#This Row],[JQ]]</f>
        <v>-0.97120092274210623</v>
      </c>
      <c r="P76" s="9">
        <f>testdata[[#This Row],[Q1]]+testdata[[#This Row],[jI]]</f>
        <v>-0.60416391901170541</v>
      </c>
      <c r="Q76" s="9">
        <f>0.2*testdata[[#This Row],[I2]]+0.8*Q75</f>
        <v>-0.12397996385498168</v>
      </c>
      <c r="R76" s="9">
        <f>0.2*testdata[[#This Row],[Q2]]+0.8*R75</f>
        <v>-0.57916365817029614</v>
      </c>
      <c r="S76" s="9">
        <f>testdata[[#This Row],[I2'']]*Q75+testdata[[#This Row],[Q2'']]*R75</f>
        <v>0.32092215778664951</v>
      </c>
      <c r="T76" s="9">
        <f>testdata[[#This Row],[I2'']]*R75-testdata[[#This Row],[Q2'']]*Q75</f>
        <v>0.12189501459803254</v>
      </c>
      <c r="U76" s="9">
        <f>0.2*testdata[[#This Row],[Re]]+0.8*U75</f>
        <v>2.1432947889195506</v>
      </c>
      <c r="V76" s="9">
        <f>0.2*testdata[[#This Row],[Im]]+0.8*V75</f>
        <v>0.98168974953869259</v>
      </c>
      <c r="W76" s="9">
        <f>IF(AND(testdata[[#This Row],[Re'']]&lt;&gt;0,testdata[[#This Row],[Im'']]&lt;&gt;0),2*PI()/ATAN(testdata[[#This Row],[Im'']]/testdata[[#This Row],[Re'']]),0)</f>
        <v>14.62872192055965</v>
      </c>
      <c r="X76" s="9">
        <f>IF(testdata[[#This Row],[pd-atan]]&gt;1.5*Z75,1.5*Z75,IF(testdata[[#This Row],[pd-atan]]&lt;0.67*Z75,0.67*Z75,testdata[[#This Row],[pd-atan]]))</f>
        <v>14.62872192055965</v>
      </c>
      <c r="Y76" s="9">
        <f>IF(testdata[[#This Row],[pd-limit1]]&lt;6,6,IF(testdata[[#This Row],[pd-limit1]]&gt;50,50,testdata[[#This Row],[pd-limit1]]))</f>
        <v>14.62872192055965</v>
      </c>
      <c r="Z76" s="14">
        <f>0.2*testdata[[#This Row],[pd-limit2]]+0.8*Z75</f>
        <v>15.217880924189819</v>
      </c>
      <c r="AA76" s="14">
        <f>0.33*testdata[[#This Row],[period]]+0.67*AA75</f>
        <v>15.711092275695837</v>
      </c>
      <c r="AB76" s="31">
        <f>TRUNC(testdata[[#This Row],[SmPd]]+0.5,0)</f>
        <v>16</v>
      </c>
      <c r="AC76" s="14">
        <f ca="1">IF(testdata[[#This Row],[PdInt]]&lt;=0,0,AVERAGE(OFFSET(testdata[[#This Row],[price]],0,0,-testdata[[#This Row],[PdInt]],1)))</f>
        <v>222.85500000000002</v>
      </c>
      <c r="AD76" s="14">
        <f ca="1">IF(testdata[[#This Row],[i]]&lt;11,testdata[[#This Row],[price]],(4*testdata[[#This Row],[iTrend]]+3*AC75+2*AC74+AC73)/10)</f>
        <v>222.81925919117649</v>
      </c>
      <c r="AE76" s="14">
        <f>(4*testdata[[#This Row],[price]]+3*H75+2*H74+H73)/10</f>
        <v>222.29749999999999</v>
      </c>
      <c r="AF76" t="str">
        <f ca="1">IF(OR(ROUND(testdata[[#This Row],[Trendline]],4)&lt;&gt;Table3[[#This Row],[Trendline]],ROUND(testdata[[#This Row],[SmPrice]],4)&lt;&gt;Table3[[#This Row],[SmPrice]]),"ERR","")</f>
        <v>ERR</v>
      </c>
      <c r="AG76" s="3">
        <v>42845</v>
      </c>
      <c r="AH76" s="14">
        <v>16.540099999999999</v>
      </c>
      <c r="AI76" s="34">
        <v>17</v>
      </c>
      <c r="AJ76" s="14">
        <v>222.83320000000001</v>
      </c>
      <c r="AK76" s="14">
        <v>222.76240000000001</v>
      </c>
      <c r="AL76" s="14">
        <v>222.29750000000001</v>
      </c>
      <c r="AN76" s="38">
        <f t="shared" si="4"/>
        <v>-5.6873570260989936E-2</v>
      </c>
      <c r="AO76" s="38">
        <f t="shared" si="5"/>
        <v>0</v>
      </c>
      <c r="AQ76" s="37">
        <v>42845</v>
      </c>
      <c r="AR76">
        <v>16</v>
      </c>
      <c r="AS76">
        <v>222.819259191176</v>
      </c>
      <c r="AT76">
        <v>222.29749999999899</v>
      </c>
      <c r="AV76" s="37">
        <v>42845</v>
      </c>
      <c r="AW76">
        <v>17</v>
      </c>
      <c r="AX76">
        <v>222.76238562091501</v>
      </c>
      <c r="AY76">
        <v>222.29749999999899</v>
      </c>
      <c r="BA76" s="38">
        <f>AX76-Table3[[#This Row],[Trendline]]</f>
        <v>-1.4379085001792191E-5</v>
      </c>
      <c r="BB76" s="38">
        <f>AY76-Table3[[#This Row],[SmPrice]]</f>
        <v>-1.0231815394945443E-12</v>
      </c>
    </row>
    <row r="77" spans="1:54" x14ac:dyDescent="0.35">
      <c r="A77" s="6">
        <v>75</v>
      </c>
      <c r="B77" s="3">
        <v>42846</v>
      </c>
      <c r="C77" s="2">
        <v>223.22</v>
      </c>
      <c r="D77" s="2">
        <v>223.28</v>
      </c>
      <c r="E77" s="2">
        <v>222.16</v>
      </c>
      <c r="F77" s="2">
        <v>222.6</v>
      </c>
      <c r="G77" s="1">
        <v>116338368</v>
      </c>
      <c r="H77" s="30">
        <f>(testdata[[#This Row],[high]]+testdata[[#This Row],[low]])/2</f>
        <v>222.72</v>
      </c>
      <c r="I77" s="23">
        <f>(4*testdata[[#This Row],[price]]+3*H76+2*H75+H74)/10</f>
        <v>222.53400000000002</v>
      </c>
      <c r="J77" s="9">
        <f>(0.0962*testdata[[#This Row],[smooth]]+0.5769*I75-0.5769*I73-0.0962*I71)*(0.075*$Z76+0.54)</f>
        <v>-3.4860925731348092E-3</v>
      </c>
      <c r="K77" s="14">
        <f t="shared" si="3"/>
        <v>-1.0373200490262438</v>
      </c>
      <c r="L77" s="14">
        <f>(0.0962*testdata[[#This Row],[detrender]]+0.5769*J75-0.5769*J73-0.0962*J71)*(0.075*$Z76+0.54)</f>
        <v>-4.5664185771999346E-3</v>
      </c>
      <c r="M77" s="9">
        <f>(0.0962*testdata[[#This Row],[I1]]+0.5769*K75-0.5769*K73-0.0962*K71)*(0.075*$Z76+0.54)</f>
        <v>-0.61835209125166535</v>
      </c>
      <c r="N77" s="9">
        <f>(0.0962*testdata[[#This Row],[Q1]]+0.5769*L75-0.5769*L73-0.0962*L71)*(0.075*$Z76+0.54)</f>
        <v>-0.82822256618183232</v>
      </c>
      <c r="O77" s="9">
        <f>testdata[[#This Row],[I1]]-testdata[[#This Row],[JQ]]</f>
        <v>-0.20909748284441143</v>
      </c>
      <c r="P77" s="9">
        <f>testdata[[#This Row],[Q1]]+testdata[[#This Row],[jI]]</f>
        <v>-0.62291850982886532</v>
      </c>
      <c r="Q77" s="9">
        <f>0.2*testdata[[#This Row],[I2]]+0.8*Q76</f>
        <v>-0.14100346765286764</v>
      </c>
      <c r="R77" s="9">
        <f>0.2*testdata[[#This Row],[Q2]]+0.8*R76</f>
        <v>-0.58791462850201004</v>
      </c>
      <c r="S77" s="9">
        <f>testdata[[#This Row],[I2'']]*Q76+testdata[[#This Row],[Q2'']]*R76</f>
        <v>0.35798039175808444</v>
      </c>
      <c r="T77" s="9">
        <f>testdata[[#This Row],[I2'']]*R76-testdata[[#This Row],[Q2'']]*Q76</f>
        <v>8.774449749037655E-3</v>
      </c>
      <c r="U77" s="9">
        <f>0.2*testdata[[#This Row],[Re]]+0.8*U76</f>
        <v>1.7862319094872576</v>
      </c>
      <c r="V77" s="9">
        <f>0.2*testdata[[#This Row],[Im]]+0.8*V76</f>
        <v>0.78710668958076169</v>
      </c>
      <c r="W77" s="9">
        <f>IF(AND(testdata[[#This Row],[Re'']]&lt;&gt;0,testdata[[#This Row],[Im'']]&lt;&gt;0),2*PI()/ATAN(testdata[[#This Row],[Im'']]/testdata[[#This Row],[Re'']]),0)</f>
        <v>15.138272157543296</v>
      </c>
      <c r="X77" s="9">
        <f>IF(testdata[[#This Row],[pd-atan]]&gt;1.5*Z76,1.5*Z76,IF(testdata[[#This Row],[pd-atan]]&lt;0.67*Z76,0.67*Z76,testdata[[#This Row],[pd-atan]]))</f>
        <v>15.138272157543296</v>
      </c>
      <c r="Y77" s="9">
        <f>IF(testdata[[#This Row],[pd-limit1]]&lt;6,6,IF(testdata[[#This Row],[pd-limit1]]&gt;50,50,testdata[[#This Row],[pd-limit1]]))</f>
        <v>15.138272157543296</v>
      </c>
      <c r="Z77" s="14">
        <f>0.2*testdata[[#This Row],[pd-limit2]]+0.8*Z76</f>
        <v>15.201959170860516</v>
      </c>
      <c r="AA77" s="14">
        <f>0.33*testdata[[#This Row],[period]]+0.67*AA76</f>
        <v>15.543078351100181</v>
      </c>
      <c r="AB77" s="31">
        <f>TRUNC(testdata[[#This Row],[SmPd]]+0.5,0)</f>
        <v>16</v>
      </c>
      <c r="AC77" s="14">
        <f ca="1">IF(testdata[[#This Row],[PdInt]]&lt;=0,0,AVERAGE(OFFSET(testdata[[#This Row],[price]],0,0,-testdata[[#This Row],[PdInt]],1)))</f>
        <v>222.82281249999997</v>
      </c>
      <c r="AD77" s="14">
        <f ca="1">IF(testdata[[#This Row],[i]]&lt;11,testdata[[#This Row],[price]],(4*testdata[[#This Row],[iTrend]]+3*AC76+2*AC75+AC74)/10)</f>
        <v>222.82831249999998</v>
      </c>
      <c r="AE77" s="14">
        <f>(4*testdata[[#This Row],[price]]+3*H76+2*H75+H74)/10</f>
        <v>222.53400000000002</v>
      </c>
      <c r="AF77" t="str">
        <f ca="1">IF(OR(ROUND(testdata[[#This Row],[Trendline]],4)&lt;&gt;Table3[[#This Row],[Trendline]],ROUND(testdata[[#This Row],[SmPrice]],4)&lt;&gt;Table3[[#This Row],[SmPrice]]),"ERR","")</f>
        <v>ERR</v>
      </c>
      <c r="AG77" s="3">
        <v>42846</v>
      </c>
      <c r="AH77" s="14">
        <v>16.310300000000002</v>
      </c>
      <c r="AI77" s="34">
        <v>16</v>
      </c>
      <c r="AJ77" s="14">
        <v>222.8228</v>
      </c>
      <c r="AK77" s="14">
        <v>222.7944</v>
      </c>
      <c r="AL77" s="14">
        <v>222.53399999999999</v>
      </c>
      <c r="AN77" s="38">
        <f t="shared" si="4"/>
        <v>-3.3952205881973896E-2</v>
      </c>
      <c r="AO77" s="38">
        <f t="shared" si="5"/>
        <v>0</v>
      </c>
      <c r="AQ77" s="37">
        <v>42846</v>
      </c>
      <c r="AR77">
        <v>16</v>
      </c>
      <c r="AS77">
        <v>222.82831249999899</v>
      </c>
      <c r="AT77">
        <v>222.53399999999999</v>
      </c>
      <c r="AV77" s="37">
        <v>42846</v>
      </c>
      <c r="AW77">
        <v>16</v>
      </c>
      <c r="AX77">
        <v>222.79436029411701</v>
      </c>
      <c r="AY77">
        <v>222.53399999999999</v>
      </c>
      <c r="BA77" s="38">
        <f>AX77-Table3[[#This Row],[Trendline]]</f>
        <v>-3.9705882983298579E-5</v>
      </c>
      <c r="BB77" s="38">
        <f>AY77-Table3[[#This Row],[SmPrice]]</f>
        <v>0</v>
      </c>
    </row>
    <row r="78" spans="1:54" x14ac:dyDescent="0.35">
      <c r="A78" s="6">
        <v>76</v>
      </c>
      <c r="B78" s="3">
        <v>42849</v>
      </c>
      <c r="C78" s="2">
        <v>225.05</v>
      </c>
      <c r="D78" s="2">
        <v>225.27</v>
      </c>
      <c r="E78" s="2">
        <v>222.57</v>
      </c>
      <c r="F78" s="2">
        <v>225.04</v>
      </c>
      <c r="G78" s="1">
        <v>125633672</v>
      </c>
      <c r="H78" s="30">
        <f>(testdata[[#This Row],[high]]+testdata[[#This Row],[low]])/2</f>
        <v>223.92000000000002</v>
      </c>
      <c r="I78" s="23">
        <f>(4*testdata[[#This Row],[price]]+3*H77+2*H76+H75)/10</f>
        <v>223.15600000000001</v>
      </c>
      <c r="J78" s="9">
        <f>(0.0962*testdata[[#This Row],[smooth]]+0.5769*I76-0.5769*I74-0.0962*I72)*(0.075*$Z77+0.54)</f>
        <v>0.63173062821423109</v>
      </c>
      <c r="K78" s="14">
        <f t="shared" si="3"/>
        <v>-1.0090507501049033</v>
      </c>
      <c r="L78" s="14">
        <f>(0.0962*testdata[[#This Row],[detrender]]+0.5769*J76-0.5769*J74-0.0962*J72)*(0.075*$Z77+0.54)</f>
        <v>0.80815820262351801</v>
      </c>
      <c r="M78" s="9">
        <f>(0.0962*testdata[[#This Row],[I1]]+0.5769*K76-0.5769*K74-0.0962*K72)*(0.075*$Z77+0.54)</f>
        <v>-1.0653882893496789</v>
      </c>
      <c r="N78" s="9">
        <f>(0.0962*testdata[[#This Row],[Q1]]+0.5769*L76-0.5769*L74-0.0962*L72)*(0.075*$Z77+0.54)</f>
        <v>0.44447397724359933</v>
      </c>
      <c r="O78" s="9">
        <f>testdata[[#This Row],[I1]]-testdata[[#This Row],[JQ]]</f>
        <v>-1.4535247273485026</v>
      </c>
      <c r="P78" s="9">
        <f>testdata[[#This Row],[Q1]]+testdata[[#This Row],[jI]]</f>
        <v>-0.25723008672616088</v>
      </c>
      <c r="Q78" s="9">
        <f>0.2*testdata[[#This Row],[I2]]+0.8*Q77</f>
        <v>-0.40350771959199466</v>
      </c>
      <c r="R78" s="9">
        <f>0.2*testdata[[#This Row],[Q2]]+0.8*R77</f>
        <v>-0.52177772014684021</v>
      </c>
      <c r="S78" s="9">
        <f>testdata[[#This Row],[I2'']]*Q77+testdata[[#This Row],[Q2'']]*R77</f>
        <v>0.36365674218792748</v>
      </c>
      <c r="T78" s="9">
        <f>testdata[[#This Row],[I2'']]*R77-testdata[[#This Row],[Q2'']]*Q77</f>
        <v>0.16365562317690874</v>
      </c>
      <c r="U78" s="9">
        <f>0.2*testdata[[#This Row],[Re]]+0.8*U77</f>
        <v>1.5017168760273918</v>
      </c>
      <c r="V78" s="9">
        <f>0.2*testdata[[#This Row],[Im]]+0.8*V77</f>
        <v>0.66241647629999112</v>
      </c>
      <c r="W78" s="9">
        <f>IF(AND(testdata[[#This Row],[Re'']]&lt;&gt;0,testdata[[#This Row],[Im'']]&lt;&gt;0),2*PI()/ATAN(testdata[[#This Row],[Im'']]/testdata[[#This Row],[Re'']]),0)</f>
        <v>15.124418218357071</v>
      </c>
      <c r="X78" s="9">
        <f>IF(testdata[[#This Row],[pd-atan]]&gt;1.5*Z77,1.5*Z77,IF(testdata[[#This Row],[pd-atan]]&lt;0.67*Z77,0.67*Z77,testdata[[#This Row],[pd-atan]]))</f>
        <v>15.124418218357071</v>
      </c>
      <c r="Y78" s="9">
        <f>IF(testdata[[#This Row],[pd-limit1]]&lt;6,6,IF(testdata[[#This Row],[pd-limit1]]&gt;50,50,testdata[[#This Row],[pd-limit1]]))</f>
        <v>15.124418218357071</v>
      </c>
      <c r="Z78" s="14">
        <f>0.2*testdata[[#This Row],[pd-limit2]]+0.8*Z77</f>
        <v>15.186450980359828</v>
      </c>
      <c r="AA78" s="14">
        <f>0.33*testdata[[#This Row],[period]]+0.67*AA77</f>
        <v>15.425391318755866</v>
      </c>
      <c r="AB78" s="31">
        <f>TRUNC(testdata[[#This Row],[SmPd]]+0.5,0)</f>
        <v>15</v>
      </c>
      <c r="AC78" s="14">
        <f ca="1">IF(testdata[[#This Row],[PdInt]]&lt;=0,0,AVERAGE(OFFSET(testdata[[#This Row],[price]],0,0,-testdata[[#This Row],[PdInt]],1)))</f>
        <v>222.74833333333331</v>
      </c>
      <c r="AD78" s="14">
        <f ca="1">IF(testdata[[#This Row],[i]]&lt;11,testdata[[#This Row],[price]],(4*testdata[[#This Row],[iTrend]]+3*AC77+2*AC76+AC75)/10)</f>
        <v>222.80064583333333</v>
      </c>
      <c r="AE78" s="14">
        <f>(4*testdata[[#This Row],[price]]+3*H77+2*H76+H75)/10</f>
        <v>223.15600000000001</v>
      </c>
      <c r="AF78" t="str">
        <f ca="1">IF(OR(ROUND(testdata[[#This Row],[Trendline]],4)&lt;&gt;Table3[[#This Row],[Trendline]],ROUND(testdata[[#This Row],[SmPrice]],4)&lt;&gt;Table3[[#This Row],[SmPrice]]),"ERR","")</f>
        <v>ERR</v>
      </c>
      <c r="AG78" s="3">
        <v>42849</v>
      </c>
      <c r="AH78" s="14">
        <v>16.1355</v>
      </c>
      <c r="AI78" s="34">
        <v>16</v>
      </c>
      <c r="AJ78" s="14">
        <v>222.82810000000001</v>
      </c>
      <c r="AK78" s="14">
        <v>222.81659999999999</v>
      </c>
      <c r="AL78" s="14">
        <v>223.15600000000001</v>
      </c>
      <c r="AN78" s="38">
        <f t="shared" si="4"/>
        <v>1.5977328431006299E-2</v>
      </c>
      <c r="AO78" s="38">
        <f t="shared" si="5"/>
        <v>0</v>
      </c>
      <c r="AQ78" s="37">
        <v>42849</v>
      </c>
      <c r="AR78">
        <v>15</v>
      </c>
      <c r="AS78">
        <v>222.80064583333299</v>
      </c>
      <c r="AT78">
        <v>223.15600000000001</v>
      </c>
      <c r="AV78" s="37">
        <v>42849</v>
      </c>
      <c r="AW78">
        <v>16</v>
      </c>
      <c r="AX78">
        <v>222.816623161764</v>
      </c>
      <c r="AY78">
        <v>223.15600000000001</v>
      </c>
      <c r="BA78" s="38">
        <f>AX78-Table3[[#This Row],[Trendline]]</f>
        <v>2.3161764005408259E-5</v>
      </c>
      <c r="BB78" s="38">
        <f>AY78-Table3[[#This Row],[SmPrice]]</f>
        <v>0</v>
      </c>
    </row>
    <row r="79" spans="1:54" x14ac:dyDescent="0.35">
      <c r="A79" s="6">
        <v>77</v>
      </c>
      <c r="B79" s="3">
        <v>42850</v>
      </c>
      <c r="C79" s="2">
        <v>225.75</v>
      </c>
      <c r="D79" s="2">
        <v>226.73</v>
      </c>
      <c r="E79" s="2">
        <v>225.65</v>
      </c>
      <c r="F79" s="2">
        <v>226.35</v>
      </c>
      <c r="G79" s="1">
        <v>80831256</v>
      </c>
      <c r="H79" s="30">
        <f>(testdata[[#This Row],[high]]+testdata[[#This Row],[low]])/2</f>
        <v>226.19</v>
      </c>
      <c r="I79" s="23">
        <f>(4*testdata[[#This Row],[price]]+3*H78+2*H77+H76)/10</f>
        <v>224.477</v>
      </c>
      <c r="J79" s="9">
        <f>(0.0962*testdata[[#This Row],[smooth]]+0.5769*I77-0.5769*I75-0.0962*I73)*(0.075*$Z78+0.54)</f>
        <v>1.0330743812582128</v>
      </c>
      <c r="K79" s="14">
        <f t="shared" si="3"/>
        <v>-0.4206110017177585</v>
      </c>
      <c r="L79" s="14">
        <f>(0.0962*testdata[[#This Row],[detrender]]+0.5769*J77-0.5769*J75-0.0962*J73)*(0.075*$Z78+0.54)</f>
        <v>1.3013757815470146</v>
      </c>
      <c r="M79" s="9">
        <f>(0.0962*testdata[[#This Row],[I1]]+0.5769*K77-0.5769*K75-0.0962*K73)*(0.075*$Z78+0.54)</f>
        <v>-0.38960969519258409</v>
      </c>
      <c r="N79" s="9">
        <f>(0.0962*testdata[[#This Row],[Q1]]+0.5769*L77-0.5769*L75-0.0962*L73)*(0.075*$Z78+0.54)</f>
        <v>1.2897235183069735</v>
      </c>
      <c r="O79" s="9">
        <f>testdata[[#This Row],[I1]]-testdata[[#This Row],[JQ]]</f>
        <v>-1.710334520024732</v>
      </c>
      <c r="P79" s="9">
        <f>testdata[[#This Row],[Q1]]+testdata[[#This Row],[jI]]</f>
        <v>0.91176608635443057</v>
      </c>
      <c r="Q79" s="9">
        <f>0.2*testdata[[#This Row],[I2]]+0.8*Q78</f>
        <v>-0.66487307967854226</v>
      </c>
      <c r="R79" s="9">
        <f>0.2*testdata[[#This Row],[Q2]]+0.8*R78</f>
        <v>-0.23506895884658605</v>
      </c>
      <c r="S79" s="9">
        <f>testdata[[#This Row],[I2'']]*Q78+testdata[[#This Row],[Q2'']]*R78</f>
        <v>0.3909351656234582</v>
      </c>
      <c r="T79" s="9">
        <f>testdata[[#This Row],[I2'']]*R78-testdata[[#This Row],[Q2'']]*Q78</f>
        <v>0.25206382017062784</v>
      </c>
      <c r="U79" s="9">
        <f>0.2*testdata[[#This Row],[Re]]+0.8*U78</f>
        <v>1.2795605339466052</v>
      </c>
      <c r="V79" s="9">
        <f>0.2*testdata[[#This Row],[Im]]+0.8*V78</f>
        <v>0.58034594507411841</v>
      </c>
      <c r="W79" s="9">
        <f>IF(AND(testdata[[#This Row],[Re'']]&lt;&gt;0,testdata[[#This Row],[Im'']]&lt;&gt;0),2*PI()/ATAN(testdata[[#This Row],[Im'']]/testdata[[#This Row],[Re'']]),0)</f>
        <v>14.756084979271604</v>
      </c>
      <c r="X79" s="9">
        <f>IF(testdata[[#This Row],[pd-atan]]&gt;1.5*Z78,1.5*Z78,IF(testdata[[#This Row],[pd-atan]]&lt;0.67*Z78,0.67*Z78,testdata[[#This Row],[pd-atan]]))</f>
        <v>14.756084979271604</v>
      </c>
      <c r="Y79" s="9">
        <f>IF(testdata[[#This Row],[pd-limit1]]&lt;6,6,IF(testdata[[#This Row],[pd-limit1]]&gt;50,50,testdata[[#This Row],[pd-limit1]]))</f>
        <v>14.756084979271604</v>
      </c>
      <c r="Z79" s="14">
        <f>0.2*testdata[[#This Row],[pd-limit2]]+0.8*Z78</f>
        <v>15.100377780142184</v>
      </c>
      <c r="AA79" s="14">
        <f>0.33*testdata[[#This Row],[period]]+0.67*AA78</f>
        <v>15.318136851013351</v>
      </c>
      <c r="AB79" s="31">
        <f>TRUNC(testdata[[#This Row],[SmPd]]+0.5,0)</f>
        <v>15</v>
      </c>
      <c r="AC79" s="14">
        <f ca="1">IF(testdata[[#This Row],[PdInt]]&lt;=0,0,AVERAGE(OFFSET(testdata[[#This Row],[price]],0,0,-testdata[[#This Row],[PdInt]],1)))</f>
        <v>222.964</v>
      </c>
      <c r="AD79" s="14">
        <f ca="1">IF(testdata[[#This Row],[i]]&lt;11,testdata[[#This Row],[price]],(4*testdata[[#This Row],[iTrend]]+3*AC78+2*AC77+AC76)/10)</f>
        <v>222.86016249999997</v>
      </c>
      <c r="AE79" s="14">
        <f>(4*testdata[[#This Row],[price]]+3*H78+2*H77+H76)/10</f>
        <v>224.477</v>
      </c>
      <c r="AF79" t="str">
        <f ca="1">IF(OR(ROUND(testdata[[#This Row],[Trendline]],4)&lt;&gt;Table3[[#This Row],[Trendline]],ROUND(testdata[[#This Row],[SmPrice]],4)&lt;&gt;Table3[[#This Row],[SmPrice]]),"ERR","")</f>
        <v>ERR</v>
      </c>
      <c r="AG79" s="3">
        <v>42850</v>
      </c>
      <c r="AH79" s="14">
        <v>15.9772</v>
      </c>
      <c r="AI79" s="34">
        <v>16</v>
      </c>
      <c r="AJ79" s="14">
        <v>222.96340000000001</v>
      </c>
      <c r="AK79" s="14">
        <v>222.8817</v>
      </c>
      <c r="AL79" s="14">
        <v>224.477</v>
      </c>
      <c r="AN79" s="38">
        <f t="shared" si="4"/>
        <v>2.1536029412004609E-2</v>
      </c>
      <c r="AO79" s="38">
        <f t="shared" si="5"/>
        <v>0</v>
      </c>
      <c r="AQ79" s="37">
        <v>42850</v>
      </c>
      <c r="AR79">
        <v>15</v>
      </c>
      <c r="AS79">
        <v>222.86016249999901</v>
      </c>
      <c r="AT79">
        <v>224.477</v>
      </c>
      <c r="AV79" s="37">
        <v>42850</v>
      </c>
      <c r="AW79">
        <v>16</v>
      </c>
      <c r="AX79">
        <v>222.88169852941101</v>
      </c>
      <c r="AY79">
        <v>224.477</v>
      </c>
      <c r="BA79" s="38">
        <f>AX79-Table3[[#This Row],[Trendline]]</f>
        <v>-1.4705889839206066E-6</v>
      </c>
      <c r="BB79" s="38">
        <f>AY79-Table3[[#This Row],[SmPrice]]</f>
        <v>0</v>
      </c>
    </row>
    <row r="80" spans="1:54" x14ac:dyDescent="0.35">
      <c r="A80" s="6">
        <v>78</v>
      </c>
      <c r="B80" s="3">
        <v>42851</v>
      </c>
      <c r="C80" s="2">
        <v>226.31</v>
      </c>
      <c r="D80" s="2">
        <v>227.28</v>
      </c>
      <c r="E80" s="2">
        <v>226.16</v>
      </c>
      <c r="F80" s="2">
        <v>226.21</v>
      </c>
      <c r="G80" s="1">
        <v>89266768</v>
      </c>
      <c r="H80" s="30">
        <f>(testdata[[#This Row],[high]]+testdata[[#This Row],[low]])/2</f>
        <v>226.72</v>
      </c>
      <c r="I80" s="23">
        <f>(4*testdata[[#This Row],[price]]+3*H79+2*H78+H77)/10</f>
        <v>225.60099999999997</v>
      </c>
      <c r="J80" s="9">
        <f>(0.0962*testdata[[#This Row],[smooth]]+0.5769*I78-0.5769*I76-0.0962*I74)*(0.075*$Z79+0.54)</f>
        <v>1.4375077462631947</v>
      </c>
      <c r="K80" s="14">
        <f t="shared" si="3"/>
        <v>-3.4860925731348092E-3</v>
      </c>
      <c r="L80" s="14">
        <f>(0.0962*testdata[[#This Row],[detrender]]+0.5769*J78-0.5769*J76-0.0962*J74)*(0.075*$Z79+0.54)</f>
        <v>1.4135779973145477</v>
      </c>
      <c r="M80" s="9">
        <f>(0.0962*testdata[[#This Row],[I1]]+0.5769*K78-0.5769*K76-0.0962*K74)*(0.075*$Z79+0.54)</f>
        <v>-4.5424837306516355E-3</v>
      </c>
      <c r="N80" s="9">
        <f>(0.0962*testdata[[#This Row],[Q1]]+0.5769*L78-0.5769*L76-0.0962*L74)*(0.075*$Z79+0.54)</f>
        <v>1.4881951988419444</v>
      </c>
      <c r="O80" s="9">
        <f>testdata[[#This Row],[I1]]-testdata[[#This Row],[JQ]]</f>
        <v>-1.4916812914150792</v>
      </c>
      <c r="P80" s="9">
        <f>testdata[[#This Row],[Q1]]+testdata[[#This Row],[jI]]</f>
        <v>1.4090355135838961</v>
      </c>
      <c r="Q80" s="9">
        <f>0.2*testdata[[#This Row],[I2]]+0.8*Q79</f>
        <v>-0.83023472202584969</v>
      </c>
      <c r="R80" s="9">
        <f>0.2*testdata[[#This Row],[Q2]]+0.8*R79</f>
        <v>9.375193563951037E-2</v>
      </c>
      <c r="S80" s="9">
        <f>testdata[[#This Row],[I2'']]*Q79+testdata[[#This Row],[Q2'']]*R79</f>
        <v>0.52996254658875319</v>
      </c>
      <c r="T80" s="9">
        <f>testdata[[#This Row],[I2'']]*R79-testdata[[#This Row],[Q2'']]*Q79</f>
        <v>0.25749554987936701</v>
      </c>
      <c r="U80" s="9">
        <f>0.2*testdata[[#This Row],[Re]]+0.8*U79</f>
        <v>1.1296409364750348</v>
      </c>
      <c r="V80" s="9">
        <f>0.2*testdata[[#This Row],[Im]]+0.8*V79</f>
        <v>0.51577586603516812</v>
      </c>
      <c r="W80" s="9">
        <f>IF(AND(testdata[[#This Row],[Re'']]&lt;&gt;0,testdata[[#This Row],[Im'']]&lt;&gt;0),2*PI()/ATAN(testdata[[#This Row],[Im'']]/testdata[[#This Row],[Re'']]),0)</f>
        <v>14.669522683099695</v>
      </c>
      <c r="X80" s="9">
        <f>IF(testdata[[#This Row],[pd-atan]]&gt;1.5*Z79,1.5*Z79,IF(testdata[[#This Row],[pd-atan]]&lt;0.67*Z79,0.67*Z79,testdata[[#This Row],[pd-atan]]))</f>
        <v>14.669522683099695</v>
      </c>
      <c r="Y80" s="9">
        <f>IF(testdata[[#This Row],[pd-limit1]]&lt;6,6,IF(testdata[[#This Row],[pd-limit1]]&gt;50,50,testdata[[#This Row],[pd-limit1]]))</f>
        <v>14.669522683099695</v>
      </c>
      <c r="Z80" s="14">
        <f>0.2*testdata[[#This Row],[pd-limit2]]+0.8*Z79</f>
        <v>15.014206760733687</v>
      </c>
      <c r="AA80" s="14">
        <f>0.33*testdata[[#This Row],[period]]+0.67*AA79</f>
        <v>15.217839921221064</v>
      </c>
      <c r="AB80" s="31">
        <f>TRUNC(testdata[[#This Row],[SmPd]]+0.5,0)</f>
        <v>15</v>
      </c>
      <c r="AC80" s="14">
        <f ca="1">IF(testdata[[#This Row],[PdInt]]&lt;=0,0,AVERAGE(OFFSET(testdata[[#This Row],[price]],0,0,-testdata[[#This Row],[PdInt]],1)))</f>
        <v>223.20899999999997</v>
      </c>
      <c r="AD80" s="14">
        <f ca="1">IF(testdata[[#This Row],[i]]&lt;11,testdata[[#This Row],[price]],(4*testdata[[#This Row],[iTrend]]+3*AC79+2*AC78+AC77)/10)</f>
        <v>223.00474791666664</v>
      </c>
      <c r="AE80" s="14">
        <f>(4*testdata[[#This Row],[price]]+3*H79+2*H78+H77)/10</f>
        <v>225.60099999999997</v>
      </c>
      <c r="AF80" t="str">
        <f ca="1">IF(OR(ROUND(testdata[[#This Row],[Trendline]],4)&lt;&gt;Table3[[#This Row],[Trendline]],ROUND(testdata[[#This Row],[SmPrice]],4)&lt;&gt;Table3[[#This Row],[SmPrice]]),"ERR","")</f>
        <v>ERR</v>
      </c>
      <c r="AG80" s="3">
        <v>42851</v>
      </c>
      <c r="AH80" s="14">
        <v>15.830500000000001</v>
      </c>
      <c r="AI80" s="34">
        <v>16</v>
      </c>
      <c r="AJ80" s="14">
        <v>223.1987</v>
      </c>
      <c r="AK80" s="14">
        <v>223.0164</v>
      </c>
      <c r="AL80" s="14">
        <v>225.601</v>
      </c>
      <c r="AN80" s="38">
        <f t="shared" si="4"/>
        <v>1.1689583334003828E-2</v>
      </c>
      <c r="AO80" s="38">
        <f t="shared" si="5"/>
        <v>0</v>
      </c>
      <c r="AQ80" s="37">
        <v>42851</v>
      </c>
      <c r="AR80">
        <v>15</v>
      </c>
      <c r="AS80">
        <v>223.00474791666599</v>
      </c>
      <c r="AT80">
        <v>225.600999999999</v>
      </c>
      <c r="AV80" s="37">
        <v>42851</v>
      </c>
      <c r="AW80">
        <v>16</v>
      </c>
      <c r="AX80">
        <v>223.01643749999999</v>
      </c>
      <c r="AY80">
        <v>225.600999999999</v>
      </c>
      <c r="BA80" s="38">
        <f>AX80-Table3[[#This Row],[Trendline]]</f>
        <v>3.749999999058673E-5</v>
      </c>
      <c r="BB80" s="38">
        <f>AY80-Table3[[#This Row],[SmPrice]]</f>
        <v>-9.9475983006414026E-13</v>
      </c>
    </row>
    <row r="81" spans="1:54" x14ac:dyDescent="0.35">
      <c r="A81" s="6">
        <v>79</v>
      </c>
      <c r="B81" s="3">
        <v>42852</v>
      </c>
      <c r="C81" s="2">
        <v>226.56</v>
      </c>
      <c r="D81" s="2">
        <v>226.73</v>
      </c>
      <c r="E81" s="2">
        <v>225.81</v>
      </c>
      <c r="F81" s="2">
        <v>226.4</v>
      </c>
      <c r="G81" s="1">
        <v>60503960</v>
      </c>
      <c r="H81" s="30">
        <f>(testdata[[#This Row],[high]]+testdata[[#This Row],[low]])/2</f>
        <v>226.26999999999998</v>
      </c>
      <c r="I81" s="23">
        <f>(4*testdata[[#This Row],[price]]+3*H80+2*H79+H78)/10</f>
        <v>226.154</v>
      </c>
      <c r="J81" s="9">
        <f>(0.0962*testdata[[#This Row],[smooth]]+0.5769*I79-0.5769*I77-0.0962*I75)*(0.075*$Z80+0.54)</f>
        <v>2.5493326347185312</v>
      </c>
      <c r="K81" s="14">
        <f t="shared" si="3"/>
        <v>0.63173062821423109</v>
      </c>
      <c r="L81" s="14">
        <f>(0.0962*testdata[[#This Row],[detrender]]+0.5769*J79-0.5769*J77-0.0962*J75)*(0.075*$Z80+0.54)</f>
        <v>1.5666150896317916</v>
      </c>
      <c r="M81" s="9">
        <f>(0.0962*testdata[[#This Row],[I1]]+0.5769*K79-0.5769*K77-0.0962*K75)*(0.075*$Z80+0.54)</f>
        <v>0.80138497135615194</v>
      </c>
      <c r="N81" s="9">
        <f>(0.0962*testdata[[#This Row],[Q1]]+0.5769*L79-0.5769*L77-0.0962*L75)*(0.075*$Z80+0.54)</f>
        <v>1.6798323966153432</v>
      </c>
      <c r="O81" s="9">
        <f>testdata[[#This Row],[I1]]-testdata[[#This Row],[JQ]]</f>
        <v>-1.048101768401112</v>
      </c>
      <c r="P81" s="9">
        <f>testdata[[#This Row],[Q1]]+testdata[[#This Row],[jI]]</f>
        <v>2.3680000609879435</v>
      </c>
      <c r="Q81" s="9">
        <f>0.2*testdata[[#This Row],[I2]]+0.8*Q80</f>
        <v>-0.87380813130090229</v>
      </c>
      <c r="R81" s="9">
        <f>0.2*testdata[[#This Row],[Q2]]+0.8*R80</f>
        <v>0.54860156070919708</v>
      </c>
      <c r="S81" s="9">
        <f>testdata[[#This Row],[I2'']]*Q80+testdata[[#This Row],[Q2'']]*R80</f>
        <v>0.77689830920587533</v>
      </c>
      <c r="T81" s="9">
        <f>testdata[[#This Row],[I2'']]*R80-testdata[[#This Row],[Q2'']]*Q80</f>
        <v>0.37354686057134451</v>
      </c>
      <c r="U81" s="9">
        <f>0.2*testdata[[#This Row],[Re]]+0.8*U80</f>
        <v>1.059092411021203</v>
      </c>
      <c r="V81" s="9">
        <f>0.2*testdata[[#This Row],[Im]]+0.8*V80</f>
        <v>0.48733006494240344</v>
      </c>
      <c r="W81" s="9">
        <f>IF(AND(testdata[[#This Row],[Re'']]&lt;&gt;0,testdata[[#This Row],[Im'']]&lt;&gt;0),2*PI()/ATAN(testdata[[#This Row],[Im'']]/testdata[[#This Row],[Re'']]),0)</f>
        <v>14.569579195485598</v>
      </c>
      <c r="X81" s="9">
        <f>IF(testdata[[#This Row],[pd-atan]]&gt;1.5*Z80,1.5*Z80,IF(testdata[[#This Row],[pd-atan]]&lt;0.67*Z80,0.67*Z80,testdata[[#This Row],[pd-atan]]))</f>
        <v>14.569579195485598</v>
      </c>
      <c r="Y81" s="9">
        <f>IF(testdata[[#This Row],[pd-limit1]]&lt;6,6,IF(testdata[[#This Row],[pd-limit1]]&gt;50,50,testdata[[#This Row],[pd-limit1]]))</f>
        <v>14.569579195485598</v>
      </c>
      <c r="Z81" s="14">
        <f>0.2*testdata[[#This Row],[pd-limit2]]+0.8*Z80</f>
        <v>14.925281247684071</v>
      </c>
      <c r="AA81" s="14">
        <f>0.33*testdata[[#This Row],[period]]+0.67*AA80</f>
        <v>15.121295558953857</v>
      </c>
      <c r="AB81" s="31">
        <f>TRUNC(testdata[[#This Row],[SmPd]]+0.5,0)</f>
        <v>15</v>
      </c>
      <c r="AC81" s="14">
        <f ca="1">IF(testdata[[#This Row],[PdInt]]&lt;=0,0,AVERAGE(OFFSET(testdata[[#This Row],[price]],0,0,-testdata[[#This Row],[PdInt]],1)))</f>
        <v>223.36699999999999</v>
      </c>
      <c r="AD81" s="14">
        <f ca="1">IF(testdata[[#This Row],[i]]&lt;11,testdata[[#This Row],[price]],(4*testdata[[#This Row],[iTrend]]+3*AC80+2*AC79+AC78)/10)</f>
        <v>223.1771333333333</v>
      </c>
      <c r="AE81" s="14">
        <f>(4*testdata[[#This Row],[price]]+3*H80+2*H79+H78)/10</f>
        <v>226.154</v>
      </c>
      <c r="AF81" t="str">
        <f ca="1">IF(OR(ROUND(testdata[[#This Row],[Trendline]],4)&lt;&gt;Table3[[#This Row],[Trendline]],ROUND(testdata[[#This Row],[SmPrice]],4)&lt;&gt;Table3[[#This Row],[SmPrice]]),"ERR","")</f>
        <v>ERR</v>
      </c>
      <c r="AG81" s="3">
        <v>42852</v>
      </c>
      <c r="AH81" s="14">
        <v>15.693</v>
      </c>
      <c r="AI81" s="34">
        <v>16</v>
      </c>
      <c r="AJ81" s="14">
        <v>223.40029999999999</v>
      </c>
      <c r="AK81" s="14">
        <v>223.1953</v>
      </c>
      <c r="AL81" s="14">
        <v>226.154</v>
      </c>
      <c r="AN81" s="38">
        <f t="shared" si="4"/>
        <v>1.8116666666003312E-2</v>
      </c>
      <c r="AO81" s="38">
        <f t="shared" si="5"/>
        <v>0</v>
      </c>
      <c r="AQ81" s="37">
        <v>42852</v>
      </c>
      <c r="AR81">
        <v>15</v>
      </c>
      <c r="AS81">
        <v>223.17713333333299</v>
      </c>
      <c r="AT81">
        <v>226.154</v>
      </c>
      <c r="AV81" s="37">
        <v>42852</v>
      </c>
      <c r="AW81">
        <v>16</v>
      </c>
      <c r="AX81">
        <v>223.19524999999899</v>
      </c>
      <c r="AY81">
        <v>226.154</v>
      </c>
      <c r="BA81" s="38">
        <f>AX81-Table3[[#This Row],[Trendline]]</f>
        <v>-5.0000001010630513E-5</v>
      </c>
      <c r="BB81" s="38">
        <f>AY81-Table3[[#This Row],[SmPrice]]</f>
        <v>0</v>
      </c>
    </row>
    <row r="82" spans="1:54" x14ac:dyDescent="0.35">
      <c r="A82" s="6">
        <v>80</v>
      </c>
      <c r="B82" s="3">
        <v>42853</v>
      </c>
      <c r="C82" s="2">
        <v>226.68</v>
      </c>
      <c r="D82" s="2">
        <v>226.71</v>
      </c>
      <c r="E82" s="2">
        <v>225.76</v>
      </c>
      <c r="F82" s="2">
        <v>225.91</v>
      </c>
      <c r="G82" s="1">
        <v>66956400</v>
      </c>
      <c r="H82" s="30">
        <f>(testdata[[#This Row],[high]]+testdata[[#This Row],[low]])/2</f>
        <v>226.23500000000001</v>
      </c>
      <c r="I82" s="23">
        <f>(4*testdata[[#This Row],[price]]+3*H81+2*H80+H79)/10</f>
        <v>226.33800000000002</v>
      </c>
      <c r="J82" s="9">
        <f>(0.0962*testdata[[#This Row],[smooth]]+0.5769*I80-0.5769*I78-0.0962*I76)*(0.075*$Z81+0.54)</f>
        <v>2.9856129975375847</v>
      </c>
      <c r="K82" s="14">
        <f t="shared" si="3"/>
        <v>1.0330743812582128</v>
      </c>
      <c r="L82" s="14">
        <f>(0.0962*testdata[[#This Row],[detrender]]+0.5769*J80-0.5769*J78-0.0962*J76)*(0.075*$Z81+0.54)</f>
        <v>1.3151237881921711</v>
      </c>
      <c r="M82" s="9">
        <f>(0.0962*testdata[[#This Row],[I1]]+0.5769*K80-0.5769*K78-0.0962*K76)*(0.075*$Z81+0.54)</f>
        <v>1.2861933854952454</v>
      </c>
      <c r="N82" s="9">
        <f>(0.0962*testdata[[#This Row],[Q1]]+0.5769*L80-0.5769*L78-0.0962*L76)*(0.075*$Z81+0.54)</f>
        <v>0.85220155132081099</v>
      </c>
      <c r="O82" s="9">
        <f>testdata[[#This Row],[I1]]-testdata[[#This Row],[JQ]]</f>
        <v>0.18087282993740184</v>
      </c>
      <c r="P82" s="9">
        <f>testdata[[#This Row],[Q1]]+testdata[[#This Row],[jI]]</f>
        <v>2.6013171736874163</v>
      </c>
      <c r="Q82" s="9">
        <f>0.2*testdata[[#This Row],[I2]]+0.8*Q81</f>
        <v>-0.66287193905324149</v>
      </c>
      <c r="R82" s="9">
        <f>0.2*testdata[[#This Row],[Q2]]+0.8*R81</f>
        <v>0.95914468330484093</v>
      </c>
      <c r="S82" s="9">
        <f>testdata[[#This Row],[I2'']]*Q81+testdata[[#This Row],[Q2'']]*R81</f>
        <v>1.1054111605628829</v>
      </c>
      <c r="T82" s="9">
        <f>testdata[[#This Row],[I2'']]*R81-testdata[[#This Row],[Q2'']]*Q81</f>
        <v>0.47445584305085881</v>
      </c>
      <c r="U82" s="9">
        <f>0.2*testdata[[#This Row],[Re]]+0.8*U81</f>
        <v>1.0683561609295391</v>
      </c>
      <c r="V82" s="9">
        <f>0.2*testdata[[#This Row],[Im]]+0.8*V81</f>
        <v>0.48475522056409454</v>
      </c>
      <c r="W82" s="9">
        <f>IF(AND(testdata[[#This Row],[Re'']]&lt;&gt;0,testdata[[#This Row],[Im'']]&lt;&gt;0),2*PI()/ATAN(testdata[[#This Row],[Im'']]/testdata[[#This Row],[Re'']]),0)</f>
        <v>14.750673678789715</v>
      </c>
      <c r="X82" s="9">
        <f>IF(testdata[[#This Row],[pd-atan]]&gt;1.5*Z81,1.5*Z81,IF(testdata[[#This Row],[pd-atan]]&lt;0.67*Z81,0.67*Z81,testdata[[#This Row],[pd-atan]]))</f>
        <v>14.750673678789715</v>
      </c>
      <c r="Y82" s="9">
        <f>IF(testdata[[#This Row],[pd-limit1]]&lt;6,6,IF(testdata[[#This Row],[pd-limit1]]&gt;50,50,testdata[[#This Row],[pd-limit1]]))</f>
        <v>14.750673678789715</v>
      </c>
      <c r="Z82" s="14">
        <f>0.2*testdata[[#This Row],[pd-limit2]]+0.8*Z81</f>
        <v>14.890359733905202</v>
      </c>
      <c r="AA82" s="14">
        <f>0.33*testdata[[#This Row],[period]]+0.67*AA81</f>
        <v>15.045086736687804</v>
      </c>
      <c r="AB82" s="31">
        <f>TRUNC(testdata[[#This Row],[SmPd]]+0.5,0)</f>
        <v>15</v>
      </c>
      <c r="AC82" s="14">
        <f ca="1">IF(testdata[[#This Row],[PdInt]]&lt;=0,0,AVERAGE(OFFSET(testdata[[#This Row],[price]],0,0,-testdata[[#This Row],[PdInt]],1)))</f>
        <v>223.56899999999999</v>
      </c>
      <c r="AD82" s="14">
        <f ca="1">IF(testdata[[#This Row],[i]]&lt;11,testdata[[#This Row],[price]],(4*testdata[[#This Row],[iTrend]]+3*AC81+2*AC80+AC79)/10)</f>
        <v>223.3759</v>
      </c>
      <c r="AE82" s="14">
        <f>(4*testdata[[#This Row],[price]]+3*H81+2*H80+H79)/10</f>
        <v>226.33800000000002</v>
      </c>
      <c r="AF82" t="str">
        <f ca="1">IF(OR(ROUND(testdata[[#This Row],[Trendline]],4)&lt;&gt;Table3[[#This Row],[Trendline]],ROUND(testdata[[#This Row],[SmPrice]],4)&lt;&gt;Table3[[#This Row],[SmPrice]]),"ERR","")</f>
        <v>ERR</v>
      </c>
      <c r="AG82" s="3">
        <v>42853</v>
      </c>
      <c r="AH82" s="14">
        <v>15.5786</v>
      </c>
      <c r="AI82" s="34">
        <v>16</v>
      </c>
      <c r="AJ82" s="14">
        <v>223.5462</v>
      </c>
      <c r="AK82" s="14">
        <v>223.37469999999999</v>
      </c>
      <c r="AL82" s="14">
        <v>226.33799999999999</v>
      </c>
      <c r="AN82" s="38">
        <f t="shared" si="4"/>
        <v>-1.2125000000082764E-3</v>
      </c>
      <c r="AO82" s="38">
        <f t="shared" si="5"/>
        <v>0</v>
      </c>
      <c r="AQ82" s="37">
        <v>42853</v>
      </c>
      <c r="AR82">
        <v>15</v>
      </c>
      <c r="AS82">
        <v>223.3759</v>
      </c>
      <c r="AT82">
        <v>226.33799999999999</v>
      </c>
      <c r="AV82" s="37">
        <v>42853</v>
      </c>
      <c r="AW82">
        <v>16</v>
      </c>
      <c r="AX82">
        <v>223.37468749999999</v>
      </c>
      <c r="AY82">
        <v>226.33799999999999</v>
      </c>
      <c r="BA82" s="38">
        <f>AX82-Table3[[#This Row],[Trendline]]</f>
        <v>-1.2499999996862243E-5</v>
      </c>
      <c r="BB82" s="38">
        <f>AY82-Table3[[#This Row],[SmPrice]]</f>
        <v>0</v>
      </c>
    </row>
    <row r="83" spans="1:54" x14ac:dyDescent="0.35">
      <c r="A83" s="6">
        <v>81</v>
      </c>
      <c r="B83" s="3">
        <v>42856</v>
      </c>
      <c r="C83" s="2">
        <v>226.48</v>
      </c>
      <c r="D83" s="2">
        <v>226.94</v>
      </c>
      <c r="E83" s="2">
        <v>226.02</v>
      </c>
      <c r="F83" s="2">
        <v>226.48</v>
      </c>
      <c r="G83" s="1">
        <v>70486576</v>
      </c>
      <c r="H83" s="30">
        <f>(testdata[[#This Row],[high]]+testdata[[#This Row],[low]])/2</f>
        <v>226.48000000000002</v>
      </c>
      <c r="I83" s="23">
        <f>(4*testdata[[#This Row],[price]]+3*H82+2*H81+H80)/10</f>
        <v>226.38849999999996</v>
      </c>
      <c r="J83" s="9">
        <f>(0.0962*testdata[[#This Row],[smooth]]+0.5769*I81-0.5769*I79-0.0962*I77)*(0.075*$Z82+0.54)</f>
        <v>2.2172053197754753</v>
      </c>
      <c r="K83" s="14">
        <f t="shared" si="3"/>
        <v>1.4375077462631947</v>
      </c>
      <c r="L83" s="14">
        <f>(0.0962*testdata[[#This Row],[detrender]]+0.5769*J81-0.5769*J79-0.0962*J77)*(0.075*$Z82+0.54)</f>
        <v>1.8031696288009118</v>
      </c>
      <c r="M83" s="9">
        <f>(0.0962*testdata[[#This Row],[I1]]+0.5769*K81-0.5769*K79-0.0962*K77)*(0.075*$Z82+0.54)</f>
        <v>1.400265357854962</v>
      </c>
      <c r="N83" s="9">
        <f>(0.0962*testdata[[#This Row],[Q1]]+0.5769*L81-0.5769*L79-0.0962*L77)*(0.075*$Z82+0.54)</f>
        <v>0.54163479707385143</v>
      </c>
      <c r="O83" s="9">
        <f>testdata[[#This Row],[I1]]-testdata[[#This Row],[JQ]]</f>
        <v>0.89587294918934324</v>
      </c>
      <c r="P83" s="9">
        <f>testdata[[#This Row],[Q1]]+testdata[[#This Row],[jI]]</f>
        <v>3.203434986655874</v>
      </c>
      <c r="Q83" s="9">
        <f>0.2*testdata[[#This Row],[I2]]+0.8*Q82</f>
        <v>-0.3511229614047246</v>
      </c>
      <c r="R83" s="9">
        <f>0.2*testdata[[#This Row],[Q2]]+0.8*R82</f>
        <v>1.4080027439750475</v>
      </c>
      <c r="S83" s="9">
        <f>testdata[[#This Row],[I2'']]*Q82+testdata[[#This Row],[Q2'']]*R82</f>
        <v>1.5832279042347603</v>
      </c>
      <c r="T83" s="9">
        <f>testdata[[#This Row],[I2'']]*R82-testdata[[#This Row],[Q2'']]*Q82</f>
        <v>0.59654778747343207</v>
      </c>
      <c r="U83" s="9">
        <f>0.2*testdata[[#This Row],[Re]]+0.8*U82</f>
        <v>1.1713305095905835</v>
      </c>
      <c r="V83" s="9">
        <f>0.2*testdata[[#This Row],[Im]]+0.8*V82</f>
        <v>0.50711373394596204</v>
      </c>
      <c r="W83" s="9">
        <f>IF(AND(testdata[[#This Row],[Re'']]&lt;&gt;0,testdata[[#This Row],[Im'']]&lt;&gt;0),2*PI()/ATAN(testdata[[#This Row],[Im'']]/testdata[[#This Row],[Re'']]),0)</f>
        <v>15.37828651280722</v>
      </c>
      <c r="X83" s="9">
        <f>IF(testdata[[#This Row],[pd-atan]]&gt;1.5*Z82,1.5*Z82,IF(testdata[[#This Row],[pd-atan]]&lt;0.67*Z82,0.67*Z82,testdata[[#This Row],[pd-atan]]))</f>
        <v>15.37828651280722</v>
      </c>
      <c r="Y83" s="9">
        <f>IF(testdata[[#This Row],[pd-limit1]]&lt;6,6,IF(testdata[[#This Row],[pd-limit1]]&gt;50,50,testdata[[#This Row],[pd-limit1]]))</f>
        <v>15.37828651280722</v>
      </c>
      <c r="Z83" s="14">
        <f>0.2*testdata[[#This Row],[pd-limit2]]+0.8*Z82</f>
        <v>14.987945089685606</v>
      </c>
      <c r="AA83" s="14">
        <f>0.33*testdata[[#This Row],[period]]+0.67*AA82</f>
        <v>15.026229993177079</v>
      </c>
      <c r="AB83" s="31">
        <f>TRUNC(testdata[[#This Row],[SmPd]]+0.5,0)</f>
        <v>15</v>
      </c>
      <c r="AC83" s="14">
        <f ca="1">IF(testdata[[#This Row],[PdInt]]&lt;=0,0,AVERAGE(OFFSET(testdata[[#This Row],[price]],0,0,-testdata[[#This Row],[PdInt]],1)))</f>
        <v>223.78200000000001</v>
      </c>
      <c r="AD83" s="14">
        <f ca="1">IF(testdata[[#This Row],[i]]&lt;11,testdata[[#This Row],[price]],(4*testdata[[#This Row],[iTrend]]+3*AC82+2*AC81+AC80)/10)</f>
        <v>223.57779999999997</v>
      </c>
      <c r="AE83" s="14">
        <f>(4*testdata[[#This Row],[price]]+3*H82+2*H81+H80)/10</f>
        <v>226.38849999999996</v>
      </c>
      <c r="AF83" t="str">
        <f ca="1">IF(OR(ROUND(testdata[[#This Row],[Trendline]],4)&lt;&gt;Table3[[#This Row],[Trendline]],ROUND(testdata[[#This Row],[SmPrice]],4)&lt;&gt;Table3[[#This Row],[SmPrice]]),"ERR","")</f>
        <v>ERR</v>
      </c>
      <c r="AG83" s="3">
        <v>42856</v>
      </c>
      <c r="AH83" s="14">
        <v>15.517899999999999</v>
      </c>
      <c r="AI83" s="34">
        <v>16</v>
      </c>
      <c r="AJ83" s="14">
        <v>223.7509</v>
      </c>
      <c r="AK83" s="14">
        <v>223.5642</v>
      </c>
      <c r="AL83" s="14">
        <v>226.38849999999999</v>
      </c>
      <c r="AN83" s="38">
        <f t="shared" si="4"/>
        <v>-1.3612499999993588E-2</v>
      </c>
      <c r="AO83" s="38">
        <f t="shared" si="5"/>
        <v>0</v>
      </c>
      <c r="AQ83" s="37">
        <v>42856</v>
      </c>
      <c r="AR83">
        <v>15</v>
      </c>
      <c r="AS83">
        <v>223.577799999999</v>
      </c>
      <c r="AT83">
        <v>226.388499999999</v>
      </c>
      <c r="AV83" s="37">
        <v>42856</v>
      </c>
      <c r="AW83">
        <v>16</v>
      </c>
      <c r="AX83">
        <v>223.56418749999901</v>
      </c>
      <c r="AY83">
        <v>226.388499999999</v>
      </c>
      <c r="BA83" s="38">
        <f>AX83-Table3[[#This Row],[Trendline]]</f>
        <v>-1.2500000991622073E-5</v>
      </c>
      <c r="BB83" s="38">
        <f>AY83-Table3[[#This Row],[SmPrice]]</f>
        <v>-9.9475983006414026E-13</v>
      </c>
    </row>
    <row r="84" spans="1:54" x14ac:dyDescent="0.35">
      <c r="A84" s="6">
        <v>82</v>
      </c>
      <c r="B84" s="3">
        <v>42857</v>
      </c>
      <c r="C84" s="2">
        <v>226.63</v>
      </c>
      <c r="D84" s="2">
        <v>226.76</v>
      </c>
      <c r="E84" s="2">
        <v>226.12</v>
      </c>
      <c r="F84" s="2">
        <v>226.56</v>
      </c>
      <c r="G84" s="1">
        <v>60467504</v>
      </c>
      <c r="H84" s="30">
        <f>(testdata[[#This Row],[high]]+testdata[[#This Row],[low]])/2</f>
        <v>226.44</v>
      </c>
      <c r="I84" s="23">
        <f>(4*testdata[[#This Row],[price]]+3*H83+2*H82+H81)/10</f>
        <v>226.39400000000001</v>
      </c>
      <c r="J84" s="9">
        <f>(0.0962*testdata[[#This Row],[smooth]]+0.5769*I82-0.5769*I80-0.0962*I78)*(0.075*$Z83+0.54)</f>
        <v>1.2258910108777608</v>
      </c>
      <c r="K84" s="14">
        <f t="shared" si="3"/>
        <v>2.5493326347185312</v>
      </c>
      <c r="L84" s="14">
        <f>(0.0962*testdata[[#This Row],[detrender]]+0.5769*J82-0.5769*J80-0.0962*J78)*(0.075*$Z83+0.54)</f>
        <v>1.5813239993088837</v>
      </c>
      <c r="M84" s="9">
        <f>(0.0962*testdata[[#This Row],[I1]]+0.5769*K82-0.5769*K80-0.0962*K78)*(0.075*$Z83+0.54)</f>
        <v>1.5647630347470052</v>
      </c>
      <c r="N84" s="9">
        <f>(0.0962*testdata[[#This Row],[Q1]]+0.5769*L82-0.5769*L80-0.0962*L78)*(0.075*$Z83+0.54)</f>
        <v>2.925533211808003E-2</v>
      </c>
      <c r="O84" s="9">
        <f>testdata[[#This Row],[I1]]-testdata[[#This Row],[JQ]]</f>
        <v>2.520077302600451</v>
      </c>
      <c r="P84" s="9">
        <f>testdata[[#This Row],[Q1]]+testdata[[#This Row],[jI]]</f>
        <v>3.1460870340558889</v>
      </c>
      <c r="Q84" s="9">
        <f>0.2*testdata[[#This Row],[I2]]+0.8*Q83</f>
        <v>0.22311709139631059</v>
      </c>
      <c r="R84" s="9">
        <f>0.2*testdata[[#This Row],[Q2]]+0.8*R83</f>
        <v>1.7556196019912158</v>
      </c>
      <c r="S84" s="9">
        <f>testdata[[#This Row],[I2'']]*Q83+testdata[[#This Row],[Q2'']]*R83</f>
        <v>2.3935756831089314</v>
      </c>
      <c r="T84" s="9">
        <f>testdata[[#This Row],[I2'']]*R83-testdata[[#This Row],[Q2'']]*Q83</f>
        <v>0.93058783066507633</v>
      </c>
      <c r="U84" s="9">
        <f>0.2*testdata[[#This Row],[Re]]+0.8*U83</f>
        <v>1.4157795442942531</v>
      </c>
      <c r="V84" s="9">
        <f>0.2*testdata[[#This Row],[Im]]+0.8*V83</f>
        <v>0.59180855328978499</v>
      </c>
      <c r="W84" s="9">
        <f>IF(AND(testdata[[#This Row],[Re'']]&lt;&gt;0,testdata[[#This Row],[Im'']]&lt;&gt;0),2*PI()/ATAN(testdata[[#This Row],[Im'']]/testdata[[#This Row],[Re'']]),0)</f>
        <v>15.869261829266335</v>
      </c>
      <c r="X84" s="9">
        <f>IF(testdata[[#This Row],[pd-atan]]&gt;1.5*Z83,1.5*Z83,IF(testdata[[#This Row],[pd-atan]]&lt;0.67*Z83,0.67*Z83,testdata[[#This Row],[pd-atan]]))</f>
        <v>15.869261829266335</v>
      </c>
      <c r="Y84" s="9">
        <f>IF(testdata[[#This Row],[pd-limit1]]&lt;6,6,IF(testdata[[#This Row],[pd-limit1]]&gt;50,50,testdata[[#This Row],[pd-limit1]]))</f>
        <v>15.869261829266335</v>
      </c>
      <c r="Z84" s="14">
        <f>0.2*testdata[[#This Row],[pd-limit2]]+0.8*Z83</f>
        <v>15.164208437601754</v>
      </c>
      <c r="AA84" s="14">
        <f>0.33*testdata[[#This Row],[period]]+0.67*AA83</f>
        <v>15.071762879837223</v>
      </c>
      <c r="AB84" s="31">
        <f>TRUNC(testdata[[#This Row],[SmPd]]+0.5,0)</f>
        <v>15</v>
      </c>
      <c r="AC84" s="14">
        <f ca="1">IF(testdata[[#This Row],[PdInt]]&lt;=0,0,AVERAGE(OFFSET(testdata[[#This Row],[price]],0,0,-testdata[[#This Row],[PdInt]],1)))</f>
        <v>223.98099999999997</v>
      </c>
      <c r="AD84" s="14">
        <f ca="1">IF(testdata[[#This Row],[i]]&lt;11,testdata[[#This Row],[price]],(4*testdata[[#This Row],[iTrend]]+3*AC83+2*AC82+AC81)/10)</f>
        <v>223.7775</v>
      </c>
      <c r="AE84" s="14">
        <f>(4*testdata[[#This Row],[price]]+3*H83+2*H82+H81)/10</f>
        <v>226.39400000000001</v>
      </c>
      <c r="AF84" t="str">
        <f ca="1">IF(OR(ROUND(testdata[[#This Row],[Trendline]],4)&lt;&gt;Table3[[#This Row],[Trendline]],ROUND(testdata[[#This Row],[SmPrice]],4)&lt;&gt;Table3[[#This Row],[SmPrice]]),"ERR","")</f>
        <v>ERR</v>
      </c>
      <c r="AG84" s="3">
        <v>42857</v>
      </c>
      <c r="AH84" s="14">
        <v>15.5151</v>
      </c>
      <c r="AI84" s="34">
        <v>16</v>
      </c>
      <c r="AJ84" s="14">
        <v>223.94810000000001</v>
      </c>
      <c r="AK84" s="14">
        <v>223.75380000000001</v>
      </c>
      <c r="AL84" s="14">
        <v>226.39400000000001</v>
      </c>
      <c r="AN84" s="38">
        <f t="shared" si="4"/>
        <v>-2.3687499999994088E-2</v>
      </c>
      <c r="AO84" s="38">
        <f t="shared" si="5"/>
        <v>0</v>
      </c>
      <c r="AQ84" s="37">
        <v>42857</v>
      </c>
      <c r="AR84">
        <v>15</v>
      </c>
      <c r="AS84">
        <v>223.7775</v>
      </c>
      <c r="AT84">
        <v>226.39400000000001</v>
      </c>
      <c r="AV84" s="37">
        <v>42857</v>
      </c>
      <c r="AW84">
        <v>16</v>
      </c>
      <c r="AX84">
        <v>223.75381250000001</v>
      </c>
      <c r="AY84">
        <v>226.39400000000001</v>
      </c>
      <c r="BA84" s="38">
        <f>AX84-Table3[[#This Row],[Trendline]]</f>
        <v>1.2499999996862243E-5</v>
      </c>
      <c r="BB84" s="38">
        <f>AY84-Table3[[#This Row],[SmPrice]]</f>
        <v>0</v>
      </c>
    </row>
    <row r="85" spans="1:54" x14ac:dyDescent="0.35">
      <c r="A85" s="6">
        <v>83</v>
      </c>
      <c r="B85" s="3">
        <v>42858</v>
      </c>
      <c r="C85" s="2">
        <v>226.11</v>
      </c>
      <c r="D85" s="2">
        <v>226.66</v>
      </c>
      <c r="E85" s="2">
        <v>225.55</v>
      </c>
      <c r="F85" s="2">
        <v>226.29</v>
      </c>
      <c r="G85" s="1">
        <v>77078864</v>
      </c>
      <c r="H85" s="30">
        <f>(testdata[[#This Row],[high]]+testdata[[#This Row],[low]])/2</f>
        <v>226.10500000000002</v>
      </c>
      <c r="I85" s="23">
        <f>(4*testdata[[#This Row],[price]]+3*H84+2*H83+H82)/10</f>
        <v>226.29349999999999</v>
      </c>
      <c r="J85" s="9">
        <f>(0.0962*testdata[[#This Row],[smooth]]+0.5769*I83-0.5769*I81-0.0962*I79)*(0.075*$Z84+0.54)</f>
        <v>0.52001875270365794</v>
      </c>
      <c r="K85" s="14">
        <f t="shared" si="3"/>
        <v>2.9856129975375847</v>
      </c>
      <c r="L85" s="14">
        <f>(0.0962*testdata[[#This Row],[detrender]]+0.5769*J83-0.5769*J81-0.0962*J79)*(0.075*$Z84+0.54)</f>
        <v>-0.40416630943768483</v>
      </c>
      <c r="M85" s="9">
        <f>(0.0962*testdata[[#This Row],[I1]]+0.5769*K83-0.5769*K81-0.0962*K79)*(0.075*$Z84+0.54)</f>
        <v>1.3293255887292623</v>
      </c>
      <c r="N85" s="9">
        <f>(0.0962*testdata[[#This Row],[Q1]]+0.5769*L83-0.5769*L81-0.0962*L79)*(0.075*$Z84+0.54)</f>
        <v>-4.630202213574712E-2</v>
      </c>
      <c r="O85" s="9">
        <f>testdata[[#This Row],[I1]]-testdata[[#This Row],[JQ]]</f>
        <v>3.031915019673332</v>
      </c>
      <c r="P85" s="9">
        <f>testdata[[#This Row],[Q1]]+testdata[[#This Row],[jI]]</f>
        <v>0.92515927929157749</v>
      </c>
      <c r="Q85" s="9">
        <f>0.2*testdata[[#This Row],[I2]]+0.8*Q84</f>
        <v>0.78487667705171493</v>
      </c>
      <c r="R85" s="9">
        <f>0.2*testdata[[#This Row],[Q2]]+0.8*R84</f>
        <v>1.5895275374512883</v>
      </c>
      <c r="S85" s="9">
        <f>testdata[[#This Row],[I2'']]*Q84+testdata[[#This Row],[Q2'']]*R84</f>
        <v>2.9657251039428885</v>
      </c>
      <c r="T85" s="9">
        <f>testdata[[#This Row],[I2'']]*R84-testdata[[#This Row],[Q2'']]*Q84</f>
        <v>1.0232941185272482</v>
      </c>
      <c r="U85" s="9">
        <f>0.2*testdata[[#This Row],[Re]]+0.8*U84</f>
        <v>1.72576865622398</v>
      </c>
      <c r="V85" s="9">
        <f>0.2*testdata[[#This Row],[Im]]+0.8*V84</f>
        <v>0.67810566633727765</v>
      </c>
      <c r="W85" s="9">
        <f>IF(AND(testdata[[#This Row],[Re'']]&lt;&gt;0,testdata[[#This Row],[Im'']]&lt;&gt;0),2*PI()/ATAN(testdata[[#This Row],[Im'']]/testdata[[#This Row],[Re'']]),0)</f>
        <v>16.78217235686693</v>
      </c>
      <c r="X85" s="9">
        <f>IF(testdata[[#This Row],[pd-atan]]&gt;1.5*Z84,1.5*Z84,IF(testdata[[#This Row],[pd-atan]]&lt;0.67*Z84,0.67*Z84,testdata[[#This Row],[pd-atan]]))</f>
        <v>16.78217235686693</v>
      </c>
      <c r="Y85" s="9">
        <f>IF(testdata[[#This Row],[pd-limit1]]&lt;6,6,IF(testdata[[#This Row],[pd-limit1]]&gt;50,50,testdata[[#This Row],[pd-limit1]]))</f>
        <v>16.78217235686693</v>
      </c>
      <c r="Z85" s="14">
        <f>0.2*testdata[[#This Row],[pd-limit2]]+0.8*Z84</f>
        <v>15.487801221454792</v>
      </c>
      <c r="AA85" s="14">
        <f>0.33*testdata[[#This Row],[period]]+0.67*AA84</f>
        <v>15.209055532571021</v>
      </c>
      <c r="AB85" s="31">
        <f>TRUNC(testdata[[#This Row],[SmPd]]+0.5,0)</f>
        <v>15</v>
      </c>
      <c r="AC85" s="14">
        <f ca="1">IF(testdata[[#This Row],[PdInt]]&lt;=0,0,AVERAGE(OFFSET(testdata[[#This Row],[price]],0,0,-testdata[[#This Row],[PdInt]],1)))</f>
        <v>224.23599999999999</v>
      </c>
      <c r="AD85" s="14">
        <f ca="1">IF(testdata[[#This Row],[i]]&lt;11,testdata[[#This Row],[price]],(4*testdata[[#This Row],[iTrend]]+3*AC84+2*AC83+AC82)/10)</f>
        <v>224.00200000000001</v>
      </c>
      <c r="AE85" s="14">
        <f>(4*testdata[[#This Row],[price]]+3*H84+2*H83+H82)/10</f>
        <v>226.29349999999999</v>
      </c>
      <c r="AF85" t="str">
        <f ca="1">IF(OR(ROUND(testdata[[#This Row],[Trendline]],4)&lt;&gt;Table3[[#This Row],[Trendline]],ROUND(testdata[[#This Row],[SmPrice]],4)&lt;&gt;Table3[[#This Row],[SmPrice]]),"ERR","")</f>
        <v>ERR</v>
      </c>
      <c r="AG85" s="3">
        <v>42858</v>
      </c>
      <c r="AH85" s="14">
        <v>15.598100000000001</v>
      </c>
      <c r="AI85" s="34">
        <v>16</v>
      </c>
      <c r="AJ85" s="14">
        <v>224.11369999999999</v>
      </c>
      <c r="AK85" s="14">
        <v>223.9348</v>
      </c>
      <c r="AL85" s="14">
        <v>226.29349999999999</v>
      </c>
      <c r="AN85" s="38">
        <f t="shared" si="4"/>
        <v>-6.7250000000996124E-2</v>
      </c>
      <c r="AO85" s="38">
        <f t="shared" si="5"/>
        <v>0</v>
      </c>
      <c r="AQ85" s="37">
        <v>42858</v>
      </c>
      <c r="AR85">
        <v>15</v>
      </c>
      <c r="AS85">
        <v>224.00200000000001</v>
      </c>
      <c r="AT85">
        <v>226.29349999999999</v>
      </c>
      <c r="AV85" s="37">
        <v>42858</v>
      </c>
      <c r="AW85">
        <v>16</v>
      </c>
      <c r="AX85">
        <v>223.93474999999901</v>
      </c>
      <c r="AY85">
        <v>226.29349999999999</v>
      </c>
      <c r="BA85" s="38">
        <f>AX85-Table3[[#This Row],[Trendline]]</f>
        <v>-5.0000000982208803E-5</v>
      </c>
      <c r="BB85" s="38">
        <f>AY85-Table3[[#This Row],[SmPrice]]</f>
        <v>0</v>
      </c>
    </row>
    <row r="86" spans="1:54" x14ac:dyDescent="0.35">
      <c r="A86" s="6">
        <v>84</v>
      </c>
      <c r="B86" s="3">
        <v>42859</v>
      </c>
      <c r="C86" s="2">
        <v>226.62</v>
      </c>
      <c r="D86" s="2">
        <v>226.71</v>
      </c>
      <c r="E86" s="2">
        <v>225.62</v>
      </c>
      <c r="F86" s="2">
        <v>226.55</v>
      </c>
      <c r="G86" s="1">
        <v>64774736</v>
      </c>
      <c r="H86" s="30">
        <f>(testdata[[#This Row],[high]]+testdata[[#This Row],[low]])/2</f>
        <v>226.16500000000002</v>
      </c>
      <c r="I86" s="23">
        <f>(4*testdata[[#This Row],[price]]+3*H85+2*H84+H83)/10</f>
        <v>226.23349999999999</v>
      </c>
      <c r="J86" s="9">
        <f>(0.0962*testdata[[#This Row],[smooth]]+0.5769*I84-0.5769*I82-0.0962*I80)*(0.075*$Z85+0.54)</f>
        <v>0.15850758588012356</v>
      </c>
      <c r="K86" s="14">
        <f t="shared" si="3"/>
        <v>2.2172053197754753</v>
      </c>
      <c r="L86" s="14">
        <f>(0.0962*testdata[[#This Row],[detrender]]+0.5769*J84-0.5769*J82-0.0962*J80)*(0.075*$Z85+0.54)</f>
        <v>-1.9367840186133809</v>
      </c>
      <c r="M86" s="9">
        <f>(0.0962*testdata[[#This Row],[I1]]+0.5769*K84-0.5769*K82-0.0962*K80)*(0.075*$Z85+0.54)</f>
        <v>1.8519369806372692</v>
      </c>
      <c r="N86" s="9">
        <f>(0.0962*testdata[[#This Row],[Q1]]+0.5769*L84-0.5769*L82-0.0962*L80)*(0.075*$Z85+0.54)</f>
        <v>-0.28711512976368475</v>
      </c>
      <c r="O86" s="9">
        <f>testdata[[#This Row],[I1]]-testdata[[#This Row],[JQ]]</f>
        <v>2.50432044953916</v>
      </c>
      <c r="P86" s="9">
        <f>testdata[[#This Row],[Q1]]+testdata[[#This Row],[jI]]</f>
        <v>-8.4847037976111706E-2</v>
      </c>
      <c r="Q86" s="9">
        <f>0.2*testdata[[#This Row],[I2]]+0.8*Q85</f>
        <v>1.1287654315492039</v>
      </c>
      <c r="R86" s="9">
        <f>0.2*testdata[[#This Row],[Q2]]+0.8*R85</f>
        <v>1.2546526223658085</v>
      </c>
      <c r="S86" s="9">
        <f>testdata[[#This Row],[I2'']]*Q85+testdata[[#This Row],[Q2'']]*R85</f>
        <v>2.8802465542711091</v>
      </c>
      <c r="T86" s="9">
        <f>testdata[[#This Row],[I2'']]*R85-testdata[[#This Row],[Q2'']]*Q85</f>
        <v>0.80945615567385087</v>
      </c>
      <c r="U86" s="9">
        <f>0.2*testdata[[#This Row],[Re]]+0.8*U85</f>
        <v>1.9566642358334061</v>
      </c>
      <c r="V86" s="9">
        <f>0.2*testdata[[#This Row],[Im]]+0.8*V85</f>
        <v>0.70437576420459236</v>
      </c>
      <c r="W86" s="9">
        <f>IF(AND(testdata[[#This Row],[Re'']]&lt;&gt;0,testdata[[#This Row],[Im'']]&lt;&gt;0),2*PI()/ATAN(testdata[[#This Row],[Im'']]/testdata[[#This Row],[Re'']]),0)</f>
        <v>18.183406219536906</v>
      </c>
      <c r="X86" s="9">
        <f>IF(testdata[[#This Row],[pd-atan]]&gt;1.5*Z85,1.5*Z85,IF(testdata[[#This Row],[pd-atan]]&lt;0.67*Z85,0.67*Z85,testdata[[#This Row],[pd-atan]]))</f>
        <v>18.183406219536906</v>
      </c>
      <c r="Y86" s="9">
        <f>IF(testdata[[#This Row],[pd-limit1]]&lt;6,6,IF(testdata[[#This Row],[pd-limit1]]&gt;50,50,testdata[[#This Row],[pd-limit1]]))</f>
        <v>18.183406219536906</v>
      </c>
      <c r="Z86" s="14">
        <f>0.2*testdata[[#This Row],[pd-limit2]]+0.8*Z85</f>
        <v>16.026922221071217</v>
      </c>
      <c r="AA86" s="14">
        <f>0.33*testdata[[#This Row],[period]]+0.67*AA85</f>
        <v>15.478951539776087</v>
      </c>
      <c r="AB86" s="31">
        <f>TRUNC(testdata[[#This Row],[SmPd]]+0.5,0)</f>
        <v>15</v>
      </c>
      <c r="AC86" s="14">
        <f ca="1">IF(testdata[[#This Row],[PdInt]]&lt;=0,0,AVERAGE(OFFSET(testdata[[#This Row],[price]],0,0,-testdata[[#This Row],[PdInt]],1)))</f>
        <v>224.48800000000003</v>
      </c>
      <c r="AD86" s="14">
        <f ca="1">IF(testdata[[#This Row],[i]]&lt;11,testdata[[#This Row],[price]],(4*testdata[[#This Row],[iTrend]]+3*AC85+2*AC84+AC83)/10)</f>
        <v>224.24039999999999</v>
      </c>
      <c r="AE86" s="14">
        <f>(4*testdata[[#This Row],[price]]+3*H85+2*H84+H83)/10</f>
        <v>226.23349999999999</v>
      </c>
      <c r="AF86" t="str">
        <f ca="1">IF(OR(ROUND(testdata[[#This Row],[Trendline]],4)&lt;&gt;Table3[[#This Row],[Trendline]],ROUND(testdata[[#This Row],[SmPrice]],4)&lt;&gt;Table3[[#This Row],[SmPrice]]),"ERR","")</f>
        <v>ERR</v>
      </c>
      <c r="AG86" s="3">
        <v>42859</v>
      </c>
      <c r="AH86" s="14">
        <v>15.8062</v>
      </c>
      <c r="AI86" s="34">
        <v>16</v>
      </c>
      <c r="AJ86" s="14">
        <v>224.35659999999999</v>
      </c>
      <c r="AK86" s="14">
        <v>224.14150000000001</v>
      </c>
      <c r="AL86" s="14">
        <v>226.23349999999999</v>
      </c>
      <c r="AN86" s="38">
        <f t="shared" si="4"/>
        <v>-9.8931249999992588E-2</v>
      </c>
      <c r="AO86" s="38">
        <f t="shared" si="5"/>
        <v>0</v>
      </c>
      <c r="AQ86" s="37">
        <v>42859</v>
      </c>
      <c r="AR86">
        <v>15</v>
      </c>
      <c r="AS86">
        <v>224.24039999999999</v>
      </c>
      <c r="AT86">
        <v>226.23349999999999</v>
      </c>
      <c r="AV86" s="37">
        <v>42859</v>
      </c>
      <c r="AW86">
        <v>16</v>
      </c>
      <c r="AX86">
        <v>224.14146875</v>
      </c>
      <c r="AY86">
        <v>226.23349999999999</v>
      </c>
      <c r="BA86" s="38">
        <f>AX86-Table3[[#This Row],[Trendline]]</f>
        <v>-3.1250000006366463E-5</v>
      </c>
      <c r="BB86" s="38">
        <f>AY86-Table3[[#This Row],[SmPrice]]</f>
        <v>0</v>
      </c>
    </row>
    <row r="87" spans="1:54" x14ac:dyDescent="0.35">
      <c r="A87" s="6">
        <v>85</v>
      </c>
      <c r="B87" s="3">
        <v>42860</v>
      </c>
      <c r="C87" s="2">
        <v>226.96</v>
      </c>
      <c r="D87" s="2">
        <v>227.46</v>
      </c>
      <c r="E87" s="2">
        <v>226.48</v>
      </c>
      <c r="F87" s="2">
        <v>227.44</v>
      </c>
      <c r="G87" s="1">
        <v>65342296</v>
      </c>
      <c r="H87" s="30">
        <f>(testdata[[#This Row],[high]]+testdata[[#This Row],[low]])/2</f>
        <v>226.97</v>
      </c>
      <c r="I87" s="23">
        <f>(4*testdata[[#This Row],[price]]+3*H86+2*H85+H84)/10</f>
        <v>226.5025</v>
      </c>
      <c r="J87" s="9">
        <f>(0.0962*testdata[[#This Row],[smooth]]+0.5769*I85-0.5769*I83-0.0962*I81)*(0.075*$Z86+0.54)</f>
        <v>-3.7069819460993761E-2</v>
      </c>
      <c r="K87" s="14">
        <f t="shared" si="3"/>
        <v>1.2258910108777608</v>
      </c>
      <c r="L87" s="14">
        <f>(0.0962*testdata[[#This Row],[detrender]]+0.5769*J85-0.5769*J83-0.0962*J81)*(0.075*$Z86+0.54)</f>
        <v>-2.1390581658447934</v>
      </c>
      <c r="M87" s="9">
        <f>(0.0962*testdata[[#This Row],[I1]]+0.5769*K85-0.5769*K83-0.0962*K81)*(0.075*$Z86+0.54)</f>
        <v>1.6553713915280452</v>
      </c>
      <c r="N87" s="9">
        <f>(0.0962*testdata[[#This Row],[Q1]]+0.5769*L85-0.5769*L83-0.0962*L81)*(0.075*$Z86+0.54)</f>
        <v>-2.8393133290156127</v>
      </c>
      <c r="O87" s="9">
        <f>testdata[[#This Row],[I1]]-testdata[[#This Row],[JQ]]</f>
        <v>4.0652043398933735</v>
      </c>
      <c r="P87" s="9">
        <f>testdata[[#This Row],[Q1]]+testdata[[#This Row],[jI]]</f>
        <v>-0.48368677431674811</v>
      </c>
      <c r="Q87" s="9">
        <f>0.2*testdata[[#This Row],[I2]]+0.8*Q86</f>
        <v>1.7160532132180379</v>
      </c>
      <c r="R87" s="9">
        <f>0.2*testdata[[#This Row],[Q2]]+0.8*R86</f>
        <v>0.90698474302929721</v>
      </c>
      <c r="S87" s="9">
        <f>testdata[[#This Row],[I2'']]*Q86+testdata[[#This Row],[Q2'']]*R86</f>
        <v>3.0749723320669435</v>
      </c>
      <c r="T87" s="9">
        <f>testdata[[#This Row],[I2'']]*R86-testdata[[#This Row],[Q2'']]*Q86</f>
        <v>1.1292776392092749</v>
      </c>
      <c r="U87" s="9">
        <f>0.2*testdata[[#This Row],[Re]]+0.8*U86</f>
        <v>2.1803258550801137</v>
      </c>
      <c r="V87" s="9">
        <f>0.2*testdata[[#This Row],[Im]]+0.8*V86</f>
        <v>0.78935613920552894</v>
      </c>
      <c r="W87" s="9">
        <f>IF(AND(testdata[[#This Row],[Re'']]&lt;&gt;0,testdata[[#This Row],[Im'']]&lt;&gt;0),2*PI()/ATAN(testdata[[#This Row],[Im'']]/testdata[[#This Row],[Re'']]),0)</f>
        <v>18.08856850977061</v>
      </c>
      <c r="X87" s="9">
        <f>IF(testdata[[#This Row],[pd-atan]]&gt;1.5*Z86,1.5*Z86,IF(testdata[[#This Row],[pd-atan]]&lt;0.67*Z86,0.67*Z86,testdata[[#This Row],[pd-atan]]))</f>
        <v>18.08856850977061</v>
      </c>
      <c r="Y87" s="9">
        <f>IF(testdata[[#This Row],[pd-limit1]]&lt;6,6,IF(testdata[[#This Row],[pd-limit1]]&gt;50,50,testdata[[#This Row],[pd-limit1]]))</f>
        <v>18.08856850977061</v>
      </c>
      <c r="Z87" s="14">
        <f>0.2*testdata[[#This Row],[pd-limit2]]+0.8*Z86</f>
        <v>16.439251478811098</v>
      </c>
      <c r="AA87" s="14">
        <f>0.33*testdata[[#This Row],[period]]+0.67*AA86</f>
        <v>15.795850519657641</v>
      </c>
      <c r="AB87" s="31">
        <f>TRUNC(testdata[[#This Row],[SmPd]]+0.5,0)</f>
        <v>16</v>
      </c>
      <c r="AC87" s="14">
        <f ca="1">IF(testdata[[#This Row],[PdInt]]&lt;=0,0,AVERAGE(OFFSET(testdata[[#This Row],[price]],0,0,-testdata[[#This Row],[PdInt]],1)))</f>
        <v>224.64312500000003</v>
      </c>
      <c r="AD87" s="14">
        <f ca="1">IF(testdata[[#This Row],[i]]&lt;11,testdata[[#This Row],[price]],(4*testdata[[#This Row],[iTrend]]+3*AC86+2*AC85+AC84)/10)</f>
        <v>224.44895000000002</v>
      </c>
      <c r="AE87" s="14">
        <f>(4*testdata[[#This Row],[price]]+3*H86+2*H85+H84)/10</f>
        <v>226.5025</v>
      </c>
      <c r="AF87" t="str">
        <f ca="1">IF(OR(ROUND(testdata[[#This Row],[Trendline]],4)&lt;&gt;Table3[[#This Row],[Trendline]],ROUND(testdata[[#This Row],[SmPrice]],4)&lt;&gt;Table3[[#This Row],[SmPrice]]),"ERR","")</f>
        <v>ERR</v>
      </c>
      <c r="AG87" s="3">
        <v>42860</v>
      </c>
      <c r="AH87" s="14">
        <v>16.0564</v>
      </c>
      <c r="AI87" s="34">
        <v>16</v>
      </c>
      <c r="AJ87" s="14">
        <v>224.6431</v>
      </c>
      <c r="AK87" s="14">
        <v>224.3818</v>
      </c>
      <c r="AL87" s="14">
        <v>226.5025</v>
      </c>
      <c r="AN87" s="38">
        <f t="shared" si="4"/>
        <v>-6.7168750000007549E-2</v>
      </c>
      <c r="AO87" s="38">
        <f t="shared" si="5"/>
        <v>0</v>
      </c>
      <c r="AQ87" s="37">
        <v>42860</v>
      </c>
      <c r="AR87">
        <v>16</v>
      </c>
      <c r="AS87">
        <v>224.44895</v>
      </c>
      <c r="AT87">
        <v>226.5025</v>
      </c>
      <c r="AV87" s="37">
        <v>42860</v>
      </c>
      <c r="AW87">
        <v>16</v>
      </c>
      <c r="AX87">
        <v>224.38178124999999</v>
      </c>
      <c r="AY87">
        <v>226.5025</v>
      </c>
      <c r="BA87" s="38">
        <f>AX87-Table3[[#This Row],[Trendline]]</f>
        <v>-1.875000000950422E-5</v>
      </c>
      <c r="BB87" s="38">
        <f>AY87-Table3[[#This Row],[SmPrice]]</f>
        <v>0</v>
      </c>
    </row>
    <row r="88" spans="1:54" x14ac:dyDescent="0.35">
      <c r="A88" s="6">
        <v>86</v>
      </c>
      <c r="B88" s="3">
        <v>42863</v>
      </c>
      <c r="C88" s="2">
        <v>227.49</v>
      </c>
      <c r="D88" s="2">
        <v>227.65</v>
      </c>
      <c r="E88" s="2">
        <v>226.94</v>
      </c>
      <c r="F88" s="2">
        <v>227.41</v>
      </c>
      <c r="G88" s="1">
        <v>50993060</v>
      </c>
      <c r="H88" s="30">
        <f>(testdata[[#This Row],[high]]+testdata[[#This Row],[low]])/2</f>
        <v>227.29500000000002</v>
      </c>
      <c r="I88" s="23">
        <f>(4*testdata[[#This Row],[price]]+3*H87+2*H86+H85)/10</f>
        <v>226.85250000000002</v>
      </c>
      <c r="J88" s="9">
        <f>(0.0962*testdata[[#This Row],[smooth]]+0.5769*I86-0.5769*I84-0.0962*I82)*(0.075*$Z87+0.54)</f>
        <v>-7.6409536692789243E-2</v>
      </c>
      <c r="K88" s="14">
        <f t="shared" si="3"/>
        <v>0.52001875270365794</v>
      </c>
      <c r="L88" s="14">
        <f>(0.0962*testdata[[#This Row],[detrender]]+0.5769*J86-0.5769*J84-0.0962*J82)*(0.075*$Z87+0.54)</f>
        <v>-1.6139818307780576</v>
      </c>
      <c r="M88" s="9">
        <f>(0.0962*testdata[[#This Row],[I1]]+0.5769*K86-0.5769*K84-0.0962*K82)*(0.075*$Z87+0.54)</f>
        <v>-0.42720890635219672</v>
      </c>
      <c r="N88" s="9">
        <f>(0.0962*testdata[[#This Row],[Q1]]+0.5769*L86-0.5769*L84-0.0962*L82)*(0.075*$Z87+0.54)</f>
        <v>-4.0979407335273557</v>
      </c>
      <c r="O88" s="9">
        <f>testdata[[#This Row],[I1]]-testdata[[#This Row],[JQ]]</f>
        <v>4.6179594862310136</v>
      </c>
      <c r="P88" s="9">
        <f>testdata[[#This Row],[Q1]]+testdata[[#This Row],[jI]]</f>
        <v>-2.0411907371302545</v>
      </c>
      <c r="Q88" s="9">
        <f>0.2*testdata[[#This Row],[I2]]+0.8*Q87</f>
        <v>2.2964344678206334</v>
      </c>
      <c r="R88" s="9">
        <f>0.2*testdata[[#This Row],[Q2]]+0.8*R87</f>
        <v>0.31734964699738688</v>
      </c>
      <c r="S88" s="9">
        <f>testdata[[#This Row],[I2'']]*Q87+testdata[[#This Row],[Q2'']]*R87</f>
        <v>4.2286350354806164</v>
      </c>
      <c r="T88" s="9">
        <f>testdata[[#This Row],[I2'']]*R87-testdata[[#This Row],[Q2'']]*Q87</f>
        <v>1.5382421442364425</v>
      </c>
      <c r="U88" s="9">
        <f>0.2*testdata[[#This Row],[Re]]+0.8*U87</f>
        <v>2.5899876911602142</v>
      </c>
      <c r="V88" s="9">
        <f>0.2*testdata[[#This Row],[Im]]+0.8*V87</f>
        <v>0.93913334021171169</v>
      </c>
      <c r="W88" s="9">
        <f>IF(AND(testdata[[#This Row],[Re'']]&lt;&gt;0,testdata[[#This Row],[Im'']]&lt;&gt;0),2*PI()/ATAN(testdata[[#This Row],[Im'']]/testdata[[#This Row],[Re'']]),0)</f>
        <v>18.062569663804531</v>
      </c>
      <c r="X88" s="9">
        <f>IF(testdata[[#This Row],[pd-atan]]&gt;1.5*Z87,1.5*Z87,IF(testdata[[#This Row],[pd-atan]]&lt;0.67*Z87,0.67*Z87,testdata[[#This Row],[pd-atan]]))</f>
        <v>18.062569663804531</v>
      </c>
      <c r="Y88" s="9">
        <f>IF(testdata[[#This Row],[pd-limit1]]&lt;6,6,IF(testdata[[#This Row],[pd-limit1]]&gt;50,50,testdata[[#This Row],[pd-limit1]]))</f>
        <v>18.062569663804531</v>
      </c>
      <c r="Z88" s="14">
        <f>0.2*testdata[[#This Row],[pd-limit2]]+0.8*Z87</f>
        <v>16.763915115809787</v>
      </c>
      <c r="AA88" s="14">
        <f>0.33*testdata[[#This Row],[period]]+0.67*AA87</f>
        <v>16.11531183638785</v>
      </c>
      <c r="AB88" s="31">
        <f>TRUNC(testdata[[#This Row],[SmPd]]+0.5,0)</f>
        <v>16</v>
      </c>
      <c r="AC88" s="14">
        <f ca="1">IF(testdata[[#This Row],[PdInt]]&lt;=0,0,AVERAGE(OFFSET(testdata[[#This Row],[price]],0,0,-testdata[[#This Row],[PdInt]],1)))</f>
        <v>225.00156250000001</v>
      </c>
      <c r="AD88" s="14">
        <f ca="1">IF(testdata[[#This Row],[i]]&lt;11,testdata[[#This Row],[price]],(4*testdata[[#This Row],[iTrend]]+3*AC87+2*AC86+AC85)/10)</f>
        <v>224.71476250000001</v>
      </c>
      <c r="AE88" s="14">
        <f>(4*testdata[[#This Row],[price]]+3*H87+2*H86+H85)/10</f>
        <v>226.85250000000002</v>
      </c>
      <c r="AF88" t="str">
        <f ca="1">IF(OR(ROUND(testdata[[#This Row],[Trendline]],4)&lt;&gt;Table3[[#This Row],[Trendline]],ROUND(testdata[[#This Row],[SmPrice]],4)&lt;&gt;Table3[[#This Row],[SmPrice]]),"ERR","")</f>
        <v>ERR</v>
      </c>
      <c r="AG88" s="3">
        <v>42863</v>
      </c>
      <c r="AH88" s="14">
        <v>16.312000000000001</v>
      </c>
      <c r="AI88" s="34">
        <v>16</v>
      </c>
      <c r="AJ88" s="14">
        <v>225.0016</v>
      </c>
      <c r="AK88" s="14">
        <v>224.6763</v>
      </c>
      <c r="AL88" s="14">
        <v>226.85249999999999</v>
      </c>
      <c r="AN88" s="38">
        <f t="shared" si="4"/>
        <v>-3.8512500001019134E-2</v>
      </c>
      <c r="AO88" s="38">
        <f t="shared" si="5"/>
        <v>0</v>
      </c>
      <c r="AQ88" s="37">
        <v>42863</v>
      </c>
      <c r="AR88">
        <v>16</v>
      </c>
      <c r="AS88">
        <v>224.71476250000001</v>
      </c>
      <c r="AT88">
        <v>226.852499999999</v>
      </c>
      <c r="AV88" s="37">
        <v>42863</v>
      </c>
      <c r="AW88">
        <v>16</v>
      </c>
      <c r="AX88">
        <v>224.67624999999899</v>
      </c>
      <c r="AY88">
        <v>226.852499999999</v>
      </c>
      <c r="BA88" s="38">
        <f>AX88-Table3[[#This Row],[Trendline]]</f>
        <v>-5.0000001010630513E-5</v>
      </c>
      <c r="BB88" s="38">
        <f>AY88-Table3[[#This Row],[SmPrice]]</f>
        <v>-9.9475983006414026E-13</v>
      </c>
    </row>
    <row r="89" spans="1:54" x14ac:dyDescent="0.35">
      <c r="A89" s="6">
        <v>87</v>
      </c>
      <c r="B89" s="3">
        <v>42864</v>
      </c>
      <c r="C89" s="2">
        <v>227.69</v>
      </c>
      <c r="D89" s="2">
        <v>227.91</v>
      </c>
      <c r="E89" s="2">
        <v>226.82</v>
      </c>
      <c r="F89" s="2">
        <v>227.2</v>
      </c>
      <c r="G89" s="1">
        <v>54130976</v>
      </c>
      <c r="H89" s="30">
        <f>(testdata[[#This Row],[high]]+testdata[[#This Row],[low]])/2</f>
        <v>227.36500000000001</v>
      </c>
      <c r="I89" s="23">
        <f>(4*testdata[[#This Row],[price]]+3*H88+2*H87+H86)/10</f>
        <v>227.14500000000004</v>
      </c>
      <c r="J89" s="9">
        <f>(0.0962*testdata[[#This Row],[smooth]]+0.5769*I87-0.5769*I85-0.0962*I83)*(0.075*$Z88+0.54)</f>
        <v>0.34750205110970256</v>
      </c>
      <c r="K89" s="14">
        <f t="shared" si="3"/>
        <v>0.15850758588012356</v>
      </c>
      <c r="L89" s="14">
        <f>(0.0962*testdata[[#This Row],[detrender]]+0.5769*J87-0.5769*J85-0.0962*J83)*(0.075*$Z88+0.54)</f>
        <v>-0.90089316739563685</v>
      </c>
      <c r="M89" s="9">
        <f>(0.0962*testdata[[#This Row],[I1]]+0.5769*K87-0.5769*K85-0.0962*K83)*(0.075*$Z88+0.54)</f>
        <v>-2.0457217236114311</v>
      </c>
      <c r="N89" s="9">
        <f>(0.0962*testdata[[#This Row],[Q1]]+0.5769*L87-0.5769*L85-0.0962*L83)*(0.075*$Z88+0.54)</f>
        <v>-2.2663692145883578</v>
      </c>
      <c r="O89" s="9">
        <f>testdata[[#This Row],[I1]]-testdata[[#This Row],[JQ]]</f>
        <v>2.4248768004684815</v>
      </c>
      <c r="P89" s="9">
        <f>testdata[[#This Row],[Q1]]+testdata[[#This Row],[jI]]</f>
        <v>-2.946614891007068</v>
      </c>
      <c r="Q89" s="9">
        <f>0.2*testdata[[#This Row],[I2]]+0.8*Q88</f>
        <v>2.3221229343502032</v>
      </c>
      <c r="R89" s="9">
        <f>0.2*testdata[[#This Row],[Q2]]+0.8*R88</f>
        <v>-0.33544326060350416</v>
      </c>
      <c r="S89" s="9">
        <f>testdata[[#This Row],[I2'']]*Q88+testdata[[#This Row],[Q2'']]*R88</f>
        <v>5.2261503446184223</v>
      </c>
      <c r="T89" s="9">
        <f>testdata[[#This Row],[I2'']]*R88-testdata[[#This Row],[Q2'']]*Q88</f>
        <v>1.5072483591485994</v>
      </c>
      <c r="U89" s="9">
        <f>0.2*testdata[[#This Row],[Re]]+0.8*U88</f>
        <v>3.1172202218518557</v>
      </c>
      <c r="V89" s="9">
        <f>0.2*testdata[[#This Row],[Im]]+0.8*V88</f>
        <v>1.0527563439990892</v>
      </c>
      <c r="W89" s="9">
        <f>IF(AND(testdata[[#This Row],[Re'']]&lt;&gt;0,testdata[[#This Row],[Im'']]&lt;&gt;0),2*PI()/ATAN(testdata[[#This Row],[Im'']]/testdata[[#This Row],[Re'']]),0)</f>
        <v>19.291572576952095</v>
      </c>
      <c r="X89" s="9">
        <f>IF(testdata[[#This Row],[pd-atan]]&gt;1.5*Z88,1.5*Z88,IF(testdata[[#This Row],[pd-atan]]&lt;0.67*Z88,0.67*Z88,testdata[[#This Row],[pd-atan]]))</f>
        <v>19.291572576952095</v>
      </c>
      <c r="Y89" s="9">
        <f>IF(testdata[[#This Row],[pd-limit1]]&lt;6,6,IF(testdata[[#This Row],[pd-limit1]]&gt;50,50,testdata[[#This Row],[pd-limit1]]))</f>
        <v>19.291572576952095</v>
      </c>
      <c r="Z89" s="14">
        <f>0.2*testdata[[#This Row],[pd-limit2]]+0.8*Z88</f>
        <v>17.269446608038251</v>
      </c>
      <c r="AA89" s="14">
        <f>0.33*testdata[[#This Row],[period]]+0.67*AA88</f>
        <v>16.496176311032482</v>
      </c>
      <c r="AB89" s="31">
        <f>TRUNC(testdata[[#This Row],[SmPd]]+0.5,0)</f>
        <v>16</v>
      </c>
      <c r="AC89" s="14">
        <f ca="1">IF(testdata[[#This Row],[PdInt]]&lt;=0,0,AVERAGE(OFFSET(testdata[[#This Row],[price]],0,0,-testdata[[#This Row],[PdInt]],1)))</f>
        <v>225.35093749999999</v>
      </c>
      <c r="AD89" s="14">
        <f ca="1">IF(testdata[[#This Row],[i]]&lt;11,testdata[[#This Row],[price]],(4*testdata[[#This Row],[iTrend]]+3*AC88+2*AC87+AC86)/10)</f>
        <v>225.01826875</v>
      </c>
      <c r="AE89" s="14">
        <f>(4*testdata[[#This Row],[price]]+3*H88+2*H87+H86)/10</f>
        <v>227.14500000000004</v>
      </c>
      <c r="AF89" t="str">
        <f ca="1">IF(OR(ROUND(testdata[[#This Row],[Trendline]],4)&lt;&gt;Table3[[#This Row],[Trendline]],ROUND(testdata[[#This Row],[SmPrice]],4)&lt;&gt;Table3[[#This Row],[SmPrice]]),"ERR","")</f>
        <v>ERR</v>
      </c>
      <c r="AG89" s="3">
        <v>42864</v>
      </c>
      <c r="AH89" s="14">
        <v>16.636299999999999</v>
      </c>
      <c r="AI89" s="34">
        <v>17</v>
      </c>
      <c r="AJ89" s="14">
        <v>225.14060000000001</v>
      </c>
      <c r="AK89" s="14">
        <v>224.92099999999999</v>
      </c>
      <c r="AL89" s="14">
        <v>227.14500000000001</v>
      </c>
      <c r="AN89" s="38">
        <f t="shared" si="4"/>
        <v>-9.7283455883001579E-2</v>
      </c>
      <c r="AO89" s="38">
        <f t="shared" si="5"/>
        <v>0</v>
      </c>
      <c r="AQ89" s="37">
        <v>42864</v>
      </c>
      <c r="AR89">
        <v>16</v>
      </c>
      <c r="AS89">
        <v>225.01826875</v>
      </c>
      <c r="AT89">
        <v>227.14500000000001</v>
      </c>
      <c r="AV89" s="37">
        <v>42864</v>
      </c>
      <c r="AW89">
        <v>17</v>
      </c>
      <c r="AX89">
        <v>224.920985294117</v>
      </c>
      <c r="AY89">
        <v>227.14500000000001</v>
      </c>
      <c r="BA89" s="38">
        <f>AX89-Table3[[#This Row],[Trendline]]</f>
        <v>-1.4705882989574093E-5</v>
      </c>
      <c r="BB89" s="38">
        <f>AY89-Table3[[#This Row],[SmPrice]]</f>
        <v>0</v>
      </c>
    </row>
    <row r="90" spans="1:54" x14ac:dyDescent="0.35">
      <c r="A90" s="6">
        <v>88</v>
      </c>
      <c r="B90" s="3">
        <v>42865</v>
      </c>
      <c r="C90" s="2">
        <v>227.15</v>
      </c>
      <c r="D90" s="2">
        <v>227.61</v>
      </c>
      <c r="E90" s="2">
        <v>226.92</v>
      </c>
      <c r="F90" s="2">
        <v>227.61</v>
      </c>
      <c r="G90" s="1">
        <v>57219496</v>
      </c>
      <c r="H90" s="30">
        <f>(testdata[[#This Row],[high]]+testdata[[#This Row],[low]])/2</f>
        <v>227.26499999999999</v>
      </c>
      <c r="I90" s="23">
        <f>(4*testdata[[#This Row],[price]]+3*H89+2*H88+H87)/10</f>
        <v>227.27149999999997</v>
      </c>
      <c r="J90" s="9">
        <f>(0.0962*testdata[[#This Row],[smooth]]+0.5769*I88-0.5769*I86-0.0962*I84)*(0.075*$Z89+0.54)</f>
        <v>0.81027501526975221</v>
      </c>
      <c r="K90" s="14">
        <f t="shared" si="3"/>
        <v>-3.7069819460993761E-2</v>
      </c>
      <c r="L90" s="14">
        <f>(0.0962*testdata[[#This Row],[detrender]]+0.5769*J88-0.5769*J86-0.0962*J84)*(0.075*$Z89+0.54)</f>
        <v>-0.322090004577473</v>
      </c>
      <c r="M90" s="9">
        <f>(0.0962*testdata[[#This Row],[I1]]+0.5769*K88-0.5769*K86-0.0962*K84)*(0.075*$Z89+0.54)</f>
        <v>-2.2534870992568998</v>
      </c>
      <c r="N90" s="9">
        <f>(0.0962*testdata[[#This Row],[Q1]]+0.5769*L88-0.5769*L86-0.0962*L84)*(0.075*$Z89+0.54)</f>
        <v>5.7187941081996664E-3</v>
      </c>
      <c r="O90" s="9">
        <f>testdata[[#This Row],[I1]]-testdata[[#This Row],[JQ]]</f>
        <v>-4.2788613569193425E-2</v>
      </c>
      <c r="P90" s="9">
        <f>testdata[[#This Row],[Q1]]+testdata[[#This Row],[jI]]</f>
        <v>-2.5755771038343727</v>
      </c>
      <c r="Q90" s="9">
        <f>0.2*testdata[[#This Row],[I2]]+0.8*Q89</f>
        <v>1.849140624766324</v>
      </c>
      <c r="R90" s="9">
        <f>0.2*testdata[[#This Row],[Q2]]+0.8*R89</f>
        <v>-0.7834700292496779</v>
      </c>
      <c r="S90" s="9">
        <f>testdata[[#This Row],[I2'']]*Q89+testdata[[#This Row],[Q2'']]*R89</f>
        <v>4.556741594805179</v>
      </c>
      <c r="T90" s="9">
        <f>testdata[[#This Row],[I2'']]*R89-testdata[[#This Row],[Q2'']]*Q89</f>
        <v>1.1990319628106851</v>
      </c>
      <c r="U90" s="9">
        <f>0.2*testdata[[#This Row],[Re]]+0.8*U89</f>
        <v>3.4051244964425207</v>
      </c>
      <c r="V90" s="9">
        <f>0.2*testdata[[#This Row],[Im]]+0.8*V89</f>
        <v>1.0820114677614086</v>
      </c>
      <c r="W90" s="9">
        <f>IF(AND(testdata[[#This Row],[Re'']]&lt;&gt;0,testdata[[#This Row],[Im'']]&lt;&gt;0),2*PI()/ATAN(testdata[[#This Row],[Im'']]/testdata[[#This Row],[Re'']]),0)</f>
        <v>20.421868876019971</v>
      </c>
      <c r="X90" s="9">
        <f>IF(testdata[[#This Row],[pd-atan]]&gt;1.5*Z89,1.5*Z89,IF(testdata[[#This Row],[pd-atan]]&lt;0.67*Z89,0.67*Z89,testdata[[#This Row],[pd-atan]]))</f>
        <v>20.421868876019971</v>
      </c>
      <c r="Y90" s="9">
        <f>IF(testdata[[#This Row],[pd-limit1]]&lt;6,6,IF(testdata[[#This Row],[pd-limit1]]&gt;50,50,testdata[[#This Row],[pd-limit1]]))</f>
        <v>20.421868876019971</v>
      </c>
      <c r="Z90" s="14">
        <f>0.2*testdata[[#This Row],[pd-limit2]]+0.8*Z89</f>
        <v>17.899931061634597</v>
      </c>
      <c r="AA90" s="14">
        <f>0.33*testdata[[#This Row],[period]]+0.67*AA89</f>
        <v>16.95941537873118</v>
      </c>
      <c r="AB90" s="31">
        <f>TRUNC(testdata[[#This Row],[SmPd]]+0.5,0)</f>
        <v>17</v>
      </c>
      <c r="AC90" s="14">
        <f ca="1">IF(testdata[[#This Row],[PdInt]]&lt;=0,0,AVERAGE(OFFSET(testdata[[#This Row],[price]],0,0,-testdata[[#This Row],[PdInt]],1)))</f>
        <v>225.46352941176468</v>
      </c>
      <c r="AD90" s="14">
        <f ca="1">IF(testdata[[#This Row],[i]]&lt;11,testdata[[#This Row],[price]],(4*testdata[[#This Row],[iTrend]]+3*AC89+2*AC88+AC87)/10)</f>
        <v>225.25531801470584</v>
      </c>
      <c r="AE90" s="14">
        <f>(4*testdata[[#This Row],[price]]+3*H89+2*H88+H87)/10</f>
        <v>227.27149999999997</v>
      </c>
      <c r="AF90" t="str">
        <f ca="1">IF(OR(ROUND(testdata[[#This Row],[Trendline]],4)&lt;&gt;Table3[[#This Row],[Trendline]],ROUND(testdata[[#This Row],[SmPrice]],4)&lt;&gt;Table3[[#This Row],[SmPrice]]),"ERR","")</f>
        <v>ERR</v>
      </c>
      <c r="AG90" s="3">
        <v>42865</v>
      </c>
      <c r="AH90" s="14">
        <v>17.051500000000001</v>
      </c>
      <c r="AI90" s="34">
        <v>17</v>
      </c>
      <c r="AJ90" s="14">
        <v>225.46350000000001</v>
      </c>
      <c r="AK90" s="14">
        <v>225.19220000000001</v>
      </c>
      <c r="AL90" s="14">
        <v>227.2715</v>
      </c>
      <c r="AN90" s="38">
        <f t="shared" si="4"/>
        <v>-6.3104779411020218E-2</v>
      </c>
      <c r="AO90" s="38">
        <f t="shared" si="5"/>
        <v>0</v>
      </c>
      <c r="AQ90" s="37">
        <v>42865</v>
      </c>
      <c r="AR90">
        <v>17</v>
      </c>
      <c r="AS90">
        <v>225.25531801470501</v>
      </c>
      <c r="AT90">
        <v>227.27149999999901</v>
      </c>
      <c r="AV90" s="37">
        <v>42865</v>
      </c>
      <c r="AW90">
        <v>17</v>
      </c>
      <c r="AX90">
        <v>225.19221323529399</v>
      </c>
      <c r="AY90">
        <v>227.27149999999901</v>
      </c>
      <c r="BA90" s="38">
        <f>AX90-Table3[[#This Row],[Trendline]]</f>
        <v>1.3235293977231777E-5</v>
      </c>
      <c r="BB90" s="38">
        <f>AY90-Table3[[#This Row],[SmPrice]]</f>
        <v>-9.9475983006414026E-13</v>
      </c>
    </row>
    <row r="91" spans="1:54" x14ac:dyDescent="0.35">
      <c r="A91" s="6">
        <v>89</v>
      </c>
      <c r="B91" s="3">
        <v>42866</v>
      </c>
      <c r="C91" s="2">
        <v>227.11</v>
      </c>
      <c r="D91" s="2">
        <v>227.32</v>
      </c>
      <c r="E91" s="2">
        <v>225.95</v>
      </c>
      <c r="F91" s="2">
        <v>227.14</v>
      </c>
      <c r="G91" s="1">
        <v>65718612</v>
      </c>
      <c r="H91" s="30">
        <f>(testdata[[#This Row],[high]]+testdata[[#This Row],[low]])/2</f>
        <v>226.63499999999999</v>
      </c>
      <c r="I91" s="23">
        <f>(4*testdata[[#This Row],[price]]+3*H90+2*H89+H88)/10</f>
        <v>227.036</v>
      </c>
      <c r="J91" s="9">
        <f>(0.0962*testdata[[#This Row],[smooth]]+0.5769*I89-0.5769*I87-0.0962*I85)*(0.075*$Z90+0.54)</f>
        <v>0.83222602111969946</v>
      </c>
      <c r="K91" s="14">
        <f t="shared" si="3"/>
        <v>-7.6409536692789243E-2</v>
      </c>
      <c r="L91" s="14">
        <f>(0.0962*testdata[[#This Row],[detrender]]+0.5769*J89-0.5769*J87-0.0962*J85)*(0.075*$Z90+0.54)</f>
        <v>0.47418887278735994</v>
      </c>
      <c r="M91" s="9">
        <f>(0.0962*testdata[[#This Row],[I1]]+0.5769*K89-0.5769*K87-0.0962*K85)*(0.075*$Z90+0.54)</f>
        <v>-1.7137104668297845</v>
      </c>
      <c r="N91" s="9">
        <f>(0.0962*testdata[[#This Row],[Q1]]+0.5769*L89-0.5769*L87-0.0962*L85)*(0.075*$Z90+0.54)</f>
        <v>1.5037277513524028</v>
      </c>
      <c r="O91" s="9">
        <f>testdata[[#This Row],[I1]]-testdata[[#This Row],[JQ]]</f>
        <v>-1.580137288045192</v>
      </c>
      <c r="P91" s="9">
        <f>testdata[[#This Row],[Q1]]+testdata[[#This Row],[jI]]</f>
        <v>-1.2395215940424245</v>
      </c>
      <c r="Q91" s="9">
        <f>0.2*testdata[[#This Row],[I2]]+0.8*Q90</f>
        <v>1.1632850422040208</v>
      </c>
      <c r="R91" s="9">
        <f>0.2*testdata[[#This Row],[Q2]]+0.8*R90</f>
        <v>-0.87468034220822721</v>
      </c>
      <c r="S91" s="9">
        <f>testdata[[#This Row],[I2'']]*Q90+testdata[[#This Row],[Q2'']]*R90</f>
        <v>2.8363634630164607</v>
      </c>
      <c r="T91" s="9">
        <f>testdata[[#This Row],[I2'']]*R90-testdata[[#This Row],[Q2'']]*Q90</f>
        <v>0.70600798842044632</v>
      </c>
      <c r="U91" s="9">
        <f>0.2*testdata[[#This Row],[Re]]+0.8*U90</f>
        <v>3.2913722897573088</v>
      </c>
      <c r="V91" s="9">
        <f>0.2*testdata[[#This Row],[Im]]+0.8*V90</f>
        <v>1.0068107718932162</v>
      </c>
      <c r="W91" s="9">
        <f>IF(AND(testdata[[#This Row],[Re'']]&lt;&gt;0,testdata[[#This Row],[Im'']]&lt;&gt;0),2*PI()/ATAN(testdata[[#This Row],[Im'']]/testdata[[#This Row],[Re'']]),0)</f>
        <v>21.165821697851246</v>
      </c>
      <c r="X91" s="9">
        <f>IF(testdata[[#This Row],[pd-atan]]&gt;1.5*Z90,1.5*Z90,IF(testdata[[#This Row],[pd-atan]]&lt;0.67*Z90,0.67*Z90,testdata[[#This Row],[pd-atan]]))</f>
        <v>21.165821697851246</v>
      </c>
      <c r="Y91" s="9">
        <f>IF(testdata[[#This Row],[pd-limit1]]&lt;6,6,IF(testdata[[#This Row],[pd-limit1]]&gt;50,50,testdata[[#This Row],[pd-limit1]]))</f>
        <v>21.165821697851246</v>
      </c>
      <c r="Z91" s="14">
        <f>0.2*testdata[[#This Row],[pd-limit2]]+0.8*Z90</f>
        <v>18.553109188877926</v>
      </c>
      <c r="AA91" s="14">
        <f>0.33*testdata[[#This Row],[period]]+0.67*AA90</f>
        <v>17.485334336079607</v>
      </c>
      <c r="AB91" s="31">
        <f>TRUNC(testdata[[#This Row],[SmPd]]+0.5,0)</f>
        <v>17</v>
      </c>
      <c r="AC91" s="14">
        <f ca="1">IF(testdata[[#This Row],[PdInt]]&lt;=0,0,AVERAGE(OFFSET(testdata[[#This Row],[price]],0,0,-testdata[[#This Row],[PdInt]],1)))</f>
        <v>225.74617647058821</v>
      </c>
      <c r="AD91" s="14">
        <f ca="1">IF(testdata[[#This Row],[i]]&lt;11,testdata[[#This Row],[price]],(4*testdata[[#This Row],[iTrend]]+3*AC90+2*AC89+AC88)/10)</f>
        <v>225.50787316176465</v>
      </c>
      <c r="AE91" s="14">
        <f>(4*testdata[[#This Row],[price]]+3*H90+2*H89+H88)/10</f>
        <v>227.036</v>
      </c>
      <c r="AF91" t="str">
        <f ca="1">IF(OR(ROUND(testdata[[#This Row],[Trendline]],4)&lt;&gt;Table3[[#This Row],[Trendline]],ROUND(testdata[[#This Row],[SmPrice]],4)&lt;&gt;Table3[[#This Row],[SmPrice]]),"ERR","")</f>
        <v>ERR</v>
      </c>
      <c r="AG91" s="3">
        <v>42866</v>
      </c>
      <c r="AH91" s="14">
        <v>17.536300000000001</v>
      </c>
      <c r="AI91" s="34">
        <v>18</v>
      </c>
      <c r="AJ91" s="14">
        <v>225.52860000000001</v>
      </c>
      <c r="AK91" s="14">
        <v>225.37880000000001</v>
      </c>
      <c r="AL91" s="14">
        <v>227.036</v>
      </c>
      <c r="AN91" s="38">
        <f t="shared" si="4"/>
        <v>-0.12909599673199068</v>
      </c>
      <c r="AO91" s="38">
        <f t="shared" si="5"/>
        <v>0</v>
      </c>
      <c r="AQ91" s="37">
        <v>42866</v>
      </c>
      <c r="AR91">
        <v>17</v>
      </c>
      <c r="AS91">
        <v>225.507873161764</v>
      </c>
      <c r="AT91">
        <v>227.036</v>
      </c>
      <c r="AV91" s="37">
        <v>42866</v>
      </c>
      <c r="AW91">
        <v>18</v>
      </c>
      <c r="AX91">
        <v>225.37877716503201</v>
      </c>
      <c r="AY91">
        <v>227.036</v>
      </c>
      <c r="BA91" s="38">
        <f>AX91-Table3[[#This Row],[Trendline]]</f>
        <v>-2.2834968007146017E-5</v>
      </c>
      <c r="BB91" s="38">
        <f>AY91-Table3[[#This Row],[SmPrice]]</f>
        <v>0</v>
      </c>
    </row>
    <row r="92" spans="1:54" x14ac:dyDescent="0.35">
      <c r="A92" s="6">
        <v>90</v>
      </c>
      <c r="B92" s="3">
        <v>42867</v>
      </c>
      <c r="C92" s="2">
        <v>226.87</v>
      </c>
      <c r="D92" s="2">
        <v>227.19</v>
      </c>
      <c r="E92" s="2">
        <v>226.47</v>
      </c>
      <c r="F92" s="2">
        <v>226.76</v>
      </c>
      <c r="G92" s="1">
        <v>56817892</v>
      </c>
      <c r="H92" s="30">
        <f>(testdata[[#This Row],[high]]+testdata[[#This Row],[low]])/2</f>
        <v>226.82999999999998</v>
      </c>
      <c r="I92" s="23">
        <f>(4*testdata[[#This Row],[price]]+3*H91+2*H90+H89)/10</f>
        <v>226.91199999999998</v>
      </c>
      <c r="J92" s="9">
        <f>(0.0962*testdata[[#This Row],[smooth]]+0.5769*I90-0.5769*I88-0.0962*I86)*(0.075*$Z91+0.54)</f>
        <v>0.59295143239493109</v>
      </c>
      <c r="K92" s="14">
        <f t="shared" si="3"/>
        <v>0.34750205110970256</v>
      </c>
      <c r="L92" s="14">
        <f>(0.0962*testdata[[#This Row],[detrender]]+0.5769*J90-0.5769*J88-0.0962*J86)*(0.075*$Z91+0.54)</f>
        <v>1.0687317859223038</v>
      </c>
      <c r="M92" s="9">
        <f>(0.0962*testdata[[#This Row],[I1]]+0.5769*K90-0.5769*K88-0.0962*K86)*(0.075*$Z91+0.54)</f>
        <v>-0.96815566218341254</v>
      </c>
      <c r="N92" s="9">
        <f>(0.0962*testdata[[#This Row],[Q1]]+0.5769*L90-0.5769*L88-0.0962*L86)*(0.075*$Z91+0.54)</f>
        <v>1.9979706638263448</v>
      </c>
      <c r="O92" s="9">
        <f>testdata[[#This Row],[I1]]-testdata[[#This Row],[JQ]]</f>
        <v>-1.6504686127166424</v>
      </c>
      <c r="P92" s="9">
        <f>testdata[[#This Row],[Q1]]+testdata[[#This Row],[jI]]</f>
        <v>0.10057612373889124</v>
      </c>
      <c r="Q92" s="9">
        <f>0.2*testdata[[#This Row],[I2]]+0.8*Q91</f>
        <v>0.60053431121988821</v>
      </c>
      <c r="R92" s="9">
        <f>0.2*testdata[[#This Row],[Q2]]+0.8*R91</f>
        <v>-0.6796290490188035</v>
      </c>
      <c r="S92" s="9">
        <f>testdata[[#This Row],[I2'']]*Q91+testdata[[#This Row],[Q2'']]*R91</f>
        <v>1.2930507507428093</v>
      </c>
      <c r="T92" s="9">
        <f>testdata[[#This Row],[I2'']]*R91-testdata[[#This Row],[Q2'']]*Q91</f>
        <v>0.26532675012532358</v>
      </c>
      <c r="U92" s="9">
        <f>0.2*testdata[[#This Row],[Re]]+0.8*U91</f>
        <v>2.8917079819544091</v>
      </c>
      <c r="V92" s="9">
        <f>0.2*testdata[[#This Row],[Im]]+0.8*V91</f>
        <v>0.85851396753963771</v>
      </c>
      <c r="W92" s="9">
        <f>IF(AND(testdata[[#This Row],[Re'']]&lt;&gt;0,testdata[[#This Row],[Im'']]&lt;&gt;0),2*PI()/ATAN(testdata[[#This Row],[Im'']]/testdata[[#This Row],[Re'']]),0)</f>
        <v>21.77129737338829</v>
      </c>
      <c r="X92" s="9">
        <f>IF(testdata[[#This Row],[pd-atan]]&gt;1.5*Z91,1.5*Z91,IF(testdata[[#This Row],[pd-atan]]&lt;0.67*Z91,0.67*Z91,testdata[[#This Row],[pd-atan]]))</f>
        <v>21.77129737338829</v>
      </c>
      <c r="Y92" s="9">
        <f>IF(testdata[[#This Row],[pd-limit1]]&lt;6,6,IF(testdata[[#This Row],[pd-limit1]]&gt;50,50,testdata[[#This Row],[pd-limit1]]))</f>
        <v>21.77129737338829</v>
      </c>
      <c r="Z92" s="14">
        <f>0.2*testdata[[#This Row],[pd-limit2]]+0.8*Z91</f>
        <v>19.19674682578</v>
      </c>
      <c r="AA92" s="14">
        <f>0.33*testdata[[#This Row],[period]]+0.67*AA91</f>
        <v>18.050100457680738</v>
      </c>
      <c r="AB92" s="31">
        <f>TRUNC(testdata[[#This Row],[SmPd]]+0.5,0)</f>
        <v>18</v>
      </c>
      <c r="AC92" s="14">
        <f ca="1">IF(testdata[[#This Row],[PdInt]]&lt;=0,0,AVERAGE(OFFSET(testdata[[#This Row],[price]],0,0,-testdata[[#This Row],[PdInt]],1)))</f>
        <v>225.80638888888885</v>
      </c>
      <c r="AD92" s="14">
        <f ca="1">IF(testdata[[#This Row],[i]]&lt;11,testdata[[#This Row],[price]],(4*testdata[[#This Row],[iTrend]]+3*AC91+2*AC90+AC89)/10)</f>
        <v>225.67420812908495</v>
      </c>
      <c r="AE92" s="14">
        <f>(4*testdata[[#This Row],[price]]+3*H91+2*H90+H89)/10</f>
        <v>226.91199999999998</v>
      </c>
      <c r="AF92" t="str">
        <f ca="1">IF(OR(ROUND(testdata[[#This Row],[Trendline]],4)&lt;&gt;Table3[[#This Row],[Trendline]],ROUND(testdata[[#This Row],[SmPrice]],4)&lt;&gt;Table3[[#This Row],[SmPrice]]),"ERR","")</f>
        <v>ERR</v>
      </c>
      <c r="AG92" s="3">
        <v>42867</v>
      </c>
      <c r="AH92" s="14">
        <v>18.064699999999998</v>
      </c>
      <c r="AI92" s="34">
        <v>18</v>
      </c>
      <c r="AJ92" s="14">
        <v>225.8064</v>
      </c>
      <c r="AK92" s="14">
        <v>225.58789999999999</v>
      </c>
      <c r="AL92" s="14">
        <v>226.91200000000001</v>
      </c>
      <c r="AN92" s="38">
        <f t="shared" si="4"/>
        <v>-8.6304534313001113E-2</v>
      </c>
      <c r="AO92" s="38">
        <f t="shared" si="5"/>
        <v>0</v>
      </c>
      <c r="AQ92" s="37">
        <v>42867</v>
      </c>
      <c r="AR92">
        <v>18</v>
      </c>
      <c r="AS92">
        <v>225.67420812908401</v>
      </c>
      <c r="AT92">
        <v>226.91199999999901</v>
      </c>
      <c r="AV92" s="37">
        <v>42867</v>
      </c>
      <c r="AW92">
        <v>18</v>
      </c>
      <c r="AX92">
        <v>225.58790359477101</v>
      </c>
      <c r="AY92">
        <v>226.91199999999901</v>
      </c>
      <c r="BA92" s="38">
        <f>AX92-Table3[[#This Row],[Trendline]]</f>
        <v>3.594771015968945E-6</v>
      </c>
      <c r="BB92" s="38">
        <f>AY92-Table3[[#This Row],[SmPrice]]</f>
        <v>-9.9475983006414026E-13</v>
      </c>
    </row>
    <row r="93" spans="1:54" x14ac:dyDescent="0.35">
      <c r="A93" s="6">
        <v>91</v>
      </c>
      <c r="B93" s="3">
        <v>42870</v>
      </c>
      <c r="C93" s="2">
        <v>227.23</v>
      </c>
      <c r="D93" s="2">
        <v>228.15</v>
      </c>
      <c r="E93" s="2">
        <v>227.21</v>
      </c>
      <c r="F93" s="2">
        <v>228.01</v>
      </c>
      <c r="G93" s="1">
        <v>65255528</v>
      </c>
      <c r="H93" s="30">
        <f>(testdata[[#This Row],[high]]+testdata[[#This Row],[low]])/2</f>
        <v>227.68</v>
      </c>
      <c r="I93" s="23">
        <f>(4*testdata[[#This Row],[price]]+3*H92+2*H91+H90)/10</f>
        <v>227.17449999999999</v>
      </c>
      <c r="J93" s="9">
        <f>(0.0962*testdata[[#This Row],[smooth]]+0.5769*I91-0.5769*I89-0.0962*I87)*(0.075*$Z92+0.54)</f>
        <v>3.4928835318710815E-3</v>
      </c>
      <c r="K93" s="14">
        <f t="shared" si="3"/>
        <v>0.81027501526975221</v>
      </c>
      <c r="L93" s="14">
        <f>(0.0962*testdata[[#This Row],[detrender]]+0.5769*J91-0.5769*J89-0.0962*J87)*(0.075*$Z92+0.54)</f>
        <v>0.5613388126192056</v>
      </c>
      <c r="M93" s="9">
        <f>(0.0962*testdata[[#This Row],[I1]]+0.5769*K91-0.5769*K89-0.0962*K87)*(0.075*$Z92+0.54)</f>
        <v>-0.34745895328719506</v>
      </c>
      <c r="N93" s="9">
        <f>(0.0962*testdata[[#This Row],[Q1]]+0.5769*L91-0.5769*L89-0.0962*L87)*(0.075*$Z92+0.54)</f>
        <v>2.0848078414436788</v>
      </c>
      <c r="O93" s="9">
        <f>testdata[[#This Row],[I1]]-testdata[[#This Row],[JQ]]</f>
        <v>-1.2745328261739266</v>
      </c>
      <c r="P93" s="9">
        <f>testdata[[#This Row],[Q1]]+testdata[[#This Row],[jI]]</f>
        <v>0.21387985933201054</v>
      </c>
      <c r="Q93" s="9">
        <f>0.2*testdata[[#This Row],[I2]]+0.8*Q92</f>
        <v>0.22552088374112528</v>
      </c>
      <c r="R93" s="9">
        <f>0.2*testdata[[#This Row],[Q2]]+0.8*R92</f>
        <v>-0.50092726734864068</v>
      </c>
      <c r="S93" s="9">
        <f>testdata[[#This Row],[I2'']]*Q92+testdata[[#This Row],[Q2'']]*R92</f>
        <v>0.4758777509189217</v>
      </c>
      <c r="T93" s="9">
        <f>testdata[[#This Row],[I2'']]*R92-testdata[[#This Row],[Q2'']]*Q92</f>
        <v>0.1475534677176156</v>
      </c>
      <c r="U93" s="9">
        <f>0.2*testdata[[#This Row],[Re]]+0.8*U92</f>
        <v>2.4085419357473121</v>
      </c>
      <c r="V93" s="9">
        <f>0.2*testdata[[#This Row],[Im]]+0.8*V92</f>
        <v>0.71632186757523331</v>
      </c>
      <c r="W93" s="9">
        <f>IF(AND(testdata[[#This Row],[Re'']]&lt;&gt;0,testdata[[#This Row],[Im'']]&lt;&gt;0),2*PI()/ATAN(testdata[[#This Row],[Im'']]/testdata[[#This Row],[Re'']]),0)</f>
        <v>21.735261670022393</v>
      </c>
      <c r="X93" s="9">
        <f>IF(testdata[[#This Row],[pd-atan]]&gt;1.5*Z92,1.5*Z92,IF(testdata[[#This Row],[pd-atan]]&lt;0.67*Z92,0.67*Z92,testdata[[#This Row],[pd-atan]]))</f>
        <v>21.735261670022393</v>
      </c>
      <c r="Y93" s="9">
        <f>IF(testdata[[#This Row],[pd-limit1]]&lt;6,6,IF(testdata[[#This Row],[pd-limit1]]&gt;50,50,testdata[[#This Row],[pd-limit1]]))</f>
        <v>21.735261670022393</v>
      </c>
      <c r="Z93" s="14">
        <f>0.2*testdata[[#This Row],[pd-limit2]]+0.8*Z92</f>
        <v>19.704449794628481</v>
      </c>
      <c r="AA93" s="14">
        <f>0.33*testdata[[#This Row],[period]]+0.67*AA92</f>
        <v>18.596035738873496</v>
      </c>
      <c r="AB93" s="31">
        <f>TRUNC(testdata[[#This Row],[SmPd]]+0.5,0)</f>
        <v>19</v>
      </c>
      <c r="AC93" s="14">
        <f ca="1">IF(testdata[[#This Row],[PdInt]]&lt;=0,0,AVERAGE(OFFSET(testdata[[#This Row],[price]],0,0,-testdata[[#This Row],[PdInt]],1)))</f>
        <v>225.90499999999997</v>
      </c>
      <c r="AD93" s="14">
        <f ca="1">IF(testdata[[#This Row],[i]]&lt;11,testdata[[#This Row],[price]],(4*testdata[[#This Row],[iTrend]]+3*AC92+2*AC91+AC90)/10)</f>
        <v>225.79950490196074</v>
      </c>
      <c r="AE93" s="14">
        <f>(4*testdata[[#This Row],[price]]+3*H92+2*H91+H90)/10</f>
        <v>227.17449999999999</v>
      </c>
      <c r="AF93" t="str">
        <f ca="1">IF(OR(ROUND(testdata[[#This Row],[Trendline]],4)&lt;&gt;Table3[[#This Row],[Trendline]],ROUND(testdata[[#This Row],[SmPrice]],4)&lt;&gt;Table3[[#This Row],[SmPrice]]),"ERR","")</f>
        <v>ERR</v>
      </c>
      <c r="AG93" s="3">
        <v>42870</v>
      </c>
      <c r="AH93" s="14">
        <v>18.579599999999999</v>
      </c>
      <c r="AI93" s="34">
        <v>19</v>
      </c>
      <c r="AJ93" s="14">
        <v>225.905</v>
      </c>
      <c r="AK93" s="14">
        <v>225.756</v>
      </c>
      <c r="AL93" s="14">
        <v>227.17449999999999</v>
      </c>
      <c r="AN93" s="38">
        <f t="shared" si="4"/>
        <v>-4.3513071895006306E-2</v>
      </c>
      <c r="AO93" s="38">
        <f t="shared" si="5"/>
        <v>0</v>
      </c>
      <c r="AQ93" s="37">
        <v>42870</v>
      </c>
      <c r="AR93">
        <v>19</v>
      </c>
      <c r="AS93">
        <v>225.79950490196001</v>
      </c>
      <c r="AT93">
        <v>227.17449999999999</v>
      </c>
      <c r="AV93" s="37">
        <v>42870</v>
      </c>
      <c r="AW93">
        <v>19</v>
      </c>
      <c r="AX93">
        <v>225.755991830065</v>
      </c>
      <c r="AY93">
        <v>227.17449999999999</v>
      </c>
      <c r="BA93" s="38">
        <f>AX93-Table3[[#This Row],[Trendline]]</f>
        <v>-8.1699350005237648E-6</v>
      </c>
      <c r="BB93" s="38">
        <f>AY93-Table3[[#This Row],[SmPrice]]</f>
        <v>0</v>
      </c>
    </row>
    <row r="94" spans="1:54" x14ac:dyDescent="0.35">
      <c r="A94" s="6">
        <v>92</v>
      </c>
      <c r="B94" s="3">
        <v>42871</v>
      </c>
      <c r="C94" s="2">
        <v>228.34</v>
      </c>
      <c r="D94" s="2">
        <v>228.36</v>
      </c>
      <c r="E94" s="2">
        <v>227.38</v>
      </c>
      <c r="F94" s="2">
        <v>227.8</v>
      </c>
      <c r="G94" s="1">
        <v>54003024</v>
      </c>
      <c r="H94" s="30">
        <f>(testdata[[#This Row],[high]]+testdata[[#This Row],[low]])/2</f>
        <v>227.87</v>
      </c>
      <c r="I94" s="23">
        <f>(4*testdata[[#This Row],[price]]+3*H93+2*H92+H91)/10</f>
        <v>227.48149999999995</v>
      </c>
      <c r="J94" s="9">
        <f>(0.0962*testdata[[#This Row],[smooth]]+0.5769*I92-0.5769*I90-0.0962*I88)*(0.075*$Z93+0.54)</f>
        <v>-0.29639102148162105</v>
      </c>
      <c r="K94" s="14">
        <f t="shared" si="3"/>
        <v>0.83222602111969946</v>
      </c>
      <c r="L94" s="14">
        <f>(0.0962*testdata[[#This Row],[detrender]]+0.5769*J92-0.5769*J90-0.0962*J88)*(0.075*$Z93+0.54)</f>
        <v>-0.295685675183393</v>
      </c>
      <c r="M94" s="9">
        <f>(0.0962*testdata[[#This Row],[I1]]+0.5769*K92-0.5769*K90-0.0962*K88)*(0.075*$Z93+0.54)</f>
        <v>0.50827991079941093</v>
      </c>
      <c r="N94" s="9">
        <f>(0.0962*testdata[[#This Row],[Q1]]+0.5769*L92-0.5769*L90-0.0962*L88)*(0.075*$Z93+0.54)</f>
        <v>1.8749412041265194</v>
      </c>
      <c r="O94" s="9">
        <f>testdata[[#This Row],[I1]]-testdata[[#This Row],[JQ]]</f>
        <v>-1.04271518300682</v>
      </c>
      <c r="P94" s="9">
        <f>testdata[[#This Row],[Q1]]+testdata[[#This Row],[jI]]</f>
        <v>0.21259423561601792</v>
      </c>
      <c r="Q94" s="9">
        <f>0.2*testdata[[#This Row],[I2]]+0.8*Q93</f>
        <v>-2.8126329608463757E-2</v>
      </c>
      <c r="R94" s="9">
        <f>0.2*testdata[[#This Row],[Q2]]+0.8*R93</f>
        <v>-0.35822296675570897</v>
      </c>
      <c r="S94" s="9">
        <f>testdata[[#This Row],[I2'']]*Q93+testdata[[#This Row],[Q2'']]*R93</f>
        <v>0.17310057712876534</v>
      </c>
      <c r="T94" s="9">
        <f>testdata[[#This Row],[I2'']]*R93-testdata[[#This Row],[Q2'']]*Q93</f>
        <v>9.4876005470430139E-2</v>
      </c>
      <c r="U94" s="9">
        <f>0.2*testdata[[#This Row],[Re]]+0.8*U93</f>
        <v>1.9614536640236029</v>
      </c>
      <c r="V94" s="9">
        <f>0.2*testdata[[#This Row],[Im]]+0.8*V93</f>
        <v>0.5920326951542727</v>
      </c>
      <c r="W94" s="9">
        <f>IF(AND(testdata[[#This Row],[Re'']]&lt;&gt;0,testdata[[#This Row],[Im'']]&lt;&gt;0),2*PI()/ATAN(testdata[[#This Row],[Im'']]/testdata[[#This Row],[Re'']]),0)</f>
        <v>21.43420991797263</v>
      </c>
      <c r="X94" s="9">
        <f>IF(testdata[[#This Row],[pd-atan]]&gt;1.5*Z93,1.5*Z93,IF(testdata[[#This Row],[pd-atan]]&lt;0.67*Z93,0.67*Z93,testdata[[#This Row],[pd-atan]]))</f>
        <v>21.43420991797263</v>
      </c>
      <c r="Y94" s="9">
        <f>IF(testdata[[#This Row],[pd-limit1]]&lt;6,6,IF(testdata[[#This Row],[pd-limit1]]&gt;50,50,testdata[[#This Row],[pd-limit1]]))</f>
        <v>21.43420991797263</v>
      </c>
      <c r="Z94" s="14">
        <f>0.2*testdata[[#This Row],[pd-limit2]]+0.8*Z93</f>
        <v>20.050401819297313</v>
      </c>
      <c r="AA94" s="14">
        <f>0.33*testdata[[#This Row],[period]]+0.67*AA93</f>
        <v>19.075976545413354</v>
      </c>
      <c r="AB94" s="31">
        <f>TRUNC(testdata[[#This Row],[SmPd]]+0.5,0)</f>
        <v>19</v>
      </c>
      <c r="AC94" s="14">
        <f ca="1">IF(testdata[[#This Row],[PdInt]]&lt;=0,0,AVERAGE(OFFSET(testdata[[#This Row],[price]],0,0,-testdata[[#This Row],[PdInt]],1)))</f>
        <v>226.20868421052631</v>
      </c>
      <c r="AD94" s="14">
        <f ca="1">IF(testdata[[#This Row],[i]]&lt;11,testdata[[#This Row],[price]],(4*testdata[[#This Row],[iTrend]]+3*AC93+2*AC92+AC91)/10)</f>
        <v>225.99086910904711</v>
      </c>
      <c r="AE94" s="14">
        <f>(4*testdata[[#This Row],[price]]+3*H93+2*H92+H91)/10</f>
        <v>227.48149999999995</v>
      </c>
      <c r="AF94" t="str">
        <f ca="1">IF(OR(ROUND(testdata[[#This Row],[Trendline]],4)&lt;&gt;Table3[[#This Row],[Trendline]],ROUND(testdata[[#This Row],[SmPrice]],4)&lt;&gt;Table3[[#This Row],[SmPrice]]),"ERR","")</f>
        <v>ERR</v>
      </c>
      <c r="AG94" s="3">
        <v>42871</v>
      </c>
      <c r="AH94" s="14">
        <v>19.0351</v>
      </c>
      <c r="AI94" s="34">
        <v>19</v>
      </c>
      <c r="AJ94" s="14">
        <v>226.20869999999999</v>
      </c>
      <c r="AK94" s="14">
        <v>225.9691</v>
      </c>
      <c r="AL94" s="14">
        <v>227.48150000000001</v>
      </c>
      <c r="AN94" s="38">
        <f t="shared" si="4"/>
        <v>-2.1756535947986322E-2</v>
      </c>
      <c r="AO94" s="38">
        <f t="shared" si="5"/>
        <v>0</v>
      </c>
      <c r="AQ94" s="37">
        <v>42871</v>
      </c>
      <c r="AR94">
        <v>19</v>
      </c>
      <c r="AS94">
        <v>225.990869109047</v>
      </c>
      <c r="AT94">
        <v>227.48149999999899</v>
      </c>
      <c r="AV94" s="37">
        <v>42871</v>
      </c>
      <c r="AW94">
        <v>19</v>
      </c>
      <c r="AX94">
        <v>225.96911257309901</v>
      </c>
      <c r="AY94">
        <v>227.48149999999899</v>
      </c>
      <c r="BA94" s="38">
        <f>AX94-Table3[[#This Row],[Trendline]]</f>
        <v>1.2573099013479805E-5</v>
      </c>
      <c r="BB94" s="38">
        <f>AY94-Table3[[#This Row],[SmPrice]]</f>
        <v>-1.0231815394945443E-12</v>
      </c>
    </row>
    <row r="95" spans="1:54" x14ac:dyDescent="0.35">
      <c r="A95" s="6">
        <v>93</v>
      </c>
      <c r="B95" s="3">
        <v>42872</v>
      </c>
      <c r="C95" s="2">
        <v>225.93</v>
      </c>
      <c r="D95" s="2">
        <v>226.44</v>
      </c>
      <c r="E95" s="2">
        <v>223.7</v>
      </c>
      <c r="F95" s="2">
        <v>223.76</v>
      </c>
      <c r="G95" s="1">
        <v>181451968</v>
      </c>
      <c r="H95" s="30">
        <f>(testdata[[#This Row],[high]]+testdata[[#This Row],[low]])/2</f>
        <v>225.07</v>
      </c>
      <c r="I95" s="23">
        <f>(4*testdata[[#This Row],[price]]+3*H94+2*H93+H92)/10</f>
        <v>226.608</v>
      </c>
      <c r="J95" s="9">
        <f>(0.0962*testdata[[#This Row],[smooth]]+0.5769*I93-0.5769*I91-0.0962*I89)*(0.075*$Z94+0.54)</f>
        <v>5.7718905778392803E-2</v>
      </c>
      <c r="K95" s="14">
        <f t="shared" si="3"/>
        <v>0.59295143239493109</v>
      </c>
      <c r="L95" s="14">
        <f>(0.0962*testdata[[#This Row],[detrender]]+0.5769*J93-0.5769*J91-0.0962*J89)*(0.075*$Z94+0.54)</f>
        <v>-1.0340981507952569</v>
      </c>
      <c r="M95" s="9">
        <f>(0.0962*testdata[[#This Row],[I1]]+0.5769*K93-0.5769*K91-0.0962*K89)*(0.075*$Z94+0.54)</f>
        <v>1.1308681367302871</v>
      </c>
      <c r="N95" s="9">
        <f>(0.0962*testdata[[#This Row],[Q1]]+0.5769*L93-0.5769*L91-0.0962*L89)*(0.075*$Z94+0.54)</f>
        <v>7.6565074296737728E-2</v>
      </c>
      <c r="O95" s="9">
        <f>testdata[[#This Row],[I1]]-testdata[[#This Row],[JQ]]</f>
        <v>0.51638635809819333</v>
      </c>
      <c r="P95" s="9">
        <f>testdata[[#This Row],[Q1]]+testdata[[#This Row],[jI]]</f>
        <v>9.6769985935030167E-2</v>
      </c>
      <c r="Q95" s="9">
        <f>0.2*testdata[[#This Row],[I2]]+0.8*Q94</f>
        <v>8.0776207932867675E-2</v>
      </c>
      <c r="R95" s="9">
        <f>0.2*testdata[[#This Row],[Q2]]+0.8*R94</f>
        <v>-0.26722437621756118</v>
      </c>
      <c r="S95" s="9">
        <f>testdata[[#This Row],[I2'']]*Q94+testdata[[#This Row],[Q2'']]*R94</f>
        <v>9.3453970589256835E-2</v>
      </c>
      <c r="T95" s="9">
        <f>testdata[[#This Row],[I2'']]*R94-testdata[[#This Row],[Q2'']]*Q94</f>
        <v>-3.6451933733899142E-2</v>
      </c>
      <c r="U95" s="9">
        <f>0.2*testdata[[#This Row],[Re]]+0.8*U94</f>
        <v>1.5878537253367337</v>
      </c>
      <c r="V95" s="9">
        <f>0.2*testdata[[#This Row],[Im]]+0.8*V94</f>
        <v>0.46633576937663834</v>
      </c>
      <c r="W95" s="9">
        <f>IF(AND(testdata[[#This Row],[Re'']]&lt;&gt;0,testdata[[#This Row],[Im'']]&lt;&gt;0),2*PI()/ATAN(testdata[[#This Row],[Im'']]/testdata[[#This Row],[Re'']]),0)</f>
        <v>21.995541532157993</v>
      </c>
      <c r="X95" s="9">
        <f>IF(testdata[[#This Row],[pd-atan]]&gt;1.5*Z94,1.5*Z94,IF(testdata[[#This Row],[pd-atan]]&lt;0.67*Z94,0.67*Z94,testdata[[#This Row],[pd-atan]]))</f>
        <v>21.995541532157993</v>
      </c>
      <c r="Y95" s="9">
        <f>IF(testdata[[#This Row],[pd-limit1]]&lt;6,6,IF(testdata[[#This Row],[pd-limit1]]&gt;50,50,testdata[[#This Row],[pd-limit1]]))</f>
        <v>21.995541532157993</v>
      </c>
      <c r="Z95" s="14">
        <f>0.2*testdata[[#This Row],[pd-limit2]]+0.8*Z94</f>
        <v>20.439429761869452</v>
      </c>
      <c r="AA95" s="14">
        <f>0.33*testdata[[#This Row],[period]]+0.67*AA94</f>
        <v>19.525916106843866</v>
      </c>
      <c r="AB95" s="31">
        <f>TRUNC(testdata[[#This Row],[SmPd]]+0.5,0)</f>
        <v>20</v>
      </c>
      <c r="AC95" s="14">
        <f ca="1">IF(testdata[[#This Row],[PdInt]]&lt;=0,0,AVERAGE(OFFSET(testdata[[#This Row],[price]],0,0,-testdata[[#This Row],[PdInt]],1)))</f>
        <v>226.15174999999999</v>
      </c>
      <c r="AD95" s="14">
        <f ca="1">IF(testdata[[#This Row],[i]]&lt;11,testdata[[#This Row],[price]],(4*testdata[[#This Row],[iTrend]]+3*AC94+2*AC93+AC92)/10)</f>
        <v>226.08494415204677</v>
      </c>
      <c r="AE95" s="14">
        <f>(4*testdata[[#This Row],[price]]+3*H94+2*H93+H92)/10</f>
        <v>226.608</v>
      </c>
      <c r="AF95" t="str">
        <f ca="1">IF(OR(ROUND(testdata[[#This Row],[Trendline]],4)&lt;&gt;Table3[[#This Row],[Trendline]],ROUND(testdata[[#This Row],[SmPrice]],4)&lt;&gt;Table3[[#This Row],[SmPrice]]),"ERR","")</f>
        <v>ERR</v>
      </c>
      <c r="AG95" s="3">
        <v>42872</v>
      </c>
      <c r="AH95" s="14">
        <v>19.464600000000001</v>
      </c>
      <c r="AI95" s="34">
        <v>19</v>
      </c>
      <c r="AJ95" s="14">
        <v>226.32759999999999</v>
      </c>
      <c r="AK95" s="14">
        <v>226.15530000000001</v>
      </c>
      <c r="AL95" s="14">
        <v>226.608</v>
      </c>
      <c r="AN95" s="38">
        <f t="shared" si="4"/>
        <v>7.0352631578998626E-2</v>
      </c>
      <c r="AO95" s="38">
        <f t="shared" si="5"/>
        <v>0</v>
      </c>
      <c r="AQ95" s="37">
        <v>42872</v>
      </c>
      <c r="AR95">
        <v>20</v>
      </c>
      <c r="AS95">
        <v>226.08494415204601</v>
      </c>
      <c r="AT95">
        <v>226.608</v>
      </c>
      <c r="AV95" s="37">
        <v>42872</v>
      </c>
      <c r="AW95">
        <v>19</v>
      </c>
      <c r="AX95">
        <v>226.155296783625</v>
      </c>
      <c r="AY95">
        <v>226.608</v>
      </c>
      <c r="BA95" s="38">
        <f>AX95-Table3[[#This Row],[Trendline]]</f>
        <v>-3.216375006331873E-6</v>
      </c>
      <c r="BB95" s="38">
        <f>AY95-Table3[[#This Row],[SmPrice]]</f>
        <v>0</v>
      </c>
    </row>
    <row r="96" spans="1:54" x14ac:dyDescent="0.35">
      <c r="A96" s="6">
        <v>94</v>
      </c>
      <c r="B96" s="3">
        <v>42873</v>
      </c>
      <c r="C96" s="2">
        <v>223.68</v>
      </c>
      <c r="D96" s="2">
        <v>225.59</v>
      </c>
      <c r="E96" s="2">
        <v>223.39</v>
      </c>
      <c r="F96" s="2">
        <v>224.66</v>
      </c>
      <c r="G96" s="1">
        <v>112816072</v>
      </c>
      <c r="H96" s="30">
        <f>(testdata[[#This Row],[high]]+testdata[[#This Row],[low]])/2</f>
        <v>224.49</v>
      </c>
      <c r="I96" s="23">
        <f>(4*testdata[[#This Row],[price]]+3*H95+2*H94+H93)/10</f>
        <v>225.65900000000002</v>
      </c>
      <c r="J96" s="9">
        <f>(0.0962*testdata[[#This Row],[smooth]]+0.5769*I94-0.5769*I92-0.0962*I90)*(0.075*$Z95+0.54)</f>
        <v>0.35949649276010875</v>
      </c>
      <c r="K96" s="14">
        <f t="shared" si="3"/>
        <v>3.4928835318710815E-3</v>
      </c>
      <c r="L96" s="14">
        <f>(0.0962*testdata[[#This Row],[detrender]]+0.5769*J94-0.5769*J92-0.0962*J90)*(0.075*$Z95+0.54)</f>
        <v>-1.1534484523927087</v>
      </c>
      <c r="M96" s="9">
        <f>(0.0962*testdata[[#This Row],[I1]]+0.5769*K94-0.5769*K92-0.0962*K90)*(0.075*$Z95+0.54)</f>
        <v>0.58776502977431855</v>
      </c>
      <c r="N96" s="9">
        <f>(0.0962*testdata[[#This Row],[Q1]]+0.5769*L94-0.5769*L92-0.0962*L90)*(0.075*$Z95+0.54)</f>
        <v>-1.7974801130497022</v>
      </c>
      <c r="O96" s="9">
        <f>testdata[[#This Row],[I1]]-testdata[[#This Row],[JQ]]</f>
        <v>1.8009729965815733</v>
      </c>
      <c r="P96" s="9">
        <f>testdata[[#This Row],[Q1]]+testdata[[#This Row],[jI]]</f>
        <v>-0.56568342261839011</v>
      </c>
      <c r="Q96" s="9">
        <f>0.2*testdata[[#This Row],[I2]]+0.8*Q95</f>
        <v>0.42481556566260886</v>
      </c>
      <c r="R96" s="9">
        <f>0.2*testdata[[#This Row],[Q2]]+0.8*R95</f>
        <v>-0.326916185497727</v>
      </c>
      <c r="S96" s="9">
        <f>testdata[[#This Row],[I2'']]*Q95+testdata[[#This Row],[Q2'']]*R95</f>
        <v>0.12167496421013632</v>
      </c>
      <c r="T96" s="9">
        <f>testdata[[#This Row],[I2'']]*R95-testdata[[#This Row],[Q2'']]*Q95</f>
        <v>-8.7114024765316725E-2</v>
      </c>
      <c r="U96" s="9">
        <f>0.2*testdata[[#This Row],[Re]]+0.8*U95</f>
        <v>1.2946179731114145</v>
      </c>
      <c r="V96" s="9">
        <f>0.2*testdata[[#This Row],[Im]]+0.8*V95</f>
        <v>0.35564581054824734</v>
      </c>
      <c r="W96" s="9">
        <f>IF(AND(testdata[[#This Row],[Re'']]&lt;&gt;0,testdata[[#This Row],[Im'']]&lt;&gt;0),2*PI()/ATAN(testdata[[#This Row],[Im'']]/testdata[[#This Row],[Re'']]),0)</f>
        <v>23.436193401279883</v>
      </c>
      <c r="X96" s="9">
        <f>IF(testdata[[#This Row],[pd-atan]]&gt;1.5*Z95,1.5*Z95,IF(testdata[[#This Row],[pd-atan]]&lt;0.67*Z95,0.67*Z95,testdata[[#This Row],[pd-atan]]))</f>
        <v>23.436193401279883</v>
      </c>
      <c r="Y96" s="9">
        <f>IF(testdata[[#This Row],[pd-limit1]]&lt;6,6,IF(testdata[[#This Row],[pd-limit1]]&gt;50,50,testdata[[#This Row],[pd-limit1]]))</f>
        <v>23.436193401279883</v>
      </c>
      <c r="Z96" s="14">
        <f>0.2*testdata[[#This Row],[pd-limit2]]+0.8*Z95</f>
        <v>21.03878248975154</v>
      </c>
      <c r="AA96" s="14">
        <f>0.33*testdata[[#This Row],[period]]+0.67*AA95</f>
        <v>20.025162013203399</v>
      </c>
      <c r="AB96" s="31">
        <f>TRUNC(testdata[[#This Row],[SmPd]]+0.5,0)</f>
        <v>20</v>
      </c>
      <c r="AC96" s="14">
        <f ca="1">IF(testdata[[#This Row],[PdInt]]&lt;=0,0,AVERAGE(OFFSET(testdata[[#This Row],[price]],0,0,-testdata[[#This Row],[PdInt]],1)))</f>
        <v>226.23574999999997</v>
      </c>
      <c r="AD96" s="14">
        <f ca="1">IF(testdata[[#This Row],[i]]&lt;11,testdata[[#This Row],[price]],(4*testdata[[#This Row],[iTrend]]+3*AC95+2*AC94+AC93)/10)</f>
        <v>226.17206184210528</v>
      </c>
      <c r="AE96" s="14">
        <f>(4*testdata[[#This Row],[price]]+3*H95+2*H94+H93)/10</f>
        <v>225.65900000000002</v>
      </c>
      <c r="AF96" t="str">
        <f ca="1">IF(OR(ROUND(testdata[[#This Row],[Trendline]],4)&lt;&gt;Table3[[#This Row],[Trendline]],ROUND(testdata[[#This Row],[SmPrice]],4)&lt;&gt;Table3[[#This Row],[SmPrice]]),"ERR","")</f>
        <v>ERR</v>
      </c>
      <c r="AG96" s="3">
        <v>42873</v>
      </c>
      <c r="AH96" s="14">
        <v>19.942599999999999</v>
      </c>
      <c r="AI96" s="34">
        <v>20</v>
      </c>
      <c r="AJ96" s="14">
        <v>226.23570000000001</v>
      </c>
      <c r="AK96" s="14">
        <v>226.22479999999999</v>
      </c>
      <c r="AL96" s="14">
        <v>225.65899999999999</v>
      </c>
      <c r="AN96" s="38">
        <f t="shared" si="4"/>
        <v>5.2764473683993174E-2</v>
      </c>
      <c r="AO96" s="38">
        <f t="shared" si="5"/>
        <v>0</v>
      </c>
      <c r="AQ96" s="37">
        <v>42873</v>
      </c>
      <c r="AR96">
        <v>20</v>
      </c>
      <c r="AS96">
        <v>226.17206184210499</v>
      </c>
      <c r="AT96">
        <v>225.65899999999999</v>
      </c>
      <c r="AV96" s="37">
        <v>42873</v>
      </c>
      <c r="AW96">
        <v>20</v>
      </c>
      <c r="AX96">
        <v>226.22482631578899</v>
      </c>
      <c r="AY96">
        <v>225.65899999999999</v>
      </c>
      <c r="BA96" s="38">
        <f>AX96-Table3[[#This Row],[Trendline]]</f>
        <v>2.631578900036402E-5</v>
      </c>
      <c r="BB96" s="38">
        <f>AY96-Table3[[#This Row],[SmPrice]]</f>
        <v>0</v>
      </c>
    </row>
    <row r="97" spans="1:54" x14ac:dyDescent="0.35">
      <c r="A97" s="6">
        <v>95</v>
      </c>
      <c r="B97" s="3">
        <v>42874</v>
      </c>
      <c r="C97" s="2">
        <v>225.2</v>
      </c>
      <c r="D97" s="2">
        <v>226.86</v>
      </c>
      <c r="E97" s="2">
        <v>225.14</v>
      </c>
      <c r="F97" s="2">
        <v>226.12</v>
      </c>
      <c r="G97" s="1">
        <v>121208928</v>
      </c>
      <c r="H97" s="30">
        <f>(testdata[[#This Row],[high]]+testdata[[#This Row],[low]])/2</f>
        <v>226</v>
      </c>
      <c r="I97" s="23">
        <f>(4*testdata[[#This Row],[price]]+3*H96+2*H95+H94)/10</f>
        <v>225.548</v>
      </c>
      <c r="J97" s="9">
        <f>(0.0962*testdata[[#This Row],[smooth]]+0.5769*I95-0.5769*I93-0.0962*I91)*(0.075*$Z96+0.54)</f>
        <v>-0.99533120156649701</v>
      </c>
      <c r="K97" s="14">
        <f t="shared" si="3"/>
        <v>-0.29639102148162105</v>
      </c>
      <c r="L97" s="14">
        <f>(0.0962*testdata[[#This Row],[detrender]]+0.5769*J95-0.5769*J93-0.0962*J91)*(0.075*$Z96+0.54)</f>
        <v>-0.30609713333697919</v>
      </c>
      <c r="M97" s="9">
        <f>(0.0962*testdata[[#This Row],[I1]]+0.5769*K95-0.5769*K93-0.0962*K91)*(0.075*$Z96+0.54)</f>
        <v>-0.31035027776357693</v>
      </c>
      <c r="N97" s="9">
        <f>(0.0962*testdata[[#This Row],[Q1]]+0.5769*L95-0.5769*L93-0.0962*L91)*(0.075*$Z96+0.54)</f>
        <v>-2.1083168858081311</v>
      </c>
      <c r="O97" s="9">
        <f>testdata[[#This Row],[I1]]-testdata[[#This Row],[JQ]]</f>
        <v>1.8119258643265101</v>
      </c>
      <c r="P97" s="9">
        <f>testdata[[#This Row],[Q1]]+testdata[[#This Row],[jI]]</f>
        <v>-0.61644741110055612</v>
      </c>
      <c r="Q97" s="9">
        <f>0.2*testdata[[#This Row],[I2]]+0.8*Q96</f>
        <v>0.70223762539538914</v>
      </c>
      <c r="R97" s="9">
        <f>0.2*testdata[[#This Row],[Q2]]+0.8*R96</f>
        <v>-0.3848224306182928</v>
      </c>
      <c r="S97" s="9">
        <f>testdata[[#This Row],[I2'']]*Q96+testdata[[#This Row],[Q2'']]*R96</f>
        <v>0.42412615517360541</v>
      </c>
      <c r="T97" s="9">
        <f>testdata[[#This Row],[I2'']]*R96-testdata[[#This Row],[Q2'']]*Q96</f>
        <v>-6.6094287264472251E-2</v>
      </c>
      <c r="U97" s="9">
        <f>0.2*testdata[[#This Row],[Re]]+0.8*U96</f>
        <v>1.1205196095238528</v>
      </c>
      <c r="V97" s="9">
        <f>0.2*testdata[[#This Row],[Im]]+0.8*V96</f>
        <v>0.27129779098570339</v>
      </c>
      <c r="W97" s="9">
        <f>IF(AND(testdata[[#This Row],[Re'']]&lt;&gt;0,testdata[[#This Row],[Im'']]&lt;&gt;0),2*PI()/ATAN(testdata[[#This Row],[Im'']]/testdata[[#This Row],[Re'']]),0)</f>
        <v>26.450336688207617</v>
      </c>
      <c r="X97" s="9">
        <f>IF(testdata[[#This Row],[pd-atan]]&gt;1.5*Z96,1.5*Z96,IF(testdata[[#This Row],[pd-atan]]&lt;0.67*Z96,0.67*Z96,testdata[[#This Row],[pd-atan]]))</f>
        <v>26.450336688207617</v>
      </c>
      <c r="Y97" s="9">
        <f>IF(testdata[[#This Row],[pd-limit1]]&lt;6,6,IF(testdata[[#This Row],[pd-limit1]]&gt;50,50,testdata[[#This Row],[pd-limit1]]))</f>
        <v>26.450336688207617</v>
      </c>
      <c r="Z97" s="14">
        <f>0.2*testdata[[#This Row],[pd-limit2]]+0.8*Z96</f>
        <v>22.121093329442758</v>
      </c>
      <c r="AA97" s="14">
        <f>0.33*testdata[[#This Row],[period]]+0.67*AA96</f>
        <v>20.716819347562389</v>
      </c>
      <c r="AB97" s="31">
        <f>TRUNC(testdata[[#This Row],[SmPd]]+0.5,0)</f>
        <v>21</v>
      </c>
      <c r="AC97" s="14">
        <f ca="1">IF(testdata[[#This Row],[PdInt]]&lt;=0,0,AVERAGE(OFFSET(testdata[[#This Row],[price]],0,0,-testdata[[#This Row],[PdInt]],1)))</f>
        <v>226.22452380952376</v>
      </c>
      <c r="AD97" s="14">
        <f ca="1">IF(testdata[[#This Row],[i]]&lt;11,testdata[[#This Row],[price]],(4*testdata[[#This Row],[iTrend]]+3*AC96+2*AC95+AC94)/10)</f>
        <v>226.2117529448621</v>
      </c>
      <c r="AE97" s="14">
        <f>(4*testdata[[#This Row],[price]]+3*H96+2*H95+H94)/10</f>
        <v>225.548</v>
      </c>
      <c r="AF97" t="str">
        <f ca="1">IF(OR(ROUND(testdata[[#This Row],[Trendline]],4)&lt;&gt;Table3[[#This Row],[Trendline]],ROUND(testdata[[#This Row],[SmPrice]],4)&lt;&gt;Table3[[#This Row],[SmPrice]]),"ERR","")</f>
        <v>ERR</v>
      </c>
      <c r="AG97" s="3">
        <v>42874</v>
      </c>
      <c r="AH97" s="14">
        <v>20.6006</v>
      </c>
      <c r="AI97" s="34">
        <v>21</v>
      </c>
      <c r="AJ97" s="14">
        <v>226.22450000000001</v>
      </c>
      <c r="AK97" s="14">
        <v>226.24690000000001</v>
      </c>
      <c r="AL97" s="14">
        <v>225.548</v>
      </c>
      <c r="AN97" s="38">
        <f t="shared" si="4"/>
        <v>3.5176315788987722E-2</v>
      </c>
      <c r="AO97" s="38">
        <f t="shared" si="5"/>
        <v>0</v>
      </c>
      <c r="AQ97" s="37">
        <v>42874</v>
      </c>
      <c r="AR97">
        <v>21</v>
      </c>
      <c r="AS97">
        <v>226.21175294486201</v>
      </c>
      <c r="AT97">
        <v>225.548</v>
      </c>
      <c r="AV97" s="37">
        <v>42874</v>
      </c>
      <c r="AW97">
        <v>21</v>
      </c>
      <c r="AX97">
        <v>226.246929260651</v>
      </c>
      <c r="AY97">
        <v>225.548</v>
      </c>
      <c r="BA97" s="38">
        <f>AX97-Table3[[#This Row],[Trendline]]</f>
        <v>2.9260650990181603E-5</v>
      </c>
      <c r="BB97" s="38">
        <f>AY97-Table3[[#This Row],[SmPrice]]</f>
        <v>0</v>
      </c>
    </row>
    <row r="98" spans="1:54" x14ac:dyDescent="0.35">
      <c r="A98" s="6">
        <v>96</v>
      </c>
      <c r="B98" s="3">
        <v>42877</v>
      </c>
      <c r="C98" s="2">
        <v>226.68</v>
      </c>
      <c r="D98" s="2">
        <v>227.45</v>
      </c>
      <c r="E98" s="2">
        <v>226.61</v>
      </c>
      <c r="F98" s="2">
        <v>227.27</v>
      </c>
      <c r="G98" s="1">
        <v>64298244</v>
      </c>
      <c r="H98" s="30">
        <f>(testdata[[#This Row],[high]]+testdata[[#This Row],[low]])/2</f>
        <v>227.03</v>
      </c>
      <c r="I98" s="23">
        <f>(4*testdata[[#This Row],[price]]+3*H97+2*H96+H95)/10</f>
        <v>226.017</v>
      </c>
      <c r="J98" s="9">
        <f>(0.0962*testdata[[#This Row],[smooth]]+0.5769*I96-0.5769*I94-0.0962*I92)*(0.075*$Z97+0.54)</f>
        <v>-2.501454125356541</v>
      </c>
      <c r="K98" s="14">
        <f t="shared" si="3"/>
        <v>5.7718905778392803E-2</v>
      </c>
      <c r="L98" s="14">
        <f>(0.0962*testdata[[#This Row],[detrender]]+0.5769*J96-0.5769*J94-0.0962*J92)*(0.075*$Z97+0.54)</f>
        <v>0.17746524074170852</v>
      </c>
      <c r="M98" s="9">
        <f>(0.0962*testdata[[#This Row],[I1]]+0.5769*K96-0.5769*K94-0.0962*K92)*(0.075*$Z97+0.54)</f>
        <v>-1.112676744817767</v>
      </c>
      <c r="N98" s="9">
        <f>(0.0962*testdata[[#This Row],[Q1]]+0.5769*L96-0.5769*L94-0.0962*L92)*(0.075*$Z97+0.54)</f>
        <v>-1.276750037664713</v>
      </c>
      <c r="O98" s="9">
        <f>testdata[[#This Row],[I1]]-testdata[[#This Row],[JQ]]</f>
        <v>1.3344689434431058</v>
      </c>
      <c r="P98" s="9">
        <f>testdata[[#This Row],[Q1]]+testdata[[#This Row],[jI]]</f>
        <v>-0.93521150407605846</v>
      </c>
      <c r="Q98" s="9">
        <f>0.2*testdata[[#This Row],[I2]]+0.8*Q97</f>
        <v>0.82868388900493262</v>
      </c>
      <c r="R98" s="9">
        <f>0.2*testdata[[#This Row],[Q2]]+0.8*R97</f>
        <v>-0.494900245309846</v>
      </c>
      <c r="S98" s="9">
        <f>testdata[[#This Row],[I2'']]*Q97+testdata[[#This Row],[Q2'']]*R97</f>
        <v>0.7723817217319644</v>
      </c>
      <c r="T98" s="9">
        <f>testdata[[#This Row],[I2'']]*R97-testdata[[#This Row],[Q2'']]*Q97</f>
        <v>2.8641424692884054E-2</v>
      </c>
      <c r="U98" s="9">
        <f>0.2*testdata[[#This Row],[Re]]+0.8*U97</f>
        <v>1.0508920319654753</v>
      </c>
      <c r="V98" s="9">
        <f>0.2*testdata[[#This Row],[Im]]+0.8*V97</f>
        <v>0.22276651772713951</v>
      </c>
      <c r="W98" s="9">
        <f>IF(AND(testdata[[#This Row],[Re'']]&lt;&gt;0,testdata[[#This Row],[Im'']]&lt;&gt;0),2*PI()/ATAN(testdata[[#This Row],[Im'']]/testdata[[#This Row],[Re'']]),0)</f>
        <v>30.079440929020286</v>
      </c>
      <c r="X98" s="9">
        <f>IF(testdata[[#This Row],[pd-atan]]&gt;1.5*Z97,1.5*Z97,IF(testdata[[#This Row],[pd-atan]]&lt;0.67*Z97,0.67*Z97,testdata[[#This Row],[pd-atan]]))</f>
        <v>30.079440929020286</v>
      </c>
      <c r="Y98" s="9">
        <f>IF(testdata[[#This Row],[pd-limit1]]&lt;6,6,IF(testdata[[#This Row],[pd-limit1]]&gt;50,50,testdata[[#This Row],[pd-limit1]]))</f>
        <v>30.079440929020286</v>
      </c>
      <c r="Z98" s="14">
        <f>0.2*testdata[[#This Row],[pd-limit2]]+0.8*Z97</f>
        <v>23.712762849358267</v>
      </c>
      <c r="AA98" s="14">
        <f>0.33*testdata[[#This Row],[period]]+0.67*AA97</f>
        <v>21.705480703155029</v>
      </c>
      <c r="AB98" s="31">
        <f>TRUNC(testdata[[#This Row],[SmPd]]+0.5,0)</f>
        <v>22</v>
      </c>
      <c r="AC98" s="14">
        <f ca="1">IF(testdata[[#This Row],[PdInt]]&lt;=0,0,AVERAGE(OFFSET(testdata[[#This Row],[price]],0,0,-testdata[[#This Row],[PdInt]],1)))</f>
        <v>226.26113636363633</v>
      </c>
      <c r="AD98" s="14">
        <f ca="1">IF(testdata[[#This Row],[i]]&lt;11,testdata[[#This Row],[price]],(4*testdata[[#This Row],[iTrend]]+3*AC97+2*AC96+AC95)/10)</f>
        <v>226.23413668831162</v>
      </c>
      <c r="AE98" s="14">
        <f>(4*testdata[[#This Row],[price]]+3*H97+2*H96+H95)/10</f>
        <v>226.017</v>
      </c>
      <c r="AF98" t="str">
        <f ca="1">IF(OR(ROUND(testdata[[#This Row],[Trendline]],4)&lt;&gt;Table3[[#This Row],[Trendline]],ROUND(testdata[[#This Row],[SmPrice]],4)&lt;&gt;Table3[[#This Row],[SmPrice]]),"ERR","")</f>
        <v>ERR</v>
      </c>
      <c r="AG98" s="3">
        <v>42877</v>
      </c>
      <c r="AH98" s="14">
        <v>21.535299999999999</v>
      </c>
      <c r="AI98" s="34">
        <v>22</v>
      </c>
      <c r="AJ98" s="14">
        <v>226.2611</v>
      </c>
      <c r="AK98" s="14">
        <v>226.2517</v>
      </c>
      <c r="AL98" s="14">
        <v>226.017</v>
      </c>
      <c r="AN98" s="38">
        <f t="shared" si="4"/>
        <v>1.7588157895005452E-2</v>
      </c>
      <c r="AO98" s="38">
        <f t="shared" si="5"/>
        <v>0</v>
      </c>
      <c r="AQ98" s="37">
        <v>42877</v>
      </c>
      <c r="AR98">
        <v>22</v>
      </c>
      <c r="AS98">
        <v>226.234136688311</v>
      </c>
      <c r="AT98">
        <v>226.017</v>
      </c>
      <c r="AV98" s="37">
        <v>42877</v>
      </c>
      <c r="AW98">
        <v>22</v>
      </c>
      <c r="AX98">
        <v>226.251724846206</v>
      </c>
      <c r="AY98">
        <v>226.017</v>
      </c>
      <c r="BA98" s="38">
        <f>AX98-Table3[[#This Row],[Trendline]]</f>
        <v>2.4846206002848703E-5</v>
      </c>
      <c r="BB98" s="38">
        <f>AY98-Table3[[#This Row],[SmPrice]]</f>
        <v>0</v>
      </c>
    </row>
    <row r="99" spans="1:54" x14ac:dyDescent="0.35">
      <c r="A99" s="6">
        <v>97</v>
      </c>
      <c r="B99" s="3">
        <v>42878</v>
      </c>
      <c r="C99" s="2">
        <v>227.68</v>
      </c>
      <c r="D99" s="2">
        <v>227.96</v>
      </c>
      <c r="E99" s="2">
        <v>227.26</v>
      </c>
      <c r="F99" s="2">
        <v>227.78</v>
      </c>
      <c r="G99" s="1">
        <v>50946640</v>
      </c>
      <c r="H99" s="30">
        <f>(testdata[[#This Row],[high]]+testdata[[#This Row],[low]])/2</f>
        <v>227.61</v>
      </c>
      <c r="I99" s="23">
        <f>(4*testdata[[#This Row],[price]]+3*H98+2*H97+H96)/10</f>
        <v>226.80200000000005</v>
      </c>
      <c r="J99" s="9">
        <f>(0.0962*testdata[[#This Row],[smooth]]+0.5769*I97-0.5769*I95-0.0962*I93)*(0.075*$Z98+0.54)</f>
        <v>-1.5008497996040595</v>
      </c>
      <c r="K99" s="14">
        <f t="shared" si="3"/>
        <v>0.35949649276010875</v>
      </c>
      <c r="L99" s="14">
        <f>(0.0962*testdata[[#This Row],[detrender]]+0.5769*J97-0.5769*J95-0.0962*J93)*(0.075*$Z98+0.54)</f>
        <v>-1.7439953870939882</v>
      </c>
      <c r="M99" s="9">
        <f>(0.0962*testdata[[#This Row],[I1]]+0.5769*K97-0.5769*K95-0.0962*K93)*(0.075*$Z98+0.54)</f>
        <v>-1.2900511615100492</v>
      </c>
      <c r="N99" s="9">
        <f>(0.0962*testdata[[#This Row],[Q1]]+0.5769*L97-0.5769*L95-0.0962*L93)*(0.075*$Z98+0.54)</f>
        <v>0.45954288109066466</v>
      </c>
      <c r="O99" s="9">
        <f>testdata[[#This Row],[I1]]-testdata[[#This Row],[JQ]]</f>
        <v>-0.1000463883305559</v>
      </c>
      <c r="P99" s="9">
        <f>testdata[[#This Row],[Q1]]+testdata[[#This Row],[jI]]</f>
        <v>-3.0340465486040373</v>
      </c>
      <c r="Q99" s="9">
        <f>0.2*testdata[[#This Row],[I2]]+0.8*Q98</f>
        <v>0.64293783353783496</v>
      </c>
      <c r="R99" s="9">
        <f>0.2*testdata[[#This Row],[Q2]]+0.8*R98</f>
        <v>-1.0027295059686843</v>
      </c>
      <c r="S99" s="9">
        <f>testdata[[#This Row],[I2'']]*Q98+testdata[[#This Row],[Q2'']]*R98</f>
        <v>1.0290433027678616</v>
      </c>
      <c r="T99" s="9">
        <f>testdata[[#This Row],[I2'']]*R98-testdata[[#This Row],[Q2'']]*Q98</f>
        <v>0.51275569508926866</v>
      </c>
      <c r="U99" s="9">
        <f>0.2*testdata[[#This Row],[Re]]+0.8*U98</f>
        <v>1.0465222861259527</v>
      </c>
      <c r="V99" s="9">
        <f>0.2*testdata[[#This Row],[Im]]+0.8*V98</f>
        <v>0.28076435319956539</v>
      </c>
      <c r="W99" s="9">
        <f>IF(AND(testdata[[#This Row],[Re'']]&lt;&gt;0,testdata[[#This Row],[Im'']]&lt;&gt;0),2*PI()/ATAN(testdata[[#This Row],[Im'']]/testdata[[#This Row],[Re'']]),0)</f>
        <v>23.971467468938286</v>
      </c>
      <c r="X99" s="9">
        <f>IF(testdata[[#This Row],[pd-atan]]&gt;1.5*Z98,1.5*Z98,IF(testdata[[#This Row],[pd-atan]]&lt;0.67*Z98,0.67*Z98,testdata[[#This Row],[pd-atan]]))</f>
        <v>23.971467468938286</v>
      </c>
      <c r="Y99" s="9">
        <f>IF(testdata[[#This Row],[pd-limit1]]&lt;6,6,IF(testdata[[#This Row],[pd-limit1]]&gt;50,50,testdata[[#This Row],[pd-limit1]]))</f>
        <v>23.971467468938286</v>
      </c>
      <c r="Z99" s="14">
        <f>0.2*testdata[[#This Row],[pd-limit2]]+0.8*Z98</f>
        <v>23.764503773274271</v>
      </c>
      <c r="AA99" s="14">
        <f>0.33*testdata[[#This Row],[period]]+0.67*AA98</f>
        <v>22.38495831629438</v>
      </c>
      <c r="AB99" s="31">
        <f>TRUNC(testdata[[#This Row],[SmPd]]+0.5,0)</f>
        <v>22</v>
      </c>
      <c r="AC99" s="14">
        <f ca="1">IF(testdata[[#This Row],[PdInt]]&lt;=0,0,AVERAGE(OFFSET(testdata[[#This Row],[price]],0,0,-testdata[[#This Row],[PdInt]],1)))</f>
        <v>226.48340909090902</v>
      </c>
      <c r="AD99" s="14">
        <f ca="1">IF(testdata[[#This Row],[i]]&lt;11,testdata[[#This Row],[price]],(4*testdata[[#This Row],[iTrend]]+3*AC98+2*AC97+AC96)/10)</f>
        <v>226.34018430735924</v>
      </c>
      <c r="AE99" s="14">
        <f>(4*testdata[[#This Row],[price]]+3*H98+2*H97+H96)/10</f>
        <v>226.80200000000005</v>
      </c>
      <c r="AF99" t="str">
        <f ca="1">IF(OR(ROUND(testdata[[#This Row],[Trendline]],4)&lt;&gt;Table3[[#This Row],[Trendline]],ROUND(testdata[[#This Row],[SmPrice]],4)&lt;&gt;Table3[[#This Row],[SmPrice]]),"ERR","")</f>
        <v/>
      </c>
      <c r="AG99" s="3">
        <v>42878</v>
      </c>
      <c r="AH99" s="14">
        <v>22.196100000000001</v>
      </c>
      <c r="AI99" s="34">
        <v>22</v>
      </c>
      <c r="AJ99" s="14">
        <v>226.48339999999999</v>
      </c>
      <c r="AK99" s="14">
        <v>226.34020000000001</v>
      </c>
      <c r="AL99" s="14">
        <v>226.80199999999999</v>
      </c>
      <c r="AN99" s="38">
        <f t="shared" si="4"/>
        <v>0</v>
      </c>
      <c r="AO99" s="38">
        <f t="shared" si="5"/>
        <v>0</v>
      </c>
      <c r="AQ99" s="37">
        <v>42878</v>
      </c>
      <c r="AR99">
        <v>22</v>
      </c>
      <c r="AS99">
        <v>226.34018430735901</v>
      </c>
      <c r="AT99">
        <v>226.80199999999999</v>
      </c>
      <c r="AV99" s="37">
        <v>42878</v>
      </c>
      <c r="AW99">
        <v>22</v>
      </c>
      <c r="AX99">
        <v>226.34018430735901</v>
      </c>
      <c r="AY99">
        <v>226.80199999999999</v>
      </c>
      <c r="BA99" s="38">
        <f>AX99-Table3[[#This Row],[Trendline]]</f>
        <v>-1.5692640999986907E-5</v>
      </c>
      <c r="BB99" s="38">
        <f>AY99-Table3[[#This Row],[SmPrice]]</f>
        <v>0</v>
      </c>
    </row>
    <row r="100" spans="1:54" x14ac:dyDescent="0.35">
      <c r="A100" s="6">
        <v>98</v>
      </c>
      <c r="B100" s="3">
        <v>42879</v>
      </c>
      <c r="C100" s="2">
        <v>228.03</v>
      </c>
      <c r="D100" s="2">
        <v>228.42</v>
      </c>
      <c r="E100" s="2">
        <v>227.66</v>
      </c>
      <c r="F100" s="2">
        <v>228.31</v>
      </c>
      <c r="G100" s="1">
        <v>51831288</v>
      </c>
      <c r="H100" s="30">
        <f>(testdata[[#This Row],[high]]+testdata[[#This Row],[low]])/2</f>
        <v>228.04</v>
      </c>
      <c r="I100" s="23">
        <f>(4*testdata[[#This Row],[price]]+3*H99+2*H98+H97)/10</f>
        <v>227.50500000000002</v>
      </c>
      <c r="J100" s="9">
        <f>(0.0962*testdata[[#This Row],[smooth]]+0.5769*I98-0.5769*I96-0.0962*I94)*(0.075*$Z99+0.54)</f>
        <v>0.48488299581557631</v>
      </c>
      <c r="K100" s="14">
        <f t="shared" si="3"/>
        <v>-0.99533120156649701</v>
      </c>
      <c r="L100" s="14">
        <f>(0.0962*testdata[[#This Row],[detrender]]+0.5769*J98-0.5769*J96-0.0962*J94)*(0.075*$Z99+0.54)</f>
        <v>-3.6584340999274931</v>
      </c>
      <c r="M100" s="9">
        <f>(0.0962*testdata[[#This Row],[I1]]+0.5769*K98-0.5769*K96-0.0962*K94)*(0.075*$Z99+0.54)</f>
        <v>-0.33564286433528612</v>
      </c>
      <c r="N100" s="9">
        <f>(0.0962*testdata[[#This Row],[Q1]]+0.5769*L98-0.5769*L96-0.0962*L94)*(0.075*$Z99+0.54)</f>
        <v>1.0318325847843928</v>
      </c>
      <c r="O100" s="9">
        <f>testdata[[#This Row],[I1]]-testdata[[#This Row],[JQ]]</f>
        <v>-2.02716378635089</v>
      </c>
      <c r="P100" s="9">
        <f>testdata[[#This Row],[Q1]]+testdata[[#This Row],[jI]]</f>
        <v>-3.9940769642627791</v>
      </c>
      <c r="Q100" s="9">
        <f>0.2*testdata[[#This Row],[I2]]+0.8*Q99</f>
        <v>0.10891750956008994</v>
      </c>
      <c r="R100" s="9">
        <f>0.2*testdata[[#This Row],[Q2]]+0.8*R99</f>
        <v>-1.6009989976275034</v>
      </c>
      <c r="S100" s="9">
        <f>testdata[[#This Row],[I2'']]*Q99+testdata[[#This Row],[Q2'']]*R99</f>
        <v>1.6753961215782858</v>
      </c>
      <c r="T100" s="9">
        <f>testdata[[#This Row],[I2'']]*R99-testdata[[#This Row],[Q2'']]*Q99</f>
        <v>0.92012802647834402</v>
      </c>
      <c r="U100" s="9">
        <f>0.2*testdata[[#This Row],[Re]]+0.8*U99</f>
        <v>1.1722970532164192</v>
      </c>
      <c r="V100" s="9">
        <f>0.2*testdata[[#This Row],[Im]]+0.8*V99</f>
        <v>0.40863708785532116</v>
      </c>
      <c r="W100" s="9">
        <f>IF(AND(testdata[[#This Row],[Re'']]&lt;&gt;0,testdata[[#This Row],[Im'']]&lt;&gt;0),2*PI()/ATAN(testdata[[#This Row],[Im'']]/testdata[[#This Row],[Re'']]),0)</f>
        <v>18.732987739070865</v>
      </c>
      <c r="X100" s="9">
        <f>IF(testdata[[#This Row],[pd-atan]]&gt;1.5*Z99,1.5*Z99,IF(testdata[[#This Row],[pd-atan]]&lt;0.67*Z99,0.67*Z99,testdata[[#This Row],[pd-atan]]))</f>
        <v>18.732987739070865</v>
      </c>
      <c r="Y100" s="9">
        <f>IF(testdata[[#This Row],[pd-limit1]]&lt;6,6,IF(testdata[[#This Row],[pd-limit1]]&gt;50,50,testdata[[#This Row],[pd-limit1]]))</f>
        <v>18.732987739070865</v>
      </c>
      <c r="Z100" s="14">
        <f>0.2*testdata[[#This Row],[pd-limit2]]+0.8*Z99</f>
        <v>22.75820056643359</v>
      </c>
      <c r="AA100" s="14">
        <f>0.33*testdata[[#This Row],[period]]+0.67*AA99</f>
        <v>22.508128258840323</v>
      </c>
      <c r="AB100" s="31">
        <f>TRUNC(testdata[[#This Row],[SmPd]]+0.5,0)</f>
        <v>23</v>
      </c>
      <c r="AC100" s="14">
        <f ca="1">IF(testdata[[#This Row],[PdInt]]&lt;=0,0,AVERAGE(OFFSET(testdata[[#This Row],[price]],0,0,-testdata[[#This Row],[PdInt]],1)))</f>
        <v>226.55108695652166</v>
      </c>
      <c r="AD100" s="14">
        <f ca="1">IF(testdata[[#This Row],[i]]&lt;11,testdata[[#This Row],[price]],(4*testdata[[#This Row],[iTrend]]+3*AC99+2*AC98+AC97)/10)</f>
        <v>226.44013716356099</v>
      </c>
      <c r="AE100" s="14">
        <f>(4*testdata[[#This Row],[price]]+3*H99+2*H98+H97)/10</f>
        <v>227.50500000000002</v>
      </c>
      <c r="AF100" t="str">
        <f ca="1">IF(OR(ROUND(testdata[[#This Row],[Trendline]],4)&lt;&gt;Table3[[#This Row],[Trendline]],ROUND(testdata[[#This Row],[SmPrice]],4)&lt;&gt;Table3[[#This Row],[SmPrice]]),"ERR","")</f>
        <v>ERR</v>
      </c>
      <c r="AG100" s="3">
        <v>42879</v>
      </c>
      <c r="AH100" s="14">
        <v>22.3325</v>
      </c>
      <c r="AI100" s="34">
        <v>22</v>
      </c>
      <c r="AJ100" s="14">
        <v>226.67070000000001</v>
      </c>
      <c r="AK100" s="14">
        <v>226.488</v>
      </c>
      <c r="AL100" s="14">
        <v>227.505</v>
      </c>
      <c r="AN100" s="38">
        <f t="shared" si="4"/>
        <v>4.7837944663996268E-2</v>
      </c>
      <c r="AO100" s="38">
        <f t="shared" si="5"/>
        <v>0</v>
      </c>
      <c r="AQ100" s="37">
        <v>42879</v>
      </c>
      <c r="AR100">
        <v>23</v>
      </c>
      <c r="AS100">
        <v>226.44013716356099</v>
      </c>
      <c r="AT100">
        <v>227.505</v>
      </c>
      <c r="AV100" s="37">
        <v>42879</v>
      </c>
      <c r="AW100">
        <v>22</v>
      </c>
      <c r="AX100">
        <v>226.48797510822499</v>
      </c>
      <c r="AY100">
        <v>227.505</v>
      </c>
      <c r="BA100" s="38">
        <f>AX100-Table3[[#This Row],[Trendline]]</f>
        <v>-2.489177501274753E-5</v>
      </c>
      <c r="BB100" s="38">
        <f>AY100-Table3[[#This Row],[SmPrice]]</f>
        <v>0</v>
      </c>
    </row>
    <row r="101" spans="1:54" x14ac:dyDescent="0.35">
      <c r="A101" s="6">
        <v>99</v>
      </c>
      <c r="B101" s="3">
        <v>42880</v>
      </c>
      <c r="C101" s="2">
        <v>228.87</v>
      </c>
      <c r="D101" s="2">
        <v>229.7</v>
      </c>
      <c r="E101" s="2">
        <v>228.64</v>
      </c>
      <c r="F101" s="2">
        <v>229.4</v>
      </c>
      <c r="G101" s="1">
        <v>67524256</v>
      </c>
      <c r="H101" s="30">
        <f>(testdata[[#This Row],[high]]+testdata[[#This Row],[low]])/2</f>
        <v>229.17</v>
      </c>
      <c r="I101" s="23">
        <f>(4*testdata[[#This Row],[price]]+3*H100+2*H99+H98)/10</f>
        <v>228.30500000000001</v>
      </c>
      <c r="J101" s="9">
        <f>(0.0962*testdata[[#This Row],[smooth]]+0.5769*I99-0.5769*I97-0.0962*I95)*(0.075*$Z100+0.54)</f>
        <v>1.9922592833286237</v>
      </c>
      <c r="K101" s="14">
        <f t="shared" si="3"/>
        <v>-2.501454125356541</v>
      </c>
      <c r="L101" s="14">
        <f>(0.0962*testdata[[#This Row],[detrender]]+0.5769*J99-0.5769*J97-0.0962*J95)*(0.075*$Z100+0.54)</f>
        <v>-0.23711367862470539</v>
      </c>
      <c r="M101" s="9">
        <f>(0.0962*testdata[[#This Row],[I1]]+0.5769*K99-0.5769*K97-0.0962*K95)*(0.075*$Z100+0.54)</f>
        <v>0.18132131759124845</v>
      </c>
      <c r="N101" s="9">
        <f>(0.0962*testdata[[#This Row],[Q1]]+0.5769*L99-0.5769*L97-0.0962*L95)*(0.075*$Z100+0.54)</f>
        <v>-1.6915604277901244</v>
      </c>
      <c r="O101" s="9">
        <f>testdata[[#This Row],[I1]]-testdata[[#This Row],[JQ]]</f>
        <v>-0.8098936975664166</v>
      </c>
      <c r="P101" s="9">
        <f>testdata[[#This Row],[Q1]]+testdata[[#This Row],[jI]]</f>
        <v>-5.5792361033456944E-2</v>
      </c>
      <c r="Q101" s="9">
        <f>0.2*testdata[[#This Row],[I2]]+0.8*Q100</f>
        <v>-7.4844731865211386E-2</v>
      </c>
      <c r="R101" s="9">
        <f>0.2*testdata[[#This Row],[Q2]]+0.8*R100</f>
        <v>-1.2919576703086941</v>
      </c>
      <c r="S101" s="9">
        <f>testdata[[#This Row],[I2'']]*Q100+testdata[[#This Row],[Q2'']]*R100</f>
        <v>2.0602710333429322</v>
      </c>
      <c r="T101" s="9">
        <f>testdata[[#This Row],[I2'']]*R100-testdata[[#This Row],[Q2'']]*Q100</f>
        <v>0.26054315260098138</v>
      </c>
      <c r="U101" s="9">
        <f>0.2*testdata[[#This Row],[Re]]+0.8*U100</f>
        <v>1.3498918492417218</v>
      </c>
      <c r="V101" s="9">
        <f>0.2*testdata[[#This Row],[Im]]+0.8*V100</f>
        <v>0.3790183008044532</v>
      </c>
      <c r="W101" s="9">
        <f>IF(AND(testdata[[#This Row],[Re'']]&lt;&gt;0,testdata[[#This Row],[Im'']]&lt;&gt;0),2*PI()/ATAN(testdata[[#This Row],[Im'']]/testdata[[#This Row],[Re'']]),0)</f>
        <v>22.954046416757016</v>
      </c>
      <c r="X101" s="9">
        <f>IF(testdata[[#This Row],[pd-atan]]&gt;1.5*Z100,1.5*Z100,IF(testdata[[#This Row],[pd-atan]]&lt;0.67*Z100,0.67*Z100,testdata[[#This Row],[pd-atan]]))</f>
        <v>22.954046416757016</v>
      </c>
      <c r="Y101" s="9">
        <f>IF(testdata[[#This Row],[pd-limit1]]&lt;6,6,IF(testdata[[#This Row],[pd-limit1]]&gt;50,50,testdata[[#This Row],[pd-limit1]]))</f>
        <v>22.954046416757016</v>
      </c>
      <c r="Z101" s="14">
        <f>0.2*testdata[[#This Row],[pd-limit2]]+0.8*Z100</f>
        <v>22.797369736498279</v>
      </c>
      <c r="AA101" s="14">
        <f>0.33*testdata[[#This Row],[period]]+0.67*AA100</f>
        <v>22.60357794646745</v>
      </c>
      <c r="AB101" s="31">
        <f>TRUNC(testdata[[#This Row],[SmPd]]+0.5,0)</f>
        <v>23</v>
      </c>
      <c r="AC101" s="14">
        <f ca="1">IF(testdata[[#This Row],[PdInt]]&lt;=0,0,AVERAGE(OFFSET(testdata[[#This Row],[price]],0,0,-testdata[[#This Row],[PdInt]],1)))</f>
        <v>226.77934782608688</v>
      </c>
      <c r="AD101" s="14">
        <f ca="1">IF(testdata[[#This Row],[i]]&lt;11,testdata[[#This Row],[price]],(4*testdata[[#This Row],[iTrend]]+3*AC100+2*AC99+AC98)/10)</f>
        <v>226.59986067193668</v>
      </c>
      <c r="AE101" s="14">
        <f>(4*testdata[[#This Row],[price]]+3*H100+2*H99+H98)/10</f>
        <v>228.30500000000001</v>
      </c>
      <c r="AF101" t="str">
        <f ca="1">IF(OR(ROUND(testdata[[#This Row],[Trendline]],4)&lt;&gt;Table3[[#This Row],[Trendline]],ROUND(testdata[[#This Row],[SmPrice]],4)&lt;&gt;Table3[[#This Row],[SmPrice]]),"ERR","")</f>
        <v>ERR</v>
      </c>
      <c r="AG101" s="3">
        <v>42880</v>
      </c>
      <c r="AH101" s="14">
        <v>22.439800000000002</v>
      </c>
      <c r="AI101" s="34">
        <v>22</v>
      </c>
      <c r="AJ101" s="14">
        <v>226.80609999999999</v>
      </c>
      <c r="AK101" s="14">
        <v>226.6465</v>
      </c>
      <c r="AL101" s="14">
        <v>228.30500000000001</v>
      </c>
      <c r="AN101" s="38">
        <f t="shared" si="4"/>
        <v>4.6593873517991824E-2</v>
      </c>
      <c r="AO101" s="38">
        <f t="shared" si="5"/>
        <v>0</v>
      </c>
      <c r="AQ101" s="37">
        <v>42880</v>
      </c>
      <c r="AR101">
        <v>23</v>
      </c>
      <c r="AS101">
        <v>226.599860671936</v>
      </c>
      <c r="AT101">
        <v>228.30500000000001</v>
      </c>
      <c r="AV101" s="37">
        <v>42880</v>
      </c>
      <c r="AW101">
        <v>22</v>
      </c>
      <c r="AX101">
        <v>226.64645454545399</v>
      </c>
      <c r="AY101">
        <v>228.30500000000001</v>
      </c>
      <c r="BA101" s="38">
        <f>AX101-Table3[[#This Row],[Trendline]]</f>
        <v>-4.5454546011569619E-5</v>
      </c>
      <c r="BB101" s="38">
        <f>AY101-Table3[[#This Row],[SmPrice]]</f>
        <v>0</v>
      </c>
    </row>
    <row r="102" spans="1:54" x14ac:dyDescent="0.35">
      <c r="A102" s="6">
        <v>100</v>
      </c>
      <c r="B102" s="3">
        <v>42881</v>
      </c>
      <c r="C102" s="2">
        <v>229.19</v>
      </c>
      <c r="D102" s="2">
        <v>229.53</v>
      </c>
      <c r="E102" s="2">
        <v>229.1</v>
      </c>
      <c r="F102" s="2">
        <v>229.35</v>
      </c>
      <c r="G102" s="1">
        <v>49142620</v>
      </c>
      <c r="H102" s="30">
        <f>(testdata[[#This Row],[high]]+testdata[[#This Row],[low]])/2</f>
        <v>229.315</v>
      </c>
      <c r="I102" s="23">
        <f>(4*testdata[[#This Row],[price]]+3*H101+2*H100+H99)/10</f>
        <v>228.846</v>
      </c>
      <c r="J102" s="9">
        <f>(0.0962*testdata[[#This Row],[smooth]]+0.5769*I100-0.5769*I98-0.0962*I96)*(0.075*$Z101+0.54)</f>
        <v>2.6210575274519337</v>
      </c>
      <c r="K102" s="14">
        <f t="shared" si="3"/>
        <v>-1.5008497996040595</v>
      </c>
      <c r="L102" s="14">
        <f>(0.0962*testdata[[#This Row],[detrender]]+0.5769*J100-0.5769*J98-0.0962*J96)*(0.075*$Z101+0.54)</f>
        <v>4.3654723493552794</v>
      </c>
      <c r="M102" s="9">
        <f>(0.0962*testdata[[#This Row],[I1]]+0.5769*K100-0.5769*K98-0.0962*K96)*(0.075*$Z101+0.54)</f>
        <v>-1.6923519486221479</v>
      </c>
      <c r="N102" s="9">
        <f>(0.0962*testdata[[#This Row],[Q1]]+0.5769*L100-0.5769*L98-0.0962*L96)*(0.075*$Z101+0.54)</f>
        <v>-3.784191024391053</v>
      </c>
      <c r="O102" s="9">
        <f>testdata[[#This Row],[I1]]-testdata[[#This Row],[JQ]]</f>
        <v>2.2833412247869935</v>
      </c>
      <c r="P102" s="9">
        <f>testdata[[#This Row],[Q1]]+testdata[[#This Row],[jI]]</f>
        <v>2.6731204007331315</v>
      </c>
      <c r="Q102" s="9">
        <f>0.2*testdata[[#This Row],[I2]]+0.8*Q101</f>
        <v>0.39679245946522962</v>
      </c>
      <c r="R102" s="9">
        <f>0.2*testdata[[#This Row],[Q2]]+0.8*R101</f>
        <v>-0.49894205610032893</v>
      </c>
      <c r="S102" s="9">
        <f>testdata[[#This Row],[I2'']]*Q101+testdata[[#This Row],[Q2'']]*R101</f>
        <v>0.6149141911835978</v>
      </c>
      <c r="T102" s="9">
        <f>testdata[[#This Row],[I2'']]*R101-testdata[[#This Row],[Q2'']]*Q101</f>
        <v>-0.5499822459318614</v>
      </c>
      <c r="U102" s="9">
        <f>0.2*testdata[[#This Row],[Re]]+0.8*U101</f>
        <v>1.2028963176300971</v>
      </c>
      <c r="V102" s="9">
        <f>0.2*testdata[[#This Row],[Im]]+0.8*V101</f>
        <v>0.19321819145719027</v>
      </c>
      <c r="W102" s="9">
        <f>IF(AND(testdata[[#This Row],[Re'']]&lt;&gt;0,testdata[[#This Row],[Im'']]&lt;&gt;0),2*PI()/ATAN(testdata[[#This Row],[Im'']]/testdata[[#This Row],[Re'']]),0)</f>
        <v>39.450639100274742</v>
      </c>
      <c r="X102" s="9">
        <f>IF(testdata[[#This Row],[pd-atan]]&gt;1.5*Z101,1.5*Z101,IF(testdata[[#This Row],[pd-atan]]&lt;0.67*Z101,0.67*Z101,testdata[[#This Row],[pd-atan]]))</f>
        <v>34.196054604747417</v>
      </c>
      <c r="Y102" s="9">
        <f>IF(testdata[[#This Row],[pd-limit1]]&lt;6,6,IF(testdata[[#This Row],[pd-limit1]]&gt;50,50,testdata[[#This Row],[pd-limit1]]))</f>
        <v>34.196054604747417</v>
      </c>
      <c r="Z102" s="14">
        <f>0.2*testdata[[#This Row],[pd-limit2]]+0.8*Z101</f>
        <v>25.077106710148108</v>
      </c>
      <c r="AA102" s="14">
        <f>0.33*testdata[[#This Row],[period]]+0.67*AA101</f>
        <v>23.419842438482068</v>
      </c>
      <c r="AB102" s="31">
        <f>TRUNC(testdata[[#This Row],[SmPd]]+0.5,0)</f>
        <v>23</v>
      </c>
      <c r="AC102" s="14">
        <f ca="1">IF(testdata[[#This Row],[PdInt]]&lt;=0,0,AVERAGE(OFFSET(testdata[[#This Row],[price]],0,0,-testdata[[#This Row],[PdInt]],1)))</f>
        <v>226.91521739130428</v>
      </c>
      <c r="AD102" s="14">
        <f ca="1">IF(testdata[[#This Row],[i]]&lt;11,testdata[[#This Row],[price]],(4*testdata[[#This Row],[iTrend]]+3*AC101+2*AC100+AC99)/10)</f>
        <v>226.75844960474302</v>
      </c>
      <c r="AE102" s="14">
        <f>(4*testdata[[#This Row],[price]]+3*H101+2*H100+H99)/10</f>
        <v>228.846</v>
      </c>
      <c r="AF102" t="str">
        <f ca="1">IF(OR(ROUND(testdata[[#This Row],[Trendline]],4)&lt;&gt;Table3[[#This Row],[Trendline]],ROUND(testdata[[#This Row],[SmPrice]],4)&lt;&gt;Table3[[#This Row],[SmPrice]]),"ERR","")</f>
        <v>ERR</v>
      </c>
      <c r="AG102" s="3">
        <v>42881</v>
      </c>
      <c r="AH102" s="14">
        <v>23.2593</v>
      </c>
      <c r="AI102" s="34">
        <v>23</v>
      </c>
      <c r="AJ102" s="14">
        <v>226.9152</v>
      </c>
      <c r="AK102" s="14">
        <v>226.79040000000001</v>
      </c>
      <c r="AL102" s="14">
        <v>228.846</v>
      </c>
      <c r="AN102" s="38">
        <f t="shared" si="4"/>
        <v>3.195553359600467E-2</v>
      </c>
      <c r="AO102" s="38">
        <f t="shared" si="5"/>
        <v>0</v>
      </c>
      <c r="AQ102" s="37">
        <v>42881</v>
      </c>
      <c r="AR102">
        <v>23</v>
      </c>
      <c r="AS102">
        <v>226.75844960474299</v>
      </c>
      <c r="AT102">
        <v>228.846</v>
      </c>
      <c r="AV102" s="37">
        <v>42881</v>
      </c>
      <c r="AW102">
        <v>23</v>
      </c>
      <c r="AX102">
        <v>226.790405138339</v>
      </c>
      <c r="AY102">
        <v>228.846</v>
      </c>
      <c r="BA102" s="38">
        <f>AX102-Table3[[#This Row],[Trendline]]</f>
        <v>5.1383389916281885E-6</v>
      </c>
      <c r="BB102" s="38">
        <f>AY102-Table3[[#This Row],[SmPrice]]</f>
        <v>0</v>
      </c>
    </row>
    <row r="103" spans="1:54" x14ac:dyDescent="0.35">
      <c r="A103" s="6">
        <v>101</v>
      </c>
      <c r="B103" s="3">
        <v>42885</v>
      </c>
      <c r="C103" s="2">
        <v>229</v>
      </c>
      <c r="D103" s="2">
        <v>229.43</v>
      </c>
      <c r="E103" s="2">
        <v>228.83</v>
      </c>
      <c r="F103" s="2">
        <v>229.15</v>
      </c>
      <c r="G103" s="1">
        <v>37098796</v>
      </c>
      <c r="H103" s="30">
        <f>(testdata[[#This Row],[high]]+testdata[[#This Row],[low]])/2</f>
        <v>229.13</v>
      </c>
      <c r="I103" s="23">
        <f>(4*testdata[[#This Row],[price]]+3*H102+2*H101+H100)/10</f>
        <v>229.08449999999999</v>
      </c>
      <c r="J103" s="9">
        <f>(0.0962*testdata[[#This Row],[smooth]]+0.5769*I101-0.5769*I99-0.0962*I97)*(0.075*$Z102+0.54)</f>
        <v>2.9225919535730469</v>
      </c>
      <c r="K103" s="14">
        <f t="shared" si="3"/>
        <v>0.48488299581557631</v>
      </c>
      <c r="L103" s="14">
        <f>(0.0962*testdata[[#This Row],[detrender]]+0.5769*J101-0.5769*J99-0.0962*J97)*(0.075*$Z102+0.54)</f>
        <v>5.7907037922038249</v>
      </c>
      <c r="M103" s="9">
        <f>(0.0962*testdata[[#This Row],[I1]]+0.5769*K101-0.5769*K99-0.0962*K97)*(0.075*$Z102+0.54)</f>
        <v>-3.8135172034412954</v>
      </c>
      <c r="N103" s="9">
        <f>(0.0962*testdata[[#This Row],[Q1]]+0.5769*L101-0.5769*L99-0.0962*L97)*(0.075*$Z102+0.54)</f>
        <v>3.5242541035438859</v>
      </c>
      <c r="O103" s="9">
        <f>testdata[[#This Row],[I1]]-testdata[[#This Row],[JQ]]</f>
        <v>-3.0393711077283094</v>
      </c>
      <c r="P103" s="9">
        <f>testdata[[#This Row],[Q1]]+testdata[[#This Row],[jI]]</f>
        <v>1.9771865887625295</v>
      </c>
      <c r="Q103" s="9">
        <f>0.2*testdata[[#This Row],[I2]]+0.8*Q102</f>
        <v>-0.29044025397347822</v>
      </c>
      <c r="R103" s="9">
        <f>0.2*testdata[[#This Row],[Q2]]+0.8*R102</f>
        <v>-3.7163271277572685E-3</v>
      </c>
      <c r="S103" s="9">
        <f>testdata[[#This Row],[I2'']]*Q102+testdata[[#This Row],[Q2'']]*R102</f>
        <v>-0.11339027080357772</v>
      </c>
      <c r="T103" s="9">
        <f>testdata[[#This Row],[I2'']]*R102-testdata[[#This Row],[Q2'']]*Q102</f>
        <v>0.1463874680730291</v>
      </c>
      <c r="U103" s="9">
        <f>0.2*testdata[[#This Row],[Re]]+0.8*U102</f>
        <v>0.9396389999433622</v>
      </c>
      <c r="V103" s="9">
        <f>0.2*testdata[[#This Row],[Im]]+0.8*V102</f>
        <v>0.18385204678035805</v>
      </c>
      <c r="W103" s="9">
        <f>IF(AND(testdata[[#This Row],[Re'']]&lt;&gt;0,testdata[[#This Row],[Im'']]&lt;&gt;0),2*PI()/ATAN(testdata[[#This Row],[Im'']]/testdata[[#This Row],[Re'']]),0)</f>
        <v>32.518068178501188</v>
      </c>
      <c r="X103" s="9">
        <f>IF(testdata[[#This Row],[pd-atan]]&gt;1.5*Z102,1.5*Z102,IF(testdata[[#This Row],[pd-atan]]&lt;0.67*Z102,0.67*Z102,testdata[[#This Row],[pd-atan]]))</f>
        <v>32.518068178501188</v>
      </c>
      <c r="Y103" s="9">
        <f>IF(testdata[[#This Row],[pd-limit1]]&lt;6,6,IF(testdata[[#This Row],[pd-limit1]]&gt;50,50,testdata[[#This Row],[pd-limit1]]))</f>
        <v>32.518068178501188</v>
      </c>
      <c r="Z103" s="14">
        <f>0.2*testdata[[#This Row],[pd-limit2]]+0.8*Z102</f>
        <v>26.565299003818726</v>
      </c>
      <c r="AA103" s="14">
        <f>0.33*testdata[[#This Row],[period]]+0.67*AA102</f>
        <v>24.457843105043167</v>
      </c>
      <c r="AB103" s="31">
        <f>TRUNC(testdata[[#This Row],[SmPd]]+0.5,0)</f>
        <v>24</v>
      </c>
      <c r="AC103" s="14">
        <f ca="1">IF(testdata[[#This Row],[PdInt]]&lt;=0,0,AVERAGE(OFFSET(testdata[[#This Row],[price]],0,0,-testdata[[#This Row],[PdInt]],1)))</f>
        <v>227.00749999999994</v>
      </c>
      <c r="AD103" s="14">
        <f ca="1">IF(testdata[[#This Row],[i]]&lt;11,testdata[[#This Row],[price]],(4*testdata[[#This Row],[iTrend]]+3*AC102+2*AC101+AC100)/10)</f>
        <v>226.88854347826083</v>
      </c>
      <c r="AE103" s="14">
        <f>(4*testdata[[#This Row],[price]]+3*H102+2*H101+H100)/10</f>
        <v>229.08449999999999</v>
      </c>
      <c r="AF103" t="str">
        <f ca="1">IF(OR(ROUND(testdata[[#This Row],[Trendline]],4)&lt;&gt;Table3[[#This Row],[Trendline]],ROUND(testdata[[#This Row],[SmPrice]],4)&lt;&gt;Table3[[#This Row],[SmPrice]]),"ERR","")</f>
        <v>ERR</v>
      </c>
      <c r="AG103" s="3">
        <v>42885</v>
      </c>
      <c r="AH103" s="14">
        <v>24.241499999999998</v>
      </c>
      <c r="AI103" s="34">
        <v>24</v>
      </c>
      <c r="AJ103" s="14">
        <v>227.00749999999999</v>
      </c>
      <c r="AK103" s="14">
        <v>226.9059</v>
      </c>
      <c r="AL103" s="14">
        <v>229.08449999999999</v>
      </c>
      <c r="AN103" s="38">
        <f t="shared" si="4"/>
        <v>1.7317193676007037E-2</v>
      </c>
      <c r="AO103" s="38">
        <f t="shared" si="5"/>
        <v>0</v>
      </c>
      <c r="AQ103" s="37">
        <v>42885</v>
      </c>
      <c r="AR103">
        <v>24</v>
      </c>
      <c r="AS103">
        <v>226.88854347826</v>
      </c>
      <c r="AT103">
        <v>229.08449999999999</v>
      </c>
      <c r="AV103" s="37">
        <v>42885</v>
      </c>
      <c r="AW103">
        <v>24</v>
      </c>
      <c r="AX103">
        <v>226.90586067193601</v>
      </c>
      <c r="AY103">
        <v>229.08449999999999</v>
      </c>
      <c r="BA103" s="38">
        <f>AX103-Table3[[#This Row],[Trendline]]</f>
        <v>-3.9328063991206363E-5</v>
      </c>
      <c r="BB103" s="38">
        <f>AY103-Table3[[#This Row],[SmPrice]]</f>
        <v>0</v>
      </c>
    </row>
    <row r="104" spans="1:54" x14ac:dyDescent="0.35">
      <c r="A104" s="6">
        <v>102</v>
      </c>
      <c r="B104" s="3">
        <v>42886</v>
      </c>
      <c r="C104" s="2">
        <v>229.47</v>
      </c>
      <c r="D104" s="2">
        <v>229.51</v>
      </c>
      <c r="E104" s="2">
        <v>228.34</v>
      </c>
      <c r="F104" s="2">
        <v>229.09</v>
      </c>
      <c r="G104" s="1">
        <v>96742576</v>
      </c>
      <c r="H104" s="30">
        <f>(testdata[[#This Row],[high]]+testdata[[#This Row],[low]])/2</f>
        <v>228.92500000000001</v>
      </c>
      <c r="I104" s="23">
        <f>(4*testdata[[#This Row],[price]]+3*H103+2*H102+H101)/10</f>
        <v>229.08900000000003</v>
      </c>
      <c r="J104" s="9">
        <f>(0.0962*testdata[[#This Row],[smooth]]+0.5769*I102-0.5769*I100-0.0962*I98)*(0.075*$Z103+0.54)</f>
        <v>2.7075109345667241</v>
      </c>
      <c r="K104" s="14">
        <f t="shared" si="3"/>
        <v>1.9922592833286237</v>
      </c>
      <c r="L104" s="14">
        <f>(0.0962*testdata[[#This Row],[detrender]]+0.5769*J102-0.5769*J100-0.0962*J98)*(0.075*$Z103+0.54)</f>
        <v>4.3898135054416487</v>
      </c>
      <c r="M104" s="9">
        <f>(0.0962*testdata[[#This Row],[I1]]+0.5769*K102-0.5769*K100-0.0962*K98)*(0.075*$Z103+0.54)</f>
        <v>-0.26724616650137034</v>
      </c>
      <c r="N104" s="9">
        <f>(0.0962*testdata[[#This Row],[Q1]]+0.5769*L102-0.5769*L100-0.0962*L98)*(0.075*$Z103+0.54)</f>
        <v>12.74864458535537</v>
      </c>
      <c r="O104" s="9">
        <f>testdata[[#This Row],[I1]]-testdata[[#This Row],[JQ]]</f>
        <v>-10.756385302026747</v>
      </c>
      <c r="P104" s="9">
        <f>testdata[[#This Row],[Q1]]+testdata[[#This Row],[jI]]</f>
        <v>4.1225673389402786</v>
      </c>
      <c r="Q104" s="9">
        <f>0.2*testdata[[#This Row],[I2]]+0.8*Q103</f>
        <v>-2.3836292635841323</v>
      </c>
      <c r="R104" s="9">
        <f>0.2*testdata[[#This Row],[Q2]]+0.8*R103</f>
        <v>0.82154040608584999</v>
      </c>
      <c r="S104" s="9">
        <f>testdata[[#This Row],[I2'']]*Q103+testdata[[#This Row],[Q2'']]*R103</f>
        <v>0.68924877579630461</v>
      </c>
      <c r="T104" s="9">
        <f>testdata[[#This Row],[I2'']]*R103-testdata[[#This Row],[Q2'']]*Q103</f>
        <v>0.2474667502878225</v>
      </c>
      <c r="U104" s="9">
        <f>0.2*testdata[[#This Row],[Re]]+0.8*U103</f>
        <v>0.88956095511395072</v>
      </c>
      <c r="V104" s="9">
        <f>0.2*testdata[[#This Row],[Im]]+0.8*V103</f>
        <v>0.19657498748185095</v>
      </c>
      <c r="W104" s="9">
        <f>IF(AND(testdata[[#This Row],[Re'']]&lt;&gt;0,testdata[[#This Row],[Im'']]&lt;&gt;0),2*PI()/ATAN(testdata[[#This Row],[Im'']]/testdata[[#This Row],[Re'']]),0)</f>
        <v>28.890245363988086</v>
      </c>
      <c r="X104" s="9">
        <f>IF(testdata[[#This Row],[pd-atan]]&gt;1.5*Z103,1.5*Z103,IF(testdata[[#This Row],[pd-atan]]&lt;0.67*Z103,0.67*Z103,testdata[[#This Row],[pd-atan]]))</f>
        <v>28.890245363988086</v>
      </c>
      <c r="Y104" s="9">
        <f>IF(testdata[[#This Row],[pd-limit1]]&lt;6,6,IF(testdata[[#This Row],[pd-limit1]]&gt;50,50,testdata[[#This Row],[pd-limit1]]))</f>
        <v>28.890245363988086</v>
      </c>
      <c r="Z104" s="14">
        <f>0.2*testdata[[#This Row],[pd-limit2]]+0.8*Z103</f>
        <v>27.030288275852602</v>
      </c>
      <c r="AA104" s="14">
        <f>0.33*testdata[[#This Row],[period]]+0.67*AA103</f>
        <v>25.30675001141028</v>
      </c>
      <c r="AB104" s="31">
        <f>TRUNC(testdata[[#This Row],[SmPd]]+0.5,0)</f>
        <v>25</v>
      </c>
      <c r="AC104" s="14">
        <f ca="1">IF(testdata[[#This Row],[PdInt]]&lt;=0,0,AVERAGE(OFFSET(testdata[[#This Row],[price]],0,0,-testdata[[#This Row],[PdInt]],1)))</f>
        <v>227.08419999999995</v>
      </c>
      <c r="AD104" s="14">
        <f ca="1">IF(testdata[[#This Row],[i]]&lt;11,testdata[[#This Row],[price]],(4*testdata[[#This Row],[iTrend]]+3*AC103+2*AC102+AC101)/10)</f>
        <v>226.99690826086947</v>
      </c>
      <c r="AE104" s="14">
        <f>(4*testdata[[#This Row],[price]]+3*H103+2*H102+H101)/10</f>
        <v>229.08900000000003</v>
      </c>
      <c r="AF104" t="str">
        <f ca="1">IF(OR(ROUND(testdata[[#This Row],[Trendline]],4)&lt;&gt;Table3[[#This Row],[Trendline]],ROUND(testdata[[#This Row],[SmPrice]],4)&lt;&gt;Table3[[#This Row],[SmPrice]]),"ERR","")</f>
        <v>ERR</v>
      </c>
      <c r="AG104" s="3">
        <v>42886</v>
      </c>
      <c r="AH104" s="14">
        <v>25.025700000000001</v>
      </c>
      <c r="AI104" s="34">
        <v>25</v>
      </c>
      <c r="AJ104" s="14">
        <v>227.08420000000001</v>
      </c>
      <c r="AK104" s="14">
        <v>226.99959999999999</v>
      </c>
      <c r="AL104" s="14">
        <v>229.089</v>
      </c>
      <c r="AN104" s="38">
        <f t="shared" si="4"/>
        <v>2.678853755014643E-3</v>
      </c>
      <c r="AO104" s="38">
        <f t="shared" si="5"/>
        <v>0</v>
      </c>
      <c r="AQ104" s="37">
        <v>42886</v>
      </c>
      <c r="AR104">
        <v>25</v>
      </c>
      <c r="AS104">
        <v>226.99690826086899</v>
      </c>
      <c r="AT104">
        <v>229.089</v>
      </c>
      <c r="AV104" s="37">
        <v>42886</v>
      </c>
      <c r="AW104">
        <v>25</v>
      </c>
      <c r="AX104">
        <v>226.99958711462401</v>
      </c>
      <c r="AY104">
        <v>229.089</v>
      </c>
      <c r="BA104" s="38">
        <f>AX104-Table3[[#This Row],[Trendline]]</f>
        <v>-1.288537598043149E-5</v>
      </c>
      <c r="BB104" s="38">
        <f>AY104-Table3[[#This Row],[SmPrice]]</f>
        <v>0</v>
      </c>
    </row>
    <row r="105" spans="1:54" x14ac:dyDescent="0.35">
      <c r="A105" s="6">
        <v>103</v>
      </c>
      <c r="B105" s="3">
        <v>42887</v>
      </c>
      <c r="C105" s="2">
        <v>229.6</v>
      </c>
      <c r="D105" s="2">
        <v>230.94</v>
      </c>
      <c r="E105" s="2">
        <v>229.28</v>
      </c>
      <c r="F105" s="2">
        <v>230.92</v>
      </c>
      <c r="G105" s="1">
        <v>72678144</v>
      </c>
      <c r="H105" s="30">
        <f>(testdata[[#This Row],[high]]+testdata[[#This Row],[low]])/2</f>
        <v>230.11</v>
      </c>
      <c r="I105" s="23">
        <f>(4*testdata[[#This Row],[price]]+3*H104+2*H103+H102)/10</f>
        <v>229.47900000000004</v>
      </c>
      <c r="J105" s="9">
        <f>(0.0962*testdata[[#This Row],[smooth]]+0.5769*I103-0.5769*I101-0.0962*I99)*(0.075*$Z104+0.54)</f>
        <v>1.8156282744916752</v>
      </c>
      <c r="K105" s="14">
        <f t="shared" si="3"/>
        <v>2.6210575274519337</v>
      </c>
      <c r="L105" s="14">
        <f>(0.0962*testdata[[#This Row],[detrender]]+0.5769*J103-0.5769*J101-0.0962*J99)*(0.075*$Z104+0.54)</f>
        <v>2.1969532362493434</v>
      </c>
      <c r="M105" s="9">
        <f>(0.0962*testdata[[#This Row],[I1]]+0.5769*K103-0.5769*K101-0.0962*K99)*(0.075*$Z104+0.54)</f>
        <v>4.9814826530233809</v>
      </c>
      <c r="N105" s="9">
        <f>(0.0962*testdata[[#This Row],[Q1]]+0.5769*L103-0.5769*L101-0.0962*L99)*(0.075*$Z104+0.54)</f>
        <v>9.9008554141291292</v>
      </c>
      <c r="O105" s="9">
        <f>testdata[[#This Row],[I1]]-testdata[[#This Row],[JQ]]</f>
        <v>-7.279797886677196</v>
      </c>
      <c r="P105" s="9">
        <f>testdata[[#This Row],[Q1]]+testdata[[#This Row],[jI]]</f>
        <v>7.1784358892727242</v>
      </c>
      <c r="Q105" s="9">
        <f>0.2*testdata[[#This Row],[I2]]+0.8*Q104</f>
        <v>-3.3628629882027452</v>
      </c>
      <c r="R105" s="9">
        <f>0.2*testdata[[#This Row],[Q2]]+0.8*R104</f>
        <v>2.092919502723225</v>
      </c>
      <c r="S105" s="9">
        <f>testdata[[#This Row],[I2'']]*Q104+testdata[[#This Row],[Q2'']]*R104</f>
        <v>9.7352365662762779</v>
      </c>
      <c r="T105" s="9">
        <f>testdata[[#This Row],[I2'']]*R104-testdata[[#This Row],[Q2'']]*Q104</f>
        <v>2.2260163480778714</v>
      </c>
      <c r="U105" s="9">
        <f>0.2*testdata[[#This Row],[Re]]+0.8*U104</f>
        <v>2.6586960773464163</v>
      </c>
      <c r="V105" s="9">
        <f>0.2*testdata[[#This Row],[Im]]+0.8*V104</f>
        <v>0.60246325960105507</v>
      </c>
      <c r="W105" s="9">
        <f>IF(AND(testdata[[#This Row],[Re'']]&lt;&gt;0,testdata[[#This Row],[Im'']]&lt;&gt;0),2*PI()/ATAN(testdata[[#This Row],[Im'']]/testdata[[#This Row],[Re'']]),0)</f>
        <v>28.196227679463956</v>
      </c>
      <c r="X105" s="9">
        <f>IF(testdata[[#This Row],[pd-atan]]&gt;1.5*Z104,1.5*Z104,IF(testdata[[#This Row],[pd-atan]]&lt;0.67*Z104,0.67*Z104,testdata[[#This Row],[pd-atan]]))</f>
        <v>28.196227679463956</v>
      </c>
      <c r="Y105" s="9">
        <f>IF(testdata[[#This Row],[pd-limit1]]&lt;6,6,IF(testdata[[#This Row],[pd-limit1]]&gt;50,50,testdata[[#This Row],[pd-limit1]]))</f>
        <v>28.196227679463956</v>
      </c>
      <c r="Z105" s="14">
        <f>0.2*testdata[[#This Row],[pd-limit2]]+0.8*Z104</f>
        <v>27.263476156574875</v>
      </c>
      <c r="AA105" s="14">
        <f>0.33*testdata[[#This Row],[period]]+0.67*AA104</f>
        <v>25.9524696393146</v>
      </c>
      <c r="AB105" s="31">
        <f>TRUNC(testdata[[#This Row],[SmPd]]+0.5,0)</f>
        <v>26</v>
      </c>
      <c r="AC105" s="14">
        <f ca="1">IF(testdata[[#This Row],[PdInt]]&lt;=0,0,AVERAGE(OFFSET(testdata[[#This Row],[price]],0,0,-testdata[[#This Row],[PdInt]],1)))</f>
        <v>227.20057692307685</v>
      </c>
      <c r="AD105" s="14">
        <f ca="1">IF(testdata[[#This Row],[i]]&lt;11,testdata[[#This Row],[price]],(4*testdata[[#This Row],[iTrend]]+3*AC104+2*AC103+AC102)/10)</f>
        <v>227.09851250836113</v>
      </c>
      <c r="AE105" s="14">
        <f>(4*testdata[[#This Row],[price]]+3*H104+2*H103+H102)/10</f>
        <v>229.47900000000004</v>
      </c>
      <c r="AF105" t="str">
        <f ca="1">IF(OR(ROUND(testdata[[#This Row],[Trendline]],4)&lt;&gt;Table3[[#This Row],[Trendline]],ROUND(testdata[[#This Row],[SmPrice]],4)&lt;&gt;Table3[[#This Row],[SmPrice]]),"ERR","")</f>
        <v/>
      </c>
      <c r="AG105" s="3">
        <v>42887</v>
      </c>
      <c r="AH105" s="14">
        <v>25.632400000000001</v>
      </c>
      <c r="AI105" s="34">
        <v>26</v>
      </c>
      <c r="AJ105" s="14">
        <v>227.20060000000001</v>
      </c>
      <c r="AK105" s="14">
        <v>227.0985</v>
      </c>
      <c r="AL105" s="14">
        <v>229.47900000000001</v>
      </c>
      <c r="AN105" s="38">
        <f t="shared" si="4"/>
        <v>0</v>
      </c>
      <c r="AO105" s="38">
        <f t="shared" si="5"/>
        <v>0</v>
      </c>
      <c r="AQ105" s="37">
        <v>42887</v>
      </c>
      <c r="AR105">
        <v>26</v>
      </c>
      <c r="AS105">
        <v>227.09851250836101</v>
      </c>
      <c r="AT105">
        <v>229.47900000000001</v>
      </c>
      <c r="AV105" s="37">
        <v>42887</v>
      </c>
      <c r="AW105">
        <v>26</v>
      </c>
      <c r="AX105">
        <v>227.09851250836101</v>
      </c>
      <c r="AY105">
        <v>229.47900000000001</v>
      </c>
      <c r="BA105" s="38">
        <f>AX105-Table3[[#This Row],[Trendline]]</f>
        <v>1.2508361010077351E-5</v>
      </c>
      <c r="BB105" s="38">
        <f>AY105-Table3[[#This Row],[SmPrice]]</f>
        <v>0</v>
      </c>
    </row>
    <row r="106" spans="1:54" x14ac:dyDescent="0.35">
      <c r="A106" s="6">
        <v>104</v>
      </c>
      <c r="B106" s="3">
        <v>42888</v>
      </c>
      <c r="C106" s="2">
        <v>230.97</v>
      </c>
      <c r="D106" s="2">
        <v>231.86</v>
      </c>
      <c r="E106" s="2">
        <v>230.65</v>
      </c>
      <c r="F106" s="2">
        <v>231.69</v>
      </c>
      <c r="G106" s="1">
        <v>93444032</v>
      </c>
      <c r="H106" s="30">
        <f>(testdata[[#This Row],[high]]+testdata[[#This Row],[low]])/2</f>
        <v>231.255</v>
      </c>
      <c r="I106" s="23">
        <f>(4*testdata[[#This Row],[price]]+3*H105+2*H104+H103)/10</f>
        <v>230.233</v>
      </c>
      <c r="J106" s="9">
        <f>(0.0962*testdata[[#This Row],[smooth]]+0.5769*I104-0.5769*I102-0.0962*I100)*(0.075*$Z105+0.54)</f>
        <v>1.0406771331902513</v>
      </c>
      <c r="K106" s="14">
        <f t="shared" si="3"/>
        <v>2.9225919535730469</v>
      </c>
      <c r="L106" s="14">
        <f>(0.0962*testdata[[#This Row],[detrender]]+0.5769*J104-0.5769*J102-0.0962*J100)*(0.075*$Z105+0.54)</f>
        <v>0.2671152889944518</v>
      </c>
      <c r="M106" s="9">
        <f>(0.0962*testdata[[#This Row],[I1]]+0.5769*K104-0.5769*K102-0.0962*K100)*(0.075*$Z105+0.54)</f>
        <v>6.1829513984801796</v>
      </c>
      <c r="N106" s="9">
        <f>(0.0962*testdata[[#This Row],[Q1]]+0.5769*L104-0.5769*L102-0.0962*L100)*(0.075*$Z105+0.54)</f>
        <v>1.0123997583672708</v>
      </c>
      <c r="O106" s="9">
        <f>testdata[[#This Row],[I1]]-testdata[[#This Row],[JQ]]</f>
        <v>1.9101921952057761</v>
      </c>
      <c r="P106" s="9">
        <f>testdata[[#This Row],[Q1]]+testdata[[#This Row],[jI]]</f>
        <v>6.4500666874746315</v>
      </c>
      <c r="Q106" s="9">
        <f>0.2*testdata[[#This Row],[I2]]+0.8*Q105</f>
        <v>-2.3082519515210413</v>
      </c>
      <c r="R106" s="9">
        <f>0.2*testdata[[#This Row],[Q2]]+0.8*R105</f>
        <v>2.9643489396735063</v>
      </c>
      <c r="S106" s="9">
        <f>testdata[[#This Row],[I2'']]*Q105+testdata[[#This Row],[Q2'']]*R105</f>
        <v>13.966478763936461</v>
      </c>
      <c r="T106" s="9">
        <f>testdata[[#This Row],[I2'']]*R105-testdata[[#This Row],[Q2'']]*Q105</f>
        <v>5.1377138068087564</v>
      </c>
      <c r="U106" s="9">
        <f>0.2*testdata[[#This Row],[Re]]+0.8*U105</f>
        <v>4.9202526146644256</v>
      </c>
      <c r="V106" s="9">
        <f>0.2*testdata[[#This Row],[Im]]+0.8*V105</f>
        <v>1.5095133690425955</v>
      </c>
      <c r="W106" s="9">
        <f>IF(AND(testdata[[#This Row],[Re'']]&lt;&gt;0,testdata[[#This Row],[Im'']]&lt;&gt;0),2*PI()/ATAN(testdata[[#This Row],[Im'']]/testdata[[#This Row],[Re'']]),0)</f>
        <v>21.107190357239858</v>
      </c>
      <c r="X106" s="9">
        <f>IF(testdata[[#This Row],[pd-atan]]&gt;1.5*Z105,1.5*Z105,IF(testdata[[#This Row],[pd-atan]]&lt;0.67*Z105,0.67*Z105,testdata[[#This Row],[pd-atan]]))</f>
        <v>21.107190357239858</v>
      </c>
      <c r="Y106" s="9">
        <f>IF(testdata[[#This Row],[pd-limit1]]&lt;6,6,IF(testdata[[#This Row],[pd-limit1]]&gt;50,50,testdata[[#This Row],[pd-limit1]]))</f>
        <v>21.107190357239858</v>
      </c>
      <c r="Z106" s="14">
        <f>0.2*testdata[[#This Row],[pd-limit2]]+0.8*Z105</f>
        <v>26.032218996707876</v>
      </c>
      <c r="AA106" s="14">
        <f>0.33*testdata[[#This Row],[period]]+0.67*AA105</f>
        <v>25.978786927254383</v>
      </c>
      <c r="AB106" s="31">
        <f>TRUNC(testdata[[#This Row],[SmPd]]+0.5,0)</f>
        <v>26</v>
      </c>
      <c r="AC106" s="14">
        <f ca="1">IF(testdata[[#This Row],[PdInt]]&lt;=0,0,AVERAGE(OFFSET(testdata[[#This Row],[price]],0,0,-testdata[[#This Row],[PdInt]],1)))</f>
        <v>227.375</v>
      </c>
      <c r="AD106" s="14">
        <f ca="1">IF(testdata[[#This Row],[i]]&lt;11,testdata[[#This Row],[price]],(4*testdata[[#This Row],[iTrend]]+3*AC105+2*AC104+AC103)/10)</f>
        <v>227.22776307692303</v>
      </c>
      <c r="AE106" s="14">
        <f>(4*testdata[[#This Row],[price]]+3*H105+2*H104+H103)/10</f>
        <v>230.233</v>
      </c>
      <c r="AF106" t="str">
        <f ca="1">IF(OR(ROUND(testdata[[#This Row],[Trendline]],4)&lt;&gt;Table3[[#This Row],[Trendline]],ROUND(testdata[[#This Row],[SmPrice]],4)&lt;&gt;Table3[[#This Row],[SmPrice]]),"ERR","")</f>
        <v/>
      </c>
      <c r="AG106" s="3">
        <v>42888</v>
      </c>
      <c r="AH106" s="14">
        <v>25.647200000000002</v>
      </c>
      <c r="AI106" s="34">
        <v>26</v>
      </c>
      <c r="AJ106" s="14">
        <v>227.375</v>
      </c>
      <c r="AK106" s="14">
        <v>227.2278</v>
      </c>
      <c r="AL106" s="14">
        <v>230.233</v>
      </c>
      <c r="AN106" s="38">
        <f t="shared" si="4"/>
        <v>0</v>
      </c>
      <c r="AO106" s="38">
        <f t="shared" si="5"/>
        <v>0</v>
      </c>
      <c r="AQ106" s="37">
        <v>42888</v>
      </c>
      <c r="AR106">
        <v>26</v>
      </c>
      <c r="AS106">
        <v>227.227763076923</v>
      </c>
      <c r="AT106">
        <v>230.233</v>
      </c>
      <c r="AV106" s="37">
        <v>42888</v>
      </c>
      <c r="AW106">
        <v>26</v>
      </c>
      <c r="AX106">
        <v>227.227763076923</v>
      </c>
      <c r="AY106">
        <v>230.233</v>
      </c>
      <c r="BA106" s="38">
        <f>AX106-Table3[[#This Row],[Trendline]]</f>
        <v>-3.6923077004757943E-5</v>
      </c>
      <c r="BB106" s="38">
        <f>AY106-Table3[[#This Row],[SmPrice]]</f>
        <v>0</v>
      </c>
    </row>
    <row r="107" spans="1:54" x14ac:dyDescent="0.35">
      <c r="A107" s="6">
        <v>105</v>
      </c>
      <c r="B107" s="3">
        <v>42891</v>
      </c>
      <c r="C107" s="2">
        <v>231.5</v>
      </c>
      <c r="D107" s="2">
        <v>231.81</v>
      </c>
      <c r="E107" s="2">
        <v>231.3</v>
      </c>
      <c r="F107" s="2">
        <v>231.51</v>
      </c>
      <c r="G107" s="1">
        <v>47107480</v>
      </c>
      <c r="H107" s="30">
        <f>(testdata[[#This Row],[high]]+testdata[[#This Row],[low]])/2</f>
        <v>231.55500000000001</v>
      </c>
      <c r="I107" s="23">
        <f>(4*testdata[[#This Row],[price]]+3*H106+2*H105+H104)/10</f>
        <v>230.91300000000001</v>
      </c>
      <c r="J107" s="9">
        <f>(0.0962*testdata[[#This Row],[smooth]]+0.5769*I105-0.5769*I103-0.0962*I101)*(0.075*$Z106+0.54)</f>
        <v>1.1925630613209184</v>
      </c>
      <c r="K107" s="14">
        <f t="shared" si="3"/>
        <v>2.7075109345667241</v>
      </c>
      <c r="L107" s="14">
        <f>(0.0962*testdata[[#This Row],[detrender]]+0.5769*J105-0.5769*J103-0.0962*J101)*(0.075*$Z106+0.54)</f>
        <v>-1.7834189703500134</v>
      </c>
      <c r="M107" s="9">
        <f>(0.0962*testdata[[#This Row],[I1]]+0.5769*K105-0.5769*K103-0.0962*K101)*(0.075*$Z106+0.54)</f>
        <v>4.3205079792435406</v>
      </c>
      <c r="N107" s="9">
        <f>(0.0962*testdata[[#This Row],[Q1]]+0.5769*L105-0.5769*L103-0.0962*L101)*(0.075*$Z106+0.54)</f>
        <v>-5.5381225391978974</v>
      </c>
      <c r="O107" s="9">
        <f>testdata[[#This Row],[I1]]-testdata[[#This Row],[JQ]]</f>
        <v>8.245633473764622</v>
      </c>
      <c r="P107" s="9">
        <f>testdata[[#This Row],[Q1]]+testdata[[#This Row],[jI]]</f>
        <v>2.5370890088935272</v>
      </c>
      <c r="Q107" s="9">
        <f>0.2*testdata[[#This Row],[I2]]+0.8*Q106</f>
        <v>-0.19747486646390877</v>
      </c>
      <c r="R107" s="9">
        <f>0.2*testdata[[#This Row],[Q2]]+0.8*R106</f>
        <v>2.8788969535175104</v>
      </c>
      <c r="S107" s="9">
        <f>testdata[[#This Row],[I2'']]*Q106+testdata[[#This Row],[Q2'']]*R106</f>
        <v>8.9898768774805937</v>
      </c>
      <c r="T107" s="9">
        <f>testdata[[#This Row],[I2'']]*R106-testdata[[#This Row],[Q2'']]*Q106</f>
        <v>6.0598351001703179</v>
      </c>
      <c r="U107" s="9">
        <f>0.2*testdata[[#This Row],[Re]]+0.8*U106</f>
        <v>5.73417746722766</v>
      </c>
      <c r="V107" s="9">
        <f>0.2*testdata[[#This Row],[Im]]+0.8*V106</f>
        <v>2.4195777152681401</v>
      </c>
      <c r="W107" s="9">
        <f>IF(AND(testdata[[#This Row],[Re'']]&lt;&gt;0,testdata[[#This Row],[Im'']]&lt;&gt;0),2*PI()/ATAN(testdata[[#This Row],[Im'']]/testdata[[#This Row],[Re'']]),0)</f>
        <v>15.735871440616704</v>
      </c>
      <c r="X107" s="9">
        <f>IF(testdata[[#This Row],[pd-atan]]&gt;1.5*Z106,1.5*Z106,IF(testdata[[#This Row],[pd-atan]]&lt;0.67*Z106,0.67*Z106,testdata[[#This Row],[pd-atan]]))</f>
        <v>17.441586727794277</v>
      </c>
      <c r="Y107" s="9">
        <f>IF(testdata[[#This Row],[pd-limit1]]&lt;6,6,IF(testdata[[#This Row],[pd-limit1]]&gt;50,50,testdata[[#This Row],[pd-limit1]]))</f>
        <v>17.441586727794277</v>
      </c>
      <c r="Z107" s="14">
        <f>0.2*testdata[[#This Row],[pd-limit2]]+0.8*Z106</f>
        <v>24.314092542925156</v>
      </c>
      <c r="AA107" s="14">
        <f>0.33*testdata[[#This Row],[period]]+0.67*AA106</f>
        <v>25.42943778042574</v>
      </c>
      <c r="AB107" s="31">
        <f>TRUNC(testdata[[#This Row],[SmPd]]+0.5,0)</f>
        <v>25</v>
      </c>
      <c r="AC107" s="14">
        <f ca="1">IF(testdata[[#This Row],[PdInt]]&lt;=0,0,AVERAGE(OFFSET(testdata[[#This Row],[price]],0,0,-testdata[[#This Row],[PdInt]],1)))</f>
        <v>227.63200000000001</v>
      </c>
      <c r="AD107" s="14">
        <f ca="1">IF(testdata[[#This Row],[i]]&lt;11,testdata[[#This Row],[price]],(4*testdata[[#This Row],[iTrend]]+3*AC106+2*AC105+AC104)/10)</f>
        <v>227.41383538461537</v>
      </c>
      <c r="AE107" s="14">
        <f>(4*testdata[[#This Row],[price]]+3*H106+2*H105+H104)/10</f>
        <v>230.91300000000001</v>
      </c>
      <c r="AF107" t="str">
        <f ca="1">IF(OR(ROUND(testdata[[#This Row],[Trendline]],4)&lt;&gt;Table3[[#This Row],[Trendline]],ROUND(testdata[[#This Row],[SmPrice]],4)&lt;&gt;Table3[[#This Row],[SmPrice]]),"ERR","")</f>
        <v/>
      </c>
      <c r="AG107" s="3">
        <v>42891</v>
      </c>
      <c r="AH107" s="14">
        <v>25.097799999999999</v>
      </c>
      <c r="AI107" s="34">
        <v>25</v>
      </c>
      <c r="AJ107" s="14">
        <v>227.63200000000001</v>
      </c>
      <c r="AK107" s="14">
        <v>227.41380000000001</v>
      </c>
      <c r="AL107" s="14">
        <v>230.91300000000001</v>
      </c>
      <c r="AN107" s="38">
        <f t="shared" si="4"/>
        <v>0</v>
      </c>
      <c r="AO107" s="38">
        <f t="shared" si="5"/>
        <v>0</v>
      </c>
      <c r="AQ107" s="37">
        <v>42891</v>
      </c>
      <c r="AR107">
        <v>25</v>
      </c>
      <c r="AS107">
        <v>227.413835384615</v>
      </c>
      <c r="AT107">
        <v>230.91300000000001</v>
      </c>
      <c r="AV107" s="37">
        <v>42891</v>
      </c>
      <c r="AW107">
        <v>25</v>
      </c>
      <c r="AX107">
        <v>227.413835384615</v>
      </c>
      <c r="AY107">
        <v>230.91300000000001</v>
      </c>
      <c r="BA107" s="38">
        <f>AX107-Table3[[#This Row],[Trendline]]</f>
        <v>3.5384614989197871E-5</v>
      </c>
      <c r="BB107" s="38">
        <f>AY107-Table3[[#This Row],[SmPrice]]</f>
        <v>0</v>
      </c>
    </row>
    <row r="108" spans="1:54" x14ac:dyDescent="0.35">
      <c r="A108" s="6">
        <v>106</v>
      </c>
      <c r="B108" s="3">
        <v>42892</v>
      </c>
      <c r="C108" s="2">
        <v>230.9</v>
      </c>
      <c r="D108" s="2">
        <v>231.51</v>
      </c>
      <c r="E108" s="2">
        <v>230.69</v>
      </c>
      <c r="F108" s="2">
        <v>230.77</v>
      </c>
      <c r="G108" s="1">
        <v>53089976</v>
      </c>
      <c r="H108" s="30">
        <f>(testdata[[#This Row],[high]]+testdata[[#This Row],[low]])/2</f>
        <v>231.1</v>
      </c>
      <c r="I108" s="23">
        <f>(4*testdata[[#This Row],[price]]+3*H107+2*H106+H105)/10</f>
        <v>231.16849999999999</v>
      </c>
      <c r="J108" s="9">
        <f>(0.0962*testdata[[#This Row],[smooth]]+0.5769*I106-0.5769*I104-0.0962*I102)*(0.075*$Z107+0.54)</f>
        <v>2.0879617106732704</v>
      </c>
      <c r="K108" s="14">
        <f t="shared" si="3"/>
        <v>1.8156282744916752</v>
      </c>
      <c r="L108" s="14">
        <f>(0.0962*testdata[[#This Row],[detrender]]+0.5769*J106-0.5769*J104-0.0962*J102)*(0.075*$Z107+0.54)</f>
        <v>-2.3940001156690784</v>
      </c>
      <c r="M108" s="9">
        <f>(0.0962*testdata[[#This Row],[I1]]+0.5769*K106-0.5769*K104-0.0962*K102)*(0.075*$Z107+0.54)</f>
        <v>2.0226235619663719</v>
      </c>
      <c r="N108" s="9">
        <f>(0.0962*testdata[[#This Row],[Q1]]+0.5769*L106-0.5769*L104-0.0962*L102)*(0.075*$Z107+0.54)</f>
        <v>-7.1583769249571114</v>
      </c>
      <c r="O108" s="9">
        <f>testdata[[#This Row],[I1]]-testdata[[#This Row],[JQ]]</f>
        <v>8.9740051994487864</v>
      </c>
      <c r="P108" s="9">
        <f>testdata[[#This Row],[Q1]]+testdata[[#This Row],[jI]]</f>
        <v>-0.3713765537027065</v>
      </c>
      <c r="Q108" s="9">
        <f>0.2*testdata[[#This Row],[I2]]+0.8*Q107</f>
        <v>1.6368211467186304</v>
      </c>
      <c r="R108" s="9">
        <f>0.2*testdata[[#This Row],[Q2]]+0.8*R107</f>
        <v>2.2288422520734672</v>
      </c>
      <c r="S108" s="9">
        <f>testdata[[#This Row],[I2'']]*Q107+testdata[[#This Row],[Q2'']]*R107</f>
        <v>6.0933761319918478</v>
      </c>
      <c r="T108" s="9">
        <f>testdata[[#This Row],[I2'']]*R107-testdata[[#This Row],[Q2'']]*Q107</f>
        <v>5.1523797388386283</v>
      </c>
      <c r="U108" s="9">
        <f>0.2*testdata[[#This Row],[Re]]+0.8*U107</f>
        <v>5.8060172001804977</v>
      </c>
      <c r="V108" s="9">
        <f>0.2*testdata[[#This Row],[Im]]+0.8*V107</f>
        <v>2.9661381199822379</v>
      </c>
      <c r="W108" s="9">
        <f>IF(AND(testdata[[#This Row],[Re'']]&lt;&gt;0,testdata[[#This Row],[Im'']]&lt;&gt;0),2*PI()/ATAN(testdata[[#This Row],[Im'']]/testdata[[#This Row],[Re'']]),0)</f>
        <v>13.303146207319731</v>
      </c>
      <c r="X108" s="9">
        <f>IF(testdata[[#This Row],[pd-atan]]&gt;1.5*Z107,1.5*Z107,IF(testdata[[#This Row],[pd-atan]]&lt;0.67*Z107,0.67*Z107,testdata[[#This Row],[pd-atan]]))</f>
        <v>16.290442003759857</v>
      </c>
      <c r="Y108" s="9">
        <f>IF(testdata[[#This Row],[pd-limit1]]&lt;6,6,IF(testdata[[#This Row],[pd-limit1]]&gt;50,50,testdata[[#This Row],[pd-limit1]]))</f>
        <v>16.290442003759857</v>
      </c>
      <c r="Z108" s="14">
        <f>0.2*testdata[[#This Row],[pd-limit2]]+0.8*Z107</f>
        <v>22.7093624350921</v>
      </c>
      <c r="AA108" s="14">
        <f>0.33*testdata[[#This Row],[period]]+0.67*AA107</f>
        <v>24.53181291646564</v>
      </c>
      <c r="AB108" s="31">
        <f>TRUNC(testdata[[#This Row],[SmPd]]+0.5,0)</f>
        <v>25</v>
      </c>
      <c r="AC108" s="14">
        <f ca="1">IF(testdata[[#This Row],[PdInt]]&lt;=0,0,AVERAGE(OFFSET(testdata[[#This Row],[price]],0,0,-testdata[[#This Row],[PdInt]],1)))</f>
        <v>227.81680000000003</v>
      </c>
      <c r="AD108" s="14">
        <f ca="1">IF(testdata[[#This Row],[i]]&lt;11,testdata[[#This Row],[price]],(4*testdata[[#This Row],[iTrend]]+3*AC107+2*AC106+AC105)/10)</f>
        <v>227.61137769230768</v>
      </c>
      <c r="AE108" s="14">
        <f>(4*testdata[[#This Row],[price]]+3*H107+2*H106+H105)/10</f>
        <v>231.16849999999999</v>
      </c>
      <c r="AF108" t="str">
        <f ca="1">IF(OR(ROUND(testdata[[#This Row],[Trendline]],4)&lt;&gt;Table3[[#This Row],[Trendline]],ROUND(testdata[[#This Row],[SmPrice]],4)&lt;&gt;Table3[[#This Row],[SmPrice]]),"ERR","")</f>
        <v>ERR</v>
      </c>
      <c r="AG108" s="3">
        <v>42892</v>
      </c>
      <c r="AH108" s="14">
        <v>24.2074</v>
      </c>
      <c r="AI108" s="34">
        <v>24</v>
      </c>
      <c r="AJ108" s="14">
        <v>227.8742</v>
      </c>
      <c r="AK108" s="14">
        <v>227.6343</v>
      </c>
      <c r="AL108" s="14">
        <v>231.16849999999999</v>
      </c>
      <c r="AN108" s="38">
        <f t="shared" si="4"/>
        <v>2.2946666666996407E-2</v>
      </c>
      <c r="AO108" s="38">
        <f t="shared" si="5"/>
        <v>0</v>
      </c>
      <c r="AQ108" s="37">
        <v>42892</v>
      </c>
      <c r="AR108">
        <v>25</v>
      </c>
      <c r="AS108">
        <v>227.611377692307</v>
      </c>
      <c r="AT108">
        <v>231.16849999999999</v>
      </c>
      <c r="AV108" s="37">
        <v>42892</v>
      </c>
      <c r="AW108">
        <v>24</v>
      </c>
      <c r="AX108">
        <v>227.634324358974</v>
      </c>
      <c r="AY108">
        <v>231.16849999999999</v>
      </c>
      <c r="BA108" s="38">
        <f>AX108-Table3[[#This Row],[Trendline]]</f>
        <v>2.435897400232534E-5</v>
      </c>
      <c r="BB108" s="38">
        <f>AY108-Table3[[#This Row],[SmPrice]]</f>
        <v>0</v>
      </c>
    </row>
    <row r="109" spans="1:54" x14ac:dyDescent="0.35">
      <c r="A109" s="6">
        <v>107</v>
      </c>
      <c r="B109" s="3">
        <v>42893</v>
      </c>
      <c r="C109" s="2">
        <v>231.14</v>
      </c>
      <c r="D109" s="2">
        <v>231.45</v>
      </c>
      <c r="E109" s="2">
        <v>230.41</v>
      </c>
      <c r="F109" s="2">
        <v>231.2</v>
      </c>
      <c r="G109" s="1">
        <v>57061952</v>
      </c>
      <c r="H109" s="30">
        <f>(testdata[[#This Row],[high]]+testdata[[#This Row],[low]])/2</f>
        <v>230.93</v>
      </c>
      <c r="I109" s="23">
        <f>(4*testdata[[#This Row],[price]]+3*H108+2*H107+H106)/10</f>
        <v>231.13850000000002</v>
      </c>
      <c r="J109" s="9">
        <f>(0.0962*testdata[[#This Row],[smooth]]+0.5769*I107-0.5769*I105-0.0962*I103)*(0.075*$Z108+0.54)</f>
        <v>2.2989892749926537</v>
      </c>
      <c r="K109" s="14">
        <f t="shared" si="3"/>
        <v>1.0406771331902513</v>
      </c>
      <c r="L109" s="14">
        <f>(0.0962*testdata[[#This Row],[detrender]]+0.5769*J107-0.5769*J105-0.0962*J103)*(0.075*$Z108+0.54)</f>
        <v>-0.94088176766678489</v>
      </c>
      <c r="M109" s="9">
        <f>(0.0962*testdata[[#This Row],[I1]]+0.5769*K107-0.5769*K105-0.0962*K103)*(0.075*$Z108+0.54)</f>
        <v>0.23181782227052722</v>
      </c>
      <c r="N109" s="9">
        <f>(0.0962*testdata[[#This Row],[Q1]]+0.5769*L107-0.5769*L105-0.0962*L103)*(0.075*$Z108+0.54)</f>
        <v>-6.6036625375109796</v>
      </c>
      <c r="O109" s="9">
        <f>testdata[[#This Row],[I1]]-testdata[[#This Row],[JQ]]</f>
        <v>7.644339670701231</v>
      </c>
      <c r="P109" s="9">
        <f>testdata[[#This Row],[Q1]]+testdata[[#This Row],[jI]]</f>
        <v>-0.70906394539625772</v>
      </c>
      <c r="Q109" s="9">
        <f>0.2*testdata[[#This Row],[I2]]+0.8*Q108</f>
        <v>2.8383248515151509</v>
      </c>
      <c r="R109" s="9">
        <f>0.2*testdata[[#This Row],[Q2]]+0.8*R108</f>
        <v>1.6412610125795224</v>
      </c>
      <c r="S109" s="9">
        <f>testdata[[#This Row],[I2'']]*Q108+testdata[[#This Row],[Q2'']]*R108</f>
        <v>8.3039420297351381</v>
      </c>
      <c r="T109" s="9">
        <f>testdata[[#This Row],[I2'']]*R108-testdata[[#This Row],[Q2'']]*Q108</f>
        <v>3.6397276214921241</v>
      </c>
      <c r="U109" s="9">
        <f>0.2*testdata[[#This Row],[Re]]+0.8*U108</f>
        <v>6.3056021660914254</v>
      </c>
      <c r="V109" s="9">
        <f>0.2*testdata[[#This Row],[Im]]+0.8*V108</f>
        <v>3.100856020284215</v>
      </c>
      <c r="W109" s="9">
        <f>IF(AND(testdata[[#This Row],[Re'']]&lt;&gt;0,testdata[[#This Row],[Im'']]&lt;&gt;0),2*PI()/ATAN(testdata[[#This Row],[Im'']]/testdata[[#This Row],[Re'']]),0)</f>
        <v>13.747694038162548</v>
      </c>
      <c r="X109" s="9">
        <f>IF(testdata[[#This Row],[pd-atan]]&gt;1.5*Z108,1.5*Z108,IF(testdata[[#This Row],[pd-atan]]&lt;0.67*Z108,0.67*Z108,testdata[[#This Row],[pd-atan]]))</f>
        <v>15.215272831511708</v>
      </c>
      <c r="Y109" s="9">
        <f>IF(testdata[[#This Row],[pd-limit1]]&lt;6,6,IF(testdata[[#This Row],[pd-limit1]]&gt;50,50,testdata[[#This Row],[pd-limit1]]))</f>
        <v>15.215272831511708</v>
      </c>
      <c r="Z109" s="14">
        <f>0.2*testdata[[#This Row],[pd-limit2]]+0.8*Z108</f>
        <v>21.210544514376021</v>
      </c>
      <c r="AA109" s="14">
        <f>0.33*testdata[[#This Row],[period]]+0.67*AA108</f>
        <v>23.435794343776067</v>
      </c>
      <c r="AB109" s="31">
        <f>TRUNC(testdata[[#This Row],[SmPd]]+0.5,0)</f>
        <v>23</v>
      </c>
      <c r="AC109" s="14">
        <f ca="1">IF(testdata[[#This Row],[PdInt]]&lt;=0,0,AVERAGE(OFFSET(testdata[[#This Row],[price]],0,0,-testdata[[#This Row],[PdInt]],1)))</f>
        <v>228.15826086956528</v>
      </c>
      <c r="AD109" s="14">
        <f ca="1">IF(testdata[[#This Row],[i]]&lt;11,testdata[[#This Row],[price]],(4*testdata[[#This Row],[iTrend]]+3*AC108+2*AC107+AC106)/10)</f>
        <v>227.8722443478261</v>
      </c>
      <c r="AE109" s="14">
        <f>(4*testdata[[#This Row],[price]]+3*H108+2*H107+H106)/10</f>
        <v>231.13850000000002</v>
      </c>
      <c r="AF109" t="str">
        <f ca="1">IF(OR(ROUND(testdata[[#This Row],[Trendline]],4)&lt;&gt;Table3[[#This Row],[Trendline]],ROUND(testdata[[#This Row],[SmPrice]],4)&lt;&gt;Table3[[#This Row],[SmPrice]]),"ERR","")</f>
        <v>ERR</v>
      </c>
      <c r="AG109" s="3">
        <v>42893</v>
      </c>
      <c r="AH109" s="14">
        <v>23.123000000000001</v>
      </c>
      <c r="AI109" s="34">
        <v>23</v>
      </c>
      <c r="AJ109" s="14">
        <v>228.1583</v>
      </c>
      <c r="AK109" s="14">
        <v>227.8895</v>
      </c>
      <c r="AL109" s="14">
        <v>231.13849999999999</v>
      </c>
      <c r="AN109" s="38">
        <f t="shared" si="4"/>
        <v>1.7209999999977299E-2</v>
      </c>
      <c r="AO109" s="38">
        <f t="shared" si="5"/>
        <v>0</v>
      </c>
      <c r="AQ109" s="37">
        <v>42893</v>
      </c>
      <c r="AR109">
        <v>23</v>
      </c>
      <c r="AS109">
        <v>227.87224434782601</v>
      </c>
      <c r="AT109">
        <v>231.13849999999999</v>
      </c>
      <c r="AV109" s="37">
        <v>42893</v>
      </c>
      <c r="AW109">
        <v>23</v>
      </c>
      <c r="AX109">
        <v>227.88945434782599</v>
      </c>
      <c r="AY109">
        <v>231.13849999999999</v>
      </c>
      <c r="BA109" s="38">
        <f>AX109-Table3[[#This Row],[Trendline]]</f>
        <v>-4.565217400909205E-5</v>
      </c>
      <c r="BB109" s="38">
        <f>AY109-Table3[[#This Row],[SmPrice]]</f>
        <v>0</v>
      </c>
    </row>
    <row r="110" spans="1:54" x14ac:dyDescent="0.35">
      <c r="A110" s="6">
        <v>108</v>
      </c>
      <c r="B110" s="3">
        <v>42894</v>
      </c>
      <c r="C110" s="2">
        <v>231.31</v>
      </c>
      <c r="D110" s="2">
        <v>231.84</v>
      </c>
      <c r="E110" s="2">
        <v>230.74</v>
      </c>
      <c r="F110" s="2">
        <v>231.32</v>
      </c>
      <c r="G110" s="1">
        <v>69504536</v>
      </c>
      <c r="H110" s="30">
        <f>(testdata[[#This Row],[high]]+testdata[[#This Row],[low]])/2</f>
        <v>231.29000000000002</v>
      </c>
      <c r="I110" s="23">
        <f>(4*testdata[[#This Row],[price]]+3*H109+2*H108+H107)/10</f>
        <v>231.1705</v>
      </c>
      <c r="J110" s="9">
        <f>(0.0962*testdata[[#This Row],[smooth]]+0.5769*I108-0.5769*I106-0.0962*I104)*(0.075*$Z109+0.54)</f>
        <v>1.576636597886887</v>
      </c>
      <c r="K110" s="14">
        <f t="shared" si="3"/>
        <v>1.1925630613209184</v>
      </c>
      <c r="L110" s="14">
        <f>(0.0962*testdata[[#This Row],[detrender]]+0.5769*J108-0.5769*J106-0.0962*J104)*(0.075*$Z109+0.54)</f>
        <v>1.0555689823531975</v>
      </c>
      <c r="M110" s="9">
        <f>(0.0962*testdata[[#This Row],[I1]]+0.5769*K108-0.5769*K106-0.0962*K104)*(0.075*$Z109+0.54)</f>
        <v>-1.5246620771827208</v>
      </c>
      <c r="N110" s="9">
        <f>(0.0962*testdata[[#This Row],[Q1]]+0.5769*L108-0.5769*L106-0.0962*L104)*(0.075*$Z109+0.54)</f>
        <v>-3.954645092435074</v>
      </c>
      <c r="O110" s="9">
        <f>testdata[[#This Row],[I1]]-testdata[[#This Row],[JQ]]</f>
        <v>5.1472081537559919</v>
      </c>
      <c r="P110" s="9">
        <f>testdata[[#This Row],[Q1]]+testdata[[#This Row],[jI]]</f>
        <v>-0.46909309482952333</v>
      </c>
      <c r="Q110" s="9">
        <f>0.2*testdata[[#This Row],[I2]]+0.8*Q109</f>
        <v>3.3001015119633195</v>
      </c>
      <c r="R110" s="9">
        <f>0.2*testdata[[#This Row],[Q2]]+0.8*R109</f>
        <v>1.2191901910977132</v>
      </c>
      <c r="S110" s="9">
        <f>testdata[[#This Row],[I2'']]*Q109+testdata[[#This Row],[Q2'']]*R109</f>
        <v>11.367769461496268</v>
      </c>
      <c r="T110" s="9">
        <f>testdata[[#This Row],[I2'']]*R109-testdata[[#This Row],[Q2'']]*Q109</f>
        <v>1.9558701310239854</v>
      </c>
      <c r="U110" s="9">
        <f>0.2*testdata[[#This Row],[Re]]+0.8*U109</f>
        <v>7.3180356251723948</v>
      </c>
      <c r="V110" s="9">
        <f>0.2*testdata[[#This Row],[Im]]+0.8*V109</f>
        <v>2.8718588424321689</v>
      </c>
      <c r="W110" s="9">
        <f>IF(AND(testdata[[#This Row],[Re'']]&lt;&gt;0,testdata[[#This Row],[Im'']]&lt;&gt;0),2*PI()/ATAN(testdata[[#This Row],[Im'']]/testdata[[#This Row],[Re'']]),0)</f>
        <v>16.801375045985537</v>
      </c>
      <c r="X110" s="9">
        <f>IF(testdata[[#This Row],[pd-atan]]&gt;1.5*Z109,1.5*Z109,IF(testdata[[#This Row],[pd-atan]]&lt;0.67*Z109,0.67*Z109,testdata[[#This Row],[pd-atan]]))</f>
        <v>16.801375045985537</v>
      </c>
      <c r="Y110" s="9">
        <f>IF(testdata[[#This Row],[pd-limit1]]&lt;6,6,IF(testdata[[#This Row],[pd-limit1]]&gt;50,50,testdata[[#This Row],[pd-limit1]]))</f>
        <v>16.801375045985537</v>
      </c>
      <c r="Z110" s="14">
        <f>0.2*testdata[[#This Row],[pd-limit2]]+0.8*Z109</f>
        <v>20.328710620697926</v>
      </c>
      <c r="AA110" s="14">
        <f>0.33*testdata[[#This Row],[period]]+0.67*AA109</f>
        <v>22.410456715160283</v>
      </c>
      <c r="AB110" s="31">
        <f>TRUNC(testdata[[#This Row],[SmPd]]+0.5,0)</f>
        <v>22</v>
      </c>
      <c r="AC110" s="14">
        <f ca="1">IF(testdata[[#This Row],[PdInt]]&lt;=0,0,AVERAGE(OFFSET(testdata[[#This Row],[price]],0,0,-testdata[[#This Row],[PdInt]],1)))</f>
        <v>228.3938636363637</v>
      </c>
      <c r="AD110" s="14">
        <f ca="1">IF(testdata[[#This Row],[i]]&lt;11,testdata[[#This Row],[price]],(4*testdata[[#This Row],[iTrend]]+3*AC109+2*AC108+AC107)/10)</f>
        <v>228.13158371541508</v>
      </c>
      <c r="AE110" s="14">
        <f>(4*testdata[[#This Row],[price]]+3*H109+2*H108+H107)/10</f>
        <v>231.1705</v>
      </c>
      <c r="AF110" t="str">
        <f ca="1">IF(OR(ROUND(testdata[[#This Row],[Trendline]],4)&lt;&gt;Table3[[#This Row],[Trendline]],ROUND(testdata[[#This Row],[SmPrice]],4)&lt;&gt;Table3[[#This Row],[SmPrice]]),"ERR","")</f>
        <v>ERR</v>
      </c>
      <c r="AG110" s="3">
        <v>42894</v>
      </c>
      <c r="AH110" s="14">
        <v>22.126200000000001</v>
      </c>
      <c r="AI110" s="34">
        <v>22</v>
      </c>
      <c r="AJ110" s="14">
        <v>228.3939</v>
      </c>
      <c r="AK110" s="14">
        <v>228.1431</v>
      </c>
      <c r="AL110" s="14">
        <v>231.1705</v>
      </c>
      <c r="AN110" s="38">
        <f t="shared" si="4"/>
        <v>1.1473333333015034E-2</v>
      </c>
      <c r="AO110" s="38">
        <f t="shared" si="5"/>
        <v>0</v>
      </c>
      <c r="AQ110" s="37">
        <v>42894</v>
      </c>
      <c r="AR110">
        <v>22</v>
      </c>
      <c r="AS110">
        <v>228.13158371541499</v>
      </c>
      <c r="AT110">
        <v>231.17049999999901</v>
      </c>
      <c r="AV110" s="37">
        <v>42894</v>
      </c>
      <c r="AW110">
        <v>22</v>
      </c>
      <c r="AX110">
        <v>228.14305704874801</v>
      </c>
      <c r="AY110">
        <v>231.17049999999901</v>
      </c>
      <c r="BA110" s="38">
        <f>AX110-Table3[[#This Row],[Trendline]]</f>
        <v>-4.2951251998601947E-5</v>
      </c>
      <c r="BB110" s="38">
        <f>AY110-Table3[[#This Row],[SmPrice]]</f>
        <v>-9.9475983006414026E-13</v>
      </c>
    </row>
    <row r="111" spans="1:54" x14ac:dyDescent="0.35">
      <c r="A111" s="6">
        <v>109</v>
      </c>
      <c r="B111" s="3">
        <v>42895</v>
      </c>
      <c r="C111" s="2">
        <v>231.61</v>
      </c>
      <c r="D111" s="2">
        <v>232.48</v>
      </c>
      <c r="E111" s="2">
        <v>229.58</v>
      </c>
      <c r="F111" s="2">
        <v>230.96</v>
      </c>
      <c r="G111" s="1">
        <v>139383184</v>
      </c>
      <c r="H111" s="30">
        <f>(testdata[[#This Row],[high]]+testdata[[#This Row],[low]])/2</f>
        <v>231.03</v>
      </c>
      <c r="I111" s="23">
        <f>(4*testdata[[#This Row],[price]]+3*H110+2*H109+H108)/10</f>
        <v>231.09500000000003</v>
      </c>
      <c r="J111" s="9">
        <f>(0.0962*testdata[[#This Row],[smooth]]+0.5769*I109-0.5769*I107-0.0962*I105)*(0.075*$Z110+0.54)</f>
        <v>0.58956205852845533</v>
      </c>
      <c r="K111" s="14">
        <f t="shared" si="3"/>
        <v>2.0879617106732704</v>
      </c>
      <c r="L111" s="14">
        <f>(0.0962*testdata[[#This Row],[detrender]]+0.5769*J109-0.5769*J107-0.0962*J105)*(0.075*$Z110+0.54)</f>
        <v>1.0743417496686996</v>
      </c>
      <c r="M111" s="9">
        <f>(0.0962*testdata[[#This Row],[I1]]+0.5769*K109-0.5769*K107-0.0962*K105)*(0.075*$Z110+0.54)</f>
        <v>-2.0912465215491873</v>
      </c>
      <c r="N111" s="9">
        <f>(0.0962*testdata[[#This Row],[Q1]]+0.5769*L109-0.5769*L107-0.0962*L105)*(0.075*$Z110+0.54)</f>
        <v>0.78057208984586679</v>
      </c>
      <c r="O111" s="9">
        <f>testdata[[#This Row],[I1]]-testdata[[#This Row],[JQ]]</f>
        <v>1.3073896208274036</v>
      </c>
      <c r="P111" s="9">
        <f>testdata[[#This Row],[Q1]]+testdata[[#This Row],[jI]]</f>
        <v>-1.0169047718804878</v>
      </c>
      <c r="Q111" s="9">
        <f>0.2*testdata[[#This Row],[I2]]+0.8*Q110</f>
        <v>2.9015591337361366</v>
      </c>
      <c r="R111" s="9">
        <f>0.2*testdata[[#This Row],[Q2]]+0.8*R110</f>
        <v>0.77197119850207296</v>
      </c>
      <c r="S111" s="9">
        <f>testdata[[#This Row],[I2'']]*Q110+testdata[[#This Row],[Q2'']]*R110</f>
        <v>10.516619397317278</v>
      </c>
      <c r="T111" s="9">
        <f>testdata[[#This Row],[I2'']]*R110-testdata[[#This Row],[Q2'']]*Q110</f>
        <v>0.98996911537224852</v>
      </c>
      <c r="U111" s="9">
        <f>0.2*testdata[[#This Row],[Re]]+0.8*U110</f>
        <v>7.9577523796013718</v>
      </c>
      <c r="V111" s="9">
        <f>0.2*testdata[[#This Row],[Im]]+0.8*V110</f>
        <v>2.4954808970201849</v>
      </c>
      <c r="W111" s="9">
        <f>IF(AND(testdata[[#This Row],[Re'']]&lt;&gt;0,testdata[[#This Row],[Im'']]&lt;&gt;0),2*PI()/ATAN(testdata[[#This Row],[Im'']]/testdata[[#This Row],[Re'']]),0)</f>
        <v>20.676626219860534</v>
      </c>
      <c r="X111" s="9">
        <f>IF(testdata[[#This Row],[pd-atan]]&gt;1.5*Z110,1.5*Z110,IF(testdata[[#This Row],[pd-atan]]&lt;0.67*Z110,0.67*Z110,testdata[[#This Row],[pd-atan]]))</f>
        <v>20.676626219860534</v>
      </c>
      <c r="Y111" s="9">
        <f>IF(testdata[[#This Row],[pd-limit1]]&lt;6,6,IF(testdata[[#This Row],[pd-limit1]]&gt;50,50,testdata[[#This Row],[pd-limit1]]))</f>
        <v>20.676626219860534</v>
      </c>
      <c r="Z111" s="14">
        <f>0.2*testdata[[#This Row],[pd-limit2]]+0.8*Z110</f>
        <v>20.398293740530448</v>
      </c>
      <c r="AA111" s="14">
        <f>0.33*testdata[[#This Row],[period]]+0.67*AA110</f>
        <v>21.746442933532439</v>
      </c>
      <c r="AB111" s="31">
        <f>TRUNC(testdata[[#This Row],[SmPd]]+0.5,0)</f>
        <v>22</v>
      </c>
      <c r="AC111" s="14">
        <f ca="1">IF(testdata[[#This Row],[PdInt]]&lt;=0,0,AVERAGE(OFFSET(testdata[[#This Row],[price]],0,0,-testdata[[#This Row],[PdInt]],1)))</f>
        <v>228.56045454545458</v>
      </c>
      <c r="AD111" s="14">
        <f ca="1">IF(testdata[[#This Row],[i]]&lt;11,testdata[[#This Row],[price]],(4*testdata[[#This Row],[iTrend]]+3*AC110+2*AC109+AC108)/10)</f>
        <v>228.35567308300401</v>
      </c>
      <c r="AE111" s="14">
        <f>(4*testdata[[#This Row],[price]]+3*H110+2*H109+H108)/10</f>
        <v>231.09500000000003</v>
      </c>
      <c r="AF111" t="str">
        <f ca="1">IF(OR(ROUND(testdata[[#This Row],[Trendline]],4)&lt;&gt;Table3[[#This Row],[Trendline]],ROUND(testdata[[#This Row],[SmPrice]],4)&lt;&gt;Table3[[#This Row],[SmPrice]]),"ERR","")</f>
        <v>ERR</v>
      </c>
      <c r="AG111" s="3">
        <v>42895</v>
      </c>
      <c r="AH111" s="14">
        <v>21.498000000000001</v>
      </c>
      <c r="AI111" s="34">
        <v>21</v>
      </c>
      <c r="AJ111" s="14">
        <v>228.62209999999999</v>
      </c>
      <c r="AK111" s="14">
        <v>228.3861</v>
      </c>
      <c r="AL111" s="14">
        <v>231.095</v>
      </c>
      <c r="AN111" s="38">
        <f t="shared" si="4"/>
        <v>3.0411991340997702E-2</v>
      </c>
      <c r="AO111" s="38">
        <f t="shared" si="5"/>
        <v>0</v>
      </c>
      <c r="AQ111" s="37">
        <v>42895</v>
      </c>
      <c r="AR111">
        <v>22</v>
      </c>
      <c r="AS111">
        <v>228.35567308300401</v>
      </c>
      <c r="AT111">
        <v>231.094999999999</v>
      </c>
      <c r="AV111" s="37">
        <v>42895</v>
      </c>
      <c r="AW111">
        <v>21</v>
      </c>
      <c r="AX111">
        <v>228.386085074345</v>
      </c>
      <c r="AY111">
        <v>231.094999999999</v>
      </c>
      <c r="BA111" s="38">
        <f>AX111-Table3[[#This Row],[Trendline]]</f>
        <v>-1.4925654994613069E-5</v>
      </c>
      <c r="BB111" s="38">
        <f>AY111-Table3[[#This Row],[SmPrice]]</f>
        <v>-9.9475983006414026E-13</v>
      </c>
    </row>
    <row r="112" spans="1:54" x14ac:dyDescent="0.35">
      <c r="A112" s="6">
        <v>110</v>
      </c>
      <c r="B112" s="3">
        <v>42898</v>
      </c>
      <c r="C112" s="2">
        <v>230.7</v>
      </c>
      <c r="D112" s="2">
        <v>230.97</v>
      </c>
      <c r="E112" s="2">
        <v>229.99</v>
      </c>
      <c r="F112" s="2">
        <v>230.92</v>
      </c>
      <c r="G112" s="1">
        <v>90748160</v>
      </c>
      <c r="H112" s="30">
        <f>(testdata[[#This Row],[high]]+testdata[[#This Row],[low]])/2</f>
        <v>230.48000000000002</v>
      </c>
      <c r="I112" s="23">
        <f>(4*testdata[[#This Row],[price]]+3*H111+2*H110+H109)/10</f>
        <v>230.852</v>
      </c>
      <c r="J112" s="9">
        <f>(0.0962*testdata[[#This Row],[smooth]]+0.5769*I110-0.5769*I108-0.0962*I106)*(0.075*$Z111+0.54)</f>
        <v>0.12564454404903905</v>
      </c>
      <c r="K112" s="14">
        <f t="shared" si="3"/>
        <v>2.2989892749926537</v>
      </c>
      <c r="L112" s="14">
        <f>(0.0962*testdata[[#This Row],[detrender]]+0.5769*J110-0.5769*J108-0.0962*J106)*(0.075*$Z111+0.54)</f>
        <v>-0.79278084323779963</v>
      </c>
      <c r="M112" s="9">
        <f>(0.0962*testdata[[#This Row],[I1]]+0.5769*K110-0.5769*K108-0.0962*K106)*(0.075*$Z111+0.54)</f>
        <v>-0.86818070614274157</v>
      </c>
      <c r="N112" s="9">
        <f>(0.0962*testdata[[#This Row],[Q1]]+0.5769*L110-0.5769*L108-0.0962*L106)*(0.075*$Z111+0.54)</f>
        <v>3.9081137993657871</v>
      </c>
      <c r="O112" s="9">
        <f>testdata[[#This Row],[I1]]-testdata[[#This Row],[JQ]]</f>
        <v>-1.6091245243731334</v>
      </c>
      <c r="P112" s="9">
        <f>testdata[[#This Row],[Q1]]+testdata[[#This Row],[jI]]</f>
        <v>-1.6609615493805412</v>
      </c>
      <c r="Q112" s="9">
        <f>0.2*testdata[[#This Row],[I2]]+0.8*Q111</f>
        <v>1.9994224021142828</v>
      </c>
      <c r="R112" s="9">
        <f>0.2*testdata[[#This Row],[Q2]]+0.8*R111</f>
        <v>0.28538464892555016</v>
      </c>
      <c r="S112" s="9">
        <f>testdata[[#This Row],[I2'']]*Q111+testdata[[#This Row],[Q2'']]*R111</f>
        <v>6.0217510625164943</v>
      </c>
      <c r="T112" s="9">
        <f>testdata[[#This Row],[I2'']]*R111-testdata[[#This Row],[Q2'']]*Q111</f>
        <v>0.7154360733540458</v>
      </c>
      <c r="U112" s="9">
        <f>0.2*testdata[[#This Row],[Re]]+0.8*U111</f>
        <v>7.5705521161843974</v>
      </c>
      <c r="V112" s="9">
        <f>0.2*testdata[[#This Row],[Im]]+0.8*V111</f>
        <v>2.1394719322869573</v>
      </c>
      <c r="W112" s="9">
        <f>IF(AND(testdata[[#This Row],[Re'']]&lt;&gt;0,testdata[[#This Row],[Im'']]&lt;&gt;0),2*PI()/ATAN(testdata[[#This Row],[Im'']]/testdata[[#This Row],[Re'']]),0)</f>
        <v>22.812922647491206</v>
      </c>
      <c r="X112" s="9">
        <f>IF(testdata[[#This Row],[pd-atan]]&gt;1.5*Z111,1.5*Z111,IF(testdata[[#This Row],[pd-atan]]&lt;0.67*Z111,0.67*Z111,testdata[[#This Row],[pd-atan]]))</f>
        <v>22.812922647491206</v>
      </c>
      <c r="Y112" s="9">
        <f>IF(testdata[[#This Row],[pd-limit1]]&lt;6,6,IF(testdata[[#This Row],[pd-limit1]]&gt;50,50,testdata[[#This Row],[pd-limit1]]))</f>
        <v>22.812922647491206</v>
      </c>
      <c r="Z112" s="14">
        <f>0.2*testdata[[#This Row],[pd-limit2]]+0.8*Z111</f>
        <v>20.881219521922603</v>
      </c>
      <c r="AA112" s="14">
        <f>0.33*testdata[[#This Row],[period]]+0.67*AA111</f>
        <v>21.460919207701195</v>
      </c>
      <c r="AB112" s="31">
        <f>TRUNC(testdata[[#This Row],[SmPd]]+0.5,0)</f>
        <v>21</v>
      </c>
      <c r="AC112" s="14">
        <f ca="1">IF(testdata[[#This Row],[PdInt]]&lt;=0,0,AVERAGE(OFFSET(testdata[[#This Row],[price]],0,0,-testdata[[#This Row],[PdInt]],1)))</f>
        <v>228.80523809523808</v>
      </c>
      <c r="AD112" s="14">
        <f ca="1">IF(testdata[[#This Row],[i]]&lt;11,testdata[[#This Row],[price]],(4*testdata[[#This Row],[iTrend]]+3*AC111+2*AC110+AC109)/10)</f>
        <v>228.58483041596088</v>
      </c>
      <c r="AE112" s="14">
        <f>(4*testdata[[#This Row],[price]]+3*H111+2*H110+H109)/10</f>
        <v>230.852</v>
      </c>
      <c r="AF112" t="str">
        <f ca="1">IF(OR(ROUND(testdata[[#This Row],[Trendline]],4)&lt;&gt;Table3[[#This Row],[Trendline]],ROUND(testdata[[#This Row],[SmPrice]],4)&lt;&gt;Table3[[#This Row],[SmPrice]]),"ERR","")</f>
        <v>ERR</v>
      </c>
      <c r="AG112" s="3">
        <v>42898</v>
      </c>
      <c r="AH112" s="14">
        <v>21.249099999999999</v>
      </c>
      <c r="AI112" s="34">
        <v>21</v>
      </c>
      <c r="AJ112" s="14">
        <v>228.80520000000001</v>
      </c>
      <c r="AK112" s="14">
        <v>228.60329999999999</v>
      </c>
      <c r="AL112" s="14">
        <v>230.852</v>
      </c>
      <c r="AN112" s="38">
        <f t="shared" si="4"/>
        <v>1.8506493507004507E-2</v>
      </c>
      <c r="AO112" s="38">
        <f t="shared" si="5"/>
        <v>0</v>
      </c>
      <c r="AQ112" s="37">
        <v>42898</v>
      </c>
      <c r="AR112">
        <v>21</v>
      </c>
      <c r="AS112">
        <v>228.58483041596</v>
      </c>
      <c r="AT112">
        <v>230.852</v>
      </c>
      <c r="AV112" s="37">
        <v>42898</v>
      </c>
      <c r="AW112">
        <v>21</v>
      </c>
      <c r="AX112">
        <v>228.603336909467</v>
      </c>
      <c r="AY112">
        <v>230.852</v>
      </c>
      <c r="BA112" s="38">
        <f>AX112-Table3[[#This Row],[Trendline]]</f>
        <v>3.6909467013401809E-5</v>
      </c>
      <c r="BB112" s="38">
        <f>AY112-Table3[[#This Row],[SmPrice]]</f>
        <v>0</v>
      </c>
    </row>
    <row r="113" spans="1:54" x14ac:dyDescent="0.35">
      <c r="A113" s="6">
        <v>111</v>
      </c>
      <c r="B113" s="3">
        <v>42899</v>
      </c>
      <c r="C113" s="2">
        <v>231.51</v>
      </c>
      <c r="D113" s="2">
        <v>232.1</v>
      </c>
      <c r="E113" s="2">
        <v>231.13</v>
      </c>
      <c r="F113" s="2">
        <v>232.05</v>
      </c>
      <c r="G113" s="1">
        <v>63303744</v>
      </c>
      <c r="H113" s="30">
        <f>(testdata[[#This Row],[high]]+testdata[[#This Row],[low]])/2</f>
        <v>231.61500000000001</v>
      </c>
      <c r="I113" s="23">
        <f>(4*testdata[[#This Row],[price]]+3*H112+2*H111+H110)/10</f>
        <v>231.125</v>
      </c>
      <c r="J113" s="9">
        <f>(0.0962*testdata[[#This Row],[smooth]]+0.5769*I111-0.5769*I109-0.0962*I107)*(0.075*$Z112+0.54)</f>
        <v>-9.9002094499889091E-3</v>
      </c>
      <c r="K113" s="14">
        <f t="shared" si="3"/>
        <v>1.576636597886887</v>
      </c>
      <c r="L113" s="14">
        <f>(0.0962*testdata[[#This Row],[detrender]]+0.5769*J111-0.5769*J109-0.0962*J107)*(0.075*$Z112+0.54)</f>
        <v>-2.3205874609605464</v>
      </c>
      <c r="M113" s="9">
        <f>(0.0962*testdata[[#This Row],[I1]]+0.5769*K111-0.5769*K109-0.0962*K107)*(0.075*$Z112+0.54)</f>
        <v>1.0433331997207447</v>
      </c>
      <c r="N113" s="9">
        <f>(0.0962*testdata[[#This Row],[Q1]]+0.5769*L111-0.5769*L109-0.0962*L107)*(0.075*$Z112+0.54)</f>
        <v>2.3396714097170013</v>
      </c>
      <c r="O113" s="9">
        <f>testdata[[#This Row],[I1]]-testdata[[#This Row],[JQ]]</f>
        <v>-0.76303481183011423</v>
      </c>
      <c r="P113" s="9">
        <f>testdata[[#This Row],[Q1]]+testdata[[#This Row],[jI]]</f>
        <v>-1.2772542612398017</v>
      </c>
      <c r="Q113" s="9">
        <f>0.2*testdata[[#This Row],[I2]]+0.8*Q112</f>
        <v>1.4469309593254034</v>
      </c>
      <c r="R113" s="9">
        <f>0.2*testdata[[#This Row],[Q2]]+0.8*R112</f>
        <v>-2.7143133107520201E-2</v>
      </c>
      <c r="S113" s="9">
        <f>testdata[[#This Row],[I2'']]*Q112+testdata[[#This Row],[Q2'']]*R112</f>
        <v>2.8852799408752925</v>
      </c>
      <c r="T113" s="9">
        <f>testdata[[#This Row],[I2'']]*R112-testdata[[#This Row],[Q2'']]*Q112</f>
        <v>0.46720247224533551</v>
      </c>
      <c r="U113" s="9">
        <f>0.2*testdata[[#This Row],[Re]]+0.8*U112</f>
        <v>6.6334976811225772</v>
      </c>
      <c r="V113" s="9">
        <f>0.2*testdata[[#This Row],[Im]]+0.8*V112</f>
        <v>1.8050180402786329</v>
      </c>
      <c r="W113" s="9">
        <f>IF(AND(testdata[[#This Row],[Re'']]&lt;&gt;0,testdata[[#This Row],[Im'']]&lt;&gt;0),2*PI()/ATAN(testdata[[#This Row],[Im'']]/testdata[[#This Row],[Re'']]),0)</f>
        <v>23.64996499620408</v>
      </c>
      <c r="X113" s="9">
        <f>IF(testdata[[#This Row],[pd-atan]]&gt;1.5*Z112,1.5*Z112,IF(testdata[[#This Row],[pd-atan]]&lt;0.67*Z112,0.67*Z112,testdata[[#This Row],[pd-atan]]))</f>
        <v>23.64996499620408</v>
      </c>
      <c r="Y113" s="9">
        <f>IF(testdata[[#This Row],[pd-limit1]]&lt;6,6,IF(testdata[[#This Row],[pd-limit1]]&gt;50,50,testdata[[#This Row],[pd-limit1]]))</f>
        <v>23.64996499620408</v>
      </c>
      <c r="Z113" s="14">
        <f>0.2*testdata[[#This Row],[pd-limit2]]+0.8*Z112</f>
        <v>21.4349686167789</v>
      </c>
      <c r="AA113" s="14">
        <f>0.33*testdata[[#This Row],[period]]+0.67*AA112</f>
        <v>21.45235551269684</v>
      </c>
      <c r="AB113" s="31">
        <f>TRUNC(testdata[[#This Row],[SmPd]]+0.5,0)</f>
        <v>21</v>
      </c>
      <c r="AC113" s="14">
        <f ca="1">IF(testdata[[#This Row],[PdInt]]&lt;=0,0,AVERAGE(OFFSET(testdata[[#This Row],[price]],0,0,-testdata[[#This Row],[PdInt]],1)))</f>
        <v>229.03309523809523</v>
      </c>
      <c r="AD113" s="14">
        <f ca="1">IF(testdata[[#This Row],[i]]&lt;11,testdata[[#This Row],[price]],(4*testdata[[#This Row],[iTrend]]+3*AC112+2*AC111+AC110)/10)</f>
        <v>228.80628679653677</v>
      </c>
      <c r="AE113" s="14">
        <f>(4*testdata[[#This Row],[price]]+3*H112+2*H111+H110)/10</f>
        <v>231.125</v>
      </c>
      <c r="AF113" t="str">
        <f ca="1">IF(OR(ROUND(testdata[[#This Row],[Trendline]],4)&lt;&gt;Table3[[#This Row],[Trendline]],ROUND(testdata[[#This Row],[SmPrice]],4)&lt;&gt;Table3[[#This Row],[SmPrice]]),"ERR","")</f>
        <v>ERR</v>
      </c>
      <c r="AG113" s="3">
        <v>42899</v>
      </c>
      <c r="AH113" s="14">
        <v>21.2759</v>
      </c>
      <c r="AI113" s="34">
        <v>21</v>
      </c>
      <c r="AJ113" s="14">
        <v>229.03309999999999</v>
      </c>
      <c r="AK113" s="14">
        <v>228.8186</v>
      </c>
      <c r="AL113" s="14">
        <v>231.125</v>
      </c>
      <c r="AN113" s="38">
        <f t="shared" si="4"/>
        <v>1.2337662338012478E-2</v>
      </c>
      <c r="AO113" s="38">
        <f t="shared" si="5"/>
        <v>0</v>
      </c>
      <c r="AQ113" s="37">
        <v>42899</v>
      </c>
      <c r="AR113">
        <v>21</v>
      </c>
      <c r="AS113">
        <v>228.806286796536</v>
      </c>
      <c r="AT113">
        <v>231.125</v>
      </c>
      <c r="AV113" s="37">
        <v>42899</v>
      </c>
      <c r="AW113">
        <v>21</v>
      </c>
      <c r="AX113">
        <v>228.81862445887401</v>
      </c>
      <c r="AY113">
        <v>231.125</v>
      </c>
      <c r="BA113" s="38">
        <f>AX113-Table3[[#This Row],[Trendline]]</f>
        <v>2.4458874008814746E-5</v>
      </c>
      <c r="BB113" s="38">
        <f>AY113-Table3[[#This Row],[SmPrice]]</f>
        <v>0</v>
      </c>
    </row>
    <row r="114" spans="1:54" x14ac:dyDescent="0.35">
      <c r="A114" s="6">
        <v>112</v>
      </c>
      <c r="B114" s="3">
        <v>42900</v>
      </c>
      <c r="C114" s="2">
        <v>232.34</v>
      </c>
      <c r="D114" s="2">
        <v>232.35</v>
      </c>
      <c r="E114" s="2">
        <v>230.85</v>
      </c>
      <c r="F114" s="2">
        <v>231.75</v>
      </c>
      <c r="G114" s="1">
        <v>82837904</v>
      </c>
      <c r="H114" s="30">
        <f>(testdata[[#This Row],[high]]+testdata[[#This Row],[low]])/2</f>
        <v>231.6</v>
      </c>
      <c r="I114" s="23">
        <f>(4*testdata[[#This Row],[price]]+3*H113+2*H112+H111)/10</f>
        <v>231.32350000000002</v>
      </c>
      <c r="J114" s="9">
        <f>(0.0962*testdata[[#This Row],[smooth]]+0.5769*I112-0.5769*I110-0.0962*I108)*(0.075*$Z113+0.54)</f>
        <v>-0.36258667494519309</v>
      </c>
      <c r="K114" s="14">
        <f t="shared" si="3"/>
        <v>0.58956205852845533</v>
      </c>
      <c r="L114" s="14">
        <f>(0.0962*testdata[[#This Row],[detrender]]+0.5769*J112-0.5769*J110-0.0962*J108)*(0.075*$Z113+0.54)</f>
        <v>-2.3040126788856541</v>
      </c>
      <c r="M114" s="9">
        <f>(0.0962*testdata[[#This Row],[I1]]+0.5769*K112-0.5769*K110-0.0962*K108)*(0.075*$Z113+0.54)</f>
        <v>1.1175148269504604</v>
      </c>
      <c r="N114" s="9">
        <f>(0.0962*testdata[[#This Row],[Q1]]+0.5769*L112-0.5769*L110-0.0962*L108)*(0.075*$Z113+0.54)</f>
        <v>-2.2714464563955206</v>
      </c>
      <c r="O114" s="9">
        <f>testdata[[#This Row],[I1]]-testdata[[#This Row],[JQ]]</f>
        <v>2.8610085149239759</v>
      </c>
      <c r="P114" s="9">
        <f>testdata[[#This Row],[Q1]]+testdata[[#This Row],[jI]]</f>
        <v>-1.1864978519351936</v>
      </c>
      <c r="Q114" s="9">
        <f>0.2*testdata[[#This Row],[I2]]+0.8*Q113</f>
        <v>1.729746470445118</v>
      </c>
      <c r="R114" s="9">
        <f>0.2*testdata[[#This Row],[Q2]]+0.8*R113</f>
        <v>-0.25901407687305489</v>
      </c>
      <c r="S114" s="9">
        <f>testdata[[#This Row],[I2'']]*Q113+testdata[[#This Row],[Q2'']]*R113</f>
        <v>2.5098541734361719</v>
      </c>
      <c r="T114" s="9">
        <f>testdata[[#This Row],[I2'']]*R113-testdata[[#This Row],[Q2'']]*Q113</f>
        <v>0.32782474803915801</v>
      </c>
      <c r="U114" s="9">
        <f>0.2*testdata[[#This Row],[Re]]+0.8*U113</f>
        <v>5.8087689795852961</v>
      </c>
      <c r="V114" s="9">
        <f>0.2*testdata[[#This Row],[Im]]+0.8*V113</f>
        <v>1.5095793818307381</v>
      </c>
      <c r="W114" s="9">
        <f>IF(AND(testdata[[#This Row],[Re'']]&lt;&gt;0,testdata[[#This Row],[Im'']]&lt;&gt;0),2*PI()/ATAN(testdata[[#This Row],[Im'']]/testdata[[#This Row],[Re'']]),0)</f>
        <v>24.71213193498026</v>
      </c>
      <c r="X114" s="9">
        <f>IF(testdata[[#This Row],[pd-atan]]&gt;1.5*Z113,1.5*Z113,IF(testdata[[#This Row],[pd-atan]]&lt;0.67*Z113,0.67*Z113,testdata[[#This Row],[pd-atan]]))</f>
        <v>24.71213193498026</v>
      </c>
      <c r="Y114" s="9">
        <f>IF(testdata[[#This Row],[pd-limit1]]&lt;6,6,IF(testdata[[#This Row],[pd-limit1]]&gt;50,50,testdata[[#This Row],[pd-limit1]]))</f>
        <v>24.71213193498026</v>
      </c>
      <c r="Z114" s="14">
        <f>0.2*testdata[[#This Row],[pd-limit2]]+0.8*Z113</f>
        <v>22.090401280419172</v>
      </c>
      <c r="AA114" s="14">
        <f>0.33*testdata[[#This Row],[period]]+0.67*AA113</f>
        <v>21.662910616045213</v>
      </c>
      <c r="AB114" s="31">
        <f>TRUNC(testdata[[#This Row],[SmPd]]+0.5,0)</f>
        <v>22</v>
      </c>
      <c r="AC114" s="14">
        <f ca="1">IF(testdata[[#This Row],[PdInt]]&lt;=0,0,AVERAGE(OFFSET(testdata[[#This Row],[price]],0,0,-testdata[[#This Row],[PdInt]],1)))</f>
        <v>229.14977272727273</v>
      </c>
      <c r="AD114" s="14">
        <f ca="1">IF(testdata[[#This Row],[i]]&lt;11,testdata[[#This Row],[price]],(4*testdata[[#This Row],[iTrend]]+3*AC113+2*AC112+AC111)/10)</f>
        <v>228.98693073593071</v>
      </c>
      <c r="AE114" s="14">
        <f>(4*testdata[[#This Row],[price]]+3*H113+2*H112+H111)/10</f>
        <v>231.32350000000002</v>
      </c>
      <c r="AF114" t="str">
        <f ca="1">IF(OR(ROUND(testdata[[#This Row],[Trendline]],4)&lt;&gt;Table3[[#This Row],[Trendline]],ROUND(testdata[[#This Row],[SmPrice]],4)&lt;&gt;Table3[[#This Row],[SmPrice]]),"ERR","")</f>
        <v>ERR</v>
      </c>
      <c r="AG114" s="3">
        <v>42900</v>
      </c>
      <c r="AH114" s="14">
        <v>21.520299999999999</v>
      </c>
      <c r="AI114" s="34">
        <v>22</v>
      </c>
      <c r="AJ114" s="14">
        <v>229.1498</v>
      </c>
      <c r="AK114" s="14">
        <v>228.9931</v>
      </c>
      <c r="AL114" s="14">
        <v>231.3235</v>
      </c>
      <c r="AN114" s="38">
        <f t="shared" si="4"/>
        <v>6.1688311689920283E-3</v>
      </c>
      <c r="AO114" s="38">
        <f t="shared" si="5"/>
        <v>0</v>
      </c>
      <c r="AQ114" s="37">
        <v>42900</v>
      </c>
      <c r="AR114">
        <v>22</v>
      </c>
      <c r="AS114">
        <v>228.98693073593</v>
      </c>
      <c r="AT114">
        <v>231.3235</v>
      </c>
      <c r="AV114" s="37">
        <v>42900</v>
      </c>
      <c r="AW114">
        <v>22</v>
      </c>
      <c r="AX114">
        <v>228.99309956709899</v>
      </c>
      <c r="AY114">
        <v>231.3235</v>
      </c>
      <c r="BA114" s="38">
        <f>AX114-Table3[[#This Row],[Trendline]]</f>
        <v>-4.3290100393278408E-7</v>
      </c>
      <c r="BB114" s="38">
        <f>AY114-Table3[[#This Row],[SmPrice]]</f>
        <v>0</v>
      </c>
    </row>
    <row r="115" spans="1:54" x14ac:dyDescent="0.35">
      <c r="A115" s="6">
        <v>113</v>
      </c>
      <c r="B115" s="3">
        <v>42901</v>
      </c>
      <c r="C115" s="2">
        <v>230.27</v>
      </c>
      <c r="D115" s="2">
        <v>231.44</v>
      </c>
      <c r="E115" s="2">
        <v>229.97</v>
      </c>
      <c r="F115" s="2">
        <v>231.31</v>
      </c>
      <c r="G115" s="1">
        <v>70046440</v>
      </c>
      <c r="H115" s="30">
        <f>(testdata[[#This Row],[high]]+testdata[[#This Row],[low]])/2</f>
        <v>230.70499999999998</v>
      </c>
      <c r="I115" s="23">
        <f>(4*testdata[[#This Row],[price]]+3*H114+2*H113+H112)/10</f>
        <v>231.13299999999998</v>
      </c>
      <c r="J115" s="9">
        <f>(0.0962*testdata[[#This Row],[smooth]]+0.5769*I113-0.5769*I111-0.0962*I109)*(0.075*$Z114+0.54)</f>
        <v>3.6857356773098822E-2</v>
      </c>
      <c r="K115" s="14">
        <f t="shared" si="3"/>
        <v>0.12564454404903905</v>
      </c>
      <c r="L115" s="14">
        <f>(0.0962*testdata[[#This Row],[detrender]]+0.5769*J113-0.5769*J111-0.0962*J109)*(0.075*$Z114+0.54)</f>
        <v>-1.237768875622649</v>
      </c>
      <c r="M115" s="9">
        <f>(0.0962*testdata[[#This Row],[I1]]+0.5769*K113-0.5769*K111-0.0962*K109)*(0.075*$Z114+0.54)</f>
        <v>-0.84138784970472336</v>
      </c>
      <c r="N115" s="9">
        <f>(0.0962*testdata[[#This Row],[Q1]]+0.5769*L113-0.5769*L111-0.0962*L109)*(0.075*$Z114+0.54)</f>
        <v>-4.3652111873493151</v>
      </c>
      <c r="O115" s="9">
        <f>testdata[[#This Row],[I1]]-testdata[[#This Row],[JQ]]</f>
        <v>4.4908557313983541</v>
      </c>
      <c r="P115" s="9">
        <f>testdata[[#This Row],[Q1]]+testdata[[#This Row],[jI]]</f>
        <v>-2.0791567253273726</v>
      </c>
      <c r="Q115" s="9">
        <f>0.2*testdata[[#This Row],[I2]]+0.8*Q114</f>
        <v>2.2819683226357652</v>
      </c>
      <c r="R115" s="9">
        <f>0.2*testdata[[#This Row],[Q2]]+0.8*R114</f>
        <v>-0.62304260656391852</v>
      </c>
      <c r="S115" s="9">
        <f>testdata[[#This Row],[I2'']]*Q114+testdata[[#This Row],[Q2'']]*R114</f>
        <v>4.108603457338516</v>
      </c>
      <c r="T115" s="9">
        <f>testdata[[#This Row],[I2'']]*R114-testdata[[#This Row],[Q2'']]*Q114</f>
        <v>0.48664383109980824</v>
      </c>
      <c r="U115" s="9">
        <f>0.2*testdata[[#This Row],[Re]]+0.8*U114</f>
        <v>5.4687358751359403</v>
      </c>
      <c r="V115" s="9">
        <f>0.2*testdata[[#This Row],[Im]]+0.8*V114</f>
        <v>1.3049922716845521</v>
      </c>
      <c r="W115" s="9">
        <f>IF(AND(testdata[[#This Row],[Re'']]&lt;&gt;0,testdata[[#This Row],[Im'']]&lt;&gt;0),2*PI()/ATAN(testdata[[#This Row],[Im'']]/testdata[[#This Row],[Re'']]),0)</f>
        <v>26.822896197537652</v>
      </c>
      <c r="X115" s="9">
        <f>IF(testdata[[#This Row],[pd-atan]]&gt;1.5*Z114,1.5*Z114,IF(testdata[[#This Row],[pd-atan]]&lt;0.67*Z114,0.67*Z114,testdata[[#This Row],[pd-atan]]))</f>
        <v>26.822896197537652</v>
      </c>
      <c r="Y115" s="9">
        <f>IF(testdata[[#This Row],[pd-limit1]]&lt;6,6,IF(testdata[[#This Row],[pd-limit1]]&gt;50,50,testdata[[#This Row],[pd-limit1]]))</f>
        <v>26.822896197537652</v>
      </c>
      <c r="Z115" s="14">
        <f>0.2*testdata[[#This Row],[pd-limit2]]+0.8*Z114</f>
        <v>23.03690026384287</v>
      </c>
      <c r="AA115" s="14">
        <f>0.33*testdata[[#This Row],[period]]+0.67*AA114</f>
        <v>22.116327199818443</v>
      </c>
      <c r="AB115" s="31">
        <f>TRUNC(testdata[[#This Row],[SmPd]]+0.5,0)</f>
        <v>22</v>
      </c>
      <c r="AC115" s="14">
        <f ca="1">IF(testdata[[#This Row],[PdInt]]&lt;=0,0,AVERAGE(OFFSET(testdata[[#This Row],[price]],0,0,-testdata[[#This Row],[PdInt]],1)))</f>
        <v>229.28727272727272</v>
      </c>
      <c r="AD115" s="14">
        <f ca="1">IF(testdata[[#This Row],[i]]&lt;11,testdata[[#This Row],[price]],(4*testdata[[#This Row],[iTrend]]+3*AC114+2*AC113+AC112)/10)</f>
        <v>229.14698376623377</v>
      </c>
      <c r="AE115" s="14">
        <f>(4*testdata[[#This Row],[price]]+3*H114+2*H113+H112)/10</f>
        <v>231.13299999999998</v>
      </c>
      <c r="AF115" t="str">
        <f ca="1">IF(OR(ROUND(testdata[[#This Row],[Trendline]],4)&lt;&gt;Table3[[#This Row],[Trendline]],ROUND(testdata[[#This Row],[SmPrice]],4)&lt;&gt;Table3[[#This Row],[SmPrice]]),"ERR","")</f>
        <v/>
      </c>
      <c r="AG115" s="3">
        <v>42901</v>
      </c>
      <c r="AH115" s="14">
        <v>22.0059</v>
      </c>
      <c r="AI115" s="34">
        <v>22</v>
      </c>
      <c r="AJ115" s="14">
        <v>229.28729999999999</v>
      </c>
      <c r="AK115" s="14">
        <v>229.14699999999999</v>
      </c>
      <c r="AL115" s="14">
        <v>231.13300000000001</v>
      </c>
      <c r="AN115" s="38">
        <f t="shared" si="4"/>
        <v>0</v>
      </c>
      <c r="AO115" s="38">
        <f t="shared" si="5"/>
        <v>0</v>
      </c>
      <c r="AQ115" s="37">
        <v>42901</v>
      </c>
      <c r="AR115">
        <v>22</v>
      </c>
      <c r="AS115">
        <v>229.14698376623301</v>
      </c>
      <c r="AT115">
        <v>231.13299999999899</v>
      </c>
      <c r="AV115" s="37">
        <v>42901</v>
      </c>
      <c r="AW115">
        <v>22</v>
      </c>
      <c r="AX115">
        <v>229.14698376623301</v>
      </c>
      <c r="AY115">
        <v>231.13299999999899</v>
      </c>
      <c r="BA115" s="38">
        <f>AX115-Table3[[#This Row],[Trendline]]</f>
        <v>-1.6233766984896647E-5</v>
      </c>
      <c r="BB115" s="38">
        <f>AY115-Table3[[#This Row],[SmPrice]]</f>
        <v>-1.0231815394945443E-12</v>
      </c>
    </row>
    <row r="116" spans="1:54" x14ac:dyDescent="0.35">
      <c r="A116" s="6">
        <v>114</v>
      </c>
      <c r="B116" s="3">
        <v>42902</v>
      </c>
      <c r="C116" s="2">
        <v>231.48</v>
      </c>
      <c r="D116" s="2">
        <v>231.54</v>
      </c>
      <c r="E116" s="2">
        <v>230.4</v>
      </c>
      <c r="F116" s="2">
        <v>231.36</v>
      </c>
      <c r="G116" s="1">
        <v>88676880</v>
      </c>
      <c r="H116" s="30">
        <f>(testdata[[#This Row],[high]]+testdata[[#This Row],[low]])/2</f>
        <v>230.97</v>
      </c>
      <c r="I116" s="23">
        <f>(4*testdata[[#This Row],[price]]+3*H115+2*H114+H113)/10</f>
        <v>231.08099999999996</v>
      </c>
      <c r="J116" s="9">
        <f>(0.0962*testdata[[#This Row],[smooth]]+0.5769*I114-0.5769*I112-0.0962*I110)*(0.075*$Z115+0.54)</f>
        <v>0.597326449672545</v>
      </c>
      <c r="K116" s="14">
        <f t="shared" si="3"/>
        <v>-9.9002094499889091E-3</v>
      </c>
      <c r="L116" s="14">
        <f>(0.0962*testdata[[#This Row],[detrender]]+0.5769*J114-0.5769*J112-0.0962*J110)*(0.075*$Z115+0.54)</f>
        <v>-0.85238629130305099</v>
      </c>
      <c r="M116" s="9">
        <f>(0.0962*testdata[[#This Row],[I1]]+0.5769*K114-0.5769*K112-0.0962*K110)*(0.075*$Z115+0.54)</f>
        <v>-2.498729499828515</v>
      </c>
      <c r="N116" s="9">
        <f>(0.0962*testdata[[#This Row],[Q1]]+0.5769*L114-0.5769*L112-0.0962*L110)*(0.075*$Z115+0.54)</f>
        <v>-2.393345017638965</v>
      </c>
      <c r="O116" s="9">
        <f>testdata[[#This Row],[I1]]-testdata[[#This Row],[JQ]]</f>
        <v>2.3834448081889761</v>
      </c>
      <c r="P116" s="9">
        <f>testdata[[#This Row],[Q1]]+testdata[[#This Row],[jI]]</f>
        <v>-3.3511157911315661</v>
      </c>
      <c r="Q116" s="9">
        <f>0.2*testdata[[#This Row],[I2]]+0.8*Q115</f>
        <v>2.3022636197464075</v>
      </c>
      <c r="R116" s="9">
        <f>0.2*testdata[[#This Row],[Q2]]+0.8*R115</f>
        <v>-1.168657243477448</v>
      </c>
      <c r="S116" s="9">
        <f>testdata[[#This Row],[I2'']]*Q115+testdata[[#This Row],[Q2'']]*R115</f>
        <v>5.9818159057740479</v>
      </c>
      <c r="T116" s="9">
        <f>testdata[[#This Row],[I2'']]*R115-testdata[[#This Row],[Q2'']]*Q115</f>
        <v>1.2324304829902852</v>
      </c>
      <c r="U116" s="9">
        <f>0.2*testdata[[#This Row],[Re]]+0.8*U115</f>
        <v>5.5713518812635616</v>
      </c>
      <c r="V116" s="9">
        <f>0.2*testdata[[#This Row],[Im]]+0.8*V115</f>
        <v>1.2904799139456988</v>
      </c>
      <c r="W116" s="9">
        <f>IF(AND(testdata[[#This Row],[Re'']]&lt;&gt;0,testdata[[#This Row],[Im'']]&lt;&gt;0),2*PI()/ATAN(testdata[[#This Row],[Im'']]/testdata[[#This Row],[Re'']]),0)</f>
        <v>27.604583517087356</v>
      </c>
      <c r="X116" s="9">
        <f>IF(testdata[[#This Row],[pd-atan]]&gt;1.5*Z115,1.5*Z115,IF(testdata[[#This Row],[pd-atan]]&lt;0.67*Z115,0.67*Z115,testdata[[#This Row],[pd-atan]]))</f>
        <v>27.604583517087356</v>
      </c>
      <c r="Y116" s="9">
        <f>IF(testdata[[#This Row],[pd-limit1]]&lt;6,6,IF(testdata[[#This Row],[pd-limit1]]&gt;50,50,testdata[[#This Row],[pd-limit1]]))</f>
        <v>27.604583517087356</v>
      </c>
      <c r="Z116" s="14">
        <f>0.2*testdata[[#This Row],[pd-limit2]]+0.8*Z115</f>
        <v>23.950436914491767</v>
      </c>
      <c r="AA116" s="14">
        <f>0.33*testdata[[#This Row],[period]]+0.67*AA115</f>
        <v>22.721583405660638</v>
      </c>
      <c r="AB116" s="31">
        <f>TRUNC(testdata[[#This Row],[SmPd]]+0.5,0)</f>
        <v>23</v>
      </c>
      <c r="AC116" s="14">
        <f ca="1">IF(testdata[[#This Row],[PdInt]]&lt;=0,0,AVERAGE(OFFSET(testdata[[#This Row],[price]],0,0,-testdata[[#This Row],[PdInt]],1)))</f>
        <v>229.36043478260871</v>
      </c>
      <c r="AD116" s="14">
        <f ca="1">IF(testdata[[#This Row],[i]]&lt;11,testdata[[#This Row],[price]],(4*testdata[[#This Row],[iTrend]]+3*AC115+2*AC114+AC113)/10)</f>
        <v>229.26361980048932</v>
      </c>
      <c r="AE116" s="14">
        <f>(4*testdata[[#This Row],[price]]+3*H115+2*H114+H113)/10</f>
        <v>231.08099999999996</v>
      </c>
      <c r="AF116" t="str">
        <f ca="1">IF(OR(ROUND(testdata[[#This Row],[Trendline]],4)&lt;&gt;Table3[[#This Row],[Trendline]],ROUND(testdata[[#This Row],[SmPrice]],4)&lt;&gt;Table3[[#This Row],[SmPrice]]),"ERR","")</f>
        <v/>
      </c>
      <c r="AG116" s="3">
        <v>42902</v>
      </c>
      <c r="AH116" s="14">
        <v>22.639500000000002</v>
      </c>
      <c r="AI116" s="34">
        <v>23</v>
      </c>
      <c r="AJ116" s="14">
        <v>229.3604</v>
      </c>
      <c r="AK116" s="14">
        <v>229.2636</v>
      </c>
      <c r="AL116" s="14">
        <v>231.08099999999999</v>
      </c>
      <c r="AN116" s="38">
        <f t="shared" si="4"/>
        <v>0</v>
      </c>
      <c r="AO116" s="38">
        <f t="shared" si="5"/>
        <v>0</v>
      </c>
      <c r="AQ116" s="37">
        <v>42902</v>
      </c>
      <c r="AR116">
        <v>23</v>
      </c>
      <c r="AS116">
        <v>229.26361980048901</v>
      </c>
      <c r="AT116">
        <v>231.08099999999899</v>
      </c>
      <c r="AV116" s="37">
        <v>42902</v>
      </c>
      <c r="AW116">
        <v>23</v>
      </c>
      <c r="AX116">
        <v>229.26361980048901</v>
      </c>
      <c r="AY116">
        <v>231.08099999999899</v>
      </c>
      <c r="BA116" s="38">
        <f>AX116-Table3[[#This Row],[Trendline]]</f>
        <v>1.9800489013732658E-5</v>
      </c>
      <c r="BB116" s="38">
        <f>AY116-Table3[[#This Row],[SmPrice]]</f>
        <v>-9.9475983006414026E-13</v>
      </c>
    </row>
    <row r="117" spans="1:54" x14ac:dyDescent="0.35">
      <c r="A117" s="6">
        <v>115</v>
      </c>
      <c r="B117" s="3">
        <v>42905</v>
      </c>
      <c r="C117" s="2">
        <v>232.26</v>
      </c>
      <c r="D117" s="2">
        <v>233.35</v>
      </c>
      <c r="E117" s="2">
        <v>232.16</v>
      </c>
      <c r="F117" s="2">
        <v>233.28</v>
      </c>
      <c r="G117" s="1">
        <v>68299992</v>
      </c>
      <c r="H117" s="30">
        <f>(testdata[[#This Row],[high]]+testdata[[#This Row],[low]])/2</f>
        <v>232.755</v>
      </c>
      <c r="I117" s="23">
        <f>(4*testdata[[#This Row],[price]]+3*H116+2*H115+H114)/10</f>
        <v>231.69399999999996</v>
      </c>
      <c r="J117" s="9">
        <f>(0.0962*testdata[[#This Row],[smooth]]+0.5769*I115-0.5769*I113-0.0962*I111)*(0.075*$Z116+0.54)</f>
        <v>0.14540790323399999</v>
      </c>
      <c r="K117" s="14">
        <f t="shared" si="3"/>
        <v>-0.36258667494519309</v>
      </c>
      <c r="L117" s="14">
        <f>(0.0962*testdata[[#This Row],[detrender]]+0.5769*J115-0.5769*J113-0.0962*J111)*(0.075*$Z116+0.54)</f>
        <v>-3.6803905845505407E-2</v>
      </c>
      <c r="M117" s="9">
        <f>(0.0962*testdata[[#This Row],[I1]]+0.5769*K115-0.5769*K113-0.0962*K111)*(0.075*$Z116+0.54)</f>
        <v>-2.5064110446330967</v>
      </c>
      <c r="N117" s="9">
        <f>(0.0962*testdata[[#This Row],[Q1]]+0.5769*L115-0.5769*L113-0.0962*L111)*(0.075*$Z116+0.54)</f>
        <v>1.2096941120291842</v>
      </c>
      <c r="O117" s="9">
        <f>testdata[[#This Row],[I1]]-testdata[[#This Row],[JQ]]</f>
        <v>-1.5722807869743773</v>
      </c>
      <c r="P117" s="9">
        <f>testdata[[#This Row],[Q1]]+testdata[[#This Row],[jI]]</f>
        <v>-2.5432149504786019</v>
      </c>
      <c r="Q117" s="9">
        <f>0.2*testdata[[#This Row],[I2]]+0.8*Q116</f>
        <v>1.5273547384022506</v>
      </c>
      <c r="R117" s="9">
        <f>0.2*testdata[[#This Row],[Q2]]+0.8*R116</f>
        <v>-1.4435687848776788</v>
      </c>
      <c r="S117" s="9">
        <f>testdata[[#This Row],[I2'']]*Q116+testdata[[#This Row],[Q2'']]*R116</f>
        <v>5.2034103655760298</v>
      </c>
      <c r="T117" s="9">
        <f>testdata[[#This Row],[I2'']]*R116-testdata[[#This Row],[Q2'']]*Q116</f>
        <v>1.538521717632015</v>
      </c>
      <c r="U117" s="9">
        <f>0.2*testdata[[#This Row],[Re]]+0.8*U116</f>
        <v>5.4977635781260554</v>
      </c>
      <c r="V117" s="9">
        <f>0.2*testdata[[#This Row],[Im]]+0.8*V116</f>
        <v>1.3400882746829621</v>
      </c>
      <c r="W117" s="9">
        <f>IF(AND(testdata[[#This Row],[Re'']]&lt;&gt;0,testdata[[#This Row],[Im'']]&lt;&gt;0),2*PI()/ATAN(testdata[[#This Row],[Im'']]/testdata[[#This Row],[Re'']]),0)</f>
        <v>26.279674776337913</v>
      </c>
      <c r="X117" s="9">
        <f>IF(testdata[[#This Row],[pd-atan]]&gt;1.5*Z116,1.5*Z116,IF(testdata[[#This Row],[pd-atan]]&lt;0.67*Z116,0.67*Z116,testdata[[#This Row],[pd-atan]]))</f>
        <v>26.279674776337913</v>
      </c>
      <c r="Y117" s="9">
        <f>IF(testdata[[#This Row],[pd-limit1]]&lt;6,6,IF(testdata[[#This Row],[pd-limit1]]&gt;50,50,testdata[[#This Row],[pd-limit1]]))</f>
        <v>26.279674776337913</v>
      </c>
      <c r="Z117" s="14">
        <f>0.2*testdata[[#This Row],[pd-limit2]]+0.8*Z116</f>
        <v>24.416284486860999</v>
      </c>
      <c r="AA117" s="14">
        <f>0.33*testdata[[#This Row],[period]]+0.67*AA116</f>
        <v>23.28083476245676</v>
      </c>
      <c r="AB117" s="31">
        <f>TRUNC(testdata[[#This Row],[SmPd]]+0.5,0)</f>
        <v>23</v>
      </c>
      <c r="AC117" s="14">
        <f ca="1">IF(testdata[[#This Row],[PdInt]]&lt;=0,0,AVERAGE(OFFSET(testdata[[#This Row],[price]],0,0,-testdata[[#This Row],[PdInt]],1)))</f>
        <v>229.57282608695658</v>
      </c>
      <c r="AD117" s="14">
        <f ca="1">IF(testdata[[#This Row],[i]]&lt;11,testdata[[#This Row],[price]],(4*testdata[[#This Row],[iTrend]]+3*AC116+2*AC115+AC114)/10)</f>
        <v>229.40969268774705</v>
      </c>
      <c r="AE117" s="14">
        <f>(4*testdata[[#This Row],[price]]+3*H116+2*H115+H114)/10</f>
        <v>231.69399999999996</v>
      </c>
      <c r="AF117" t="str">
        <f ca="1">IF(OR(ROUND(testdata[[#This Row],[Trendline]],4)&lt;&gt;Table3[[#This Row],[Trendline]],ROUND(testdata[[#This Row],[SmPrice]],4)&lt;&gt;Table3[[#This Row],[SmPrice]]),"ERR","")</f>
        <v/>
      </c>
      <c r="AG117" s="3">
        <v>42905</v>
      </c>
      <c r="AH117" s="14">
        <v>23.221900000000002</v>
      </c>
      <c r="AI117" s="34">
        <v>23</v>
      </c>
      <c r="AJ117" s="14">
        <v>229.5728</v>
      </c>
      <c r="AK117" s="14">
        <v>229.40969999999999</v>
      </c>
      <c r="AL117" s="14">
        <v>231.69399999999999</v>
      </c>
      <c r="AN117" s="38">
        <f t="shared" si="4"/>
        <v>0</v>
      </c>
      <c r="AO117" s="38">
        <f t="shared" si="5"/>
        <v>0</v>
      </c>
      <c r="AQ117" s="37">
        <v>42905</v>
      </c>
      <c r="AR117">
        <v>23</v>
      </c>
      <c r="AS117">
        <v>229.409692687747</v>
      </c>
      <c r="AT117">
        <v>231.69399999999899</v>
      </c>
      <c r="AV117" s="37">
        <v>42905</v>
      </c>
      <c r="AW117">
        <v>23</v>
      </c>
      <c r="AX117">
        <v>229.409692687747</v>
      </c>
      <c r="AY117">
        <v>231.69399999999899</v>
      </c>
      <c r="BA117" s="38">
        <f>AX117-Table3[[#This Row],[Trendline]]</f>
        <v>-7.3122529897773347E-6</v>
      </c>
      <c r="BB117" s="38">
        <f>AY117-Table3[[#This Row],[SmPrice]]</f>
        <v>-9.9475983006414026E-13</v>
      </c>
    </row>
    <row r="118" spans="1:54" x14ac:dyDescent="0.35">
      <c r="A118" s="6">
        <v>116</v>
      </c>
      <c r="B118" s="3">
        <v>42906</v>
      </c>
      <c r="C118" s="2">
        <v>232.89</v>
      </c>
      <c r="D118" s="2">
        <v>232.9</v>
      </c>
      <c r="E118" s="2">
        <v>231.69</v>
      </c>
      <c r="F118" s="2">
        <v>231.71</v>
      </c>
      <c r="G118" s="1">
        <v>59681776</v>
      </c>
      <c r="H118" s="30">
        <f>(testdata[[#This Row],[high]]+testdata[[#This Row],[low]])/2</f>
        <v>232.29500000000002</v>
      </c>
      <c r="I118" s="23">
        <f>(4*testdata[[#This Row],[price]]+3*H117+2*H116+H115)/10</f>
        <v>232.00900000000001</v>
      </c>
      <c r="J118" s="9">
        <f>(0.0962*testdata[[#This Row],[smooth]]+0.5769*I116-0.5769*I114-0.0962*I112)*(0.075*$Z117+0.54)</f>
        <v>-6.7804718434444716E-2</v>
      </c>
      <c r="K118" s="14">
        <f t="shared" si="3"/>
        <v>3.6857356773098822E-2</v>
      </c>
      <c r="L118" s="14">
        <f>(0.0962*testdata[[#This Row],[detrender]]+0.5769*J116-0.5769*J114-0.0962*J112)*(0.075*$Z117+0.54)</f>
        <v>1.2689924436331861</v>
      </c>
      <c r="M118" s="9">
        <f>(0.0962*testdata[[#This Row],[I1]]+0.5769*K116-0.5769*K114-0.0962*K112)*(0.075*$Z117+0.54)</f>
        <v>-1.3360572470828127</v>
      </c>
      <c r="N118" s="9">
        <f>(0.0962*testdata[[#This Row],[Q1]]+0.5769*L116-0.5769*L114-0.0962*L112)*(0.075*$Z117+0.54)</f>
        <v>2.456077515152125</v>
      </c>
      <c r="O118" s="9">
        <f>testdata[[#This Row],[I1]]-testdata[[#This Row],[JQ]]</f>
        <v>-2.419220158379026</v>
      </c>
      <c r="P118" s="9">
        <f>testdata[[#This Row],[Q1]]+testdata[[#This Row],[jI]]</f>
        <v>-6.706480344962662E-2</v>
      </c>
      <c r="Q118" s="9">
        <f>0.2*testdata[[#This Row],[I2]]+0.8*Q117</f>
        <v>0.73803975904599528</v>
      </c>
      <c r="R118" s="9">
        <f>0.2*testdata[[#This Row],[Q2]]+0.8*R117</f>
        <v>-1.1682679885920684</v>
      </c>
      <c r="S118" s="9">
        <f>testdata[[#This Row],[I2'']]*Q117+testdata[[#This Row],[Q2'']]*R117</f>
        <v>2.8137237238114983</v>
      </c>
      <c r="T118" s="9">
        <f>testdata[[#This Row],[I2'']]*R117-testdata[[#This Row],[Q2'']]*Q117</f>
        <v>0.71894848994231975</v>
      </c>
      <c r="U118" s="9">
        <f>0.2*testdata[[#This Row],[Re]]+0.8*U117</f>
        <v>4.960955607263144</v>
      </c>
      <c r="V118" s="9">
        <f>0.2*testdata[[#This Row],[Im]]+0.8*V117</f>
        <v>1.2158603177348335</v>
      </c>
      <c r="W118" s="9">
        <f>IF(AND(testdata[[#This Row],[Re'']]&lt;&gt;0,testdata[[#This Row],[Im'']]&lt;&gt;0),2*PI()/ATAN(testdata[[#This Row],[Im'']]/testdata[[#This Row],[Re'']]),0)</f>
        <v>26.141998451091304</v>
      </c>
      <c r="X118" s="9">
        <f>IF(testdata[[#This Row],[pd-atan]]&gt;1.5*Z117,1.5*Z117,IF(testdata[[#This Row],[pd-atan]]&lt;0.67*Z117,0.67*Z117,testdata[[#This Row],[pd-atan]]))</f>
        <v>26.141998451091304</v>
      </c>
      <c r="Y118" s="9">
        <f>IF(testdata[[#This Row],[pd-limit1]]&lt;6,6,IF(testdata[[#This Row],[pd-limit1]]&gt;50,50,testdata[[#This Row],[pd-limit1]]))</f>
        <v>26.141998451091304</v>
      </c>
      <c r="Z118" s="14">
        <f>0.2*testdata[[#This Row],[pd-limit2]]+0.8*Z117</f>
        <v>24.76142727970706</v>
      </c>
      <c r="AA118" s="14">
        <f>0.33*testdata[[#This Row],[period]]+0.67*AA117</f>
        <v>23.769430293149362</v>
      </c>
      <c r="AB118" s="31">
        <f>TRUNC(testdata[[#This Row],[SmPd]]+0.5,0)</f>
        <v>24</v>
      </c>
      <c r="AC118" s="14">
        <f ca="1">IF(testdata[[#This Row],[PdInt]]&lt;=0,0,AVERAGE(OFFSET(testdata[[#This Row],[price]],0,0,-testdata[[#This Row],[PdInt]],1)))</f>
        <v>229.68625000000006</v>
      </c>
      <c r="AD118" s="14">
        <f ca="1">IF(testdata[[#This Row],[i]]&lt;11,testdata[[#This Row],[price]],(4*testdata[[#This Row],[iTrend]]+3*AC117+2*AC116+AC115)/10)</f>
        <v>229.54716205533606</v>
      </c>
      <c r="AE118" s="14">
        <f>(4*testdata[[#This Row],[price]]+3*H117+2*H116+H115)/10</f>
        <v>232.00900000000001</v>
      </c>
      <c r="AF118" t="str">
        <f ca="1">IF(OR(ROUND(testdata[[#This Row],[Trendline]],4)&lt;&gt;Table3[[#This Row],[Trendline]],ROUND(testdata[[#This Row],[SmPrice]],4)&lt;&gt;Table3[[#This Row],[SmPrice]]),"ERR","")</f>
        <v/>
      </c>
      <c r="AG118" s="3">
        <v>42906</v>
      </c>
      <c r="AH118" s="14">
        <v>23.7301</v>
      </c>
      <c r="AI118" s="34">
        <v>24</v>
      </c>
      <c r="AJ118" s="14">
        <v>229.68629999999999</v>
      </c>
      <c r="AK118" s="14">
        <v>229.5472</v>
      </c>
      <c r="AL118" s="14">
        <v>232.00899999999999</v>
      </c>
      <c r="AN118" s="38">
        <f t="shared" si="4"/>
        <v>0</v>
      </c>
      <c r="AO118" s="38">
        <f t="shared" si="5"/>
        <v>0</v>
      </c>
      <c r="AQ118" s="37">
        <v>42906</v>
      </c>
      <c r="AR118">
        <v>24</v>
      </c>
      <c r="AS118">
        <v>229.547162055336</v>
      </c>
      <c r="AT118">
        <v>232.00899999999899</v>
      </c>
      <c r="AV118" s="37">
        <v>42906</v>
      </c>
      <c r="AW118">
        <v>24</v>
      </c>
      <c r="AX118">
        <v>229.547162055336</v>
      </c>
      <c r="AY118">
        <v>232.00899999999899</v>
      </c>
      <c r="BA118" s="38">
        <f>AX118-Table3[[#This Row],[Trendline]]</f>
        <v>-3.7944664001088313E-5</v>
      </c>
      <c r="BB118" s="38">
        <f>AY118-Table3[[#This Row],[SmPrice]]</f>
        <v>-9.9475983006414026E-13</v>
      </c>
    </row>
    <row r="119" spans="1:54" x14ac:dyDescent="0.35">
      <c r="A119" s="6">
        <v>117</v>
      </c>
      <c r="B119" s="3">
        <v>42907</v>
      </c>
      <c r="C119" s="2">
        <v>232.1</v>
      </c>
      <c r="D119" s="2">
        <v>232.26</v>
      </c>
      <c r="E119" s="2">
        <v>231.14</v>
      </c>
      <c r="F119" s="2">
        <v>231.65</v>
      </c>
      <c r="G119" s="1">
        <v>58707680</v>
      </c>
      <c r="H119" s="30">
        <f>(testdata[[#This Row],[high]]+testdata[[#This Row],[low]])/2</f>
        <v>231.7</v>
      </c>
      <c r="I119" s="23">
        <f>(4*testdata[[#This Row],[price]]+3*H118+2*H117+H116)/10</f>
        <v>232.01649999999995</v>
      </c>
      <c r="J119" s="9">
        <f>(0.0962*testdata[[#This Row],[smooth]]+0.5769*I117-0.5769*I115-0.0962*I113)*(0.075*$Z118+0.54)</f>
        <v>0.98138329536587543</v>
      </c>
      <c r="K119" s="14">
        <f t="shared" si="3"/>
        <v>0.597326449672545</v>
      </c>
      <c r="L119" s="14">
        <f>(0.0962*testdata[[#This Row],[detrender]]+0.5769*J117-0.5769*J115-0.0962*J113)*(0.075*$Z118+0.54)</f>
        <v>0.3787052389316739</v>
      </c>
      <c r="M119" s="9">
        <f>(0.0962*testdata[[#This Row],[I1]]+0.5769*K117-0.5769*K115-0.0962*K113)*(0.075*$Z118+0.54)</f>
        <v>-0.9010011683069008</v>
      </c>
      <c r="N119" s="9">
        <f>(0.0962*testdata[[#This Row],[Q1]]+0.5769*L117-0.5769*L115-0.0962*L113)*(0.075*$Z118+0.54)</f>
        <v>2.2832651933792669</v>
      </c>
      <c r="O119" s="9">
        <f>testdata[[#This Row],[I1]]-testdata[[#This Row],[JQ]]</f>
        <v>-1.6859387437067219</v>
      </c>
      <c r="P119" s="9">
        <f>testdata[[#This Row],[Q1]]+testdata[[#This Row],[jI]]</f>
        <v>-0.52229592937522695</v>
      </c>
      <c r="Q119" s="9">
        <f>0.2*testdata[[#This Row],[I2]]+0.8*Q118</f>
        <v>0.25324405849545184</v>
      </c>
      <c r="R119" s="9">
        <f>0.2*testdata[[#This Row],[Q2]]+0.8*R118</f>
        <v>-1.0390735767487</v>
      </c>
      <c r="S119" s="9">
        <f>testdata[[#This Row],[I2'']]*Q118+testdata[[#This Row],[Q2'']]*R118</f>
        <v>1.4008205814191832</v>
      </c>
      <c r="T119" s="9">
        <f>testdata[[#This Row],[I2'']]*R118-testdata[[#This Row],[Q2'']]*Q118</f>
        <v>0.4710206853732975</v>
      </c>
      <c r="U119" s="9">
        <f>0.2*testdata[[#This Row],[Re]]+0.8*U118</f>
        <v>4.2489286020943524</v>
      </c>
      <c r="V119" s="9">
        <f>0.2*testdata[[#This Row],[Im]]+0.8*V118</f>
        <v>1.0668923912625263</v>
      </c>
      <c r="W119" s="9">
        <f>IF(AND(testdata[[#This Row],[Re'']]&lt;&gt;0,testdata[[#This Row],[Im'']]&lt;&gt;0),2*PI()/ATAN(testdata[[#This Row],[Im'']]/testdata[[#This Row],[Re'']]),0)</f>
        <v>25.540294627511173</v>
      </c>
      <c r="X119" s="9">
        <f>IF(testdata[[#This Row],[pd-atan]]&gt;1.5*Z118,1.5*Z118,IF(testdata[[#This Row],[pd-atan]]&lt;0.67*Z118,0.67*Z118,testdata[[#This Row],[pd-atan]]))</f>
        <v>25.540294627511173</v>
      </c>
      <c r="Y119" s="9">
        <f>IF(testdata[[#This Row],[pd-limit1]]&lt;6,6,IF(testdata[[#This Row],[pd-limit1]]&gt;50,50,testdata[[#This Row],[pd-limit1]]))</f>
        <v>25.540294627511173</v>
      </c>
      <c r="Z119" s="14">
        <f>0.2*testdata[[#This Row],[pd-limit2]]+0.8*Z118</f>
        <v>24.917200749267884</v>
      </c>
      <c r="AA119" s="14">
        <f>0.33*testdata[[#This Row],[period]]+0.67*AA118</f>
        <v>24.148194543668474</v>
      </c>
      <c r="AB119" s="31">
        <f>TRUNC(testdata[[#This Row],[SmPd]]+0.5,0)</f>
        <v>24</v>
      </c>
      <c r="AC119" s="14">
        <f ca="1">IF(testdata[[#This Row],[PdInt]]&lt;=0,0,AVERAGE(OFFSET(testdata[[#This Row],[price]],0,0,-testdata[[#This Row],[PdInt]],1)))</f>
        <v>229.96250000000006</v>
      </c>
      <c r="AD119" s="14">
        <f ca="1">IF(testdata[[#This Row],[i]]&lt;11,testdata[[#This Row],[price]],(4*testdata[[#This Row],[iTrend]]+3*AC118+2*AC117+AC116)/10)</f>
        <v>229.74148369565222</v>
      </c>
      <c r="AE119" s="14">
        <f>(4*testdata[[#This Row],[price]]+3*H118+2*H117+H116)/10</f>
        <v>232.01649999999995</v>
      </c>
      <c r="AF119" t="str">
        <f ca="1">IF(OR(ROUND(testdata[[#This Row],[Trendline]],4)&lt;&gt;Table3[[#This Row],[Trendline]],ROUND(testdata[[#This Row],[SmPrice]],4)&lt;&gt;Table3[[#This Row],[SmPrice]]),"ERR","")</f>
        <v/>
      </c>
      <c r="AG119" s="3">
        <v>42907</v>
      </c>
      <c r="AH119" s="14">
        <v>24.1252</v>
      </c>
      <c r="AI119" s="34">
        <v>24</v>
      </c>
      <c r="AJ119" s="14">
        <v>229.96250000000001</v>
      </c>
      <c r="AK119" s="14">
        <v>229.7415</v>
      </c>
      <c r="AL119" s="14">
        <v>232.01650000000001</v>
      </c>
      <c r="AN119" s="38">
        <f t="shared" si="4"/>
        <v>0</v>
      </c>
      <c r="AO119" s="38">
        <f t="shared" si="5"/>
        <v>0</v>
      </c>
      <c r="AQ119" s="37">
        <v>42907</v>
      </c>
      <c r="AR119">
        <v>24</v>
      </c>
      <c r="AS119">
        <v>229.74148369565199</v>
      </c>
      <c r="AT119">
        <v>232.01649999999901</v>
      </c>
      <c r="AV119" s="37">
        <v>42907</v>
      </c>
      <c r="AW119">
        <v>24</v>
      </c>
      <c r="AX119">
        <v>229.74148369565199</v>
      </c>
      <c r="AY119">
        <v>232.01649999999901</v>
      </c>
      <c r="BA119" s="38">
        <f>AX119-Table3[[#This Row],[Trendline]]</f>
        <v>-1.6304348008588931E-5</v>
      </c>
      <c r="BB119" s="38">
        <f>AY119-Table3[[#This Row],[SmPrice]]</f>
        <v>-9.9475983006414026E-13</v>
      </c>
    </row>
    <row r="120" spans="1:54" x14ac:dyDescent="0.35">
      <c r="A120" s="6">
        <v>118</v>
      </c>
      <c r="B120" s="3">
        <v>42908</v>
      </c>
      <c r="C120" s="2">
        <v>231.66</v>
      </c>
      <c r="D120" s="2">
        <v>232.21</v>
      </c>
      <c r="E120" s="2">
        <v>231.36</v>
      </c>
      <c r="F120" s="2">
        <v>231.55</v>
      </c>
      <c r="G120" s="1">
        <v>46301224</v>
      </c>
      <c r="H120" s="30">
        <f>(testdata[[#This Row],[high]]+testdata[[#This Row],[low]])/2</f>
        <v>231.78500000000003</v>
      </c>
      <c r="I120" s="23">
        <f>(4*testdata[[#This Row],[price]]+3*H119+2*H118+H117)/10</f>
        <v>231.95850000000002</v>
      </c>
      <c r="J120" s="9">
        <f>(0.0962*testdata[[#This Row],[smooth]]+0.5769*I118-0.5769*I116-0.0962*I114)*(0.075*$Z119+0.54)</f>
        <v>1.4367233107755979</v>
      </c>
      <c r="K120" s="14">
        <f t="shared" si="3"/>
        <v>0.14540790323399999</v>
      </c>
      <c r="L120" s="14">
        <f>(0.0962*testdata[[#This Row],[detrender]]+0.5769*J118-0.5769*J116-0.0962*J114)*(0.075*$Z119+0.54)</f>
        <v>-0.50734068708357616</v>
      </c>
      <c r="M120" s="9">
        <f>(0.0962*testdata[[#This Row],[I1]]+0.5769*K118-0.5769*K116-0.0962*K114)*(0.075*$Z119+0.54)</f>
        <v>-3.7946126908009567E-2</v>
      </c>
      <c r="N120" s="9">
        <f>(0.0962*testdata[[#This Row],[Q1]]+0.5769*L118-0.5769*L116-0.0962*L114)*(0.075*$Z119+0.54)</f>
        <v>3.3642685190564254</v>
      </c>
      <c r="O120" s="9">
        <f>testdata[[#This Row],[I1]]-testdata[[#This Row],[JQ]]</f>
        <v>-3.2188606158224253</v>
      </c>
      <c r="P120" s="9">
        <f>testdata[[#This Row],[Q1]]+testdata[[#This Row],[jI]]</f>
        <v>-0.54528681399158574</v>
      </c>
      <c r="Q120" s="9">
        <f>0.2*testdata[[#This Row],[I2]]+0.8*Q119</f>
        <v>-0.44117687636812358</v>
      </c>
      <c r="R120" s="9">
        <f>0.2*testdata[[#This Row],[Q2]]+0.8*R119</f>
        <v>-0.94031622419727723</v>
      </c>
      <c r="S120" s="9">
        <f>testdata[[#This Row],[I2'']]*Q119+testdata[[#This Row],[Q2'']]*R119</f>
        <v>0.86533231966568747</v>
      </c>
      <c r="T120" s="9">
        <f>testdata[[#This Row],[I2'']]*R119-testdata[[#This Row],[Q2'']]*Q119</f>
        <v>0.69654473179148291</v>
      </c>
      <c r="U120" s="9">
        <f>0.2*testdata[[#This Row],[Re]]+0.8*U119</f>
        <v>3.5722093456086199</v>
      </c>
      <c r="V120" s="9">
        <f>0.2*testdata[[#This Row],[Im]]+0.8*V119</f>
        <v>0.99282285936831771</v>
      </c>
      <c r="W120" s="9">
        <f>IF(AND(testdata[[#This Row],[Re'']]&lt;&gt;0,testdata[[#This Row],[Im'']]&lt;&gt;0),2*PI()/ATAN(testdata[[#This Row],[Im'']]/testdata[[#This Row],[Re'']]),0)</f>
        <v>23.177673917170434</v>
      </c>
      <c r="X120" s="9">
        <f>IF(testdata[[#This Row],[pd-atan]]&gt;1.5*Z119,1.5*Z119,IF(testdata[[#This Row],[pd-atan]]&lt;0.67*Z119,0.67*Z119,testdata[[#This Row],[pd-atan]]))</f>
        <v>23.177673917170434</v>
      </c>
      <c r="Y120" s="9">
        <f>IF(testdata[[#This Row],[pd-limit1]]&lt;6,6,IF(testdata[[#This Row],[pd-limit1]]&gt;50,50,testdata[[#This Row],[pd-limit1]]))</f>
        <v>23.177673917170434</v>
      </c>
      <c r="Z120" s="14">
        <f>0.2*testdata[[#This Row],[pd-limit2]]+0.8*Z119</f>
        <v>24.569295382848395</v>
      </c>
      <c r="AA120" s="14">
        <f>0.33*testdata[[#This Row],[period]]+0.67*AA119</f>
        <v>24.287157820597848</v>
      </c>
      <c r="AB120" s="31">
        <f>TRUNC(testdata[[#This Row],[SmPd]]+0.5,0)</f>
        <v>24</v>
      </c>
      <c r="AC120" s="14">
        <f ca="1">IF(testdata[[#This Row],[PdInt]]&lt;=0,0,AVERAGE(OFFSET(testdata[[#This Row],[price]],0,0,-testdata[[#This Row],[PdInt]],1)))</f>
        <v>230.26645833333336</v>
      </c>
      <c r="AD120" s="14">
        <f ca="1">IF(testdata[[#This Row],[i]]&lt;11,testdata[[#This Row],[price]],(4*testdata[[#This Row],[iTrend]]+3*AC119+2*AC118+AC117)/10)</f>
        <v>229.98986594202901</v>
      </c>
      <c r="AE120" s="14">
        <f>(4*testdata[[#This Row],[price]]+3*H119+2*H118+H117)/10</f>
        <v>231.95850000000002</v>
      </c>
      <c r="AF120" t="str">
        <f ca="1">IF(OR(ROUND(testdata[[#This Row],[Trendline]],4)&lt;&gt;Table3[[#This Row],[Trendline]],ROUND(testdata[[#This Row],[SmPrice]],4)&lt;&gt;Table3[[#This Row],[SmPrice]]),"ERR","")</f>
        <v/>
      </c>
      <c r="AG120" s="3">
        <v>42908</v>
      </c>
      <c r="AH120" s="14">
        <v>24.274999999999999</v>
      </c>
      <c r="AI120" s="34">
        <v>24</v>
      </c>
      <c r="AJ120" s="14">
        <v>230.26650000000001</v>
      </c>
      <c r="AK120" s="14">
        <v>229.98990000000001</v>
      </c>
      <c r="AL120" s="14">
        <v>231.95849999999999</v>
      </c>
      <c r="AN120" s="38">
        <f t="shared" si="4"/>
        <v>0</v>
      </c>
      <c r="AO120" s="38">
        <f t="shared" si="5"/>
        <v>0</v>
      </c>
      <c r="AQ120" s="37">
        <v>42908</v>
      </c>
      <c r="AR120">
        <v>24</v>
      </c>
      <c r="AS120">
        <v>229.98986594202901</v>
      </c>
      <c r="AT120">
        <v>231.95849999999999</v>
      </c>
      <c r="AV120" s="37">
        <v>42908</v>
      </c>
      <c r="AW120">
        <v>24</v>
      </c>
      <c r="AX120">
        <v>229.98986594202901</v>
      </c>
      <c r="AY120">
        <v>231.95849999999999</v>
      </c>
      <c r="BA120" s="38">
        <f>AX120-Table3[[#This Row],[Trendline]]</f>
        <v>-3.4057970992762421E-5</v>
      </c>
      <c r="BB120" s="38">
        <f>AY120-Table3[[#This Row],[SmPrice]]</f>
        <v>0</v>
      </c>
    </row>
    <row r="121" spans="1:54" x14ac:dyDescent="0.35">
      <c r="A121" s="6">
        <v>119</v>
      </c>
      <c r="B121" s="3">
        <v>42909</v>
      </c>
      <c r="C121" s="2">
        <v>231.61</v>
      </c>
      <c r="D121" s="2">
        <v>232.19</v>
      </c>
      <c r="E121" s="2">
        <v>231.19</v>
      </c>
      <c r="F121" s="2">
        <v>231.82</v>
      </c>
      <c r="G121" s="1">
        <v>70253848</v>
      </c>
      <c r="H121" s="30">
        <f>(testdata[[#This Row],[high]]+testdata[[#This Row],[low]])/2</f>
        <v>231.69</v>
      </c>
      <c r="I121" s="23">
        <f>(4*testdata[[#This Row],[price]]+3*H120+2*H119+H118)/10</f>
        <v>231.78100000000001</v>
      </c>
      <c r="J121" s="9">
        <f>(0.0962*testdata[[#This Row],[smooth]]+0.5769*I119-0.5769*I117-0.0962*I115)*(0.075*$Z120+0.54)</f>
        <v>0.59183302321204023</v>
      </c>
      <c r="K121" s="14">
        <f t="shared" si="3"/>
        <v>-6.7804718434444716E-2</v>
      </c>
      <c r="L121" s="14">
        <f>(0.0962*testdata[[#This Row],[detrender]]+0.5769*J119-0.5769*J117-0.0962*J115)*(0.075*$Z120+0.54)</f>
        <v>1.2763223786206279</v>
      </c>
      <c r="M121" s="9">
        <f>(0.0962*testdata[[#This Row],[I1]]+0.5769*K119-0.5769*K117-0.0962*K115)*(0.075*$Z120+0.54)</f>
        <v>1.275133888586411</v>
      </c>
      <c r="N121" s="9">
        <f>(0.0962*testdata[[#This Row],[Q1]]+0.5769*L119-0.5769*L117-0.0962*L115)*(0.075*$Z120+0.54)</f>
        <v>1.147418323092686</v>
      </c>
      <c r="O121" s="9">
        <f>testdata[[#This Row],[I1]]-testdata[[#This Row],[JQ]]</f>
        <v>-1.2152230415271308</v>
      </c>
      <c r="P121" s="9">
        <f>testdata[[#This Row],[Q1]]+testdata[[#This Row],[jI]]</f>
        <v>2.5514562672070387</v>
      </c>
      <c r="Q121" s="9">
        <f>0.2*testdata[[#This Row],[I2]]+0.8*Q120</f>
        <v>-0.59598610939992502</v>
      </c>
      <c r="R121" s="9">
        <f>0.2*testdata[[#This Row],[Q2]]+0.8*R120</f>
        <v>-0.24196172591641407</v>
      </c>
      <c r="S121" s="9">
        <f>testdata[[#This Row],[I2'']]*Q120+testdata[[#This Row],[Q2'']]*R120</f>
        <v>0.49045582661782866</v>
      </c>
      <c r="T121" s="9">
        <f>testdata[[#This Row],[I2'']]*R120-testdata[[#This Row],[Q2'']]*Q120</f>
        <v>0.4536674896245193</v>
      </c>
      <c r="U121" s="9">
        <f>0.2*testdata[[#This Row],[Re]]+0.8*U120</f>
        <v>2.9558586418104618</v>
      </c>
      <c r="V121" s="9">
        <f>0.2*testdata[[#This Row],[Im]]+0.8*V120</f>
        <v>0.88499178541955814</v>
      </c>
      <c r="W121" s="9">
        <f>IF(AND(testdata[[#This Row],[Re'']]&lt;&gt;0,testdata[[#This Row],[Im'']]&lt;&gt;0),2*PI()/ATAN(testdata[[#This Row],[Im'']]/testdata[[#This Row],[Re'']]),0)</f>
        <v>21.598483112435908</v>
      </c>
      <c r="X121" s="9">
        <f>IF(testdata[[#This Row],[pd-atan]]&gt;1.5*Z120,1.5*Z120,IF(testdata[[#This Row],[pd-atan]]&lt;0.67*Z120,0.67*Z120,testdata[[#This Row],[pd-atan]]))</f>
        <v>21.598483112435908</v>
      </c>
      <c r="Y121" s="9">
        <f>IF(testdata[[#This Row],[pd-limit1]]&lt;6,6,IF(testdata[[#This Row],[pd-limit1]]&gt;50,50,testdata[[#This Row],[pd-limit1]]))</f>
        <v>21.598483112435908</v>
      </c>
      <c r="Z121" s="14">
        <f>0.2*testdata[[#This Row],[pd-limit2]]+0.8*Z120</f>
        <v>23.975132928765898</v>
      </c>
      <c r="AA121" s="14">
        <f>0.33*testdata[[#This Row],[period]]+0.67*AA120</f>
        <v>24.184189606293305</v>
      </c>
      <c r="AB121" s="31">
        <f>TRUNC(testdata[[#This Row],[SmPd]]+0.5,0)</f>
        <v>24</v>
      </c>
      <c r="AC121" s="14">
        <f ca="1">IF(testdata[[#This Row],[PdInt]]&lt;=0,0,AVERAGE(OFFSET(testdata[[#This Row],[price]],0,0,-testdata[[#This Row],[PdInt]],1)))</f>
        <v>230.50354166666668</v>
      </c>
      <c r="AD121" s="14">
        <f ca="1">IF(testdata[[#This Row],[i]]&lt;11,testdata[[#This Row],[price]],(4*testdata[[#This Row],[iTrend]]+3*AC120+2*AC119+AC118)/10)</f>
        <v>230.24247916666673</v>
      </c>
      <c r="AE121" s="14">
        <f>(4*testdata[[#This Row],[price]]+3*H120+2*H119+H118)/10</f>
        <v>231.78100000000001</v>
      </c>
      <c r="AF121" t="str">
        <f ca="1">IF(OR(ROUND(testdata[[#This Row],[Trendline]],4)&lt;&gt;Table3[[#This Row],[Trendline]],ROUND(testdata[[#This Row],[SmPrice]],4)&lt;&gt;Table3[[#This Row],[SmPrice]]),"ERR","")</f>
        <v/>
      </c>
      <c r="AG121" s="3">
        <v>42909</v>
      </c>
      <c r="AH121" s="14">
        <v>24.176500000000001</v>
      </c>
      <c r="AI121" s="34">
        <v>24</v>
      </c>
      <c r="AJ121" s="14">
        <v>230.5035</v>
      </c>
      <c r="AK121" s="14">
        <v>230.24250000000001</v>
      </c>
      <c r="AL121" s="14">
        <v>231.78100000000001</v>
      </c>
      <c r="AN121" s="38">
        <f t="shared" si="4"/>
        <v>0</v>
      </c>
      <c r="AO121" s="38">
        <f t="shared" si="5"/>
        <v>0</v>
      </c>
      <c r="AQ121" s="37">
        <v>42909</v>
      </c>
      <c r="AR121">
        <v>24</v>
      </c>
      <c r="AS121">
        <v>230.24247916666599</v>
      </c>
      <c r="AT121">
        <v>231.78100000000001</v>
      </c>
      <c r="AV121" s="37">
        <v>42909</v>
      </c>
      <c r="AW121">
        <v>24</v>
      </c>
      <c r="AX121">
        <v>230.24247916666599</v>
      </c>
      <c r="AY121">
        <v>231.78100000000001</v>
      </c>
      <c r="BA121" s="38">
        <f>AX121-Table3[[#This Row],[Trendline]]</f>
        <v>-2.0833334019698668E-5</v>
      </c>
      <c r="BB121" s="38">
        <f>AY121-Table3[[#This Row],[SmPrice]]</f>
        <v>0</v>
      </c>
    </row>
    <row r="122" spans="1:54" x14ac:dyDescent="0.35">
      <c r="A122" s="6">
        <v>120</v>
      </c>
      <c r="B122" s="3">
        <v>42912</v>
      </c>
      <c r="C122" s="2">
        <v>232.56</v>
      </c>
      <c r="D122" s="2">
        <v>233.02</v>
      </c>
      <c r="E122" s="2">
        <v>231.74</v>
      </c>
      <c r="F122" s="2">
        <v>231.98</v>
      </c>
      <c r="G122" s="1">
        <v>59465848</v>
      </c>
      <c r="H122" s="30">
        <f>(testdata[[#This Row],[high]]+testdata[[#This Row],[low]])/2</f>
        <v>232.38</v>
      </c>
      <c r="I122" s="23">
        <f>(4*testdata[[#This Row],[price]]+3*H121+2*H120+H119)/10</f>
        <v>231.98599999999996</v>
      </c>
      <c r="J122" s="9">
        <f>(0.0962*testdata[[#This Row],[smooth]]+0.5769*I120-0.5769*I118-0.0962*I116)*(0.075*$Z121+0.54)</f>
        <v>0.13544243036162681</v>
      </c>
      <c r="K122" s="14">
        <f t="shared" si="3"/>
        <v>0.98138329536587543</v>
      </c>
      <c r="L122" s="14">
        <f>(0.0962*testdata[[#This Row],[detrender]]+0.5769*J120-0.5769*J118-0.0962*J116)*(0.075*$Z121+0.54)</f>
        <v>1.9255219005701236</v>
      </c>
      <c r="M122" s="9">
        <f>(0.0962*testdata[[#This Row],[I1]]+0.5769*K120-0.5769*K118-0.0962*K116)*(0.075*$Z121+0.54)</f>
        <v>0.3693885777125781</v>
      </c>
      <c r="N122" s="9">
        <f>(0.0962*testdata[[#This Row],[Q1]]+0.5769*L120-0.5769*L118-0.0962*L116)*(0.075*$Z121+0.54)</f>
        <v>-1.7712116274018586</v>
      </c>
      <c r="O122" s="9">
        <f>testdata[[#This Row],[I1]]-testdata[[#This Row],[JQ]]</f>
        <v>2.752594922767734</v>
      </c>
      <c r="P122" s="9">
        <f>testdata[[#This Row],[Q1]]+testdata[[#This Row],[jI]]</f>
        <v>2.2949104782827017</v>
      </c>
      <c r="Q122" s="9">
        <f>0.2*testdata[[#This Row],[I2]]+0.8*Q121</f>
        <v>7.3730097033606834E-2</v>
      </c>
      <c r="R122" s="9">
        <f>0.2*testdata[[#This Row],[Q2]]+0.8*R121</f>
        <v>0.26541271492340912</v>
      </c>
      <c r="S122" s="9">
        <f>testdata[[#This Row],[I2'']]*Q121+testdata[[#This Row],[Q2'']]*R121</f>
        <v>-0.10816183225976755</v>
      </c>
      <c r="T122" s="9">
        <f>testdata[[#This Row],[I2'']]*R121-testdata[[#This Row],[Q2'']]*Q121</f>
        <v>0.14034242982223782</v>
      </c>
      <c r="U122" s="9">
        <f>0.2*testdata[[#This Row],[Re]]+0.8*U121</f>
        <v>2.3430545469964161</v>
      </c>
      <c r="V122" s="9">
        <f>0.2*testdata[[#This Row],[Im]]+0.8*V121</f>
        <v>0.73606191430009416</v>
      </c>
      <c r="W122" s="9">
        <f>IF(AND(testdata[[#This Row],[Re'']]&lt;&gt;0,testdata[[#This Row],[Im'']]&lt;&gt;0),2*PI()/ATAN(testdata[[#This Row],[Im'']]/testdata[[#This Row],[Re'']]),0)</f>
        <v>20.642298528280548</v>
      </c>
      <c r="X122" s="9">
        <f>IF(testdata[[#This Row],[pd-atan]]&gt;1.5*Z121,1.5*Z121,IF(testdata[[#This Row],[pd-atan]]&lt;0.67*Z121,0.67*Z121,testdata[[#This Row],[pd-atan]]))</f>
        <v>20.642298528280548</v>
      </c>
      <c r="Y122" s="9">
        <f>IF(testdata[[#This Row],[pd-limit1]]&lt;6,6,IF(testdata[[#This Row],[pd-limit1]]&gt;50,50,testdata[[#This Row],[pd-limit1]]))</f>
        <v>20.642298528280548</v>
      </c>
      <c r="Z122" s="14">
        <f>0.2*testdata[[#This Row],[pd-limit2]]+0.8*Z121</f>
        <v>23.30856604866883</v>
      </c>
      <c r="AA122" s="14">
        <f>0.33*testdata[[#This Row],[period]]+0.67*AA121</f>
        <v>23.895233832277228</v>
      </c>
      <c r="AB122" s="31">
        <f>TRUNC(testdata[[#This Row],[SmPd]]+0.5,0)</f>
        <v>24</v>
      </c>
      <c r="AC122" s="14">
        <f ca="1">IF(testdata[[#This Row],[PdInt]]&lt;=0,0,AVERAGE(OFFSET(testdata[[#This Row],[price]],0,0,-testdata[[#This Row],[PdInt]],1)))</f>
        <v>230.72645833333328</v>
      </c>
      <c r="AD122" s="14">
        <f ca="1">IF(testdata[[#This Row],[i]]&lt;11,testdata[[#This Row],[price]],(4*testdata[[#This Row],[iTrend]]+3*AC121+2*AC120+AC119)/10)</f>
        <v>230.49118749999997</v>
      </c>
      <c r="AE122" s="14">
        <f>(4*testdata[[#This Row],[price]]+3*H121+2*H120+H119)/10</f>
        <v>231.98599999999996</v>
      </c>
      <c r="AF122" t="str">
        <f ca="1">IF(OR(ROUND(testdata[[#This Row],[Trendline]],4)&lt;&gt;Table3[[#This Row],[Trendline]],ROUND(testdata[[#This Row],[SmPrice]],4)&lt;&gt;Table3[[#This Row],[SmPrice]]),"ERR","")</f>
        <v/>
      </c>
      <c r="AG122" s="3">
        <v>42912</v>
      </c>
      <c r="AH122" s="14">
        <v>23.8856</v>
      </c>
      <c r="AI122" s="34">
        <v>24</v>
      </c>
      <c r="AJ122" s="14">
        <v>230.72649999999999</v>
      </c>
      <c r="AK122" s="14">
        <v>230.49119999999999</v>
      </c>
      <c r="AL122" s="14">
        <v>231.98599999999999</v>
      </c>
      <c r="AN122" s="38">
        <f t="shared" si="4"/>
        <v>0</v>
      </c>
      <c r="AO122" s="38">
        <f t="shared" si="5"/>
        <v>0</v>
      </c>
      <c r="AQ122" s="37">
        <v>42912</v>
      </c>
      <c r="AR122">
        <v>24</v>
      </c>
      <c r="AS122">
        <v>230.491187499999</v>
      </c>
      <c r="AT122">
        <v>231.985999999999</v>
      </c>
      <c r="AV122" s="37">
        <v>42912</v>
      </c>
      <c r="AW122">
        <v>24</v>
      </c>
      <c r="AX122">
        <v>230.491187499999</v>
      </c>
      <c r="AY122">
        <v>231.985999999999</v>
      </c>
      <c r="BA122" s="38">
        <f>AX122-Table3[[#This Row],[Trendline]]</f>
        <v>-1.2500000991622073E-5</v>
      </c>
      <c r="BB122" s="38">
        <f>AY122-Table3[[#This Row],[SmPrice]]</f>
        <v>-9.9475983006414026E-13</v>
      </c>
    </row>
    <row r="123" spans="1:54" x14ac:dyDescent="0.35">
      <c r="A123" s="6">
        <v>121</v>
      </c>
      <c r="B123" s="3">
        <v>42913</v>
      </c>
      <c r="C123" s="2">
        <v>231.74</v>
      </c>
      <c r="D123" s="2">
        <v>232.06</v>
      </c>
      <c r="E123" s="2">
        <v>230.09</v>
      </c>
      <c r="F123" s="2">
        <v>230.11</v>
      </c>
      <c r="G123" s="1">
        <v>86259016</v>
      </c>
      <c r="H123" s="30">
        <f>(testdata[[#This Row],[high]]+testdata[[#This Row],[low]])/2</f>
        <v>231.07499999999999</v>
      </c>
      <c r="I123" s="23">
        <f>(4*testdata[[#This Row],[price]]+3*H122+2*H121+H120)/10</f>
        <v>231.66050000000001</v>
      </c>
      <c r="J123" s="9">
        <f>(0.0962*testdata[[#This Row],[smooth]]+0.5769*I121-0.5769*I119-0.0962*I117)*(0.075*$Z122+0.54)</f>
        <v>-0.3182409160310829</v>
      </c>
      <c r="K123" s="14">
        <f t="shared" si="3"/>
        <v>1.4367233107755979</v>
      </c>
      <c r="L123" s="14">
        <f>(0.0962*testdata[[#This Row],[detrender]]+0.5769*J121-0.5769*J119-0.0962*J117)*(0.075*$Z122+0.54)</f>
        <v>-0.61627586023471159</v>
      </c>
      <c r="M123" s="9">
        <f>(0.0962*testdata[[#This Row],[I1]]+0.5769*K121-0.5769*K119-0.0962*K117)*(0.075*$Z122+0.54)</f>
        <v>-0.48192982264866718</v>
      </c>
      <c r="N123" s="9">
        <f>(0.0962*testdata[[#This Row],[Q1]]+0.5769*L121-0.5769*L119-0.0962*L117)*(0.075*$Z122+0.54)</f>
        <v>1.0573280344255696</v>
      </c>
      <c r="O123" s="9">
        <f>testdata[[#This Row],[I1]]-testdata[[#This Row],[JQ]]</f>
        <v>0.37939527635002834</v>
      </c>
      <c r="P123" s="9">
        <f>testdata[[#This Row],[Q1]]+testdata[[#This Row],[jI]]</f>
        <v>-1.0982056828833788</v>
      </c>
      <c r="Q123" s="9">
        <f>0.2*testdata[[#This Row],[I2]]+0.8*Q122</f>
        <v>0.13486313289689114</v>
      </c>
      <c r="R123" s="9">
        <f>0.2*testdata[[#This Row],[Q2]]+0.8*R122</f>
        <v>-7.310964637948475E-3</v>
      </c>
      <c r="S123" s="9">
        <f>testdata[[#This Row],[I2'']]*Q122+testdata[[#This Row],[Q2'']]*R122</f>
        <v>8.0030489014770549E-3</v>
      </c>
      <c r="T123" s="9">
        <f>testdata[[#This Row],[I2'']]*R122-testdata[[#This Row],[Q2'']]*Q122</f>
        <v>3.6333428377405615E-2</v>
      </c>
      <c r="U123" s="9">
        <f>0.2*testdata[[#This Row],[Re]]+0.8*U122</f>
        <v>1.8760442473774284</v>
      </c>
      <c r="V123" s="9">
        <f>0.2*testdata[[#This Row],[Im]]+0.8*V122</f>
        <v>0.59611621711555651</v>
      </c>
      <c r="W123" s="9">
        <f>IF(AND(testdata[[#This Row],[Re'']]&lt;&gt;0,testdata[[#This Row],[Im'']]&lt;&gt;0),2*PI()/ATAN(testdata[[#This Row],[Im'']]/testdata[[#This Row],[Re'']]),0)</f>
        <v>20.422354507624</v>
      </c>
      <c r="X123" s="9">
        <f>IF(testdata[[#This Row],[pd-atan]]&gt;1.5*Z122,1.5*Z122,IF(testdata[[#This Row],[pd-atan]]&lt;0.67*Z122,0.67*Z122,testdata[[#This Row],[pd-atan]]))</f>
        <v>20.422354507624</v>
      </c>
      <c r="Y123" s="9">
        <f>IF(testdata[[#This Row],[pd-limit1]]&lt;6,6,IF(testdata[[#This Row],[pd-limit1]]&gt;50,50,testdata[[#This Row],[pd-limit1]]))</f>
        <v>20.422354507624</v>
      </c>
      <c r="Z123" s="14">
        <f>0.2*testdata[[#This Row],[pd-limit2]]+0.8*Z122</f>
        <v>22.731323740459864</v>
      </c>
      <c r="AA123" s="14">
        <f>0.33*testdata[[#This Row],[period]]+0.67*AA122</f>
        <v>23.511143501977497</v>
      </c>
      <c r="AB123" s="31">
        <f>TRUNC(testdata[[#This Row],[SmPd]]+0.5,0)</f>
        <v>24</v>
      </c>
      <c r="AC123" s="14">
        <f ca="1">IF(testdata[[#This Row],[PdInt]]&lt;=0,0,AVERAGE(OFFSET(testdata[[#This Row],[price]],0,0,-testdata[[#This Row],[PdInt]],1)))</f>
        <v>230.87083333333331</v>
      </c>
      <c r="AD123" s="14">
        <f ca="1">IF(testdata[[#This Row],[i]]&lt;11,testdata[[#This Row],[price]],(4*testdata[[#This Row],[iTrend]]+3*AC122+2*AC121+AC120)/10)</f>
        <v>230.69362499999997</v>
      </c>
      <c r="AE123" s="14">
        <f>(4*testdata[[#This Row],[price]]+3*H122+2*H121+H120)/10</f>
        <v>231.66050000000001</v>
      </c>
      <c r="AF123" t="str">
        <f ca="1">IF(OR(ROUND(testdata[[#This Row],[Trendline]],4)&lt;&gt;Table3[[#This Row],[Trendline]],ROUND(testdata[[#This Row],[SmPrice]],4)&lt;&gt;Table3[[#This Row],[SmPrice]]),"ERR","")</f>
        <v>ERR</v>
      </c>
      <c r="AG123" s="3">
        <v>42913</v>
      </c>
      <c r="AH123" s="14">
        <v>23.495799999999999</v>
      </c>
      <c r="AI123" s="34">
        <v>23</v>
      </c>
      <c r="AJ123" s="14">
        <v>230.9939</v>
      </c>
      <c r="AK123" s="14">
        <v>230.74289999999999</v>
      </c>
      <c r="AL123" s="14">
        <v>231.66050000000001</v>
      </c>
      <c r="AN123" s="38">
        <f t="shared" si="4"/>
        <v>4.9231884058002606E-2</v>
      </c>
      <c r="AO123" s="38">
        <f t="shared" si="5"/>
        <v>0</v>
      </c>
      <c r="AQ123" s="37">
        <v>42913</v>
      </c>
      <c r="AR123">
        <v>24</v>
      </c>
      <c r="AS123">
        <v>230.693624999999</v>
      </c>
      <c r="AT123">
        <v>231.66050000000001</v>
      </c>
      <c r="AV123" s="37">
        <v>42913</v>
      </c>
      <c r="AW123">
        <v>23</v>
      </c>
      <c r="AX123">
        <v>230.74285688405701</v>
      </c>
      <c r="AY123">
        <v>231.66050000000001</v>
      </c>
      <c r="BA123" s="38">
        <f>AX123-Table3[[#This Row],[Trendline]]</f>
        <v>-4.3115942986560185E-5</v>
      </c>
      <c r="BB123" s="38">
        <f>AY123-Table3[[#This Row],[SmPrice]]</f>
        <v>0</v>
      </c>
    </row>
    <row r="124" spans="1:54" x14ac:dyDescent="0.35">
      <c r="A124" s="6">
        <v>122</v>
      </c>
      <c r="B124" s="3">
        <v>42914</v>
      </c>
      <c r="C124" s="2">
        <v>231.22</v>
      </c>
      <c r="D124" s="2">
        <v>232.38</v>
      </c>
      <c r="E124" s="2">
        <v>230.97</v>
      </c>
      <c r="F124" s="2">
        <v>232.17</v>
      </c>
      <c r="G124" s="1">
        <v>73458688</v>
      </c>
      <c r="H124" s="30">
        <f>(testdata[[#This Row],[high]]+testdata[[#This Row],[low]])/2</f>
        <v>231.67500000000001</v>
      </c>
      <c r="I124" s="23">
        <f>(4*testdata[[#This Row],[price]]+3*H123+2*H122+H121)/10</f>
        <v>231.63749999999999</v>
      </c>
      <c r="J124" s="9">
        <f>(0.0962*testdata[[#This Row],[smooth]]+0.5769*I122-0.5769*I120-0.0962*I118)*(0.075*$Z123+0.54)</f>
        <v>-4.4613124419269429E-2</v>
      </c>
      <c r="K124" s="14">
        <f t="shared" si="3"/>
        <v>0.59183302321204023</v>
      </c>
      <c r="L124" s="14">
        <f>(0.0962*testdata[[#This Row],[detrender]]+0.5769*J122-0.5769*J120-0.0962*J118)*(0.075*$Z123+0.54)</f>
        <v>-1.6802200945416017</v>
      </c>
      <c r="M124" s="9">
        <f>(0.0962*testdata[[#This Row],[I1]]+0.5769*K122-0.5769*K120-0.0962*K118)*(0.075*$Z123+0.54)</f>
        <v>1.2024823922381451</v>
      </c>
      <c r="N124" s="9">
        <f>(0.0962*testdata[[#This Row],[Q1]]+0.5769*L122-0.5769*L120-0.0962*L118)*(0.075*$Z123+0.54)</f>
        <v>2.5137916092604526</v>
      </c>
      <c r="O124" s="9">
        <f>testdata[[#This Row],[I1]]-testdata[[#This Row],[JQ]]</f>
        <v>-1.9219585860484125</v>
      </c>
      <c r="P124" s="9">
        <f>testdata[[#This Row],[Q1]]+testdata[[#This Row],[jI]]</f>
        <v>-0.47773770230345658</v>
      </c>
      <c r="Q124" s="9">
        <f>0.2*testdata[[#This Row],[I2]]+0.8*Q123</f>
        <v>-0.27650121089216961</v>
      </c>
      <c r="R124" s="9">
        <f>0.2*testdata[[#This Row],[Q2]]+0.8*R123</f>
        <v>-0.10139631217105009</v>
      </c>
      <c r="S124" s="9">
        <f>testdata[[#This Row],[I2'']]*Q123+testdata[[#This Row],[Q2'']]*R123</f>
        <v>-3.6548514698001064E-2</v>
      </c>
      <c r="T124" s="9">
        <f>testdata[[#This Row],[I2'']]*R123-testdata[[#This Row],[Q2'']]*Q123</f>
        <v>1.5696114898761576E-2</v>
      </c>
      <c r="U124" s="9">
        <f>0.2*testdata[[#This Row],[Re]]+0.8*U123</f>
        <v>1.4935256949623426</v>
      </c>
      <c r="V124" s="9">
        <f>0.2*testdata[[#This Row],[Im]]+0.8*V123</f>
        <v>0.48003219667219754</v>
      </c>
      <c r="W124" s="9">
        <f>IF(AND(testdata[[#This Row],[Re'']]&lt;&gt;0,testdata[[#This Row],[Im'']]&lt;&gt;0),2*PI()/ATAN(testdata[[#This Row],[Im'']]/testdata[[#This Row],[Re'']]),0)</f>
        <v>20.204448219747061</v>
      </c>
      <c r="X124" s="9">
        <f>IF(testdata[[#This Row],[pd-atan]]&gt;1.5*Z123,1.5*Z123,IF(testdata[[#This Row],[pd-atan]]&lt;0.67*Z123,0.67*Z123,testdata[[#This Row],[pd-atan]]))</f>
        <v>20.204448219747061</v>
      </c>
      <c r="Y124" s="9">
        <f>IF(testdata[[#This Row],[pd-limit1]]&lt;6,6,IF(testdata[[#This Row],[pd-limit1]]&gt;50,50,testdata[[#This Row],[pd-limit1]]))</f>
        <v>20.204448219747061</v>
      </c>
      <c r="Z124" s="14">
        <f>0.2*testdata[[#This Row],[pd-limit2]]+0.8*Z123</f>
        <v>22.225948636317305</v>
      </c>
      <c r="AA124" s="14">
        <f>0.33*testdata[[#This Row],[period]]+0.67*AA123</f>
        <v>23.087029196309636</v>
      </c>
      <c r="AB124" s="31">
        <f>TRUNC(testdata[[#This Row],[SmPd]]+0.5,0)</f>
        <v>23</v>
      </c>
      <c r="AC124" s="14">
        <f ca="1">IF(testdata[[#This Row],[PdInt]]&lt;=0,0,AVERAGE(OFFSET(testdata[[#This Row],[price]],0,0,-testdata[[#This Row],[PdInt]],1)))</f>
        <v>231.10282608695653</v>
      </c>
      <c r="AD124" s="14">
        <f ca="1">IF(testdata[[#This Row],[i]]&lt;11,testdata[[#This Row],[price]],(4*testdata[[#This Row],[iTrend]]+3*AC123+2*AC122+AC121)/10)</f>
        <v>230.89802626811593</v>
      </c>
      <c r="AE124" s="14">
        <f>(4*testdata[[#This Row],[price]]+3*H123+2*H122+H121)/10</f>
        <v>231.63749999999999</v>
      </c>
      <c r="AF124" t="str">
        <f ca="1">IF(OR(ROUND(testdata[[#This Row],[Trendline]],4)&lt;&gt;Table3[[#This Row],[Trendline]],ROUND(testdata[[#This Row],[SmPrice]],4)&lt;&gt;Table3[[#This Row],[SmPrice]]),"ERR","")</f>
        <v>ERR</v>
      </c>
      <c r="AG124" s="3">
        <v>42914</v>
      </c>
      <c r="AH124" s="14">
        <v>23.064900000000002</v>
      </c>
      <c r="AI124" s="34">
        <v>23</v>
      </c>
      <c r="AJ124" s="14">
        <v>231.1028</v>
      </c>
      <c r="AK124" s="14">
        <v>230.935</v>
      </c>
      <c r="AL124" s="14">
        <v>231.63749999999999</v>
      </c>
      <c r="AN124" s="38">
        <f t="shared" si="4"/>
        <v>3.692391304400644E-2</v>
      </c>
      <c r="AO124" s="38">
        <f t="shared" si="5"/>
        <v>0</v>
      </c>
      <c r="AQ124" s="37">
        <v>42914</v>
      </c>
      <c r="AR124">
        <v>23</v>
      </c>
      <c r="AS124">
        <v>230.89802626811499</v>
      </c>
      <c r="AT124">
        <v>231.63749999999999</v>
      </c>
      <c r="AV124" s="37">
        <v>42914</v>
      </c>
      <c r="AW124">
        <v>23</v>
      </c>
      <c r="AX124">
        <v>230.934950181159</v>
      </c>
      <c r="AY124">
        <v>231.63749999999999</v>
      </c>
      <c r="BA124" s="38">
        <f>AX124-Table3[[#This Row],[Trendline]]</f>
        <v>-4.9818841006299408E-5</v>
      </c>
      <c r="BB124" s="38">
        <f>AY124-Table3[[#This Row],[SmPrice]]</f>
        <v>0</v>
      </c>
    </row>
    <row r="125" spans="1:54" x14ac:dyDescent="0.35">
      <c r="A125" s="6">
        <v>123</v>
      </c>
      <c r="B125" s="3">
        <v>42915</v>
      </c>
      <c r="C125" s="2">
        <v>232.33</v>
      </c>
      <c r="D125" s="2">
        <v>232.39</v>
      </c>
      <c r="E125" s="2">
        <v>228.8</v>
      </c>
      <c r="F125" s="2">
        <v>230.13</v>
      </c>
      <c r="G125" s="1">
        <v>112165824</v>
      </c>
      <c r="H125" s="30">
        <f>(testdata[[#This Row],[high]]+testdata[[#This Row],[low]])/2</f>
        <v>230.595</v>
      </c>
      <c r="I125" s="23">
        <f>(4*testdata[[#This Row],[price]]+3*H124+2*H123+H122)/10</f>
        <v>231.19350000000003</v>
      </c>
      <c r="J125" s="9">
        <f>(0.0962*testdata[[#This Row],[smooth]]+0.5769*I123-0.5769*I121-0.0962*I119)*(0.075*$Z124+0.54)</f>
        <v>-0.3281487261061205</v>
      </c>
      <c r="K125" s="14">
        <f t="shared" si="3"/>
        <v>0.13544243036162681</v>
      </c>
      <c r="L125" s="14">
        <f>(0.0962*testdata[[#This Row],[detrender]]+0.5769*J123-0.5769*J121-0.0962*J119)*(0.075*$Z124+0.54)</f>
        <v>-1.4367189319266709</v>
      </c>
      <c r="M125" s="9">
        <f>(0.0962*testdata[[#This Row],[I1]]+0.5769*K123-0.5769*K121-0.0962*K119)*(0.075*$Z124+0.54)</f>
        <v>1.8174841041976431</v>
      </c>
      <c r="N125" s="9">
        <f>(0.0962*testdata[[#This Row],[Q1]]+0.5769*L123-0.5769*L121-0.0962*L119)*(0.075*$Z124+0.54)</f>
        <v>-2.7950613873839134</v>
      </c>
      <c r="O125" s="9">
        <f>testdata[[#This Row],[I1]]-testdata[[#This Row],[JQ]]</f>
        <v>2.93050381774554</v>
      </c>
      <c r="P125" s="9">
        <f>testdata[[#This Row],[Q1]]+testdata[[#This Row],[jI]]</f>
        <v>0.38076517227097217</v>
      </c>
      <c r="Q125" s="9">
        <f>0.2*testdata[[#This Row],[I2]]+0.8*Q124</f>
        <v>0.36489979483537227</v>
      </c>
      <c r="R125" s="9">
        <f>0.2*testdata[[#This Row],[Q2]]+0.8*R124</f>
        <v>-4.9640152826456452E-3</v>
      </c>
      <c r="S125" s="9">
        <f>testdata[[#This Row],[I2'']]*Q124+testdata[[#This Row],[Q2'']]*R124</f>
        <v>-0.10039190228306369</v>
      </c>
      <c r="T125" s="9">
        <f>testdata[[#This Row],[I2'']]*R124-testdata[[#This Row],[Q2'']]*Q124</f>
        <v>-3.8372049744818296E-2</v>
      </c>
      <c r="U125" s="9">
        <f>0.2*testdata[[#This Row],[Re]]+0.8*U124</f>
        <v>1.1747421755132614</v>
      </c>
      <c r="V125" s="9">
        <f>0.2*testdata[[#This Row],[Im]]+0.8*V124</f>
        <v>0.37635134738879439</v>
      </c>
      <c r="W125" s="9">
        <f>IF(AND(testdata[[#This Row],[Re'']]&lt;&gt;0,testdata[[#This Row],[Im'']]&lt;&gt;0),2*PI()/ATAN(testdata[[#This Row],[Im'']]/testdata[[#This Row],[Re'']]),0)</f>
        <v>20.265860753336888</v>
      </c>
      <c r="X125" s="9">
        <f>IF(testdata[[#This Row],[pd-atan]]&gt;1.5*Z124,1.5*Z124,IF(testdata[[#This Row],[pd-atan]]&lt;0.67*Z124,0.67*Z124,testdata[[#This Row],[pd-atan]]))</f>
        <v>20.265860753336888</v>
      </c>
      <c r="Y125" s="9">
        <f>IF(testdata[[#This Row],[pd-limit1]]&lt;6,6,IF(testdata[[#This Row],[pd-limit1]]&gt;50,50,testdata[[#This Row],[pd-limit1]]))</f>
        <v>20.265860753336888</v>
      </c>
      <c r="Z125" s="14">
        <f>0.2*testdata[[#This Row],[pd-limit2]]+0.8*Z124</f>
        <v>21.833931059721223</v>
      </c>
      <c r="AA125" s="14">
        <f>0.33*testdata[[#This Row],[period]]+0.67*AA124</f>
        <v>22.673506811235463</v>
      </c>
      <c r="AB125" s="31">
        <f>TRUNC(testdata[[#This Row],[SmPd]]+0.5,0)</f>
        <v>23</v>
      </c>
      <c r="AC125" s="14">
        <f ca="1">IF(testdata[[#This Row],[PdInt]]&lt;=0,0,AVERAGE(OFFSET(testdata[[#This Row],[price]],0,0,-testdata[[#This Row],[PdInt]],1)))</f>
        <v>231.15847826086954</v>
      </c>
      <c r="AD125" s="14">
        <f ca="1">IF(testdata[[#This Row],[i]]&lt;11,testdata[[#This Row],[price]],(4*testdata[[#This Row],[iTrend]]+3*AC124+2*AC123+AC122)/10)</f>
        <v>231.04105163043477</v>
      </c>
      <c r="AE125" s="14">
        <f>(4*testdata[[#This Row],[price]]+3*H124+2*H123+H122)/10</f>
        <v>231.19350000000003</v>
      </c>
      <c r="AF125" t="str">
        <f ca="1">IF(OR(ROUND(testdata[[#This Row],[Trendline]],4)&lt;&gt;Table3[[#This Row],[Trendline]],ROUND(testdata[[#This Row],[SmPrice]],4)&lt;&gt;Table3[[#This Row],[SmPrice]]),"ERR","")</f>
        <v>ERR</v>
      </c>
      <c r="AG125" s="3">
        <v>42915</v>
      </c>
      <c r="AH125" s="14">
        <v>22.642800000000001</v>
      </c>
      <c r="AI125" s="34">
        <v>23</v>
      </c>
      <c r="AJ125" s="14">
        <v>231.1585</v>
      </c>
      <c r="AK125" s="14">
        <v>231.06569999999999</v>
      </c>
      <c r="AL125" s="14">
        <v>231.1935</v>
      </c>
      <c r="AN125" s="38">
        <f t="shared" si="4"/>
        <v>2.4615942029015514E-2</v>
      </c>
      <c r="AO125" s="38">
        <f t="shared" si="5"/>
        <v>0</v>
      </c>
      <c r="AQ125" s="37">
        <v>42915</v>
      </c>
      <c r="AR125">
        <v>23</v>
      </c>
      <c r="AS125">
        <v>231.041051630434</v>
      </c>
      <c r="AT125">
        <v>231.1935</v>
      </c>
      <c r="AV125" s="37">
        <v>42915</v>
      </c>
      <c r="AW125">
        <v>23</v>
      </c>
      <c r="AX125">
        <v>231.06566757246301</v>
      </c>
      <c r="AY125">
        <v>231.1935</v>
      </c>
      <c r="BA125" s="38">
        <f>AX125-Table3[[#This Row],[Trendline]]</f>
        <v>-3.2427536979184879E-5</v>
      </c>
      <c r="BB125" s="38">
        <f>AY125-Table3[[#This Row],[SmPrice]]</f>
        <v>0</v>
      </c>
    </row>
    <row r="126" spans="1:54" x14ac:dyDescent="0.35">
      <c r="A126" s="6">
        <v>124</v>
      </c>
      <c r="B126" s="3">
        <v>42916</v>
      </c>
      <c r="C126" s="2">
        <v>231.01</v>
      </c>
      <c r="D126" s="2">
        <v>231.42</v>
      </c>
      <c r="E126" s="2">
        <v>230.34</v>
      </c>
      <c r="F126" s="2">
        <v>230.56</v>
      </c>
      <c r="G126" s="1">
        <v>91055080</v>
      </c>
      <c r="H126" s="30">
        <f>(testdata[[#This Row],[high]]+testdata[[#This Row],[low]])/2</f>
        <v>230.88</v>
      </c>
      <c r="I126" s="23">
        <f>(4*testdata[[#This Row],[price]]+3*H125+2*H124+H123)/10</f>
        <v>230.97299999999996</v>
      </c>
      <c r="J126" s="9">
        <f>(0.0962*testdata[[#This Row],[smooth]]+0.5769*I124-0.5769*I122-0.0962*I120)*(0.075*$Z125+0.54)</f>
        <v>-0.64423698113929873</v>
      </c>
      <c r="K126" s="14">
        <f t="shared" si="3"/>
        <v>-0.3182409160310829</v>
      </c>
      <c r="L126" s="14">
        <f>(0.0962*testdata[[#This Row],[detrender]]+0.5769*J124-0.5769*J122-0.0962*J120)*(0.075*$Z125+0.54)</f>
        <v>-0.66210957149122396</v>
      </c>
      <c r="M126" s="9">
        <f>(0.0962*testdata[[#This Row],[I1]]+0.5769*K124-0.5769*K122-0.0962*K120)*(0.075*$Z125+0.54)</f>
        <v>-0.58648809686044623</v>
      </c>
      <c r="N126" s="9">
        <f>(0.0962*testdata[[#This Row],[Q1]]+0.5769*L124-0.5769*L122-0.0962*L120)*(0.075*$Z125+0.54)</f>
        <v>-4.5620464018808002</v>
      </c>
      <c r="O126" s="9">
        <f>testdata[[#This Row],[I1]]-testdata[[#This Row],[JQ]]</f>
        <v>4.243805485849717</v>
      </c>
      <c r="P126" s="9">
        <f>testdata[[#This Row],[Q1]]+testdata[[#This Row],[jI]]</f>
        <v>-1.2485976683516702</v>
      </c>
      <c r="Q126" s="9">
        <f>0.2*testdata[[#This Row],[I2]]+0.8*Q125</f>
        <v>1.1406809330382413</v>
      </c>
      <c r="R126" s="9">
        <f>0.2*testdata[[#This Row],[Q2]]+0.8*R125</f>
        <v>-0.25369074589645058</v>
      </c>
      <c r="S126" s="9">
        <f>testdata[[#This Row],[I2'']]*Q125+testdata[[#This Row],[Q2'']]*R125</f>
        <v>0.41749356317797098</v>
      </c>
      <c r="T126" s="9">
        <f>testdata[[#This Row],[I2'']]*R125-testdata[[#This Row],[Q2'']]*Q125</f>
        <v>8.6909343545023041E-2</v>
      </c>
      <c r="U126" s="9">
        <f>0.2*testdata[[#This Row],[Re]]+0.8*U125</f>
        <v>1.0232924530462033</v>
      </c>
      <c r="V126" s="9">
        <f>0.2*testdata[[#This Row],[Im]]+0.8*V125</f>
        <v>0.31846294662004015</v>
      </c>
      <c r="W126" s="9">
        <f>IF(AND(testdata[[#This Row],[Re'']]&lt;&gt;0,testdata[[#This Row],[Im'']]&lt;&gt;0),2*PI()/ATAN(testdata[[#This Row],[Im'']]/testdata[[#This Row],[Re'']]),0)</f>
        <v>20.825049655689686</v>
      </c>
      <c r="X126" s="9">
        <f>IF(testdata[[#This Row],[pd-atan]]&gt;1.5*Z125,1.5*Z125,IF(testdata[[#This Row],[pd-atan]]&lt;0.67*Z125,0.67*Z125,testdata[[#This Row],[pd-atan]]))</f>
        <v>20.825049655689686</v>
      </c>
      <c r="Y126" s="9">
        <f>IF(testdata[[#This Row],[pd-limit1]]&lt;6,6,IF(testdata[[#This Row],[pd-limit1]]&gt;50,50,testdata[[#This Row],[pd-limit1]]))</f>
        <v>20.825049655689686</v>
      </c>
      <c r="Z126" s="14">
        <f>0.2*testdata[[#This Row],[pd-limit2]]+0.8*Z125</f>
        <v>21.632154778914916</v>
      </c>
      <c r="AA126" s="14">
        <f>0.33*testdata[[#This Row],[period]]+0.67*AA125</f>
        <v>22.329860640569684</v>
      </c>
      <c r="AB126" s="31">
        <f>TRUNC(testdata[[#This Row],[SmPd]]+0.5,0)</f>
        <v>22</v>
      </c>
      <c r="AC126" s="14">
        <f ca="1">IF(testdata[[#This Row],[PdInt]]&lt;=0,0,AVERAGE(OFFSET(testdata[[#This Row],[price]],0,0,-testdata[[#This Row],[PdInt]],1)))</f>
        <v>231.33954545454543</v>
      </c>
      <c r="AD126" s="14">
        <f ca="1">IF(testdata[[#This Row],[i]]&lt;11,testdata[[#This Row],[price]],(4*testdata[[#This Row],[iTrend]]+3*AC125+2*AC124+AC123)/10)</f>
        <v>231.19101021080368</v>
      </c>
      <c r="AE126" s="14">
        <f>(4*testdata[[#This Row],[price]]+3*H125+2*H124+H123)/10</f>
        <v>230.97299999999996</v>
      </c>
      <c r="AF126" t="str">
        <f ca="1">IF(OR(ROUND(testdata[[#This Row],[Trendline]],4)&lt;&gt;Table3[[#This Row],[Trendline]],ROUND(testdata[[#This Row],[SmPrice]],4)&lt;&gt;Table3[[#This Row],[SmPrice]]),"ERR","")</f>
        <v>ERR</v>
      </c>
      <c r="AG126" s="3">
        <v>42916</v>
      </c>
      <c r="AH126" s="14">
        <v>22.288699999999999</v>
      </c>
      <c r="AI126" s="34">
        <v>22</v>
      </c>
      <c r="AJ126" s="14">
        <v>231.33949999999999</v>
      </c>
      <c r="AK126" s="14">
        <v>231.20330000000001</v>
      </c>
      <c r="AL126" s="14">
        <v>230.97300000000001</v>
      </c>
      <c r="AN126" s="38">
        <f t="shared" si="4"/>
        <v>1.2307971014990926E-2</v>
      </c>
      <c r="AO126" s="38">
        <f t="shared" si="5"/>
        <v>0</v>
      </c>
      <c r="AQ126" s="37">
        <v>42916</v>
      </c>
      <c r="AR126">
        <v>22</v>
      </c>
      <c r="AS126">
        <v>231.191010210803</v>
      </c>
      <c r="AT126">
        <v>230.97299999999899</v>
      </c>
      <c r="AV126" s="37">
        <v>42916</v>
      </c>
      <c r="AW126">
        <v>22</v>
      </c>
      <c r="AX126">
        <v>231.20331818181799</v>
      </c>
      <c r="AY126">
        <v>230.97299999999899</v>
      </c>
      <c r="BA126" s="38">
        <f>AX126-Table3[[#This Row],[Trendline]]</f>
        <v>1.8181817978302206E-5</v>
      </c>
      <c r="BB126" s="38">
        <f>AY126-Table3[[#This Row],[SmPrice]]</f>
        <v>-1.0231815394945443E-12</v>
      </c>
    </row>
    <row r="127" spans="1:54" x14ac:dyDescent="0.35">
      <c r="A127" s="6">
        <v>125</v>
      </c>
      <c r="B127" s="3">
        <v>42919</v>
      </c>
      <c r="C127" s="2">
        <v>231.59</v>
      </c>
      <c r="D127" s="2">
        <v>232.06</v>
      </c>
      <c r="E127" s="2">
        <v>230.95</v>
      </c>
      <c r="F127" s="2">
        <v>230.95</v>
      </c>
      <c r="G127" s="1">
        <v>41063396</v>
      </c>
      <c r="H127" s="30">
        <f>(testdata[[#This Row],[high]]+testdata[[#This Row],[low]])/2</f>
        <v>231.505</v>
      </c>
      <c r="I127" s="23">
        <f>(4*testdata[[#This Row],[price]]+3*H126+2*H125+H124)/10</f>
        <v>231.1525</v>
      </c>
      <c r="J127" s="9">
        <f>(0.0962*testdata[[#This Row],[smooth]]+0.5769*I125-0.5769*I123-0.0962*I121)*(0.075*$Z126+0.54)</f>
        <v>-0.71332336691546083</v>
      </c>
      <c r="K127" s="14">
        <f t="shared" si="3"/>
        <v>-4.4613124419269429E-2</v>
      </c>
      <c r="L127" s="14">
        <f>(0.0962*testdata[[#This Row],[detrender]]+0.5769*J125-0.5769*J123-0.0962*J121)*(0.075*$Z126+0.54)</f>
        <v>-0.28386379470669643</v>
      </c>
      <c r="M127" s="9">
        <f>(0.0962*testdata[[#This Row],[I1]]+0.5769*K125-0.5769*K123-0.0962*K121)*(0.075*$Z126+0.54)</f>
        <v>-1.6185173181292187</v>
      </c>
      <c r="N127" s="9">
        <f>(0.0962*testdata[[#This Row],[Q1]]+0.5769*L125-0.5769*L123-0.0962*L121)*(0.075*$Z126+0.54)</f>
        <v>-1.3480550039077128</v>
      </c>
      <c r="O127" s="9">
        <f>testdata[[#This Row],[I1]]-testdata[[#This Row],[JQ]]</f>
        <v>1.3034418794884435</v>
      </c>
      <c r="P127" s="9">
        <f>testdata[[#This Row],[Q1]]+testdata[[#This Row],[jI]]</f>
        <v>-1.9023811128359152</v>
      </c>
      <c r="Q127" s="9">
        <f>0.2*testdata[[#This Row],[I2]]+0.8*Q126</f>
        <v>1.1732331223282817</v>
      </c>
      <c r="R127" s="9">
        <f>0.2*testdata[[#This Row],[Q2]]+0.8*R126</f>
        <v>-0.58342881928434354</v>
      </c>
      <c r="S127" s="9">
        <f>testdata[[#This Row],[I2'']]*Q126+testdata[[#This Row],[Q2'']]*R126</f>
        <v>1.4862951449905242</v>
      </c>
      <c r="T127" s="9">
        <f>testdata[[#This Row],[I2'']]*R126-testdata[[#This Row],[Q2'']]*Q126</f>
        <v>0.36786774402878103</v>
      </c>
      <c r="U127" s="9">
        <f>0.2*testdata[[#This Row],[Re]]+0.8*U126</f>
        <v>1.1158929914350675</v>
      </c>
      <c r="V127" s="9">
        <f>0.2*testdata[[#This Row],[Im]]+0.8*V126</f>
        <v>0.32834390610178837</v>
      </c>
      <c r="W127" s="9">
        <f>IF(AND(testdata[[#This Row],[Re'']]&lt;&gt;0,testdata[[#This Row],[Im'']]&lt;&gt;0),2*PI()/ATAN(testdata[[#This Row],[Im'']]/testdata[[#This Row],[Re'']]),0)</f>
        <v>21.95636032263101</v>
      </c>
      <c r="X127" s="9">
        <f>IF(testdata[[#This Row],[pd-atan]]&gt;1.5*Z126,1.5*Z126,IF(testdata[[#This Row],[pd-atan]]&lt;0.67*Z126,0.67*Z126,testdata[[#This Row],[pd-atan]]))</f>
        <v>21.95636032263101</v>
      </c>
      <c r="Y127" s="9">
        <f>IF(testdata[[#This Row],[pd-limit1]]&lt;6,6,IF(testdata[[#This Row],[pd-limit1]]&gt;50,50,testdata[[#This Row],[pd-limit1]]))</f>
        <v>21.95636032263101</v>
      </c>
      <c r="Z127" s="14">
        <f>0.2*testdata[[#This Row],[pd-limit2]]+0.8*Z126</f>
        <v>21.696995887658137</v>
      </c>
      <c r="AA127" s="14">
        <f>0.33*testdata[[#This Row],[period]]+0.67*AA126</f>
        <v>22.121015272108874</v>
      </c>
      <c r="AB127" s="31">
        <f>TRUNC(testdata[[#This Row],[SmPd]]+0.5,0)</f>
        <v>22</v>
      </c>
      <c r="AC127" s="14">
        <f ca="1">IF(testdata[[#This Row],[PdInt]]&lt;=0,0,AVERAGE(OFFSET(testdata[[#This Row],[price]],0,0,-testdata[[#This Row],[PdInt]],1)))</f>
        <v>231.40295454545458</v>
      </c>
      <c r="AD127" s="14">
        <f ca="1">IF(testdata[[#This Row],[i]]&lt;11,testdata[[#This Row],[price]],(4*testdata[[#This Row],[iTrend]]+3*AC126+2*AC125+AC124)/10)</f>
        <v>231.30502371541502</v>
      </c>
      <c r="AE127" s="14">
        <f>(4*testdata[[#This Row],[price]]+3*H126+2*H125+H124)/10</f>
        <v>231.1525</v>
      </c>
      <c r="AF127" t="str">
        <f ca="1">IF(OR(ROUND(testdata[[#This Row],[Trendline]],4)&lt;&gt;Table3[[#This Row],[Trendline]],ROUND(testdata[[#This Row],[SmPrice]],4)&lt;&gt;Table3[[#This Row],[SmPrice]]),"ERR","")</f>
        <v/>
      </c>
      <c r="AG127" s="3">
        <v>42919</v>
      </c>
      <c r="AH127" s="14">
        <v>22.070699999999999</v>
      </c>
      <c r="AI127" s="34">
        <v>22</v>
      </c>
      <c r="AJ127" s="14">
        <v>231.40299999999999</v>
      </c>
      <c r="AK127" s="14">
        <v>231.30500000000001</v>
      </c>
      <c r="AL127" s="14">
        <v>231.1525</v>
      </c>
      <c r="AN127" s="38">
        <f t="shared" si="4"/>
        <v>0</v>
      </c>
      <c r="AO127" s="38">
        <f t="shared" si="5"/>
        <v>0</v>
      </c>
      <c r="AQ127" s="37">
        <v>42919</v>
      </c>
      <c r="AR127">
        <v>22</v>
      </c>
      <c r="AS127">
        <v>231.30502371541499</v>
      </c>
      <c r="AT127">
        <v>231.1525</v>
      </c>
      <c r="AV127" s="37">
        <v>42919</v>
      </c>
      <c r="AW127">
        <v>22</v>
      </c>
      <c r="AX127">
        <v>231.30502371541499</v>
      </c>
      <c r="AY127">
        <v>231.1525</v>
      </c>
      <c r="BA127" s="38">
        <f>AX127-Table3[[#This Row],[Trendline]]</f>
        <v>2.3715414982916627E-5</v>
      </c>
      <c r="BB127" s="38">
        <f>AY127-Table3[[#This Row],[SmPrice]]</f>
        <v>0</v>
      </c>
    </row>
    <row r="128" spans="1:54" x14ac:dyDescent="0.35">
      <c r="A128" s="6">
        <v>126</v>
      </c>
      <c r="B128" s="3">
        <v>42921</v>
      </c>
      <c r="C128" s="2">
        <v>231.35</v>
      </c>
      <c r="D128" s="2">
        <v>231.71</v>
      </c>
      <c r="E128" s="2">
        <v>230.46</v>
      </c>
      <c r="F128" s="2">
        <v>231.48</v>
      </c>
      <c r="G128" s="1">
        <v>57082112</v>
      </c>
      <c r="H128" s="30">
        <f>(testdata[[#This Row],[high]]+testdata[[#This Row],[low]])/2</f>
        <v>231.08500000000001</v>
      </c>
      <c r="I128" s="23">
        <f>(4*testdata[[#This Row],[price]]+3*H127+2*H126+H125)/10</f>
        <v>231.12099999999995</v>
      </c>
      <c r="J128" s="9">
        <f>(0.0962*testdata[[#This Row],[smooth]]+0.5769*I126-0.5769*I124-0.0962*I122)*(0.075*$Z127+0.54)</f>
        <v>-1.0111702902887689</v>
      </c>
      <c r="K128" s="14">
        <f t="shared" si="3"/>
        <v>-0.3281487261061205</v>
      </c>
      <c r="L128" s="14">
        <f>(0.0962*testdata[[#This Row],[detrender]]+0.5769*J126-0.5769*J124-0.0962*J122)*(0.075*$Z127+0.54)</f>
        <v>-0.98876954858350496</v>
      </c>
      <c r="M128" s="9">
        <f>(0.0962*testdata[[#This Row],[I1]]+0.5769*K126-0.5769*K124-0.0962*K122)*(0.075*$Z127+0.54)</f>
        <v>-1.4108928680846597</v>
      </c>
      <c r="N128" s="9">
        <f>(0.0962*testdata[[#This Row],[Q1]]+0.5769*L126-0.5769*L124-0.0962*L122)*(0.075*$Z127+0.54)</f>
        <v>0.66533842670037924</v>
      </c>
      <c r="O128" s="9">
        <f>testdata[[#This Row],[I1]]-testdata[[#This Row],[JQ]]</f>
        <v>-0.99348715280649968</v>
      </c>
      <c r="P128" s="9">
        <f>testdata[[#This Row],[Q1]]+testdata[[#This Row],[jI]]</f>
        <v>-2.3996624166681646</v>
      </c>
      <c r="Q128" s="9">
        <f>0.2*testdata[[#This Row],[I2]]+0.8*Q127</f>
        <v>0.73988906730132542</v>
      </c>
      <c r="R128" s="9">
        <f>0.2*testdata[[#This Row],[Q2]]+0.8*R127</f>
        <v>-0.94667553876110777</v>
      </c>
      <c r="S128" s="9">
        <f>testdata[[#This Row],[I2'']]*Q127+testdata[[#This Row],[Q2'']]*R127</f>
        <v>1.4203801524312571</v>
      </c>
      <c r="T128" s="9">
        <f>testdata[[#This Row],[I2'']]*R127-testdata[[#This Row],[Q2'']]*Q127</f>
        <v>0.67899849323549621</v>
      </c>
      <c r="U128" s="9">
        <f>0.2*testdata[[#This Row],[Re]]+0.8*U127</f>
        <v>1.1767904236343054</v>
      </c>
      <c r="V128" s="9">
        <f>0.2*testdata[[#This Row],[Im]]+0.8*V127</f>
        <v>0.39847482352852992</v>
      </c>
      <c r="W128" s="9">
        <f>IF(AND(testdata[[#This Row],[Re'']]&lt;&gt;0,testdata[[#This Row],[Im'']]&lt;&gt;0),2*PI()/ATAN(testdata[[#This Row],[Im'']]/testdata[[#This Row],[Re'']]),0)</f>
        <v>19.244448196605404</v>
      </c>
      <c r="X128" s="9">
        <f>IF(testdata[[#This Row],[pd-atan]]&gt;1.5*Z127,1.5*Z127,IF(testdata[[#This Row],[pd-atan]]&lt;0.67*Z127,0.67*Z127,testdata[[#This Row],[pd-atan]]))</f>
        <v>19.244448196605404</v>
      </c>
      <c r="Y128" s="9">
        <f>IF(testdata[[#This Row],[pd-limit1]]&lt;6,6,IF(testdata[[#This Row],[pd-limit1]]&gt;50,50,testdata[[#This Row],[pd-limit1]]))</f>
        <v>19.244448196605404</v>
      </c>
      <c r="Z128" s="14">
        <f>0.2*testdata[[#This Row],[pd-limit2]]+0.8*Z127</f>
        <v>21.206486349447594</v>
      </c>
      <c r="AA128" s="14">
        <f>0.33*testdata[[#This Row],[period]]+0.67*AA127</f>
        <v>21.81922072763065</v>
      </c>
      <c r="AB128" s="31">
        <f>TRUNC(testdata[[#This Row],[SmPd]]+0.5,0)</f>
        <v>22</v>
      </c>
      <c r="AC128" s="14">
        <f ca="1">IF(testdata[[#This Row],[PdInt]]&lt;=0,0,AVERAGE(OFFSET(testdata[[#This Row],[price]],0,0,-testdata[[#This Row],[PdInt]],1)))</f>
        <v>231.39522727272725</v>
      </c>
      <c r="AD128" s="14">
        <f ca="1">IF(testdata[[#This Row],[i]]&lt;11,testdata[[#This Row],[price]],(4*testdata[[#This Row],[iTrend]]+3*AC127+2*AC126+AC125)/10)</f>
        <v>231.36273418972331</v>
      </c>
      <c r="AE128" s="14">
        <f>(4*testdata[[#This Row],[price]]+3*H127+2*H126+H125)/10</f>
        <v>231.12099999999995</v>
      </c>
      <c r="AF128" t="str">
        <f ca="1">IF(OR(ROUND(testdata[[#This Row],[Trendline]],4)&lt;&gt;Table3[[#This Row],[Trendline]],ROUND(testdata[[#This Row],[SmPrice]],4)&lt;&gt;Table3[[#This Row],[SmPrice]]),"ERR","")</f>
        <v/>
      </c>
      <c r="AG128" s="3">
        <v>42921</v>
      </c>
      <c r="AH128" s="14">
        <v>21.761600000000001</v>
      </c>
      <c r="AI128" s="34">
        <v>22</v>
      </c>
      <c r="AJ128" s="14">
        <v>231.39519999999999</v>
      </c>
      <c r="AK128" s="14">
        <v>231.36269999999999</v>
      </c>
      <c r="AL128" s="14">
        <v>231.12100000000001</v>
      </c>
      <c r="AN128" s="38">
        <f t="shared" si="4"/>
        <v>0</v>
      </c>
      <c r="AO128" s="38">
        <f t="shared" si="5"/>
        <v>0</v>
      </c>
      <c r="AQ128" s="37">
        <v>42921</v>
      </c>
      <c r="AR128">
        <v>22</v>
      </c>
      <c r="AS128">
        <v>231.362734189723</v>
      </c>
      <c r="AT128">
        <v>231.12099999999899</v>
      </c>
      <c r="AV128" s="37">
        <v>42921</v>
      </c>
      <c r="AW128">
        <v>22</v>
      </c>
      <c r="AX128">
        <v>231.362734189723</v>
      </c>
      <c r="AY128">
        <v>231.12099999999899</v>
      </c>
      <c r="BA128" s="38">
        <f>AX128-Table3[[#This Row],[Trendline]]</f>
        <v>3.4189723010058515E-5</v>
      </c>
      <c r="BB128" s="38">
        <f>AY128-Table3[[#This Row],[SmPrice]]</f>
        <v>-1.0231815394945443E-12</v>
      </c>
    </row>
    <row r="129" spans="1:54" x14ac:dyDescent="0.35">
      <c r="A129" s="6">
        <v>127</v>
      </c>
      <c r="B129" s="3">
        <v>42922</v>
      </c>
      <c r="C129" s="2">
        <v>230.64</v>
      </c>
      <c r="D129" s="2">
        <v>230.77</v>
      </c>
      <c r="E129" s="2">
        <v>229.16</v>
      </c>
      <c r="F129" s="2">
        <v>229.36</v>
      </c>
      <c r="G129" s="1">
        <v>69339864</v>
      </c>
      <c r="H129" s="30">
        <f>(testdata[[#This Row],[high]]+testdata[[#This Row],[low]])/2</f>
        <v>229.965</v>
      </c>
      <c r="I129" s="23">
        <f>(4*testdata[[#This Row],[price]]+3*H128+2*H127+H126)/10</f>
        <v>230.70050000000001</v>
      </c>
      <c r="J129" s="9">
        <f>(0.0962*testdata[[#This Row],[smooth]]+0.5769*I127-0.5769*I125-0.0962*I123)*(0.075*$Z128+0.54)</f>
        <v>-0.24714687062394283</v>
      </c>
      <c r="K129" s="14">
        <f t="shared" si="3"/>
        <v>-0.64423698113929873</v>
      </c>
      <c r="L129" s="14">
        <f>(0.0962*testdata[[#This Row],[detrender]]+0.5769*J127-0.5769*J125-0.0962*J123)*(0.075*$Z128+0.54)</f>
        <v>-0.458838618044002</v>
      </c>
      <c r="M129" s="9">
        <f>(0.0962*testdata[[#This Row],[I1]]+0.5769*K127-0.5769*K125-0.0962*K123)*(0.075*$Z128+0.54)</f>
        <v>-0.64780089426115217</v>
      </c>
      <c r="N129" s="9">
        <f>(0.0962*testdata[[#This Row],[Q1]]+0.5769*L127-0.5769*L125-0.0962*L123)*(0.075*$Z128+0.54)</f>
        <v>1.4492156841384325</v>
      </c>
      <c r="O129" s="9">
        <f>testdata[[#This Row],[I1]]-testdata[[#This Row],[JQ]]</f>
        <v>-2.0934526652777312</v>
      </c>
      <c r="P129" s="9">
        <f>testdata[[#This Row],[Q1]]+testdata[[#This Row],[jI]]</f>
        <v>-1.1066395123051542</v>
      </c>
      <c r="Q129" s="9">
        <f>0.2*testdata[[#This Row],[I2]]+0.8*Q128</f>
        <v>0.17322072078551409</v>
      </c>
      <c r="R129" s="9">
        <f>0.2*testdata[[#This Row],[Q2]]+0.8*R128</f>
        <v>-0.97866833346991711</v>
      </c>
      <c r="S129" s="9">
        <f>testdata[[#This Row],[I2'']]*Q128+testdata[[#This Row],[Q2'']]*R128</f>
        <v>1.0546454893953265</v>
      </c>
      <c r="T129" s="9">
        <f>testdata[[#This Row],[I2'']]*R128-testdata[[#This Row],[Q2'']]*Q128</f>
        <v>0.56012218127418545</v>
      </c>
      <c r="U129" s="9">
        <f>0.2*testdata[[#This Row],[Re]]+0.8*U128</f>
        <v>1.1523614367865096</v>
      </c>
      <c r="V129" s="9">
        <f>0.2*testdata[[#This Row],[Im]]+0.8*V128</f>
        <v>0.43080429507766105</v>
      </c>
      <c r="W129" s="9">
        <f>IF(AND(testdata[[#This Row],[Re'']]&lt;&gt;0,testdata[[#This Row],[Im'']]&lt;&gt;0),2*PI()/ATAN(testdata[[#This Row],[Im'']]/testdata[[#This Row],[Re'']]),0)</f>
        <v>17.562694422025238</v>
      </c>
      <c r="X129" s="9">
        <f>IF(testdata[[#This Row],[pd-atan]]&gt;1.5*Z128,1.5*Z128,IF(testdata[[#This Row],[pd-atan]]&lt;0.67*Z128,0.67*Z128,testdata[[#This Row],[pd-atan]]))</f>
        <v>17.562694422025238</v>
      </c>
      <c r="Y129" s="9">
        <f>IF(testdata[[#This Row],[pd-limit1]]&lt;6,6,IF(testdata[[#This Row],[pd-limit1]]&gt;50,50,testdata[[#This Row],[pd-limit1]]))</f>
        <v>17.562694422025238</v>
      </c>
      <c r="Z129" s="14">
        <f>0.2*testdata[[#This Row],[pd-limit2]]+0.8*Z128</f>
        <v>20.477727963963126</v>
      </c>
      <c r="AA129" s="14">
        <f>0.33*testdata[[#This Row],[period]]+0.67*AA128</f>
        <v>21.376528115620367</v>
      </c>
      <c r="AB129" s="31">
        <f>TRUNC(testdata[[#This Row],[SmPd]]+0.5,0)</f>
        <v>21</v>
      </c>
      <c r="AC129" s="14">
        <f ca="1">IF(testdata[[#This Row],[PdInt]]&lt;=0,0,AVERAGE(OFFSET(testdata[[#This Row],[price]],0,0,-testdata[[#This Row],[PdInt]],1)))</f>
        <v>231.33357142857145</v>
      </c>
      <c r="AD129" s="14">
        <f ca="1">IF(testdata[[#This Row],[i]]&lt;11,testdata[[#This Row],[price]],(4*testdata[[#This Row],[iTrend]]+3*AC128+2*AC127+AC126)/10)</f>
        <v>231.36654220779218</v>
      </c>
      <c r="AE129" s="14">
        <f>(4*testdata[[#This Row],[price]]+3*H128+2*H127+H126)/10</f>
        <v>230.70050000000001</v>
      </c>
      <c r="AF129" t="str">
        <f ca="1">IF(OR(ROUND(testdata[[#This Row],[Trendline]],4)&lt;&gt;Table3[[#This Row],[Trendline]],ROUND(testdata[[#This Row],[SmPrice]],4)&lt;&gt;Table3[[#This Row],[SmPrice]]),"ERR","")</f>
        <v/>
      </c>
      <c r="AG129" s="3">
        <v>42922</v>
      </c>
      <c r="AH129" s="14">
        <v>21.313700000000001</v>
      </c>
      <c r="AI129" s="34">
        <v>21</v>
      </c>
      <c r="AJ129" s="14">
        <v>231.33359999999999</v>
      </c>
      <c r="AK129" s="14">
        <v>231.3665</v>
      </c>
      <c r="AL129" s="14">
        <v>230.70050000000001</v>
      </c>
      <c r="AN129" s="38">
        <f t="shared" si="4"/>
        <v>0</v>
      </c>
      <c r="AO129" s="38">
        <f t="shared" si="5"/>
        <v>0</v>
      </c>
      <c r="AQ129" s="37">
        <v>42922</v>
      </c>
      <c r="AR129">
        <v>21</v>
      </c>
      <c r="AS129">
        <v>231.36654220779201</v>
      </c>
      <c r="AT129">
        <v>230.70050000000001</v>
      </c>
      <c r="AV129" s="37">
        <v>42922</v>
      </c>
      <c r="AW129">
        <v>21</v>
      </c>
      <c r="AX129">
        <v>231.36654220779201</v>
      </c>
      <c r="AY129">
        <v>230.70050000000001</v>
      </c>
      <c r="BA129" s="38">
        <f>AX129-Table3[[#This Row],[Trendline]]</f>
        <v>4.2207792006365707E-5</v>
      </c>
      <c r="BB129" s="38">
        <f>AY129-Table3[[#This Row],[SmPrice]]</f>
        <v>0</v>
      </c>
    </row>
    <row r="130" spans="1:54" x14ac:dyDescent="0.35">
      <c r="A130" s="6">
        <v>128</v>
      </c>
      <c r="B130" s="3">
        <v>42923</v>
      </c>
      <c r="C130" s="2">
        <v>229.99</v>
      </c>
      <c r="D130" s="2">
        <v>231.01</v>
      </c>
      <c r="E130" s="2">
        <v>229.38</v>
      </c>
      <c r="F130" s="2">
        <v>230.85</v>
      </c>
      <c r="G130" s="1">
        <v>60799664</v>
      </c>
      <c r="H130" s="30">
        <f>(testdata[[#This Row],[high]]+testdata[[#This Row],[low]])/2</f>
        <v>230.19499999999999</v>
      </c>
      <c r="I130" s="23">
        <f>(4*testdata[[#This Row],[price]]+3*H129+2*H128+H127)/10</f>
        <v>230.435</v>
      </c>
      <c r="J130" s="9">
        <f>(0.0962*testdata[[#This Row],[smooth]]+0.5769*I128-0.5769*I126-0.0962*I124)*(0.075*$Z129+0.54)</f>
        <v>-6.2896183717394152E-2</v>
      </c>
      <c r="K130" s="14">
        <f t="shared" si="3"/>
        <v>-0.71332336691546083</v>
      </c>
      <c r="L130" s="14">
        <f>(0.0962*testdata[[#This Row],[detrender]]+0.5769*J128-0.5769*J126-0.0962*J124)*(0.075*$Z129+0.54)</f>
        <v>-0.44307058338290345</v>
      </c>
      <c r="M130" s="9">
        <f>(0.0962*testdata[[#This Row],[I1]]+0.5769*K128-0.5769*K126-0.0962*K124)*(0.075*$Z129+0.54)</f>
        <v>-0.27249801303286086</v>
      </c>
      <c r="N130" s="9">
        <f>(0.0962*testdata[[#This Row],[Q1]]+0.5769*L128-0.5769*L126-0.0962*L124)*(0.075*$Z129+0.54)</f>
        <v>-0.14413804667274052</v>
      </c>
      <c r="O130" s="9">
        <f>testdata[[#This Row],[I1]]-testdata[[#This Row],[JQ]]</f>
        <v>-0.56918532024272028</v>
      </c>
      <c r="P130" s="9">
        <f>testdata[[#This Row],[Q1]]+testdata[[#This Row],[jI]]</f>
        <v>-0.71556859641576431</v>
      </c>
      <c r="Q130" s="9">
        <f>0.2*testdata[[#This Row],[I2]]+0.8*Q129</f>
        <v>2.4739512579867215E-2</v>
      </c>
      <c r="R130" s="9">
        <f>0.2*testdata[[#This Row],[Q2]]+0.8*R129</f>
        <v>-0.92604838605908657</v>
      </c>
      <c r="S130" s="9">
        <f>testdata[[#This Row],[I2'']]*Q129+testdata[[#This Row],[Q2'']]*R129</f>
        <v>0.9105796268979196</v>
      </c>
      <c r="T130" s="9">
        <f>testdata[[#This Row],[I2'']]*R129-testdata[[#This Row],[Q2'']]*Q129</f>
        <v>0.1361989913680203</v>
      </c>
      <c r="U130" s="9">
        <f>0.2*testdata[[#This Row],[Re]]+0.8*U129</f>
        <v>1.1040050748087917</v>
      </c>
      <c r="V130" s="9">
        <f>0.2*testdata[[#This Row],[Im]]+0.8*V129</f>
        <v>0.37188323433573295</v>
      </c>
      <c r="W130" s="9">
        <f>IF(AND(testdata[[#This Row],[Re'']]&lt;&gt;0,testdata[[#This Row],[Im'']]&lt;&gt;0),2*PI()/ATAN(testdata[[#This Row],[Im'']]/testdata[[#This Row],[Re'']]),0)</f>
        <v>19.338144007152561</v>
      </c>
      <c r="X130" s="9">
        <f>IF(testdata[[#This Row],[pd-atan]]&gt;1.5*Z129,1.5*Z129,IF(testdata[[#This Row],[pd-atan]]&lt;0.67*Z129,0.67*Z129,testdata[[#This Row],[pd-atan]]))</f>
        <v>19.338144007152561</v>
      </c>
      <c r="Y130" s="9">
        <f>IF(testdata[[#This Row],[pd-limit1]]&lt;6,6,IF(testdata[[#This Row],[pd-limit1]]&gt;50,50,testdata[[#This Row],[pd-limit1]]))</f>
        <v>19.338144007152561</v>
      </c>
      <c r="Z130" s="14">
        <f>0.2*testdata[[#This Row],[pd-limit2]]+0.8*Z129</f>
        <v>20.249811172601014</v>
      </c>
      <c r="AA130" s="14">
        <f>0.33*testdata[[#This Row],[period]]+0.67*AA129</f>
        <v>21.004711524423982</v>
      </c>
      <c r="AB130" s="31">
        <f>TRUNC(testdata[[#This Row],[SmPd]]+0.5,0)</f>
        <v>21</v>
      </c>
      <c r="AC130" s="14">
        <f ca="1">IF(testdata[[#This Row],[PdInt]]&lt;=0,0,AVERAGE(OFFSET(testdata[[#This Row],[price]],0,0,-testdata[[#This Row],[PdInt]],1)))</f>
        <v>231.29857142857139</v>
      </c>
      <c r="AD130" s="14">
        <f ca="1">IF(testdata[[#This Row],[i]]&lt;11,testdata[[#This Row],[price]],(4*testdata[[#This Row],[iTrend]]+3*AC129+2*AC128+AC127)/10)</f>
        <v>231.33884090909092</v>
      </c>
      <c r="AE130" s="14">
        <f>(4*testdata[[#This Row],[price]]+3*H129+2*H128+H127)/10</f>
        <v>230.435</v>
      </c>
      <c r="AF130" t="str">
        <f ca="1">IF(OR(ROUND(testdata[[#This Row],[Trendline]],4)&lt;&gt;Table3[[#This Row],[Trendline]],ROUND(testdata[[#This Row],[SmPrice]],4)&lt;&gt;Table3[[#This Row],[SmPrice]]),"ERR","")</f>
        <v/>
      </c>
      <c r="AG130" s="3">
        <v>42923</v>
      </c>
      <c r="AH130" s="14">
        <v>20.937999999999999</v>
      </c>
      <c r="AI130" s="34">
        <v>21</v>
      </c>
      <c r="AJ130" s="14">
        <v>231.29859999999999</v>
      </c>
      <c r="AK130" s="14">
        <v>231.33879999999999</v>
      </c>
      <c r="AL130" s="14">
        <v>230.435</v>
      </c>
      <c r="AN130" s="38">
        <f t="shared" si="4"/>
        <v>0</v>
      </c>
      <c r="AO130" s="38">
        <f t="shared" si="5"/>
        <v>0</v>
      </c>
      <c r="AQ130" s="37">
        <v>42923</v>
      </c>
      <c r="AR130">
        <v>21</v>
      </c>
      <c r="AS130">
        <v>231.33884090909001</v>
      </c>
      <c r="AT130">
        <v>230.435</v>
      </c>
      <c r="AV130" s="37">
        <v>42923</v>
      </c>
      <c r="AW130">
        <v>21</v>
      </c>
      <c r="AX130">
        <v>231.33884090909001</v>
      </c>
      <c r="AY130">
        <v>230.435</v>
      </c>
      <c r="BA130" s="38">
        <f>AX130-Table3[[#This Row],[Trendline]]</f>
        <v>4.0909090017748895E-5</v>
      </c>
      <c r="BB130" s="38">
        <f>AY130-Table3[[#This Row],[SmPrice]]</f>
        <v>0</v>
      </c>
    </row>
    <row r="131" spans="1:54" x14ac:dyDescent="0.35">
      <c r="A131" s="6">
        <v>129</v>
      </c>
      <c r="B131" s="3">
        <v>42926</v>
      </c>
      <c r="C131" s="2">
        <v>230.7</v>
      </c>
      <c r="D131" s="2">
        <v>231.51</v>
      </c>
      <c r="E131" s="2">
        <v>230.52</v>
      </c>
      <c r="F131" s="2">
        <v>231.1</v>
      </c>
      <c r="G131" s="1">
        <v>38451396</v>
      </c>
      <c r="H131" s="30">
        <f>(testdata[[#This Row],[high]]+testdata[[#This Row],[low]])/2</f>
        <v>231.01499999999999</v>
      </c>
      <c r="I131" s="23">
        <f>(4*testdata[[#This Row],[price]]+3*H130+2*H129+H128)/10</f>
        <v>230.56599999999997</v>
      </c>
      <c r="J131" s="9">
        <f>(0.0962*testdata[[#This Row],[smooth]]+0.5769*I129-0.5769*I127-0.0962*I125)*(0.075*$Z130+0.54)</f>
        <v>-0.66111010484507193</v>
      </c>
      <c r="K131" s="14">
        <f t="shared" si="3"/>
        <v>-1.0111702902887689</v>
      </c>
      <c r="L131" s="14">
        <f>(0.0962*testdata[[#This Row],[detrender]]+0.5769*J129-0.5769*J127-0.0962*J125)*(0.075*$Z130+0.54)</f>
        <v>0.48772756431569442</v>
      </c>
      <c r="M131" s="9">
        <f>(0.0962*testdata[[#This Row],[I1]]+0.5769*K129-0.5769*K127-0.0962*K125)*(0.075*$Z130+0.54)</f>
        <v>-0.93925117708956263</v>
      </c>
      <c r="N131" s="9">
        <f>(0.0962*testdata[[#This Row],[Q1]]+0.5769*L129-0.5769*L127-0.0962*L125)*(0.075*$Z130+0.54)</f>
        <v>0.17332245309397842</v>
      </c>
      <c r="O131" s="9">
        <f>testdata[[#This Row],[I1]]-testdata[[#This Row],[JQ]]</f>
        <v>-1.1844927433827475</v>
      </c>
      <c r="P131" s="9">
        <f>testdata[[#This Row],[Q1]]+testdata[[#This Row],[jI]]</f>
        <v>-0.45152361277386821</v>
      </c>
      <c r="Q131" s="9">
        <f>0.2*testdata[[#This Row],[I2]]+0.8*Q130</f>
        <v>-0.21710693861265573</v>
      </c>
      <c r="R131" s="9">
        <f>0.2*testdata[[#This Row],[Q2]]+0.8*R130</f>
        <v>-0.83114343140204294</v>
      </c>
      <c r="S131" s="9">
        <f>testdata[[#This Row],[I2'']]*Q130+testdata[[#This Row],[Q2'']]*R130</f>
        <v>0.76430791339448867</v>
      </c>
      <c r="T131" s="9">
        <f>testdata[[#This Row],[I2'']]*R130-testdata[[#This Row],[Q2'']]*Q130</f>
        <v>0.22161361348132386</v>
      </c>
      <c r="U131" s="9">
        <f>0.2*testdata[[#This Row],[Re]]+0.8*U130</f>
        <v>1.0360656425259311</v>
      </c>
      <c r="V131" s="9">
        <f>0.2*testdata[[#This Row],[Im]]+0.8*V130</f>
        <v>0.34182931016485119</v>
      </c>
      <c r="W131" s="9">
        <f>IF(AND(testdata[[#This Row],[Re'']]&lt;&gt;0,testdata[[#This Row],[Im'']]&lt;&gt;0),2*PI()/ATAN(testdata[[#This Row],[Im'']]/testdata[[#This Row],[Re'']]),0)</f>
        <v>19.71600016417408</v>
      </c>
      <c r="X131" s="9">
        <f>IF(testdata[[#This Row],[pd-atan]]&gt;1.5*Z130,1.5*Z130,IF(testdata[[#This Row],[pd-atan]]&lt;0.67*Z130,0.67*Z130,testdata[[#This Row],[pd-atan]]))</f>
        <v>19.71600016417408</v>
      </c>
      <c r="Y131" s="9">
        <f>IF(testdata[[#This Row],[pd-limit1]]&lt;6,6,IF(testdata[[#This Row],[pd-limit1]]&gt;50,50,testdata[[#This Row],[pd-limit1]]))</f>
        <v>19.71600016417408</v>
      </c>
      <c r="Z131" s="14">
        <f>0.2*testdata[[#This Row],[pd-limit2]]+0.8*Z130</f>
        <v>20.143048970915629</v>
      </c>
      <c r="AA131" s="14">
        <f>0.33*testdata[[#This Row],[period]]+0.67*AA130</f>
        <v>20.720362881766228</v>
      </c>
      <c r="AB131" s="31">
        <f>TRUNC(testdata[[#This Row],[SmPd]]+0.5,0)</f>
        <v>21</v>
      </c>
      <c r="AC131" s="14">
        <f ca="1">IF(testdata[[#This Row],[PdInt]]&lt;=0,0,AVERAGE(OFFSET(testdata[[#This Row],[price]],0,0,-testdata[[#This Row],[PdInt]],1)))</f>
        <v>231.28547619047617</v>
      </c>
      <c r="AD131" s="14">
        <f ca="1">IF(testdata[[#This Row],[i]]&lt;11,testdata[[#This Row],[price]],(4*testdata[[#This Row],[iTrend]]+3*AC130+2*AC129+AC128)/10)</f>
        <v>231.30999891774891</v>
      </c>
      <c r="AE131" s="14">
        <f>(4*testdata[[#This Row],[price]]+3*H130+2*H129+H128)/10</f>
        <v>230.56599999999997</v>
      </c>
      <c r="AF131" t="str">
        <f ca="1">IF(OR(ROUND(testdata[[#This Row],[Trendline]],4)&lt;&gt;Table3[[#This Row],[Trendline]],ROUND(testdata[[#This Row],[SmPrice]],4)&lt;&gt;Table3[[#This Row],[SmPrice]]),"ERR","")</f>
        <v/>
      </c>
      <c r="AG131" s="3">
        <v>42926</v>
      </c>
      <c r="AH131" s="14">
        <v>20.6511</v>
      </c>
      <c r="AI131" s="34">
        <v>21</v>
      </c>
      <c r="AJ131" s="14">
        <v>231.28550000000001</v>
      </c>
      <c r="AK131" s="14">
        <v>231.31</v>
      </c>
      <c r="AL131" s="14">
        <v>230.566</v>
      </c>
      <c r="AN131" s="38">
        <f t="shared" si="4"/>
        <v>0</v>
      </c>
      <c r="AO131" s="38">
        <f t="shared" si="5"/>
        <v>0</v>
      </c>
      <c r="AQ131" s="37">
        <v>42926</v>
      </c>
      <c r="AR131">
        <v>21</v>
      </c>
      <c r="AS131">
        <v>231.309998917748</v>
      </c>
      <c r="AT131">
        <v>230.56599999999901</v>
      </c>
      <c r="AV131" s="37">
        <v>42926</v>
      </c>
      <c r="AW131">
        <v>21</v>
      </c>
      <c r="AX131">
        <v>231.309998917748</v>
      </c>
      <c r="AY131">
        <v>230.56599999999901</v>
      </c>
      <c r="BA131" s="38">
        <f>AX131-Table3[[#This Row],[Trendline]]</f>
        <v>-1.0822519982411904E-6</v>
      </c>
      <c r="BB131" s="38">
        <f>AY131-Table3[[#This Row],[SmPrice]]</f>
        <v>-9.9475983006414026E-13</v>
      </c>
    </row>
    <row r="132" spans="1:54" x14ac:dyDescent="0.35">
      <c r="A132" s="6">
        <v>130</v>
      </c>
      <c r="B132" s="3">
        <v>42927</v>
      </c>
      <c r="C132" s="2">
        <v>230.9</v>
      </c>
      <c r="D132" s="2">
        <v>231.27</v>
      </c>
      <c r="E132" s="2">
        <v>229.65</v>
      </c>
      <c r="F132" s="2">
        <v>230.93</v>
      </c>
      <c r="G132" s="1">
        <v>52810484</v>
      </c>
      <c r="H132" s="30">
        <f>(testdata[[#This Row],[high]]+testdata[[#This Row],[low]])/2</f>
        <v>230.46</v>
      </c>
      <c r="I132" s="23">
        <f>(4*testdata[[#This Row],[price]]+3*H131+2*H130+H129)/10</f>
        <v>230.52400000000003</v>
      </c>
      <c r="J132" s="9">
        <f>(0.0962*testdata[[#This Row],[smooth]]+0.5769*I130-0.5769*I128-0.0962*I126)*(0.075*$Z131+0.54)</f>
        <v>-0.90016160889340191</v>
      </c>
      <c r="K132" s="14">
        <f t="shared" si="3"/>
        <v>-0.24714687062394283</v>
      </c>
      <c r="L132" s="14">
        <f>(0.0962*testdata[[#This Row],[detrender]]+0.5769*J130-0.5769*J128-0.0962*J126)*(0.075*$Z131+0.54)</f>
        <v>1.0713814223044336</v>
      </c>
      <c r="M132" s="9">
        <f>(0.0962*testdata[[#This Row],[I1]]+0.5769*K130-0.5769*K128-0.0962*K126)*(0.075*$Z131+0.54)</f>
        <v>-0.44166133919510159</v>
      </c>
      <c r="N132" s="9">
        <f>(0.0962*testdata[[#This Row],[Q1]]+0.5769*L130-0.5769*L128-0.0962*L126)*(0.075*$Z131+0.54)</f>
        <v>0.98758082261164493</v>
      </c>
      <c r="O132" s="9">
        <f>testdata[[#This Row],[I1]]-testdata[[#This Row],[JQ]]</f>
        <v>-1.2347276932355877</v>
      </c>
      <c r="P132" s="9">
        <f>testdata[[#This Row],[Q1]]+testdata[[#This Row],[jI]]</f>
        <v>0.62972008310933192</v>
      </c>
      <c r="Q132" s="9">
        <f>0.2*testdata[[#This Row],[I2]]+0.8*Q131</f>
        <v>-0.42063108953724215</v>
      </c>
      <c r="R132" s="9">
        <f>0.2*testdata[[#This Row],[Q2]]+0.8*R131</f>
        <v>-0.53897072849976801</v>
      </c>
      <c r="S132" s="9">
        <f>testdata[[#This Row],[I2'']]*Q131+testdata[[#This Row],[Q2'']]*R131</f>
        <v>0.53928390884529254</v>
      </c>
      <c r="T132" s="9">
        <f>testdata[[#This Row],[I2'']]*R131-testdata[[#This Row],[Q2'']]*Q131</f>
        <v>0.23259048224594592</v>
      </c>
      <c r="U132" s="9">
        <f>0.2*testdata[[#This Row],[Re]]+0.8*U131</f>
        <v>0.93670929578980355</v>
      </c>
      <c r="V132" s="9">
        <f>0.2*testdata[[#This Row],[Im]]+0.8*V131</f>
        <v>0.31998154458107014</v>
      </c>
      <c r="W132" s="9">
        <f>IF(AND(testdata[[#This Row],[Re'']]&lt;&gt;0,testdata[[#This Row],[Im'']]&lt;&gt;0),2*PI()/ATAN(testdata[[#This Row],[Im'']]/testdata[[#This Row],[Re'']]),0)</f>
        <v>19.087756471765662</v>
      </c>
      <c r="X132" s="9">
        <f>IF(testdata[[#This Row],[pd-atan]]&gt;1.5*Z131,1.5*Z131,IF(testdata[[#This Row],[pd-atan]]&lt;0.67*Z131,0.67*Z131,testdata[[#This Row],[pd-atan]]))</f>
        <v>19.087756471765662</v>
      </c>
      <c r="Y132" s="9">
        <f>IF(testdata[[#This Row],[pd-limit1]]&lt;6,6,IF(testdata[[#This Row],[pd-limit1]]&gt;50,50,testdata[[#This Row],[pd-limit1]]))</f>
        <v>19.087756471765662</v>
      </c>
      <c r="Z132" s="14">
        <f>0.2*testdata[[#This Row],[pd-limit2]]+0.8*Z131</f>
        <v>19.931990471085637</v>
      </c>
      <c r="AA132" s="14">
        <f>0.33*testdata[[#This Row],[period]]+0.67*AA131</f>
        <v>20.460199986241633</v>
      </c>
      <c r="AB132" s="31">
        <f>TRUNC(testdata[[#This Row],[SmPd]]+0.5,0)</f>
        <v>20</v>
      </c>
      <c r="AC132" s="14">
        <f ca="1">IF(testdata[[#This Row],[PdInt]]&lt;=0,0,AVERAGE(OFFSET(testdata[[#This Row],[price]],0,0,-testdata[[#This Row],[PdInt]],1)))</f>
        <v>231.29725000000002</v>
      </c>
      <c r="AD132" s="14">
        <f ca="1">IF(testdata[[#This Row],[i]]&lt;11,testdata[[#This Row],[price]],(4*testdata[[#This Row],[iTrend]]+3*AC131+2*AC130+AC129)/10)</f>
        <v>231.29761428571427</v>
      </c>
      <c r="AE132" s="14">
        <f>(4*testdata[[#This Row],[price]]+3*H131+2*H130+H129)/10</f>
        <v>230.52400000000003</v>
      </c>
      <c r="AF132" t="str">
        <f ca="1">IF(OR(ROUND(testdata[[#This Row],[Trendline]],4)&lt;&gt;Table3[[#This Row],[Trendline]],ROUND(testdata[[#This Row],[SmPrice]],4)&lt;&gt;Table3[[#This Row],[SmPrice]]),"ERR","")</f>
        <v/>
      </c>
      <c r="AG132" s="3">
        <v>42927</v>
      </c>
      <c r="AH132" s="14">
        <v>20.39</v>
      </c>
      <c r="AI132" s="34">
        <v>20</v>
      </c>
      <c r="AJ132" s="14">
        <v>231.29730000000001</v>
      </c>
      <c r="AK132" s="14">
        <v>231.29759999999999</v>
      </c>
      <c r="AL132" s="14">
        <v>230.524</v>
      </c>
      <c r="AN132" s="38">
        <f t="shared" si="4"/>
        <v>0</v>
      </c>
      <c r="AO132" s="38">
        <f t="shared" si="5"/>
        <v>0</v>
      </c>
      <c r="AQ132" s="37">
        <v>42927</v>
      </c>
      <c r="AR132">
        <v>20</v>
      </c>
      <c r="AS132">
        <v>231.29761428571399</v>
      </c>
      <c r="AT132">
        <v>230.524</v>
      </c>
      <c r="AV132" s="37">
        <v>42927</v>
      </c>
      <c r="AW132">
        <v>20</v>
      </c>
      <c r="AX132">
        <v>231.29761428571399</v>
      </c>
      <c r="AY132">
        <v>230.524</v>
      </c>
      <c r="BA132" s="38">
        <f>AX132-Table3[[#This Row],[Trendline]]</f>
        <v>1.4285714001971428E-5</v>
      </c>
      <c r="BB132" s="38">
        <f>AY132-Table3[[#This Row],[SmPrice]]</f>
        <v>0</v>
      </c>
    </row>
    <row r="133" spans="1:54" x14ac:dyDescent="0.35">
      <c r="A133" s="6">
        <v>131</v>
      </c>
      <c r="B133" s="3">
        <v>42928</v>
      </c>
      <c r="C133" s="2">
        <v>231.99</v>
      </c>
      <c r="D133" s="2">
        <v>232.84</v>
      </c>
      <c r="E133" s="2">
        <v>231.99</v>
      </c>
      <c r="F133" s="2">
        <v>232.66</v>
      </c>
      <c r="G133" s="1">
        <v>62517696</v>
      </c>
      <c r="H133" s="30">
        <f>(testdata[[#This Row],[high]]+testdata[[#This Row],[low]])/2</f>
        <v>232.41500000000002</v>
      </c>
      <c r="I133" s="23">
        <f>(4*testdata[[#This Row],[price]]+3*H132+2*H131+H130)/10</f>
        <v>231.32649999999998</v>
      </c>
      <c r="J133" s="9">
        <f>(0.0962*testdata[[#This Row],[smooth]]+0.5769*I131-0.5769*I129-0.0962*I127)*(0.075*$Z132+0.54)</f>
        <v>-0.12383226983436933</v>
      </c>
      <c r="K133" s="14">
        <f t="shared" ref="K133:K196" si="6">J130</f>
        <v>-6.2896183717394152E-2</v>
      </c>
      <c r="L133" s="14">
        <f>(0.0962*testdata[[#This Row],[detrender]]+0.5769*J131-0.5769*J129-0.0962*J127)*(0.075*$Z132+0.54)</f>
        <v>-0.37056807390552887</v>
      </c>
      <c r="M133" s="9">
        <f>(0.0962*testdata[[#This Row],[I1]]+0.5769*K131-0.5769*K129-0.0962*K127)*(0.075*$Z132+0.54)</f>
        <v>-0.43433430887157143</v>
      </c>
      <c r="N133" s="9">
        <f>(0.0962*testdata[[#This Row],[Q1]]+0.5769*L131-0.5769*L129-0.0962*L127)*(0.075*$Z132+0.54)</f>
        <v>1.0942326580429866</v>
      </c>
      <c r="O133" s="9">
        <f>testdata[[#This Row],[I1]]-testdata[[#This Row],[JQ]]</f>
        <v>-1.1571288417603809</v>
      </c>
      <c r="P133" s="9">
        <f>testdata[[#This Row],[Q1]]+testdata[[#This Row],[jI]]</f>
        <v>-0.80490238277710024</v>
      </c>
      <c r="Q133" s="9">
        <f>0.2*testdata[[#This Row],[I2]]+0.8*Q132</f>
        <v>-0.56793063998186999</v>
      </c>
      <c r="R133" s="9">
        <f>0.2*testdata[[#This Row],[Q2]]+0.8*R132</f>
        <v>-0.59215705935523444</v>
      </c>
      <c r="S133" s="9">
        <f>testdata[[#This Row],[I2'']]*Q132+testdata[[#This Row],[Q2'']]*R132</f>
        <v>0.55804460554412827</v>
      </c>
      <c r="T133" s="9">
        <f>testdata[[#This Row],[I2'']]*R132-testdata[[#This Row],[Q2'']]*Q132</f>
        <v>5.7018321714606329E-2</v>
      </c>
      <c r="U133" s="9">
        <f>0.2*testdata[[#This Row],[Re]]+0.8*U132</f>
        <v>0.86097635774066861</v>
      </c>
      <c r="V133" s="9">
        <f>0.2*testdata[[#This Row],[Im]]+0.8*V132</f>
        <v>0.26738890000777743</v>
      </c>
      <c r="W133" s="9">
        <f>IF(AND(testdata[[#This Row],[Re'']]&lt;&gt;0,testdata[[#This Row],[Im'']]&lt;&gt;0),2*PI()/ATAN(testdata[[#This Row],[Im'']]/testdata[[#This Row],[Re'']]),0)</f>
        <v>20.865994567277767</v>
      </c>
      <c r="X133" s="9">
        <f>IF(testdata[[#This Row],[pd-atan]]&gt;1.5*Z132,1.5*Z132,IF(testdata[[#This Row],[pd-atan]]&lt;0.67*Z132,0.67*Z132,testdata[[#This Row],[pd-atan]]))</f>
        <v>20.865994567277767</v>
      </c>
      <c r="Y133" s="9">
        <f>IF(testdata[[#This Row],[pd-limit1]]&lt;6,6,IF(testdata[[#This Row],[pd-limit1]]&gt;50,50,testdata[[#This Row],[pd-limit1]]))</f>
        <v>20.865994567277767</v>
      </c>
      <c r="Z133" s="14">
        <f>0.2*testdata[[#This Row],[pd-limit2]]+0.8*Z132</f>
        <v>20.118791290324065</v>
      </c>
      <c r="AA133" s="14">
        <f>0.33*testdata[[#This Row],[period]]+0.67*AA132</f>
        <v>20.347535116588837</v>
      </c>
      <c r="AB133" s="31">
        <f>TRUNC(testdata[[#This Row],[SmPd]]+0.5,0)</f>
        <v>20</v>
      </c>
      <c r="AC133" s="14">
        <f ca="1">IF(testdata[[#This Row],[PdInt]]&lt;=0,0,AVERAGE(OFFSET(testdata[[#This Row],[price]],0,0,-testdata[[#This Row],[PdInt]],1)))</f>
        <v>231.33725000000004</v>
      </c>
      <c r="AD133" s="14">
        <f ca="1">IF(testdata[[#This Row],[i]]&lt;11,testdata[[#This Row],[price]],(4*testdata[[#This Row],[iTrend]]+3*AC132+2*AC131+AC130)/10)</f>
        <v>231.31102738095242</v>
      </c>
      <c r="AE133" s="14">
        <f>(4*testdata[[#This Row],[price]]+3*H132+2*H131+H130)/10</f>
        <v>231.32649999999998</v>
      </c>
      <c r="AF133" t="str">
        <f ca="1">IF(OR(ROUND(testdata[[#This Row],[Trendline]],4)&lt;&gt;Table3[[#This Row],[Trendline]],ROUND(testdata[[#This Row],[SmPrice]],4)&lt;&gt;Table3[[#This Row],[SmPrice]]),"ERR","")</f>
        <v/>
      </c>
      <c r="AG133" s="3">
        <v>42928</v>
      </c>
      <c r="AH133" s="14">
        <v>20.277999999999999</v>
      </c>
      <c r="AI133" s="34">
        <v>20</v>
      </c>
      <c r="AJ133" s="14">
        <v>231.3373</v>
      </c>
      <c r="AK133" s="14">
        <v>231.31100000000001</v>
      </c>
      <c r="AL133" s="14">
        <v>231.32650000000001</v>
      </c>
      <c r="AN133" s="38">
        <f t="shared" si="4"/>
        <v>0</v>
      </c>
      <c r="AO133" s="38">
        <f t="shared" si="5"/>
        <v>0</v>
      </c>
      <c r="AQ133" s="37">
        <v>42928</v>
      </c>
      <c r="AR133">
        <v>20</v>
      </c>
      <c r="AS133">
        <v>231.311027380952</v>
      </c>
      <c r="AT133">
        <v>231.32649999999899</v>
      </c>
      <c r="AV133" s="37">
        <v>42928</v>
      </c>
      <c r="AW133">
        <v>20</v>
      </c>
      <c r="AX133">
        <v>231.311027380952</v>
      </c>
      <c r="AY133">
        <v>231.32649999999899</v>
      </c>
      <c r="BA133" s="38">
        <f>AX133-Table3[[#This Row],[Trendline]]</f>
        <v>2.738095199106283E-5</v>
      </c>
      <c r="BB133" s="38">
        <f>AY133-Table3[[#This Row],[SmPrice]]</f>
        <v>-1.0231815394945443E-12</v>
      </c>
    </row>
    <row r="134" spans="1:54" x14ac:dyDescent="0.35">
      <c r="A134" s="6">
        <v>132</v>
      </c>
      <c r="B134" s="3">
        <v>42929</v>
      </c>
      <c r="C134" s="2">
        <v>232.67</v>
      </c>
      <c r="D134" s="2">
        <v>233.18</v>
      </c>
      <c r="E134" s="2">
        <v>232.42</v>
      </c>
      <c r="F134" s="2">
        <v>233.05</v>
      </c>
      <c r="G134" s="1">
        <v>41396728</v>
      </c>
      <c r="H134" s="30">
        <f>(testdata[[#This Row],[high]]+testdata[[#This Row],[low]])/2</f>
        <v>232.8</v>
      </c>
      <c r="I134" s="23">
        <f>(4*testdata[[#This Row],[price]]+3*H133+2*H132+H131)/10</f>
        <v>232.03800000000001</v>
      </c>
      <c r="J134" s="9">
        <f>(0.0962*testdata[[#This Row],[smooth]]+0.5769*I132-0.5769*I130-0.0962*I128)*(0.075*$Z133+0.54)</f>
        <v>0.28594476398120833</v>
      </c>
      <c r="K134" s="14">
        <f t="shared" si="6"/>
        <v>-0.66111010484507193</v>
      </c>
      <c r="L134" s="14">
        <f>(0.0962*testdata[[#This Row],[detrender]]+0.5769*J132-0.5769*J130-0.0962*J128)*(0.075*$Z133+0.54)</f>
        <v>-0.73399299770420234</v>
      </c>
      <c r="M134" s="9">
        <f>(0.0962*testdata[[#This Row],[I1]]+0.5769*K132-0.5769*K130-0.0962*K128)*(0.075*$Z133+0.54)</f>
        <v>0.48539960629594497</v>
      </c>
      <c r="N134" s="9">
        <f>(0.0962*testdata[[#This Row],[Q1]]+0.5769*L132-0.5769*L130-0.0962*L128)*(0.075*$Z133+0.54)</f>
        <v>1.840323954555495</v>
      </c>
      <c r="O134" s="9">
        <f>testdata[[#This Row],[I1]]-testdata[[#This Row],[JQ]]</f>
        <v>-2.5014340594005668</v>
      </c>
      <c r="P134" s="9">
        <f>testdata[[#This Row],[Q1]]+testdata[[#This Row],[jI]]</f>
        <v>-0.24859339140825737</v>
      </c>
      <c r="Q134" s="9">
        <f>0.2*testdata[[#This Row],[I2]]+0.8*Q133</f>
        <v>-0.95463132386560945</v>
      </c>
      <c r="R134" s="9">
        <f>0.2*testdata[[#This Row],[Q2]]+0.8*R133</f>
        <v>-0.52344432576583899</v>
      </c>
      <c r="S134" s="9">
        <f>testdata[[#This Row],[I2'']]*Q133+testdata[[#This Row],[Q2'']]*R133</f>
        <v>0.85212563139141784</v>
      </c>
      <c r="T134" s="9">
        <f>testdata[[#This Row],[I2'']]*R133-testdata[[#This Row],[Q2'']]*Q133</f>
        <v>0.26801160658158235</v>
      </c>
      <c r="U134" s="9">
        <f>0.2*testdata[[#This Row],[Re]]+0.8*U133</f>
        <v>0.85920621247081852</v>
      </c>
      <c r="V134" s="9">
        <f>0.2*testdata[[#This Row],[Im]]+0.8*V133</f>
        <v>0.2675134413225384</v>
      </c>
      <c r="W134" s="9">
        <f>IF(AND(testdata[[#This Row],[Re'']]&lt;&gt;0,testdata[[#This Row],[Im'']]&lt;&gt;0),2*PI()/ATAN(testdata[[#This Row],[Im'']]/testdata[[#This Row],[Re'']]),0)</f>
        <v>20.816526082118486</v>
      </c>
      <c r="X134" s="9">
        <f>IF(testdata[[#This Row],[pd-atan]]&gt;1.5*Z133,1.5*Z133,IF(testdata[[#This Row],[pd-atan]]&lt;0.67*Z133,0.67*Z133,testdata[[#This Row],[pd-atan]]))</f>
        <v>20.816526082118486</v>
      </c>
      <c r="Y134" s="9">
        <f>IF(testdata[[#This Row],[pd-limit1]]&lt;6,6,IF(testdata[[#This Row],[pd-limit1]]&gt;50,50,testdata[[#This Row],[pd-limit1]]))</f>
        <v>20.816526082118486</v>
      </c>
      <c r="Z134" s="14">
        <f>0.2*testdata[[#This Row],[pd-limit2]]+0.8*Z133</f>
        <v>20.25833824868295</v>
      </c>
      <c r="AA134" s="14">
        <f>0.33*testdata[[#This Row],[period]]+0.67*AA133</f>
        <v>20.318100150179895</v>
      </c>
      <c r="AB134" s="31">
        <f>TRUNC(testdata[[#This Row],[SmPd]]+0.5,0)</f>
        <v>20</v>
      </c>
      <c r="AC134" s="14">
        <f ca="1">IF(testdata[[#This Row],[PdInt]]&lt;=0,0,AVERAGE(OFFSET(testdata[[#This Row],[price]],0,0,-testdata[[#This Row],[PdInt]],1)))</f>
        <v>231.39725000000004</v>
      </c>
      <c r="AD134" s="14">
        <f ca="1">IF(testdata[[#This Row],[i]]&lt;11,testdata[[#This Row],[price]],(4*testdata[[#This Row],[iTrend]]+3*AC133+2*AC132+AC131)/10)</f>
        <v>231.34807261904763</v>
      </c>
      <c r="AE134" s="14">
        <f>(4*testdata[[#This Row],[price]]+3*H133+2*H132+H131)/10</f>
        <v>232.03800000000001</v>
      </c>
      <c r="AF134" t="str">
        <f ca="1">IF(OR(ROUND(testdata[[#This Row],[Trendline]],4)&lt;&gt;Table3[[#This Row],[Trendline]],ROUND(testdata[[#This Row],[SmPrice]],4)&lt;&gt;Table3[[#This Row],[SmPrice]]),"ERR","")</f>
        <v/>
      </c>
      <c r="AG134" s="3">
        <v>42929</v>
      </c>
      <c r="AH134" s="14">
        <v>20.251100000000001</v>
      </c>
      <c r="AI134" s="34">
        <v>20</v>
      </c>
      <c r="AJ134" s="14">
        <v>231.3973</v>
      </c>
      <c r="AK134" s="14">
        <v>231.34809999999999</v>
      </c>
      <c r="AL134" s="14">
        <v>232.03800000000001</v>
      </c>
      <c r="AN134" s="38">
        <f t="shared" si="4"/>
        <v>0</v>
      </c>
      <c r="AO134" s="38">
        <f t="shared" si="5"/>
        <v>0</v>
      </c>
      <c r="AQ134" s="37">
        <v>42929</v>
      </c>
      <c r="AR134">
        <v>20</v>
      </c>
      <c r="AS134">
        <v>231.348072619047</v>
      </c>
      <c r="AT134">
        <v>232.03800000000001</v>
      </c>
      <c r="AV134" s="37">
        <v>42929</v>
      </c>
      <c r="AW134">
        <v>20</v>
      </c>
      <c r="AX134">
        <v>231.348072619047</v>
      </c>
      <c r="AY134">
        <v>232.03800000000001</v>
      </c>
      <c r="BA134" s="38">
        <f>AX134-Table3[[#This Row],[Trendline]]</f>
        <v>-2.738095298582266E-5</v>
      </c>
      <c r="BB134" s="38">
        <f>AY134-Table3[[#This Row],[SmPrice]]</f>
        <v>0</v>
      </c>
    </row>
    <row r="135" spans="1:54" x14ac:dyDescent="0.35">
      <c r="A135" s="6">
        <v>133</v>
      </c>
      <c r="B135" s="3">
        <v>42930</v>
      </c>
      <c r="C135" s="2">
        <v>233.06</v>
      </c>
      <c r="D135" s="2">
        <v>234.53</v>
      </c>
      <c r="E135" s="2">
        <v>232.95</v>
      </c>
      <c r="F135" s="2">
        <v>234.14</v>
      </c>
      <c r="G135" s="1">
        <v>63201796</v>
      </c>
      <c r="H135" s="30">
        <f>(testdata[[#This Row],[high]]+testdata[[#This Row],[low]])/2</f>
        <v>233.74</v>
      </c>
      <c r="I135" s="23">
        <f>(4*testdata[[#This Row],[price]]+3*H134+2*H133+H132)/10</f>
        <v>232.86500000000001</v>
      </c>
      <c r="J135" s="9">
        <f>(0.0962*testdata[[#This Row],[smooth]]+0.5769*I133-0.5769*I131-0.0962*I129)*(0.075*$Z134+0.54)</f>
        <v>1.3323280311578691</v>
      </c>
      <c r="K135" s="14">
        <f t="shared" si="6"/>
        <v>-0.90016160889340191</v>
      </c>
      <c r="L135" s="14">
        <f>(0.0962*testdata[[#This Row],[detrender]]+0.5769*J133-0.5769*J131-0.0962*J129)*(0.075*$Z134+0.54)</f>
        <v>0.95122768336485164</v>
      </c>
      <c r="M135" s="9">
        <f>(0.0962*testdata[[#This Row],[I1]]+0.5769*K133-0.5769*K131-0.0962*K129)*(0.075*$Z134+0.54)</f>
        <v>1.0758987967392373</v>
      </c>
      <c r="N135" s="9">
        <f>(0.0962*testdata[[#This Row],[Q1]]+0.5769*L133-0.5769*L131-0.0962*L129)*(0.075*$Z134+0.54)</f>
        <v>-0.74035033706454734</v>
      </c>
      <c r="O135" s="9">
        <f>testdata[[#This Row],[I1]]-testdata[[#This Row],[JQ]]</f>
        <v>-0.15981127182885457</v>
      </c>
      <c r="P135" s="9">
        <f>testdata[[#This Row],[Q1]]+testdata[[#This Row],[jI]]</f>
        <v>2.0271264801040889</v>
      </c>
      <c r="Q135" s="9">
        <f>0.2*testdata[[#This Row],[I2]]+0.8*Q134</f>
        <v>-0.79566731345825858</v>
      </c>
      <c r="R135" s="9">
        <f>0.2*testdata[[#This Row],[Q2]]+0.8*R134</f>
        <v>-1.3330164591853433E-2</v>
      </c>
      <c r="S135" s="9">
        <f>testdata[[#This Row],[I2'']]*Q134+testdata[[#This Row],[Q2'']]*R134</f>
        <v>0.76654653982038057</v>
      </c>
      <c r="T135" s="9">
        <f>testdata[[#This Row],[I2'']]*R134-testdata[[#This Row],[Q2'']]*Q134</f>
        <v>0.40376214775540714</v>
      </c>
      <c r="U135" s="9">
        <f>0.2*testdata[[#This Row],[Re]]+0.8*U134</f>
        <v>0.84067427794073102</v>
      </c>
      <c r="V135" s="9">
        <f>0.2*testdata[[#This Row],[Im]]+0.8*V134</f>
        <v>0.29476318260911216</v>
      </c>
      <c r="W135" s="9">
        <f>IF(AND(testdata[[#This Row],[Re'']]&lt;&gt;0,testdata[[#This Row],[Im'']]&lt;&gt;0),2*PI()/ATAN(testdata[[#This Row],[Im'']]/testdata[[#This Row],[Re'']]),0)</f>
        <v>18.63156444448617</v>
      </c>
      <c r="X135" s="9">
        <f>IF(testdata[[#This Row],[pd-atan]]&gt;1.5*Z134,1.5*Z134,IF(testdata[[#This Row],[pd-atan]]&lt;0.67*Z134,0.67*Z134,testdata[[#This Row],[pd-atan]]))</f>
        <v>18.63156444448617</v>
      </c>
      <c r="Y135" s="9">
        <f>IF(testdata[[#This Row],[pd-limit1]]&lt;6,6,IF(testdata[[#This Row],[pd-limit1]]&gt;50,50,testdata[[#This Row],[pd-limit1]]))</f>
        <v>18.63156444448617</v>
      </c>
      <c r="Z135" s="14">
        <f>0.2*testdata[[#This Row],[pd-limit2]]+0.8*Z134</f>
        <v>19.932983487843593</v>
      </c>
      <c r="AA135" s="14">
        <f>0.33*testdata[[#This Row],[period]]+0.67*AA134</f>
        <v>20.191011651608918</v>
      </c>
      <c r="AB135" s="31">
        <f>TRUNC(testdata[[#This Row],[SmPd]]+0.5,0)</f>
        <v>20</v>
      </c>
      <c r="AC135" s="14">
        <f ca="1">IF(testdata[[#This Row],[PdInt]]&lt;=0,0,AVERAGE(OFFSET(testdata[[#This Row],[price]],0,0,-testdata[[#This Row],[PdInt]],1)))</f>
        <v>231.54900000000004</v>
      </c>
      <c r="AD135" s="14">
        <f ca="1">IF(testdata[[#This Row],[i]]&lt;11,testdata[[#This Row],[price]],(4*testdata[[#This Row],[iTrend]]+3*AC134+2*AC133+AC132)/10)</f>
        <v>231.43595000000005</v>
      </c>
      <c r="AE135" s="14">
        <f>(4*testdata[[#This Row],[price]]+3*H134+2*H133+H132)/10</f>
        <v>232.86500000000001</v>
      </c>
      <c r="AF135" t="str">
        <f ca="1">IF(OR(ROUND(testdata[[#This Row],[Trendline]],4)&lt;&gt;Table3[[#This Row],[Trendline]],ROUND(testdata[[#This Row],[SmPrice]],4)&lt;&gt;Table3[[#This Row],[SmPrice]]),"ERR","")</f>
        <v/>
      </c>
      <c r="AG135" s="3">
        <v>42930</v>
      </c>
      <c r="AH135" s="14">
        <v>20.127600000000001</v>
      </c>
      <c r="AI135" s="34">
        <v>20</v>
      </c>
      <c r="AJ135" s="14">
        <v>231.54900000000001</v>
      </c>
      <c r="AK135" s="14">
        <v>231.43600000000001</v>
      </c>
      <c r="AL135" s="14">
        <v>232.86500000000001</v>
      </c>
      <c r="AN135" s="38">
        <f t="shared" si="4"/>
        <v>0</v>
      </c>
      <c r="AO135" s="38">
        <f t="shared" si="5"/>
        <v>0</v>
      </c>
      <c r="AQ135" s="37">
        <v>42930</v>
      </c>
      <c r="AR135">
        <v>20</v>
      </c>
      <c r="AS135">
        <v>231.43594999999999</v>
      </c>
      <c r="AT135">
        <v>232.86500000000001</v>
      </c>
      <c r="AV135" s="37">
        <v>42930</v>
      </c>
      <c r="AW135">
        <v>20</v>
      </c>
      <c r="AX135">
        <v>231.43594999999999</v>
      </c>
      <c r="AY135">
        <v>232.86500000000001</v>
      </c>
      <c r="BA135" s="38">
        <f>AX135-Table3[[#This Row],[Trendline]]</f>
        <v>-5.0000000015870683E-5</v>
      </c>
      <c r="BB135" s="38">
        <f>AY135-Table3[[#This Row],[SmPrice]]</f>
        <v>0</v>
      </c>
    </row>
    <row r="136" spans="1:54" x14ac:dyDescent="0.35">
      <c r="A136" s="6">
        <v>134</v>
      </c>
      <c r="B136" s="3">
        <v>42933</v>
      </c>
      <c r="C136" s="2">
        <v>234.05</v>
      </c>
      <c r="D136" s="2">
        <v>234.47</v>
      </c>
      <c r="E136" s="2">
        <v>233.92</v>
      </c>
      <c r="F136" s="2">
        <v>234.11</v>
      </c>
      <c r="G136" s="1">
        <v>35167316</v>
      </c>
      <c r="H136" s="30">
        <f>(testdata[[#This Row],[high]]+testdata[[#This Row],[low]])/2</f>
        <v>234.19499999999999</v>
      </c>
      <c r="I136" s="23">
        <f>(4*testdata[[#This Row],[price]]+3*H135+2*H134+H133)/10</f>
        <v>233.60149999999999</v>
      </c>
      <c r="J136" s="9">
        <f>(0.0962*testdata[[#This Row],[smooth]]+0.5769*I134-0.5769*I132-0.0962*I130)*(0.075*$Z135+0.54)</f>
        <v>2.3972884264991201</v>
      </c>
      <c r="K136" s="14">
        <f t="shared" si="6"/>
        <v>-0.12383226983436933</v>
      </c>
      <c r="L136" s="14">
        <f>(0.0962*testdata[[#This Row],[detrender]]+0.5769*J134-0.5769*J132-0.0962*J130)*(0.075*$Z135+0.54)</f>
        <v>1.874077596579609</v>
      </c>
      <c r="M136" s="9">
        <f>(0.0962*testdata[[#This Row],[I1]]+0.5769*K134-0.5769*K132-0.0962*K130)*(0.075*$Z135+0.54)</f>
        <v>-0.37058163650454812</v>
      </c>
      <c r="N136" s="9">
        <f>(0.0962*testdata[[#This Row],[Q1]]+0.5769*L134-0.5769*L132-0.0962*L130)*(0.075*$Z135+0.54)</f>
        <v>-1.6658515966123708</v>
      </c>
      <c r="O136" s="9">
        <f>testdata[[#This Row],[I1]]-testdata[[#This Row],[JQ]]</f>
        <v>1.5420193267780016</v>
      </c>
      <c r="P136" s="9">
        <f>testdata[[#This Row],[Q1]]+testdata[[#This Row],[jI]]</f>
        <v>1.5034959600750608</v>
      </c>
      <c r="Q136" s="9">
        <f>0.2*testdata[[#This Row],[I2]]+0.8*Q135</f>
        <v>-0.32812998541100663</v>
      </c>
      <c r="R136" s="9">
        <f>0.2*testdata[[#This Row],[Q2]]+0.8*R135</f>
        <v>0.29003506034152943</v>
      </c>
      <c r="S136" s="9">
        <f>testdata[[#This Row],[I2'']]*Q135+testdata[[#This Row],[Q2'']]*R135</f>
        <v>0.2572160888653125</v>
      </c>
      <c r="T136" s="9">
        <f>testdata[[#This Row],[I2'']]*R135-testdata[[#This Row],[Q2'']]*Q135</f>
        <v>0.23514544398369983</v>
      </c>
      <c r="U136" s="9">
        <f>0.2*testdata[[#This Row],[Re]]+0.8*U135</f>
        <v>0.72398264012564739</v>
      </c>
      <c r="V136" s="9">
        <f>0.2*testdata[[#This Row],[Im]]+0.8*V135</f>
        <v>0.28283963488402969</v>
      </c>
      <c r="W136" s="9">
        <f>IF(AND(testdata[[#This Row],[Re'']]&lt;&gt;0,testdata[[#This Row],[Im'']]&lt;&gt;0),2*PI()/ATAN(testdata[[#This Row],[Im'']]/testdata[[#This Row],[Re'']]),0)</f>
        <v>16.870370120097522</v>
      </c>
      <c r="X136" s="9">
        <f>IF(testdata[[#This Row],[pd-atan]]&gt;1.5*Z135,1.5*Z135,IF(testdata[[#This Row],[pd-atan]]&lt;0.67*Z135,0.67*Z135,testdata[[#This Row],[pd-atan]]))</f>
        <v>16.870370120097522</v>
      </c>
      <c r="Y136" s="9">
        <f>IF(testdata[[#This Row],[pd-limit1]]&lt;6,6,IF(testdata[[#This Row],[pd-limit1]]&gt;50,50,testdata[[#This Row],[pd-limit1]]))</f>
        <v>16.870370120097522</v>
      </c>
      <c r="Z136" s="14">
        <f>0.2*testdata[[#This Row],[pd-limit2]]+0.8*Z135</f>
        <v>19.320460814294378</v>
      </c>
      <c r="AA136" s="14">
        <f>0.33*testdata[[#This Row],[period]]+0.67*AA135</f>
        <v>19.90372987529512</v>
      </c>
      <c r="AB136" s="31">
        <f>TRUNC(testdata[[#This Row],[SmPd]]+0.5,0)</f>
        <v>20</v>
      </c>
      <c r="AC136" s="14">
        <f ca="1">IF(testdata[[#This Row],[PdInt]]&lt;=0,0,AVERAGE(OFFSET(testdata[[#This Row],[price]],0,0,-testdata[[#This Row],[PdInt]],1)))</f>
        <v>231.71025</v>
      </c>
      <c r="AD136" s="14">
        <f ca="1">IF(testdata[[#This Row],[i]]&lt;11,testdata[[#This Row],[price]],(4*testdata[[#This Row],[iTrend]]+3*AC135+2*AC134+AC133)/10)</f>
        <v>231.56197500000002</v>
      </c>
      <c r="AE136" s="14">
        <f>(4*testdata[[#This Row],[price]]+3*H135+2*H134+H133)/10</f>
        <v>233.60149999999999</v>
      </c>
      <c r="AF136" t="str">
        <f ca="1">IF(OR(ROUND(testdata[[#This Row],[Trendline]],4)&lt;&gt;Table3[[#This Row],[Trendline]],ROUND(testdata[[#This Row],[SmPrice]],4)&lt;&gt;Table3[[#This Row],[SmPrice]]),"ERR","")</f>
        <v/>
      </c>
      <c r="AG136" s="3">
        <v>42933</v>
      </c>
      <c r="AH136" s="14">
        <v>19.844799999999999</v>
      </c>
      <c r="AI136" s="34">
        <v>20</v>
      </c>
      <c r="AJ136" s="14">
        <v>231.71029999999999</v>
      </c>
      <c r="AK136" s="14">
        <v>231.56200000000001</v>
      </c>
      <c r="AL136" s="14">
        <v>233.60149999999999</v>
      </c>
      <c r="AN136" s="38">
        <f t="shared" si="4"/>
        <v>0</v>
      </c>
      <c r="AO136" s="38">
        <f t="shared" si="5"/>
        <v>0</v>
      </c>
      <c r="AQ136" s="37">
        <v>42933</v>
      </c>
      <c r="AR136">
        <v>20</v>
      </c>
      <c r="AS136">
        <v>231.56197499999999</v>
      </c>
      <c r="AT136">
        <v>233.60149999999999</v>
      </c>
      <c r="AV136" s="37">
        <v>42933</v>
      </c>
      <c r="AW136">
        <v>20</v>
      </c>
      <c r="AX136">
        <v>231.56197499999999</v>
      </c>
      <c r="AY136">
        <v>233.60149999999999</v>
      </c>
      <c r="BA136" s="38">
        <f>AX136-Table3[[#This Row],[Trendline]]</f>
        <v>-2.5000000022146196E-5</v>
      </c>
      <c r="BB136" s="38">
        <f>AY136-Table3[[#This Row],[SmPrice]]</f>
        <v>0</v>
      </c>
    </row>
    <row r="137" spans="1:54" x14ac:dyDescent="0.35">
      <c r="A137" s="6">
        <v>135</v>
      </c>
      <c r="B137" s="3">
        <v>42934</v>
      </c>
      <c r="C137" s="2">
        <v>233.66</v>
      </c>
      <c r="D137" s="2">
        <v>234.29</v>
      </c>
      <c r="E137" s="2">
        <v>233.29</v>
      </c>
      <c r="F137" s="2">
        <v>234.24</v>
      </c>
      <c r="G137" s="1">
        <v>44827112</v>
      </c>
      <c r="H137" s="30">
        <f>(testdata[[#This Row],[high]]+testdata[[#This Row],[low]])/2</f>
        <v>233.79</v>
      </c>
      <c r="I137" s="23">
        <f>(4*testdata[[#This Row],[price]]+3*H136+2*H135+H134)/10</f>
        <v>233.80250000000001</v>
      </c>
      <c r="J137" s="9">
        <f>(0.0962*testdata[[#This Row],[smooth]]+0.5769*I135-0.5769*I133-0.0962*I131)*(0.075*$Z136+0.54)</f>
        <v>2.3846773042323748</v>
      </c>
      <c r="K137" s="14">
        <f t="shared" si="6"/>
        <v>0.28594476398120833</v>
      </c>
      <c r="L137" s="14">
        <f>(0.0962*testdata[[#This Row],[detrender]]+0.5769*J135-0.5769*J133-0.0962*J131)*(0.075*$Z136+0.54)</f>
        <v>2.2537027127946541</v>
      </c>
      <c r="M137" s="9">
        <f>(0.0962*testdata[[#This Row],[I1]]+0.5769*K135-0.5769*K133-0.0962*K131)*(0.075*$Z136+0.54)</f>
        <v>-0.7125436966340194</v>
      </c>
      <c r="N137" s="9">
        <f>(0.0962*testdata[[#This Row],[Q1]]+0.5769*L135-0.5769*L133-0.0962*L131)*(0.075*$Z136+0.54)</f>
        <v>1.854637050515187</v>
      </c>
      <c r="O137" s="9">
        <f>testdata[[#This Row],[I1]]-testdata[[#This Row],[JQ]]</f>
        <v>-1.5686922865339787</v>
      </c>
      <c r="P137" s="9">
        <f>testdata[[#This Row],[Q1]]+testdata[[#This Row],[jI]]</f>
        <v>1.5411590161606346</v>
      </c>
      <c r="Q137" s="9">
        <f>0.2*testdata[[#This Row],[I2]]+0.8*Q136</f>
        <v>-0.57624244563560112</v>
      </c>
      <c r="R137" s="9">
        <f>0.2*testdata[[#This Row],[Q2]]+0.8*R136</f>
        <v>0.5402598515053505</v>
      </c>
      <c r="S137" s="9">
        <f>testdata[[#This Row],[I2'']]*Q136+testdata[[#This Row],[Q2'']]*R136</f>
        <v>0.34577672391107261</v>
      </c>
      <c r="T137" s="9">
        <f>testdata[[#This Row],[I2'']]*R136-testdata[[#This Row],[Q2'']]*Q136</f>
        <v>1.0144944701331204E-2</v>
      </c>
      <c r="U137" s="9">
        <f>0.2*testdata[[#This Row],[Re]]+0.8*U136</f>
        <v>0.64834145688273248</v>
      </c>
      <c r="V137" s="9">
        <f>0.2*testdata[[#This Row],[Im]]+0.8*V136</f>
        <v>0.22830069684748999</v>
      </c>
      <c r="W137" s="9">
        <f>IF(AND(testdata[[#This Row],[Re'']]&lt;&gt;0,testdata[[#This Row],[Im'']]&lt;&gt;0),2*PI()/ATAN(testdata[[#This Row],[Im'']]/testdata[[#This Row],[Re'']]),0)</f>
        <v>18.557932348205394</v>
      </c>
      <c r="X137" s="9">
        <f>IF(testdata[[#This Row],[pd-atan]]&gt;1.5*Z136,1.5*Z136,IF(testdata[[#This Row],[pd-atan]]&lt;0.67*Z136,0.67*Z136,testdata[[#This Row],[pd-atan]]))</f>
        <v>18.557932348205394</v>
      </c>
      <c r="Y137" s="9">
        <f>IF(testdata[[#This Row],[pd-limit1]]&lt;6,6,IF(testdata[[#This Row],[pd-limit1]]&gt;50,50,testdata[[#This Row],[pd-limit1]]))</f>
        <v>18.557932348205394</v>
      </c>
      <c r="Z137" s="14">
        <f>0.2*testdata[[#This Row],[pd-limit2]]+0.8*Z136</f>
        <v>19.167955121076584</v>
      </c>
      <c r="AA137" s="14">
        <f>0.33*testdata[[#This Row],[period]]+0.67*AA136</f>
        <v>19.660924206403003</v>
      </c>
      <c r="AB137" s="31">
        <f>TRUNC(testdata[[#This Row],[SmPd]]+0.5,0)</f>
        <v>20</v>
      </c>
      <c r="AC137" s="14">
        <f ca="1">IF(testdata[[#This Row],[PdInt]]&lt;=0,0,AVERAGE(OFFSET(testdata[[#This Row],[price]],0,0,-testdata[[#This Row],[PdInt]],1)))</f>
        <v>231.762</v>
      </c>
      <c r="AD137" s="14">
        <f ca="1">IF(testdata[[#This Row],[i]]&lt;11,testdata[[#This Row],[price]],(4*testdata[[#This Row],[iTrend]]+3*AC136+2*AC135+AC134)/10)</f>
        <v>231.66739999999999</v>
      </c>
      <c r="AE137" s="14">
        <f>(4*testdata[[#This Row],[price]]+3*H136+2*H135+H134)/10</f>
        <v>233.80250000000001</v>
      </c>
      <c r="AF137" t="str">
        <f ca="1">IF(OR(ROUND(testdata[[#This Row],[Trendline]],4)&lt;&gt;Table3[[#This Row],[Trendline]],ROUND(testdata[[#This Row],[SmPrice]],4)&lt;&gt;Table3[[#This Row],[SmPrice]]),"ERR","")</f>
        <v/>
      </c>
      <c r="AG137" s="3">
        <v>42934</v>
      </c>
      <c r="AH137" s="14">
        <v>19.606400000000001</v>
      </c>
      <c r="AI137" s="34">
        <v>20</v>
      </c>
      <c r="AJ137" s="14">
        <v>231.762</v>
      </c>
      <c r="AK137" s="14">
        <v>231.66739999999999</v>
      </c>
      <c r="AL137" s="14">
        <v>233.80250000000001</v>
      </c>
      <c r="AN137" s="38">
        <f t="shared" ref="AN137:AN200" si="7">AX137-AS137</f>
        <v>0</v>
      </c>
      <c r="AO137" s="38">
        <f t="shared" ref="AO137:AO200" si="8">AY137-AT137</f>
        <v>0</v>
      </c>
      <c r="AQ137" s="37">
        <v>42934</v>
      </c>
      <c r="AR137">
        <v>20</v>
      </c>
      <c r="AS137">
        <v>231.66739999999999</v>
      </c>
      <c r="AT137">
        <v>233.80250000000001</v>
      </c>
      <c r="AV137" s="37">
        <v>42934</v>
      </c>
      <c r="AW137">
        <v>20</v>
      </c>
      <c r="AX137">
        <v>231.66739999999999</v>
      </c>
      <c r="AY137">
        <v>233.80250000000001</v>
      </c>
      <c r="BA137" s="38">
        <f>AX137-Table3[[#This Row],[Trendline]]</f>
        <v>0</v>
      </c>
      <c r="BB137" s="38">
        <f>AY137-Table3[[#This Row],[SmPrice]]</f>
        <v>0</v>
      </c>
    </row>
    <row r="138" spans="1:54" x14ac:dyDescent="0.35">
      <c r="A138" s="6">
        <v>136</v>
      </c>
      <c r="B138" s="3">
        <v>42935</v>
      </c>
      <c r="C138" s="2">
        <v>234.58</v>
      </c>
      <c r="D138" s="2">
        <v>235.51</v>
      </c>
      <c r="E138" s="2">
        <v>234.57</v>
      </c>
      <c r="F138" s="2">
        <v>235.5</v>
      </c>
      <c r="G138" s="1">
        <v>53523280</v>
      </c>
      <c r="H138" s="30">
        <f>(testdata[[#This Row],[high]]+testdata[[#This Row],[low]])/2</f>
        <v>235.04</v>
      </c>
      <c r="I138" s="23">
        <f>(4*testdata[[#This Row],[price]]+3*H137+2*H136+H135)/10</f>
        <v>234.36599999999999</v>
      </c>
      <c r="J138" s="9">
        <f>(0.0962*testdata[[#This Row],[smooth]]+0.5769*I136-0.5769*I134-0.0962*I132)*(0.075*$Z137+0.54)</f>
        <v>2.5146793484323711</v>
      </c>
      <c r="K138" s="14">
        <f t="shared" si="6"/>
        <v>1.3323280311578691</v>
      </c>
      <c r="L138" s="14">
        <f>(0.0962*testdata[[#This Row],[detrender]]+0.5769*J136-0.5769*J134-0.0962*J132)*(0.075*$Z137+0.54)</f>
        <v>3.0584359748259922</v>
      </c>
      <c r="M138" s="9">
        <f>(0.0962*testdata[[#This Row],[I1]]+0.5769*K136-0.5769*K134-0.0962*K132)*(0.075*$Z137+0.54)</f>
        <v>0.91345399848052056</v>
      </c>
      <c r="N138" s="9">
        <f>(0.0962*testdata[[#This Row],[Q1]]+0.5769*L136-0.5769*L134-0.0962*L132)*(0.075*$Z137+0.54)</f>
        <v>3.3535106269772932</v>
      </c>
      <c r="O138" s="9">
        <f>testdata[[#This Row],[I1]]-testdata[[#This Row],[JQ]]</f>
        <v>-2.0211825958194241</v>
      </c>
      <c r="P138" s="9">
        <f>testdata[[#This Row],[Q1]]+testdata[[#This Row],[jI]]</f>
        <v>3.9718899733065127</v>
      </c>
      <c r="Q138" s="9">
        <f>0.2*testdata[[#This Row],[I2]]+0.8*Q137</f>
        <v>-0.86523047567236566</v>
      </c>
      <c r="R138" s="9">
        <f>0.2*testdata[[#This Row],[Q2]]+0.8*R137</f>
        <v>1.226585875865583</v>
      </c>
      <c r="S138" s="9">
        <f>testdata[[#This Row],[I2'']]*Q137+testdata[[#This Row],[Q2'']]*R137</f>
        <v>1.1612576284935985</v>
      </c>
      <c r="T138" s="9">
        <f>testdata[[#This Row],[I2'']]*R137-testdata[[#This Row],[Q2'']]*Q137</f>
        <v>0.23936155658621339</v>
      </c>
      <c r="U138" s="9">
        <f>0.2*testdata[[#This Row],[Re]]+0.8*U137</f>
        <v>0.75092469120490568</v>
      </c>
      <c r="V138" s="9">
        <f>0.2*testdata[[#This Row],[Im]]+0.8*V137</f>
        <v>0.23051286879523469</v>
      </c>
      <c r="W138" s="9">
        <f>IF(AND(testdata[[#This Row],[Re'']]&lt;&gt;0,testdata[[#This Row],[Im'']]&lt;&gt;0),2*PI()/ATAN(testdata[[#This Row],[Im'']]/testdata[[#This Row],[Re'']]),0)</f>
        <v>21.095784044466658</v>
      </c>
      <c r="X138" s="9">
        <f>IF(testdata[[#This Row],[pd-atan]]&gt;1.5*Z137,1.5*Z137,IF(testdata[[#This Row],[pd-atan]]&lt;0.67*Z137,0.67*Z137,testdata[[#This Row],[pd-atan]]))</f>
        <v>21.095784044466658</v>
      </c>
      <c r="Y138" s="9">
        <f>IF(testdata[[#This Row],[pd-limit1]]&lt;6,6,IF(testdata[[#This Row],[pd-limit1]]&gt;50,50,testdata[[#This Row],[pd-limit1]]))</f>
        <v>21.095784044466658</v>
      </c>
      <c r="Z138" s="14">
        <f>0.2*testdata[[#This Row],[pd-limit2]]+0.8*Z137</f>
        <v>19.553520905754599</v>
      </c>
      <c r="AA138" s="14">
        <f>0.33*testdata[[#This Row],[period]]+0.67*AA137</f>
        <v>19.625481117189032</v>
      </c>
      <c r="AB138" s="31">
        <f>TRUNC(testdata[[#This Row],[SmPd]]+0.5,0)</f>
        <v>20</v>
      </c>
      <c r="AC138" s="14">
        <f ca="1">IF(testdata[[#This Row],[PdInt]]&lt;=0,0,AVERAGE(OFFSET(testdata[[#This Row],[price]],0,0,-testdata[[#This Row],[PdInt]],1)))</f>
        <v>231.89924999999999</v>
      </c>
      <c r="AD138" s="14">
        <f ca="1">IF(testdata[[#This Row],[i]]&lt;11,testdata[[#This Row],[price]],(4*testdata[[#This Row],[iTrend]]+3*AC137+2*AC136+AC135)/10)</f>
        <v>231.78524999999999</v>
      </c>
      <c r="AE138" s="14">
        <f>(4*testdata[[#This Row],[price]]+3*H137+2*H136+H135)/10</f>
        <v>234.36599999999999</v>
      </c>
      <c r="AF138" t="str">
        <f ca="1">IF(OR(ROUND(testdata[[#This Row],[Trendline]],4)&lt;&gt;Table3[[#This Row],[Trendline]],ROUND(testdata[[#This Row],[SmPrice]],4)&lt;&gt;Table3[[#This Row],[SmPrice]]),"ERR","")</f>
        <v/>
      </c>
      <c r="AG138" s="3">
        <v>42935</v>
      </c>
      <c r="AH138" s="14">
        <v>19.574200000000001</v>
      </c>
      <c r="AI138" s="34">
        <v>20</v>
      </c>
      <c r="AJ138" s="14">
        <v>231.89920000000001</v>
      </c>
      <c r="AK138" s="14">
        <v>231.78530000000001</v>
      </c>
      <c r="AL138" s="14">
        <v>234.36600000000001</v>
      </c>
      <c r="AN138" s="38">
        <f t="shared" si="7"/>
        <v>0</v>
      </c>
      <c r="AO138" s="38">
        <f t="shared" si="8"/>
        <v>0</v>
      </c>
      <c r="AQ138" s="37">
        <v>42935</v>
      </c>
      <c r="AR138">
        <v>20</v>
      </c>
      <c r="AS138">
        <v>231.78524999999999</v>
      </c>
      <c r="AT138">
        <v>234.36599999999899</v>
      </c>
      <c r="AV138" s="37">
        <v>42935</v>
      </c>
      <c r="AW138">
        <v>20</v>
      </c>
      <c r="AX138">
        <v>231.78524999999999</v>
      </c>
      <c r="AY138">
        <v>234.36599999999899</v>
      </c>
      <c r="BA138" s="38">
        <f>AX138-Table3[[#This Row],[Trendline]]</f>
        <v>-5.0000000015870683E-5</v>
      </c>
      <c r="BB138" s="38">
        <f>AY138-Table3[[#This Row],[SmPrice]]</f>
        <v>-1.0231815394945443E-12</v>
      </c>
    </row>
    <row r="139" spans="1:54" x14ac:dyDescent="0.35">
      <c r="A139" s="6">
        <v>137</v>
      </c>
      <c r="B139" s="3">
        <v>42936</v>
      </c>
      <c r="C139" s="2">
        <v>235.78</v>
      </c>
      <c r="D139" s="2">
        <v>235.91</v>
      </c>
      <c r="E139" s="2">
        <v>235.01</v>
      </c>
      <c r="F139" s="2">
        <v>235.61</v>
      </c>
      <c r="G139" s="1">
        <v>49434036</v>
      </c>
      <c r="H139" s="30">
        <f>(testdata[[#This Row],[high]]+testdata[[#This Row],[low]])/2</f>
        <v>235.45999999999998</v>
      </c>
      <c r="I139" s="23">
        <f>(4*testdata[[#This Row],[price]]+3*H138+2*H137+H136)/10</f>
        <v>234.87350000000001</v>
      </c>
      <c r="J139" s="9">
        <f>(0.0962*testdata[[#This Row],[smooth]]+0.5769*I137-0.5769*I135-0.0962*I133)*(0.075*$Z138+0.54)</f>
        <v>1.7698761323071617</v>
      </c>
      <c r="K139" s="14">
        <f t="shared" si="6"/>
        <v>2.3972884264991201</v>
      </c>
      <c r="L139" s="14">
        <f>(0.0962*testdata[[#This Row],[detrender]]+0.5769*J137-0.5769*J135-0.0962*J133)*(0.075*$Z138+0.54)</f>
        <v>1.5836914790982199</v>
      </c>
      <c r="M139" s="9">
        <f>(0.0962*testdata[[#This Row],[I1]]+0.5769*K137-0.5769*K135-0.0962*K133)*(0.075*$Z138+0.54)</f>
        <v>1.84786808209139</v>
      </c>
      <c r="N139" s="9">
        <f>(0.0962*testdata[[#This Row],[Q1]]+0.5769*L137-0.5769*L135-0.0962*L133)*(0.075*$Z138+0.54)</f>
        <v>1.8849145268229943</v>
      </c>
      <c r="O139" s="9">
        <f>testdata[[#This Row],[I1]]-testdata[[#This Row],[JQ]]</f>
        <v>0.51237389967612579</v>
      </c>
      <c r="P139" s="9">
        <f>testdata[[#This Row],[Q1]]+testdata[[#This Row],[jI]]</f>
        <v>3.4315595611896099</v>
      </c>
      <c r="Q139" s="9">
        <f>0.2*testdata[[#This Row],[I2]]+0.8*Q138</f>
        <v>-0.58970960060266742</v>
      </c>
      <c r="R139" s="9">
        <f>0.2*testdata[[#This Row],[Q2]]+0.8*R138</f>
        <v>1.6675806129303883</v>
      </c>
      <c r="S139" s="9">
        <f>testdata[[#This Row],[I2'']]*Q138+testdata[[#This Row],[Q2'']]*R138</f>
        <v>2.5556655449256924</v>
      </c>
      <c r="T139" s="9">
        <f>testdata[[#This Row],[I2'']]*R138-testdata[[#This Row],[Q2'']]*Q138</f>
        <v>0.71951209998620902</v>
      </c>
      <c r="U139" s="9">
        <f>0.2*testdata[[#This Row],[Re]]+0.8*U138</f>
        <v>1.1118728619490632</v>
      </c>
      <c r="V139" s="9">
        <f>0.2*testdata[[#This Row],[Im]]+0.8*V138</f>
        <v>0.32831271503342963</v>
      </c>
      <c r="W139" s="9">
        <f>IF(AND(testdata[[#This Row],[Re'']]&lt;&gt;0,testdata[[#This Row],[Im'']]&lt;&gt;0),2*PI()/ATAN(testdata[[#This Row],[Im'']]/testdata[[#This Row],[Re'']]),0)</f>
        <v>21.88348178931324</v>
      </c>
      <c r="X139" s="9">
        <f>IF(testdata[[#This Row],[pd-atan]]&gt;1.5*Z138,1.5*Z138,IF(testdata[[#This Row],[pd-atan]]&lt;0.67*Z138,0.67*Z138,testdata[[#This Row],[pd-atan]]))</f>
        <v>21.88348178931324</v>
      </c>
      <c r="Y139" s="9">
        <f>IF(testdata[[#This Row],[pd-limit1]]&lt;6,6,IF(testdata[[#This Row],[pd-limit1]]&gt;50,50,testdata[[#This Row],[pd-limit1]]))</f>
        <v>21.88348178931324</v>
      </c>
      <c r="Z139" s="14">
        <f>0.2*testdata[[#This Row],[pd-limit2]]+0.8*Z138</f>
        <v>20.019513082466329</v>
      </c>
      <c r="AA139" s="14">
        <f>0.33*testdata[[#This Row],[period]]+0.67*AA138</f>
        <v>19.755511665730541</v>
      </c>
      <c r="AB139" s="31">
        <f>TRUNC(testdata[[#This Row],[SmPd]]+0.5,0)</f>
        <v>20</v>
      </c>
      <c r="AC139" s="14">
        <f ca="1">IF(testdata[[#This Row],[PdInt]]&lt;=0,0,AVERAGE(OFFSET(testdata[[#This Row],[price]],0,0,-testdata[[#This Row],[PdInt]],1)))</f>
        <v>232.08725000000004</v>
      </c>
      <c r="AD139" s="14">
        <f ca="1">IF(testdata[[#This Row],[i]]&lt;11,testdata[[#This Row],[price]],(4*testdata[[#This Row],[iTrend]]+3*AC138+2*AC137+AC136)/10)</f>
        <v>231.92810000000003</v>
      </c>
      <c r="AE139" s="14">
        <f>(4*testdata[[#This Row],[price]]+3*H138+2*H137+H136)/10</f>
        <v>234.87350000000001</v>
      </c>
      <c r="AF139" t="str">
        <f ca="1">IF(OR(ROUND(testdata[[#This Row],[Trendline]],4)&lt;&gt;Table3[[#This Row],[Trendline]],ROUND(testdata[[#This Row],[SmPrice]],4)&lt;&gt;Table3[[#This Row],[SmPrice]]),"ERR","")</f>
        <v/>
      </c>
      <c r="AG139" s="3">
        <v>42936</v>
      </c>
      <c r="AH139" s="14">
        <v>19.706800000000001</v>
      </c>
      <c r="AI139" s="34">
        <v>20</v>
      </c>
      <c r="AJ139" s="14">
        <v>232.0873</v>
      </c>
      <c r="AK139" s="14">
        <v>231.9281</v>
      </c>
      <c r="AL139" s="14">
        <v>234.87350000000001</v>
      </c>
      <c r="AN139" s="38">
        <f t="shared" si="7"/>
        <v>0</v>
      </c>
      <c r="AO139" s="38">
        <f t="shared" si="8"/>
        <v>0</v>
      </c>
      <c r="AQ139" s="37">
        <v>42936</v>
      </c>
      <c r="AR139">
        <v>20</v>
      </c>
      <c r="AS139">
        <v>231.9281</v>
      </c>
      <c r="AT139">
        <v>234.87350000000001</v>
      </c>
      <c r="AV139" s="37">
        <v>42936</v>
      </c>
      <c r="AW139">
        <v>20</v>
      </c>
      <c r="AX139">
        <v>231.9281</v>
      </c>
      <c r="AY139">
        <v>234.87350000000001</v>
      </c>
      <c r="BA139" s="38">
        <f>AX139-Table3[[#This Row],[Trendline]]</f>
        <v>0</v>
      </c>
      <c r="BB139" s="38">
        <f>AY139-Table3[[#This Row],[SmPrice]]</f>
        <v>0</v>
      </c>
    </row>
    <row r="140" spans="1:54" x14ac:dyDescent="0.35">
      <c r="A140" s="6">
        <v>138</v>
      </c>
      <c r="B140" s="3">
        <v>42937</v>
      </c>
      <c r="C140" s="2">
        <v>234.98</v>
      </c>
      <c r="D140" s="2">
        <v>235.43</v>
      </c>
      <c r="E140" s="2">
        <v>234.73</v>
      </c>
      <c r="F140" s="2">
        <v>235.4</v>
      </c>
      <c r="G140" s="1">
        <v>93037592</v>
      </c>
      <c r="H140" s="30">
        <f>(testdata[[#This Row],[high]]+testdata[[#This Row],[low]])/2</f>
        <v>235.07999999999998</v>
      </c>
      <c r="I140" s="23">
        <f>(4*testdata[[#This Row],[price]]+3*H139+2*H138+H137)/10</f>
        <v>235.05699999999996</v>
      </c>
      <c r="J140" s="9">
        <f>(0.0962*testdata[[#This Row],[smooth]]+0.5769*I138-0.5769*I136-0.0962*I134)*(0.075*$Z139+0.54)</f>
        <v>1.4932649034358918</v>
      </c>
      <c r="K140" s="14">
        <f t="shared" si="6"/>
        <v>2.3846773042323748</v>
      </c>
      <c r="L140" s="14">
        <f>(0.0962*testdata[[#This Row],[detrender]]+0.5769*J138-0.5769*J136-0.0962*J134)*(0.075*$Z139+0.54)</f>
        <v>0.37535780729353491</v>
      </c>
      <c r="M140" s="9">
        <f>(0.0962*testdata[[#This Row],[I1]]+0.5769*K138-0.5769*K136-0.0962*K134)*(0.075*$Z139+0.54)</f>
        <v>2.3131080151457812</v>
      </c>
      <c r="N140" s="9">
        <f>(0.0962*testdata[[#This Row],[Q1]]+0.5769*L138-0.5769*L136-0.0962*L134)*(0.075*$Z139+0.54)</f>
        <v>1.612706942396448</v>
      </c>
      <c r="O140" s="9">
        <f>testdata[[#This Row],[I1]]-testdata[[#This Row],[JQ]]</f>
        <v>0.77197036183592682</v>
      </c>
      <c r="P140" s="9">
        <f>testdata[[#This Row],[Q1]]+testdata[[#This Row],[jI]]</f>
        <v>2.6884658224393161</v>
      </c>
      <c r="Q140" s="9">
        <f>0.2*testdata[[#This Row],[I2]]+0.8*Q139</f>
        <v>-0.31737360811494858</v>
      </c>
      <c r="R140" s="9">
        <f>0.2*testdata[[#This Row],[Q2]]+0.8*R139</f>
        <v>1.8717576548321739</v>
      </c>
      <c r="S140" s="9">
        <f>testdata[[#This Row],[I2'']]*Q139+testdata[[#This Row],[Q2'']]*R139</f>
        <v>3.3084650409854763</v>
      </c>
      <c r="T140" s="9">
        <f>testdata[[#This Row],[I2'']]*R139-testdata[[#This Row],[Q2'']]*Q139</f>
        <v>0.57454738310781195</v>
      </c>
      <c r="U140" s="9">
        <f>0.2*testdata[[#This Row],[Re]]+0.8*U139</f>
        <v>1.551191297756346</v>
      </c>
      <c r="V140" s="9">
        <f>0.2*testdata[[#This Row],[Im]]+0.8*V139</f>
        <v>0.37755964864830616</v>
      </c>
      <c r="W140" s="9">
        <f>IF(AND(testdata[[#This Row],[Re'']]&lt;&gt;0,testdata[[#This Row],[Im'']]&lt;&gt;0),2*PI()/ATAN(testdata[[#This Row],[Im'']]/testdata[[#This Row],[Re'']]),0)</f>
        <v>26.316220998486024</v>
      </c>
      <c r="X140" s="9">
        <f>IF(testdata[[#This Row],[pd-atan]]&gt;1.5*Z139,1.5*Z139,IF(testdata[[#This Row],[pd-atan]]&lt;0.67*Z139,0.67*Z139,testdata[[#This Row],[pd-atan]]))</f>
        <v>26.316220998486024</v>
      </c>
      <c r="Y140" s="9">
        <f>IF(testdata[[#This Row],[pd-limit1]]&lt;6,6,IF(testdata[[#This Row],[pd-limit1]]&gt;50,50,testdata[[#This Row],[pd-limit1]]))</f>
        <v>26.316220998486024</v>
      </c>
      <c r="Z140" s="14">
        <f>0.2*testdata[[#This Row],[pd-limit2]]+0.8*Z139</f>
        <v>21.27885466567027</v>
      </c>
      <c r="AA140" s="14">
        <f>0.33*testdata[[#This Row],[period]]+0.67*AA139</f>
        <v>20.258214855710651</v>
      </c>
      <c r="AB140" s="31">
        <f>TRUNC(testdata[[#This Row],[SmPd]]+0.5,0)</f>
        <v>20</v>
      </c>
      <c r="AC140" s="14">
        <f ca="1">IF(testdata[[#This Row],[PdInt]]&lt;=0,0,AVERAGE(OFFSET(testdata[[#This Row],[price]],0,0,-testdata[[#This Row],[PdInt]],1)))</f>
        <v>232.25200000000004</v>
      </c>
      <c r="AD140" s="14">
        <f ca="1">IF(testdata[[#This Row],[i]]&lt;11,testdata[[#This Row],[price]],(4*testdata[[#This Row],[iTrend]]+3*AC139+2*AC138+AC137)/10)</f>
        <v>232.08302500000005</v>
      </c>
      <c r="AE140" s="14">
        <f>(4*testdata[[#This Row],[price]]+3*H139+2*H138+H137)/10</f>
        <v>235.05699999999996</v>
      </c>
      <c r="AF140" t="str">
        <f ca="1">IF(OR(ROUND(testdata[[#This Row],[Trendline]],4)&lt;&gt;Table3[[#This Row],[Trendline]],ROUND(testdata[[#This Row],[SmPrice]],4)&lt;&gt;Table3[[#This Row],[SmPrice]]),"ERR","")</f>
        <v/>
      </c>
      <c r="AG140" s="3">
        <v>42937</v>
      </c>
      <c r="AH140" s="14">
        <v>20.2118</v>
      </c>
      <c r="AI140" s="34">
        <v>20</v>
      </c>
      <c r="AJ140" s="14">
        <v>232.25200000000001</v>
      </c>
      <c r="AK140" s="14">
        <v>232.083</v>
      </c>
      <c r="AL140" s="14">
        <v>235.05699999999999</v>
      </c>
      <c r="AN140" s="38">
        <f t="shared" si="7"/>
        <v>0</v>
      </c>
      <c r="AO140" s="38">
        <f t="shared" si="8"/>
        <v>0</v>
      </c>
      <c r="AQ140" s="37">
        <v>42937</v>
      </c>
      <c r="AR140">
        <v>20</v>
      </c>
      <c r="AS140">
        <v>232.08302499999999</v>
      </c>
      <c r="AT140">
        <v>235.05699999999999</v>
      </c>
      <c r="AV140" s="37">
        <v>42937</v>
      </c>
      <c r="AW140">
        <v>20</v>
      </c>
      <c r="AX140">
        <v>232.08302499999999</v>
      </c>
      <c r="AY140">
        <v>235.05699999999999</v>
      </c>
      <c r="BA140" s="38">
        <f>AX140-Table3[[#This Row],[Trendline]]</f>
        <v>2.4999999993724487E-5</v>
      </c>
      <c r="BB140" s="38">
        <f>AY140-Table3[[#This Row],[SmPrice]]</f>
        <v>0</v>
      </c>
    </row>
    <row r="141" spans="1:54" x14ac:dyDescent="0.35">
      <c r="A141" s="6">
        <v>139</v>
      </c>
      <c r="B141" s="3">
        <v>42940</v>
      </c>
      <c r="C141" s="2">
        <v>235.31</v>
      </c>
      <c r="D141" s="2">
        <v>235.49</v>
      </c>
      <c r="E141" s="2">
        <v>234.83</v>
      </c>
      <c r="F141" s="2">
        <v>235.34</v>
      </c>
      <c r="G141" s="1">
        <v>48896096</v>
      </c>
      <c r="H141" s="30">
        <f>(testdata[[#This Row],[high]]+testdata[[#This Row],[low]])/2</f>
        <v>235.16000000000003</v>
      </c>
      <c r="I141" s="23">
        <f>(4*testdata[[#This Row],[price]]+3*H140+2*H139+H138)/10</f>
        <v>235.18400000000003</v>
      </c>
      <c r="J141" s="9">
        <f>(0.0962*testdata[[#This Row],[smooth]]+0.5769*I139-0.5769*I137-0.0962*I135)*(0.075*$Z140+0.54)</f>
        <v>1.7961920497296904</v>
      </c>
      <c r="K141" s="14">
        <f t="shared" si="6"/>
        <v>2.5146793484323711</v>
      </c>
      <c r="L141" s="14">
        <f>(0.0962*testdata[[#This Row],[detrender]]+0.5769*J139-0.5769*J137-0.0962*J135)*(0.075*$Z140+0.54)</f>
        <v>-0.66225101177936296</v>
      </c>
      <c r="M141" s="9">
        <f>(0.0962*testdata[[#This Row],[I1]]+0.5769*K139-0.5769*K137-0.0962*K135)*(0.075*$Z140+0.54)</f>
        <v>3.3032805627655644</v>
      </c>
      <c r="N141" s="9">
        <f>(0.0962*testdata[[#This Row],[Q1]]+0.5769*L139-0.5769*L137-0.0962*L135)*(0.075*$Z140+0.54)</f>
        <v>-1.157123200193698</v>
      </c>
      <c r="O141" s="9">
        <f>testdata[[#This Row],[I1]]-testdata[[#This Row],[JQ]]</f>
        <v>3.671802548626069</v>
      </c>
      <c r="P141" s="9">
        <f>testdata[[#This Row],[Q1]]+testdata[[#This Row],[jI]]</f>
        <v>2.6410295509862012</v>
      </c>
      <c r="Q141" s="9">
        <f>0.2*testdata[[#This Row],[I2]]+0.8*Q140</f>
        <v>0.48046162323325498</v>
      </c>
      <c r="R141" s="9">
        <f>0.2*testdata[[#This Row],[Q2]]+0.8*R140</f>
        <v>2.0256120340629797</v>
      </c>
      <c r="S141" s="9">
        <f>testdata[[#This Row],[I2'']]*Q140+testdata[[#This Row],[Q2'']]*R140</f>
        <v>3.6389689915512493</v>
      </c>
      <c r="T141" s="9">
        <f>testdata[[#This Row],[I2'']]*R140-testdata[[#This Row],[Q2'']]*Q140</f>
        <v>1.5421835210315649</v>
      </c>
      <c r="U141" s="9">
        <f>0.2*testdata[[#This Row],[Re]]+0.8*U140</f>
        <v>1.9687468365153267</v>
      </c>
      <c r="V141" s="9">
        <f>0.2*testdata[[#This Row],[Im]]+0.8*V140</f>
        <v>0.61048442312495799</v>
      </c>
      <c r="W141" s="9">
        <f>IF(AND(testdata[[#This Row],[Re'']]&lt;&gt;0,testdata[[#This Row],[Im'']]&lt;&gt;0),2*PI()/ATAN(testdata[[#This Row],[Im'']]/testdata[[#This Row],[Re'']]),0)</f>
        <v>20.896182879340536</v>
      </c>
      <c r="X141" s="9">
        <f>IF(testdata[[#This Row],[pd-atan]]&gt;1.5*Z140,1.5*Z140,IF(testdata[[#This Row],[pd-atan]]&lt;0.67*Z140,0.67*Z140,testdata[[#This Row],[pd-atan]]))</f>
        <v>20.896182879340536</v>
      </c>
      <c r="Y141" s="9">
        <f>IF(testdata[[#This Row],[pd-limit1]]&lt;6,6,IF(testdata[[#This Row],[pd-limit1]]&gt;50,50,testdata[[#This Row],[pd-limit1]]))</f>
        <v>20.896182879340536</v>
      </c>
      <c r="Z141" s="14">
        <f>0.2*testdata[[#This Row],[pd-limit2]]+0.8*Z140</f>
        <v>21.202320308404325</v>
      </c>
      <c r="AA141" s="14">
        <f>0.33*testdata[[#This Row],[period]]+0.67*AA140</f>
        <v>20.569769655099567</v>
      </c>
      <c r="AB141" s="31">
        <f>TRUNC(testdata[[#This Row],[SmPd]]+0.5,0)</f>
        <v>21</v>
      </c>
      <c r="AC141" s="14">
        <f ca="1">IF(testdata[[#This Row],[PdInt]]&lt;=0,0,AVERAGE(OFFSET(testdata[[#This Row],[price]],0,0,-testdata[[#This Row],[PdInt]],1)))</f>
        <v>232.39047619047622</v>
      </c>
      <c r="AD141" s="14">
        <f ca="1">IF(testdata[[#This Row],[i]]&lt;11,testdata[[#This Row],[price]],(4*testdata[[#This Row],[iTrend]]+3*AC140+2*AC139+AC138)/10)</f>
        <v>232.23916547619052</v>
      </c>
      <c r="AE141" s="14">
        <f>(4*testdata[[#This Row],[price]]+3*H140+2*H139+H138)/10</f>
        <v>235.18400000000003</v>
      </c>
      <c r="AF141" t="str">
        <f ca="1">IF(OR(ROUND(testdata[[#This Row],[Trendline]],4)&lt;&gt;Table3[[#This Row],[Trendline]],ROUND(testdata[[#This Row],[SmPrice]],4)&lt;&gt;Table3[[#This Row],[SmPrice]]),"ERR","")</f>
        <v/>
      </c>
      <c r="AG141" s="3">
        <v>42940</v>
      </c>
      <c r="AH141" s="14">
        <v>20.5274</v>
      </c>
      <c r="AI141" s="34">
        <v>21</v>
      </c>
      <c r="AJ141" s="14">
        <v>232.3905</v>
      </c>
      <c r="AK141" s="14">
        <v>232.23920000000001</v>
      </c>
      <c r="AL141" s="14">
        <v>235.184</v>
      </c>
      <c r="AN141" s="38">
        <f t="shared" si="7"/>
        <v>0</v>
      </c>
      <c r="AO141" s="38">
        <f t="shared" si="8"/>
        <v>0</v>
      </c>
      <c r="AQ141" s="37">
        <v>42940</v>
      </c>
      <c r="AR141">
        <v>21</v>
      </c>
      <c r="AS141">
        <v>232.23916547619001</v>
      </c>
      <c r="AT141">
        <v>235.184</v>
      </c>
      <c r="AV141" s="37">
        <v>42940</v>
      </c>
      <c r="AW141">
        <v>21</v>
      </c>
      <c r="AX141">
        <v>232.23916547619001</v>
      </c>
      <c r="AY141">
        <v>235.184</v>
      </c>
      <c r="BA141" s="38">
        <f>AX141-Table3[[#This Row],[Trendline]]</f>
        <v>-3.4523810001019228E-5</v>
      </c>
      <c r="BB141" s="38">
        <f>AY141-Table3[[#This Row],[SmPrice]]</f>
        <v>0</v>
      </c>
    </row>
    <row r="142" spans="1:54" x14ac:dyDescent="0.35">
      <c r="A142" s="6">
        <v>140</v>
      </c>
      <c r="B142" s="3">
        <v>42941</v>
      </c>
      <c r="C142" s="2">
        <v>236.16</v>
      </c>
      <c r="D142" s="2">
        <v>236.28</v>
      </c>
      <c r="E142" s="2">
        <v>235.67</v>
      </c>
      <c r="F142" s="2">
        <v>235.91</v>
      </c>
      <c r="G142" s="1">
        <v>57593908</v>
      </c>
      <c r="H142" s="30">
        <f>(testdata[[#This Row],[high]]+testdata[[#This Row],[low]])/2</f>
        <v>235.97499999999999</v>
      </c>
      <c r="I142" s="23">
        <f>(4*testdata[[#This Row],[price]]+3*H141+2*H140+H139)/10</f>
        <v>235.5</v>
      </c>
      <c r="J142" s="9">
        <f>(0.0962*testdata[[#This Row],[smooth]]+0.5769*I140-0.5769*I138-0.0962*I136)*(0.075*$Z141+0.54)</f>
        <v>1.2382139230514231</v>
      </c>
      <c r="K142" s="14">
        <f t="shared" si="6"/>
        <v>1.7698761323071617</v>
      </c>
      <c r="L142" s="14">
        <f>(0.0962*testdata[[#This Row],[detrender]]+0.5769*J140-0.5769*J138-0.0962*J136)*(0.075*$Z141+0.54)</f>
        <v>-1.4927342738916642</v>
      </c>
      <c r="M142" s="9">
        <f>(0.0962*testdata[[#This Row],[I1]]+0.5769*K140-0.5769*K138-0.0962*K136)*(0.075*$Z141+0.54)</f>
        <v>1.6812931956691763</v>
      </c>
      <c r="N142" s="9">
        <f>(0.0962*testdata[[#This Row],[Q1]]+0.5769*L140-0.5769*L138-0.0962*L136)*(0.075*$Z141+0.54)</f>
        <v>-3.9871640848413117</v>
      </c>
      <c r="O142" s="9">
        <f>testdata[[#This Row],[I1]]-testdata[[#This Row],[JQ]]</f>
        <v>5.7570402171484734</v>
      </c>
      <c r="P142" s="9">
        <f>testdata[[#This Row],[Q1]]+testdata[[#This Row],[jI]]</f>
        <v>0.1885589217775121</v>
      </c>
      <c r="Q142" s="9">
        <f>0.2*testdata[[#This Row],[I2]]+0.8*Q141</f>
        <v>1.5357773420162988</v>
      </c>
      <c r="R142" s="9">
        <f>0.2*testdata[[#This Row],[Q2]]+0.8*R141</f>
        <v>1.6582014116058863</v>
      </c>
      <c r="S142" s="9">
        <f>testdata[[#This Row],[I2'']]*Q141+testdata[[#This Row],[Q2'']]*R141</f>
        <v>4.0967548089191084</v>
      </c>
      <c r="T142" s="9">
        <f>testdata[[#This Row],[I2'']]*R141-testdata[[#This Row],[Q2'']]*Q141</f>
        <v>2.3141869237616324</v>
      </c>
      <c r="U142" s="9">
        <f>0.2*testdata[[#This Row],[Re]]+0.8*U141</f>
        <v>2.3943484309960832</v>
      </c>
      <c r="V142" s="9">
        <f>0.2*testdata[[#This Row],[Im]]+0.8*V141</f>
        <v>0.95122492325229291</v>
      </c>
      <c r="W142" s="9">
        <f>IF(AND(testdata[[#This Row],[Re'']]&lt;&gt;0,testdata[[#This Row],[Im'']]&lt;&gt;0),2*PI()/ATAN(testdata[[#This Row],[Im'']]/testdata[[#This Row],[Re'']]),0)</f>
        <v>16.615207801580659</v>
      </c>
      <c r="X142" s="9">
        <f>IF(testdata[[#This Row],[pd-atan]]&gt;1.5*Z141,1.5*Z141,IF(testdata[[#This Row],[pd-atan]]&lt;0.67*Z141,0.67*Z141,testdata[[#This Row],[pd-atan]]))</f>
        <v>16.615207801580659</v>
      </c>
      <c r="Y142" s="9">
        <f>IF(testdata[[#This Row],[pd-limit1]]&lt;6,6,IF(testdata[[#This Row],[pd-limit1]]&gt;50,50,testdata[[#This Row],[pd-limit1]]))</f>
        <v>16.615207801580659</v>
      </c>
      <c r="Z142" s="14">
        <f>0.2*testdata[[#This Row],[pd-limit2]]+0.8*Z141</f>
        <v>20.284897807039592</v>
      </c>
      <c r="AA142" s="14">
        <f>0.33*testdata[[#This Row],[period]]+0.67*AA141</f>
        <v>20.475761945239775</v>
      </c>
      <c r="AB142" s="31">
        <f>TRUNC(testdata[[#This Row],[SmPd]]+0.5,0)</f>
        <v>20</v>
      </c>
      <c r="AC142" s="14">
        <f ca="1">IF(testdata[[#This Row],[PdInt]]&lt;=0,0,AVERAGE(OFFSET(testdata[[#This Row],[price]],0,0,-testdata[[#This Row],[PdInt]],1)))</f>
        <v>232.60525000000001</v>
      </c>
      <c r="AD142" s="14">
        <f ca="1">IF(testdata[[#This Row],[i]]&lt;11,testdata[[#This Row],[price]],(4*testdata[[#This Row],[iTrend]]+3*AC141+2*AC140+AC139)/10)</f>
        <v>232.41836785714287</v>
      </c>
      <c r="AE142" s="14">
        <f>(4*testdata[[#This Row],[price]]+3*H141+2*H140+H139)/10</f>
        <v>235.5</v>
      </c>
      <c r="AF142" t="str">
        <f ca="1">IF(OR(ROUND(testdata[[#This Row],[Trendline]],4)&lt;&gt;Table3[[#This Row],[Trendline]],ROUND(testdata[[#This Row],[SmPrice]],4)&lt;&gt;Table3[[#This Row],[SmPrice]]),"ERR","")</f>
        <v/>
      </c>
      <c r="AG142" s="3">
        <v>42941</v>
      </c>
      <c r="AH142" s="14">
        <v>20.4389</v>
      </c>
      <c r="AI142" s="34">
        <v>20</v>
      </c>
      <c r="AJ142" s="14">
        <v>232.6053</v>
      </c>
      <c r="AK142" s="14">
        <v>232.41839999999999</v>
      </c>
      <c r="AL142" s="14">
        <v>235.5</v>
      </c>
      <c r="AN142" s="38">
        <f t="shared" si="7"/>
        <v>0</v>
      </c>
      <c r="AO142" s="38">
        <f t="shared" si="8"/>
        <v>0</v>
      </c>
      <c r="AQ142" s="37">
        <v>42941</v>
      </c>
      <c r="AR142">
        <v>20</v>
      </c>
      <c r="AS142">
        <v>232.41836785714199</v>
      </c>
      <c r="AT142">
        <v>235.5</v>
      </c>
      <c r="AV142" s="37">
        <v>42941</v>
      </c>
      <c r="AW142">
        <v>20</v>
      </c>
      <c r="AX142">
        <v>232.41836785714199</v>
      </c>
      <c r="AY142">
        <v>235.5</v>
      </c>
      <c r="BA142" s="38">
        <f>AX142-Table3[[#This Row],[Trendline]]</f>
        <v>-3.2142858003680885E-5</v>
      </c>
      <c r="BB142" s="38">
        <f>AY142-Table3[[#This Row],[SmPrice]]</f>
        <v>0</v>
      </c>
    </row>
    <row r="143" spans="1:54" x14ac:dyDescent="0.35">
      <c r="A143" s="6">
        <v>141</v>
      </c>
      <c r="B143" s="3">
        <v>42942</v>
      </c>
      <c r="C143" s="2">
        <v>236.23</v>
      </c>
      <c r="D143" s="2">
        <v>236.27</v>
      </c>
      <c r="E143" s="2">
        <v>235.64</v>
      </c>
      <c r="F143" s="2">
        <v>235.92</v>
      </c>
      <c r="G143" s="1">
        <v>49895744</v>
      </c>
      <c r="H143" s="30">
        <f>(testdata[[#This Row],[high]]+testdata[[#This Row],[low]])/2</f>
        <v>235.95499999999998</v>
      </c>
      <c r="I143" s="23">
        <f>(4*testdata[[#This Row],[price]]+3*H142+2*H141+H140)/10</f>
        <v>235.71449999999999</v>
      </c>
      <c r="J143" s="9">
        <f>(0.0962*testdata[[#This Row],[smooth]]+0.5769*I141-0.5769*I139-0.0962*I137)*(0.075*$Z142+0.54)</f>
        <v>0.74840383836639435</v>
      </c>
      <c r="K143" s="14">
        <f t="shared" si="6"/>
        <v>1.4932649034358918</v>
      </c>
      <c r="L143" s="14">
        <f>(0.0962*testdata[[#This Row],[detrender]]+0.5769*J141-0.5769*J139-0.0962*J137)*(0.075*$Z142+0.54)</f>
        <v>-0.29318385378855333</v>
      </c>
      <c r="M143" s="9">
        <f>(0.0962*testdata[[#This Row],[I1]]+0.5769*K141-0.5769*K139-0.0962*K137)*(0.075*$Z142+0.54)</f>
        <v>0.37901746968364525</v>
      </c>
      <c r="N143" s="9">
        <f>(0.0962*testdata[[#This Row],[Q1]]+0.5769*L141-0.5769*L139-0.0962*L137)*(0.075*$Z142+0.54)</f>
        <v>-3.175937750642404</v>
      </c>
      <c r="O143" s="9">
        <f>testdata[[#This Row],[I1]]-testdata[[#This Row],[JQ]]</f>
        <v>4.6692026540782958</v>
      </c>
      <c r="P143" s="9">
        <f>testdata[[#This Row],[Q1]]+testdata[[#This Row],[jI]]</f>
        <v>8.5833615895091919E-2</v>
      </c>
      <c r="Q143" s="9">
        <f>0.2*testdata[[#This Row],[I2]]+0.8*Q142</f>
        <v>2.1624624044286982</v>
      </c>
      <c r="R143" s="9">
        <f>0.2*testdata[[#This Row],[Q2]]+0.8*R142</f>
        <v>1.3437278524637275</v>
      </c>
      <c r="S143" s="9">
        <f>testdata[[#This Row],[I2'']]*Q142+testdata[[#This Row],[Q2'']]*R142</f>
        <v>5.5492321854531799</v>
      </c>
      <c r="T143" s="9">
        <f>testdata[[#This Row],[I2'']]*R142-testdata[[#This Row],[Q2'']]*Q142</f>
        <v>1.522131421918314</v>
      </c>
      <c r="U143" s="9">
        <f>0.2*testdata[[#This Row],[Re]]+0.8*U142</f>
        <v>3.0253251818875029</v>
      </c>
      <c r="V143" s="9">
        <f>0.2*testdata[[#This Row],[Im]]+0.8*V142</f>
        <v>1.065406222985497</v>
      </c>
      <c r="W143" s="9">
        <f>IF(AND(testdata[[#This Row],[Re'']]&lt;&gt;0,testdata[[#This Row],[Im'']]&lt;&gt;0),2*PI()/ATAN(testdata[[#This Row],[Im'']]/testdata[[#This Row],[Re'']]),0)</f>
        <v>18.556361816225532</v>
      </c>
      <c r="X143" s="9">
        <f>IF(testdata[[#This Row],[pd-atan]]&gt;1.5*Z142,1.5*Z142,IF(testdata[[#This Row],[pd-atan]]&lt;0.67*Z142,0.67*Z142,testdata[[#This Row],[pd-atan]]))</f>
        <v>18.556361816225532</v>
      </c>
      <c r="Y143" s="9">
        <f>IF(testdata[[#This Row],[pd-limit1]]&lt;6,6,IF(testdata[[#This Row],[pd-limit1]]&gt;50,50,testdata[[#This Row],[pd-limit1]]))</f>
        <v>18.556361816225532</v>
      </c>
      <c r="Z143" s="14">
        <f>0.2*testdata[[#This Row],[pd-limit2]]+0.8*Z142</f>
        <v>19.939190608876782</v>
      </c>
      <c r="AA143" s="14">
        <f>0.33*testdata[[#This Row],[period]]+0.67*AA142</f>
        <v>20.298693404239987</v>
      </c>
      <c r="AB143" s="31">
        <f>TRUNC(testdata[[#This Row],[SmPd]]+0.5,0)</f>
        <v>20</v>
      </c>
      <c r="AC143" s="14">
        <f ca="1">IF(testdata[[#This Row],[PdInt]]&lt;=0,0,AVERAGE(OFFSET(testdata[[#This Row],[price]],0,0,-testdata[[#This Row],[PdInt]],1)))</f>
        <v>232.84925000000004</v>
      </c>
      <c r="AD143" s="14">
        <f ca="1">IF(testdata[[#This Row],[i]]&lt;11,testdata[[#This Row],[price]],(4*testdata[[#This Row],[iTrend]]+3*AC142+2*AC141+AC140)/10)</f>
        <v>232.62457023809526</v>
      </c>
      <c r="AE143" s="14">
        <f>(4*testdata[[#This Row],[price]]+3*H142+2*H141+H140)/10</f>
        <v>235.71449999999999</v>
      </c>
      <c r="AF143" t="str">
        <f ca="1">IF(OR(ROUND(testdata[[#This Row],[Trendline]],4)&lt;&gt;Table3[[#This Row],[Trendline]],ROUND(testdata[[#This Row],[SmPrice]],4)&lt;&gt;Table3[[#This Row],[SmPrice]]),"ERR","")</f>
        <v/>
      </c>
      <c r="AG143" s="3">
        <v>42942</v>
      </c>
      <c r="AH143" s="14">
        <v>20.2683</v>
      </c>
      <c r="AI143" s="34">
        <v>20</v>
      </c>
      <c r="AJ143" s="14">
        <v>232.8493</v>
      </c>
      <c r="AK143" s="14">
        <v>232.62459999999999</v>
      </c>
      <c r="AL143" s="14">
        <v>235.71449999999999</v>
      </c>
      <c r="AN143" s="38">
        <f t="shared" si="7"/>
        <v>0</v>
      </c>
      <c r="AO143" s="38">
        <f t="shared" si="8"/>
        <v>0</v>
      </c>
      <c r="AQ143" s="37">
        <v>42942</v>
      </c>
      <c r="AR143">
        <v>20</v>
      </c>
      <c r="AS143">
        <v>232.624570238095</v>
      </c>
      <c r="AT143">
        <v>235.71449999999999</v>
      </c>
      <c r="AV143" s="37">
        <v>42942</v>
      </c>
      <c r="AW143">
        <v>20</v>
      </c>
      <c r="AX143">
        <v>232.624570238095</v>
      </c>
      <c r="AY143">
        <v>235.71449999999999</v>
      </c>
      <c r="BA143" s="38">
        <f>AX143-Table3[[#This Row],[Trendline]]</f>
        <v>-2.9761904983161003E-5</v>
      </c>
      <c r="BB143" s="38">
        <f>AY143-Table3[[#This Row],[SmPrice]]</f>
        <v>0</v>
      </c>
    </row>
    <row r="144" spans="1:54" x14ac:dyDescent="0.35">
      <c r="A144" s="6">
        <v>142</v>
      </c>
      <c r="B144" s="3">
        <v>42943</v>
      </c>
      <c r="C144" s="2">
        <v>236.43</v>
      </c>
      <c r="D144" s="2">
        <v>236.47</v>
      </c>
      <c r="E144" s="2">
        <v>234.26</v>
      </c>
      <c r="F144" s="2">
        <v>235.7</v>
      </c>
      <c r="G144" s="1">
        <v>74217968</v>
      </c>
      <c r="H144" s="30">
        <f>(testdata[[#This Row],[high]]+testdata[[#This Row],[low]])/2</f>
        <v>235.36500000000001</v>
      </c>
      <c r="I144" s="23">
        <f>(4*testdata[[#This Row],[price]]+3*H143+2*H142+H141)/10</f>
        <v>235.64349999999999</v>
      </c>
      <c r="J144" s="9">
        <f>(0.0962*testdata[[#This Row],[smooth]]+0.5769*I142-0.5769*I140-0.0962*I138)*(0.075*$Z143+0.54)</f>
        <v>0.77033683380421014</v>
      </c>
      <c r="K144" s="14">
        <f t="shared" si="6"/>
        <v>1.7961920497296904</v>
      </c>
      <c r="L144" s="14">
        <f>(0.0962*testdata[[#This Row],[detrender]]+0.5769*J142-0.5769*J140-0.0962*J138)*(0.075*$Z143+0.54)</f>
        <v>-0.64105073792355149</v>
      </c>
      <c r="M144" s="9">
        <f>(0.0962*testdata[[#This Row],[I1]]+0.5769*K142-0.5769*K140-0.0962*K138)*(0.075*$Z143+0.54)</f>
        <v>-0.63109828855817962</v>
      </c>
      <c r="N144" s="9">
        <f>(0.0962*testdata[[#This Row],[Q1]]+0.5769*L142-0.5769*L140-0.0962*L138)*(0.075*$Z143+0.54)</f>
        <v>-2.9179914109900724</v>
      </c>
      <c r="O144" s="9">
        <f>testdata[[#This Row],[I1]]-testdata[[#This Row],[JQ]]</f>
        <v>4.714183460719763</v>
      </c>
      <c r="P144" s="9">
        <f>testdata[[#This Row],[Q1]]+testdata[[#This Row],[jI]]</f>
        <v>-1.2721490264817312</v>
      </c>
      <c r="Q144" s="9">
        <f>0.2*testdata[[#This Row],[I2]]+0.8*Q143</f>
        <v>2.6728066156869112</v>
      </c>
      <c r="R144" s="9">
        <f>0.2*testdata[[#This Row],[Q2]]+0.8*R143</f>
        <v>0.82055247667463571</v>
      </c>
      <c r="S144" s="9">
        <f>testdata[[#This Row],[I2'']]*Q143+testdata[[#This Row],[Q2'']]*R143</f>
        <v>6.8824430380470503</v>
      </c>
      <c r="T144" s="9">
        <f>testdata[[#This Row],[I2'']]*R143-testdata[[#This Row],[Q2'']]*Q143</f>
        <v>1.8171108120780606</v>
      </c>
      <c r="U144" s="9">
        <f>0.2*testdata[[#This Row],[Re]]+0.8*U143</f>
        <v>3.7967487531194126</v>
      </c>
      <c r="V144" s="9">
        <f>0.2*testdata[[#This Row],[Im]]+0.8*V143</f>
        <v>1.2157471408040099</v>
      </c>
      <c r="W144" s="9">
        <f>IF(AND(testdata[[#This Row],[Re'']]&lt;&gt;0,testdata[[#This Row],[Im'']]&lt;&gt;0),2*PI()/ATAN(testdata[[#This Row],[Im'']]/testdata[[#This Row],[Re'']]),0)</f>
        <v>20.275462884326931</v>
      </c>
      <c r="X144" s="9">
        <f>IF(testdata[[#This Row],[pd-atan]]&gt;1.5*Z143,1.5*Z143,IF(testdata[[#This Row],[pd-atan]]&lt;0.67*Z143,0.67*Z143,testdata[[#This Row],[pd-atan]]))</f>
        <v>20.275462884326931</v>
      </c>
      <c r="Y144" s="9">
        <f>IF(testdata[[#This Row],[pd-limit1]]&lt;6,6,IF(testdata[[#This Row],[pd-limit1]]&gt;50,50,testdata[[#This Row],[pd-limit1]]))</f>
        <v>20.275462884326931</v>
      </c>
      <c r="Z144" s="14">
        <f>0.2*testdata[[#This Row],[pd-limit2]]+0.8*Z143</f>
        <v>20.006445063966812</v>
      </c>
      <c r="AA144" s="14">
        <f>0.33*testdata[[#This Row],[period]]+0.67*AA143</f>
        <v>20.202251451949842</v>
      </c>
      <c r="AB144" s="31">
        <f>TRUNC(testdata[[#This Row],[SmPd]]+0.5,0)</f>
        <v>20</v>
      </c>
      <c r="AC144" s="14">
        <f ca="1">IF(testdata[[#This Row],[PdInt]]&lt;=0,0,AVERAGE(OFFSET(testdata[[#This Row],[price]],0,0,-testdata[[#This Row],[PdInt]],1)))</f>
        <v>233.03374999999997</v>
      </c>
      <c r="AD144" s="14">
        <f ca="1">IF(testdata[[#This Row],[i]]&lt;11,testdata[[#This Row],[price]],(4*testdata[[#This Row],[iTrend]]+3*AC143+2*AC142+AC141)/10)</f>
        <v>232.82837261904766</v>
      </c>
      <c r="AE144" s="14">
        <f>(4*testdata[[#This Row],[price]]+3*H143+2*H142+H141)/10</f>
        <v>235.64349999999999</v>
      </c>
      <c r="AF144" t="str">
        <f ca="1">IF(OR(ROUND(testdata[[#This Row],[Trendline]],4)&lt;&gt;Table3[[#This Row],[Trendline]],ROUND(testdata[[#This Row],[SmPrice]],4)&lt;&gt;Table3[[#This Row],[SmPrice]]),"ERR","")</f>
        <v/>
      </c>
      <c r="AG144" s="3">
        <v>42943</v>
      </c>
      <c r="AH144" s="14">
        <v>20.1784</v>
      </c>
      <c r="AI144" s="34">
        <v>20</v>
      </c>
      <c r="AJ144" s="14">
        <v>233.03370000000001</v>
      </c>
      <c r="AK144" s="14">
        <v>232.82839999999999</v>
      </c>
      <c r="AL144" s="14">
        <v>235.64349999999999</v>
      </c>
      <c r="AN144" s="38">
        <f t="shared" si="7"/>
        <v>0</v>
      </c>
      <c r="AO144" s="38">
        <f t="shared" si="8"/>
        <v>0</v>
      </c>
      <c r="AQ144" s="37">
        <v>42943</v>
      </c>
      <c r="AR144">
        <v>20</v>
      </c>
      <c r="AS144">
        <v>232.828372619047</v>
      </c>
      <c r="AT144">
        <v>235.64349999999999</v>
      </c>
      <c r="AV144" s="37">
        <v>42943</v>
      </c>
      <c r="AW144">
        <v>20</v>
      </c>
      <c r="AX144">
        <v>232.828372619047</v>
      </c>
      <c r="AY144">
        <v>235.64349999999999</v>
      </c>
      <c r="BA144" s="38">
        <f>AX144-Table3[[#This Row],[Trendline]]</f>
        <v>-2.738095298582266E-5</v>
      </c>
      <c r="BB144" s="38">
        <f>AY144-Table3[[#This Row],[SmPrice]]</f>
        <v>0</v>
      </c>
    </row>
    <row r="145" spans="1:54" x14ac:dyDescent="0.35">
      <c r="A145" s="6">
        <v>143</v>
      </c>
      <c r="B145" s="3">
        <v>42944</v>
      </c>
      <c r="C145" s="2">
        <v>235.18</v>
      </c>
      <c r="D145" s="2">
        <v>235.57</v>
      </c>
      <c r="E145" s="2">
        <v>234.68</v>
      </c>
      <c r="F145" s="2">
        <v>235.43</v>
      </c>
      <c r="G145" s="1">
        <v>52531244</v>
      </c>
      <c r="H145" s="30">
        <f>(testdata[[#This Row],[high]]+testdata[[#This Row],[low]])/2</f>
        <v>235.125</v>
      </c>
      <c r="I145" s="23">
        <f>(4*testdata[[#This Row],[price]]+3*H144+2*H143+H142)/10</f>
        <v>235.44800000000001</v>
      </c>
      <c r="J145" s="9">
        <f>(0.0962*testdata[[#This Row],[smooth]]+0.5769*I143-0.5769*I141-0.0962*I139)*(0.075*$Z144+0.54)</f>
        <v>0.73725184509060004</v>
      </c>
      <c r="K145" s="14">
        <f t="shared" si="6"/>
        <v>1.2382139230514231</v>
      </c>
      <c r="L145" s="14">
        <f>(0.0962*testdata[[#This Row],[detrender]]+0.5769*J143-0.5769*J141-0.0962*J139)*(0.075*$Z144+0.54)</f>
        <v>-1.4361074564690914</v>
      </c>
      <c r="M145" s="9">
        <f>(0.0962*testdata[[#This Row],[I1]]+0.5769*K143-0.5769*K141-0.0962*K139)*(0.075*$Z144+0.54)</f>
        <v>-1.4298829312799752</v>
      </c>
      <c r="N145" s="9">
        <f>(0.0962*testdata[[#This Row],[Q1]]+0.5769*L143-0.5769*L141-0.0962*L139)*(0.075*$Z144+0.54)</f>
        <v>-0.15832072622827756</v>
      </c>
      <c r="O145" s="9">
        <f>testdata[[#This Row],[I1]]-testdata[[#This Row],[JQ]]</f>
        <v>1.3965346492797006</v>
      </c>
      <c r="P145" s="9">
        <f>testdata[[#This Row],[Q1]]+testdata[[#This Row],[jI]]</f>
        <v>-2.8659903877490667</v>
      </c>
      <c r="Q145" s="9">
        <f>0.2*testdata[[#This Row],[I2]]+0.8*Q144</f>
        <v>2.4175522224054693</v>
      </c>
      <c r="R145" s="9">
        <f>0.2*testdata[[#This Row],[Q2]]+0.8*R144</f>
        <v>8.3243903789895324E-2</v>
      </c>
      <c r="S145" s="9">
        <f>testdata[[#This Row],[I2'']]*Q144+testdata[[#This Row],[Q2'']]*R144</f>
        <v>6.5299555652367971</v>
      </c>
      <c r="T145" s="9">
        <f>testdata[[#This Row],[I2'']]*R144-testdata[[#This Row],[Q2'']]*Q144</f>
        <v>1.7612336068198406</v>
      </c>
      <c r="U145" s="9">
        <f>0.2*testdata[[#This Row],[Re]]+0.8*U144</f>
        <v>4.3433901155428902</v>
      </c>
      <c r="V145" s="9">
        <f>0.2*testdata[[#This Row],[Im]]+0.8*V144</f>
        <v>1.3248444340071761</v>
      </c>
      <c r="W145" s="9">
        <f>IF(AND(testdata[[#This Row],[Re'']]&lt;&gt;0,testdata[[#This Row],[Im'']]&lt;&gt;0),2*PI()/ATAN(testdata[[#This Row],[Im'']]/testdata[[#This Row],[Re'']]),0)</f>
        <v>21.222612467749926</v>
      </c>
      <c r="X145" s="9">
        <f>IF(testdata[[#This Row],[pd-atan]]&gt;1.5*Z144,1.5*Z144,IF(testdata[[#This Row],[pd-atan]]&lt;0.67*Z144,0.67*Z144,testdata[[#This Row],[pd-atan]]))</f>
        <v>21.222612467749926</v>
      </c>
      <c r="Y145" s="9">
        <f>IF(testdata[[#This Row],[pd-limit1]]&lt;6,6,IF(testdata[[#This Row],[pd-limit1]]&gt;50,50,testdata[[#This Row],[pd-limit1]]))</f>
        <v>21.222612467749926</v>
      </c>
      <c r="Z145" s="14">
        <f>0.2*testdata[[#This Row],[pd-limit2]]+0.8*Z144</f>
        <v>20.249678544723437</v>
      </c>
      <c r="AA145" s="14">
        <f>0.33*testdata[[#This Row],[period]]+0.67*AA144</f>
        <v>20.217902392565129</v>
      </c>
      <c r="AB145" s="31">
        <f>TRUNC(testdata[[#This Row],[SmPd]]+0.5,0)</f>
        <v>20</v>
      </c>
      <c r="AC145" s="14">
        <f ca="1">IF(testdata[[#This Row],[PdInt]]&lt;=0,0,AVERAGE(OFFSET(testdata[[#This Row],[price]],0,0,-testdata[[#This Row],[PdInt]],1)))</f>
        <v>233.26024999999998</v>
      </c>
      <c r="AD145" s="14">
        <f ca="1">IF(testdata[[#This Row],[i]]&lt;11,testdata[[#This Row],[price]],(4*testdata[[#This Row],[iTrend]]+3*AC144+2*AC143+AC142)/10)</f>
        <v>233.0446</v>
      </c>
      <c r="AE145" s="14">
        <f>(4*testdata[[#This Row],[price]]+3*H144+2*H143+H142)/10</f>
        <v>235.44800000000001</v>
      </c>
      <c r="AF145" t="str">
        <f ca="1">IF(OR(ROUND(testdata[[#This Row],[Trendline]],4)&lt;&gt;Table3[[#This Row],[Trendline]],ROUND(testdata[[#This Row],[SmPrice]],4)&lt;&gt;Table3[[#This Row],[SmPrice]]),"ERR","")</f>
        <v/>
      </c>
      <c r="AG145" s="3">
        <v>42944</v>
      </c>
      <c r="AH145" s="14">
        <v>20.1998</v>
      </c>
      <c r="AI145" s="34">
        <v>20</v>
      </c>
      <c r="AJ145" s="14">
        <v>233.2602</v>
      </c>
      <c r="AK145" s="14">
        <v>233.0446</v>
      </c>
      <c r="AL145" s="14">
        <v>235.44800000000001</v>
      </c>
      <c r="AN145" s="38">
        <f t="shared" si="7"/>
        <v>0</v>
      </c>
      <c r="AO145" s="38">
        <f t="shared" si="8"/>
        <v>0</v>
      </c>
      <c r="AQ145" s="37">
        <v>42944</v>
      </c>
      <c r="AR145">
        <v>20</v>
      </c>
      <c r="AS145">
        <v>233.0446</v>
      </c>
      <c r="AT145">
        <v>235.44800000000001</v>
      </c>
      <c r="AV145" s="37">
        <v>42944</v>
      </c>
      <c r="AW145">
        <v>20</v>
      </c>
      <c r="AX145">
        <v>233.0446</v>
      </c>
      <c r="AY145">
        <v>235.44800000000001</v>
      </c>
      <c r="BA145" s="38">
        <f>AX145-Table3[[#This Row],[Trendline]]</f>
        <v>0</v>
      </c>
      <c r="BB145" s="38">
        <f>AY145-Table3[[#This Row],[SmPrice]]</f>
        <v>0</v>
      </c>
    </row>
    <row r="146" spans="1:54" x14ac:dyDescent="0.35">
      <c r="A146" s="6">
        <v>144</v>
      </c>
      <c r="B146" s="3">
        <v>42947</v>
      </c>
      <c r="C146" s="2">
        <v>235.87</v>
      </c>
      <c r="D146" s="2">
        <v>235.97</v>
      </c>
      <c r="E146" s="2">
        <v>235.07</v>
      </c>
      <c r="F146" s="2">
        <v>235.29</v>
      </c>
      <c r="G146" s="1">
        <v>69049712</v>
      </c>
      <c r="H146" s="30">
        <f>(testdata[[#This Row],[high]]+testdata[[#This Row],[low]])/2</f>
        <v>235.51999999999998</v>
      </c>
      <c r="I146" s="23">
        <f>(4*testdata[[#This Row],[price]]+3*H145+2*H144+H143)/10</f>
        <v>235.41399999999999</v>
      </c>
      <c r="J146" s="9">
        <f>(0.0962*testdata[[#This Row],[smooth]]+0.5769*I144-0.5769*I142-0.0962*I140)*(0.075*$Z145+0.54)</f>
        <v>0.24113557844315234</v>
      </c>
      <c r="K146" s="14">
        <f t="shared" si="6"/>
        <v>0.74840383836639435</v>
      </c>
      <c r="L146" s="14">
        <f>(0.0962*testdata[[#This Row],[detrender]]+0.5769*J144-0.5769*J142-0.0962*J140)*(0.075*$Z145+0.54)</f>
        <v>-0.80367127775300695</v>
      </c>
      <c r="M146" s="9">
        <f>(0.0962*testdata[[#This Row],[I1]]+0.5769*K144-0.5769*K142-0.0962*K140)*(0.075*$Z145+0.54)</f>
        <v>-0.29280816677942079</v>
      </c>
      <c r="N146" s="9">
        <f>(0.0962*testdata[[#This Row],[Q1]]+0.5769*L144-0.5769*L142-0.0962*L140)*(0.075*$Z145+0.54)</f>
        <v>0.77802058265488916</v>
      </c>
      <c r="O146" s="9">
        <f>testdata[[#This Row],[I1]]-testdata[[#This Row],[JQ]]</f>
        <v>-2.9616744288494812E-2</v>
      </c>
      <c r="P146" s="9">
        <f>testdata[[#This Row],[Q1]]+testdata[[#This Row],[jI]]</f>
        <v>-1.0964794445324277</v>
      </c>
      <c r="Q146" s="9">
        <f>0.2*testdata[[#This Row],[I2]]+0.8*Q145</f>
        <v>1.9281184290666764</v>
      </c>
      <c r="R146" s="9">
        <f>0.2*testdata[[#This Row],[Q2]]+0.8*R145</f>
        <v>-0.15270076587456927</v>
      </c>
      <c r="S146" s="9">
        <f>testdata[[#This Row],[I2'']]*Q145+testdata[[#This Row],[Q2'']]*R145</f>
        <v>4.6486155853879794</v>
      </c>
      <c r="T146" s="9">
        <f>testdata[[#This Row],[I2'']]*R145-testdata[[#This Row],[Q2'']]*Q145</f>
        <v>0.52966618090783268</v>
      </c>
      <c r="U146" s="9">
        <f>0.2*testdata[[#This Row],[Re]]+0.8*U145</f>
        <v>4.4044352095119086</v>
      </c>
      <c r="V146" s="9">
        <f>0.2*testdata[[#This Row],[Im]]+0.8*V145</f>
        <v>1.1658087833873074</v>
      </c>
      <c r="W146" s="9">
        <f>IF(AND(testdata[[#This Row],[Re'']]&lt;&gt;0,testdata[[#This Row],[Im'']]&lt;&gt;0),2*PI()/ATAN(testdata[[#This Row],[Im'']]/testdata[[#This Row],[Re'']]),0)</f>
        <v>24.282297390586855</v>
      </c>
      <c r="X146" s="9">
        <f>IF(testdata[[#This Row],[pd-atan]]&gt;1.5*Z145,1.5*Z145,IF(testdata[[#This Row],[pd-atan]]&lt;0.67*Z145,0.67*Z145,testdata[[#This Row],[pd-atan]]))</f>
        <v>24.282297390586855</v>
      </c>
      <c r="Y146" s="9">
        <f>IF(testdata[[#This Row],[pd-limit1]]&lt;6,6,IF(testdata[[#This Row],[pd-limit1]]&gt;50,50,testdata[[#This Row],[pd-limit1]]))</f>
        <v>24.282297390586855</v>
      </c>
      <c r="Z146" s="14">
        <f>0.2*testdata[[#This Row],[pd-limit2]]+0.8*Z145</f>
        <v>21.056202313896122</v>
      </c>
      <c r="AA146" s="14">
        <f>0.33*testdata[[#This Row],[period]]+0.67*AA145</f>
        <v>20.494541366604359</v>
      </c>
      <c r="AB146" s="31">
        <f>TRUNC(testdata[[#This Row],[SmPd]]+0.5,0)</f>
        <v>20</v>
      </c>
      <c r="AC146" s="14">
        <f ca="1">IF(testdata[[#This Row],[PdInt]]&lt;=0,0,AVERAGE(OFFSET(testdata[[#This Row],[price]],0,0,-testdata[[#This Row],[PdInt]],1)))</f>
        <v>233.49224999999996</v>
      </c>
      <c r="AD146" s="14">
        <f ca="1">IF(testdata[[#This Row],[i]]&lt;11,testdata[[#This Row],[price]],(4*testdata[[#This Row],[iTrend]]+3*AC145+2*AC144+AC143)/10)</f>
        <v>233.26664999999997</v>
      </c>
      <c r="AE146" s="14">
        <f>(4*testdata[[#This Row],[price]]+3*H145+2*H144+H143)/10</f>
        <v>235.41399999999999</v>
      </c>
      <c r="AF146" t="str">
        <f ca="1">IF(OR(ROUND(testdata[[#This Row],[Trendline]],4)&lt;&gt;Table3[[#This Row],[Trendline]],ROUND(testdata[[#This Row],[SmPrice]],4)&lt;&gt;Table3[[#This Row],[SmPrice]]),"ERR","")</f>
        <v/>
      </c>
      <c r="AG146" s="3">
        <v>42947</v>
      </c>
      <c r="AH146" s="14">
        <v>20.4817</v>
      </c>
      <c r="AI146" s="34">
        <v>20</v>
      </c>
      <c r="AJ146" s="14">
        <v>233.4923</v>
      </c>
      <c r="AK146" s="14">
        <v>233.26669999999999</v>
      </c>
      <c r="AL146" s="14">
        <v>235.41399999999999</v>
      </c>
      <c r="AN146" s="38">
        <f t="shared" si="7"/>
        <v>0</v>
      </c>
      <c r="AO146" s="38">
        <f t="shared" si="8"/>
        <v>0</v>
      </c>
      <c r="AQ146" s="37">
        <v>42947</v>
      </c>
      <c r="AR146">
        <v>20</v>
      </c>
      <c r="AS146">
        <v>233.26665</v>
      </c>
      <c r="AT146">
        <v>235.41399999999999</v>
      </c>
      <c r="AV146" s="37">
        <v>42947</v>
      </c>
      <c r="AW146">
        <v>20</v>
      </c>
      <c r="AX146">
        <v>233.26665</v>
      </c>
      <c r="AY146">
        <v>235.41399999999999</v>
      </c>
      <c r="BA146" s="38">
        <f>AX146-Table3[[#This Row],[Trendline]]</f>
        <v>-4.9999999987448973E-5</v>
      </c>
      <c r="BB146" s="38">
        <f>AY146-Table3[[#This Row],[SmPrice]]</f>
        <v>0</v>
      </c>
    </row>
    <row r="147" spans="1:54" x14ac:dyDescent="0.35">
      <c r="A147" s="6">
        <v>145</v>
      </c>
      <c r="B147" s="3">
        <v>42948</v>
      </c>
      <c r="C147" s="2">
        <v>235.95</v>
      </c>
      <c r="D147" s="2">
        <v>235.99</v>
      </c>
      <c r="E147" s="2">
        <v>235.24</v>
      </c>
      <c r="F147" s="2">
        <v>235.82</v>
      </c>
      <c r="G147" s="1">
        <v>57735292</v>
      </c>
      <c r="H147" s="30">
        <f>(testdata[[#This Row],[high]]+testdata[[#This Row],[low]])/2</f>
        <v>235.61500000000001</v>
      </c>
      <c r="I147" s="23">
        <f>(4*testdata[[#This Row],[price]]+3*H146+2*H145+H144)/10</f>
        <v>235.46350000000001</v>
      </c>
      <c r="J147" s="9">
        <f>(0.0962*testdata[[#This Row],[smooth]]+0.5769*I145-0.5769*I143-0.0962*I141)*(0.075*$Z146+0.54)</f>
        <v>-0.26883505409409569</v>
      </c>
      <c r="K147" s="14">
        <f t="shared" si="6"/>
        <v>0.77033683380421014</v>
      </c>
      <c r="L147" s="14">
        <f>(0.0962*testdata[[#This Row],[detrender]]+0.5769*J145-0.5769*J143-0.0962*J141)*(0.075*$Z146+0.54)</f>
        <v>-0.43462812827001568</v>
      </c>
      <c r="M147" s="9">
        <f>(0.0962*testdata[[#This Row],[I1]]+0.5769*K145-0.5769*K143-0.0962*K141)*(0.075*$Z146+0.54)</f>
        <v>-0.66743550333868795</v>
      </c>
      <c r="N147" s="9">
        <f>(0.0962*testdata[[#This Row],[Q1]]+0.5769*L145-0.5769*L143-0.0962*L141)*(0.075*$Z146+0.54)</f>
        <v>-1.350904954795725</v>
      </c>
      <c r="O147" s="9">
        <f>testdata[[#This Row],[I1]]-testdata[[#This Row],[JQ]]</f>
        <v>2.1212417885999351</v>
      </c>
      <c r="P147" s="9">
        <f>testdata[[#This Row],[Q1]]+testdata[[#This Row],[jI]]</f>
        <v>-1.1020636316087036</v>
      </c>
      <c r="Q147" s="9">
        <f>0.2*testdata[[#This Row],[I2]]+0.8*Q146</f>
        <v>1.9667431009733281</v>
      </c>
      <c r="R147" s="9">
        <f>0.2*testdata[[#This Row],[Q2]]+0.8*R146</f>
        <v>-0.34257333902139614</v>
      </c>
      <c r="S147" s="9">
        <f>testdata[[#This Row],[I2'']]*Q146+testdata[[#This Row],[Q2'']]*R146</f>
        <v>3.8444248294631929</v>
      </c>
      <c r="T147" s="9">
        <f>testdata[[#This Row],[I2'']]*R146-testdata[[#This Row],[Q2'']]*Q146</f>
        <v>0.36019879047690778</v>
      </c>
      <c r="U147" s="9">
        <f>0.2*testdata[[#This Row],[Re]]+0.8*U146</f>
        <v>4.2924331335021657</v>
      </c>
      <c r="V147" s="9">
        <f>0.2*testdata[[#This Row],[Im]]+0.8*V146</f>
        <v>1.0046867848052277</v>
      </c>
      <c r="W147" s="9">
        <f>IF(AND(testdata[[#This Row],[Re'']]&lt;&gt;0,testdata[[#This Row],[Im'']]&lt;&gt;0),2*PI()/ATAN(testdata[[#This Row],[Im'']]/testdata[[#This Row],[Re'']]),0)</f>
        <v>27.327590125849255</v>
      </c>
      <c r="X147" s="9">
        <f>IF(testdata[[#This Row],[pd-atan]]&gt;1.5*Z146,1.5*Z146,IF(testdata[[#This Row],[pd-atan]]&lt;0.67*Z146,0.67*Z146,testdata[[#This Row],[pd-atan]]))</f>
        <v>27.327590125849255</v>
      </c>
      <c r="Y147" s="9">
        <f>IF(testdata[[#This Row],[pd-limit1]]&lt;6,6,IF(testdata[[#This Row],[pd-limit1]]&gt;50,50,testdata[[#This Row],[pd-limit1]]))</f>
        <v>27.327590125849255</v>
      </c>
      <c r="Z147" s="14">
        <f>0.2*testdata[[#This Row],[pd-limit2]]+0.8*Z146</f>
        <v>22.310479876286749</v>
      </c>
      <c r="AA147" s="14">
        <f>0.33*testdata[[#This Row],[period]]+0.67*AA146</f>
        <v>21.093801074799547</v>
      </c>
      <c r="AB147" s="31">
        <f>TRUNC(testdata[[#This Row],[SmPd]]+0.5,0)</f>
        <v>21</v>
      </c>
      <c r="AC147" s="14">
        <f ca="1">IF(testdata[[#This Row],[PdInt]]&lt;=0,0,AVERAGE(OFFSET(testdata[[#This Row],[price]],0,0,-testdata[[#This Row],[PdInt]],1)))</f>
        <v>233.59333333333331</v>
      </c>
      <c r="AD147" s="14">
        <f ca="1">IF(testdata[[#This Row],[i]]&lt;11,testdata[[#This Row],[price]],(4*testdata[[#This Row],[iTrend]]+3*AC146+2*AC145+AC144)/10)</f>
        <v>233.44043333333329</v>
      </c>
      <c r="AE147" s="14">
        <f>(4*testdata[[#This Row],[price]]+3*H146+2*H145+H144)/10</f>
        <v>235.46350000000001</v>
      </c>
      <c r="AF147" t="str">
        <f ca="1">IF(OR(ROUND(testdata[[#This Row],[Trendline]],4)&lt;&gt;Table3[[#This Row],[Trendline]],ROUND(testdata[[#This Row],[SmPrice]],4)&lt;&gt;Table3[[#This Row],[SmPrice]]),"ERR","")</f>
        <v/>
      </c>
      <c r="AG147" s="3">
        <v>42948</v>
      </c>
      <c r="AH147" s="14">
        <v>21.085999999999999</v>
      </c>
      <c r="AI147" s="34">
        <v>21</v>
      </c>
      <c r="AJ147" s="14">
        <v>233.5933</v>
      </c>
      <c r="AK147" s="14">
        <v>233.44040000000001</v>
      </c>
      <c r="AL147" s="14">
        <v>235.46350000000001</v>
      </c>
      <c r="AN147" s="38">
        <f t="shared" si="7"/>
        <v>0</v>
      </c>
      <c r="AO147" s="38">
        <f t="shared" si="8"/>
        <v>0</v>
      </c>
      <c r="AQ147" s="37">
        <v>42948</v>
      </c>
      <c r="AR147">
        <v>21</v>
      </c>
      <c r="AS147">
        <v>233.440433333333</v>
      </c>
      <c r="AT147">
        <v>235.46350000000001</v>
      </c>
      <c r="AV147" s="37">
        <v>42948</v>
      </c>
      <c r="AW147">
        <v>21</v>
      </c>
      <c r="AX147">
        <v>233.440433333333</v>
      </c>
      <c r="AY147">
        <v>235.46350000000001</v>
      </c>
      <c r="BA147" s="38">
        <f>AX147-Table3[[#This Row],[Trendline]]</f>
        <v>3.3333332993379372E-5</v>
      </c>
      <c r="BB147" s="38">
        <f>AY147-Table3[[#This Row],[SmPrice]]</f>
        <v>0</v>
      </c>
    </row>
    <row r="148" spans="1:54" x14ac:dyDescent="0.35">
      <c r="A148" s="6">
        <v>146</v>
      </c>
      <c r="B148" s="3">
        <v>42949</v>
      </c>
      <c r="C148" s="2">
        <v>235.96</v>
      </c>
      <c r="D148" s="2">
        <v>236.09</v>
      </c>
      <c r="E148" s="2">
        <v>234.91</v>
      </c>
      <c r="F148" s="2">
        <v>235.93</v>
      </c>
      <c r="G148" s="1">
        <v>49513776</v>
      </c>
      <c r="H148" s="30">
        <f>(testdata[[#This Row],[high]]+testdata[[#This Row],[low]])/2</f>
        <v>235.5</v>
      </c>
      <c r="I148" s="23">
        <f>(4*testdata[[#This Row],[price]]+3*H147+2*H146+H145)/10</f>
        <v>235.50100000000003</v>
      </c>
      <c r="J148" s="9">
        <f>(0.0962*testdata[[#This Row],[smooth]]+0.5769*I146-0.5769*I144-0.0962*I142)*(0.075*$Z147+0.54)</f>
        <v>-0.29282293779446222</v>
      </c>
      <c r="K148" s="14">
        <f t="shared" si="6"/>
        <v>0.73725184509060004</v>
      </c>
      <c r="L148" s="14">
        <f>(0.0962*testdata[[#This Row],[detrender]]+0.5769*J146-0.5769*J144-0.0962*J142)*(0.075*$Z147+0.54)</f>
        <v>-1.0016932901000628</v>
      </c>
      <c r="M148" s="9">
        <f>(0.0962*testdata[[#This Row],[I1]]+0.5769*K146-0.5769*K144-0.0962*K142)*(0.075*$Z147+0.54)</f>
        <v>-1.5577272258346735</v>
      </c>
      <c r="N148" s="9">
        <f>(0.0962*testdata[[#This Row],[Q1]]+0.5769*L146-0.5769*L144-0.0962*L142)*(0.075*$Z147+0.54)</f>
        <v>-0.10308965311413346</v>
      </c>
      <c r="O148" s="9">
        <f>testdata[[#This Row],[I1]]-testdata[[#This Row],[JQ]]</f>
        <v>0.84034149820473347</v>
      </c>
      <c r="P148" s="9">
        <f>testdata[[#This Row],[Q1]]+testdata[[#This Row],[jI]]</f>
        <v>-2.5594205159347361</v>
      </c>
      <c r="Q148" s="9">
        <f>0.2*testdata[[#This Row],[I2]]+0.8*Q147</f>
        <v>1.7414627804196092</v>
      </c>
      <c r="R148" s="9">
        <f>0.2*testdata[[#This Row],[Q2]]+0.8*R147</f>
        <v>-0.78594277440406413</v>
      </c>
      <c r="S148" s="9">
        <f>testdata[[#This Row],[I2'']]*Q147+testdata[[#This Row],[Q2'']]*R147</f>
        <v>3.6942529494994361</v>
      </c>
      <c r="T148" s="9">
        <f>testdata[[#This Row],[I2'']]*R147-testdata[[#This Row],[Q2'']]*Q147</f>
        <v>0.94916880984919993</v>
      </c>
      <c r="U148" s="9">
        <f>0.2*testdata[[#This Row],[Re]]+0.8*U147</f>
        <v>4.1727970967016201</v>
      </c>
      <c r="V148" s="9">
        <f>0.2*testdata[[#This Row],[Im]]+0.8*V147</f>
        <v>0.99358318981402216</v>
      </c>
      <c r="W148" s="9">
        <f>IF(AND(testdata[[#This Row],[Re'']]&lt;&gt;0,testdata[[#This Row],[Im'']]&lt;&gt;0),2*PI()/ATAN(testdata[[#This Row],[Im'']]/testdata[[#This Row],[Re'']]),0)</f>
        <v>26.879154686611162</v>
      </c>
      <c r="X148" s="9">
        <f>IF(testdata[[#This Row],[pd-atan]]&gt;1.5*Z147,1.5*Z147,IF(testdata[[#This Row],[pd-atan]]&lt;0.67*Z147,0.67*Z147,testdata[[#This Row],[pd-atan]]))</f>
        <v>26.879154686611162</v>
      </c>
      <c r="Y148" s="9">
        <f>IF(testdata[[#This Row],[pd-limit1]]&lt;6,6,IF(testdata[[#This Row],[pd-limit1]]&gt;50,50,testdata[[#This Row],[pd-limit1]]))</f>
        <v>26.879154686611162</v>
      </c>
      <c r="Z148" s="14">
        <f>0.2*testdata[[#This Row],[pd-limit2]]+0.8*Z147</f>
        <v>23.224214838351635</v>
      </c>
      <c r="AA148" s="14">
        <f>0.33*testdata[[#This Row],[period]]+0.67*AA147</f>
        <v>21.796837616771739</v>
      </c>
      <c r="AB148" s="31">
        <f>TRUNC(testdata[[#This Row],[SmPd]]+0.5,0)</f>
        <v>22</v>
      </c>
      <c r="AC148" s="14">
        <f ca="1">IF(testdata[[#This Row],[PdInt]]&lt;=0,0,AVERAGE(OFFSET(testdata[[#This Row],[price]],0,0,-testdata[[#This Row],[PdInt]],1)))</f>
        <v>233.67999999999995</v>
      </c>
      <c r="AD148" s="14">
        <f ca="1">IF(testdata[[#This Row],[i]]&lt;11,testdata[[#This Row],[price]],(4*testdata[[#This Row],[iTrend]]+3*AC147+2*AC146+AC145)/10)</f>
        <v>233.57447499999995</v>
      </c>
      <c r="AE148" s="14">
        <f>(4*testdata[[#This Row],[price]]+3*H147+2*H146+H145)/10</f>
        <v>235.50100000000003</v>
      </c>
      <c r="AF148" t="str">
        <f ca="1">IF(OR(ROUND(testdata[[#This Row],[Trendline]],4)&lt;&gt;Table3[[#This Row],[Trendline]],ROUND(testdata[[#This Row],[SmPrice]],4)&lt;&gt;Table3[[#This Row],[SmPrice]]),"ERR","")</f>
        <v/>
      </c>
      <c r="AG148" s="3">
        <v>42949</v>
      </c>
      <c r="AH148" s="14">
        <v>21.793399999999998</v>
      </c>
      <c r="AI148" s="34">
        <v>22</v>
      </c>
      <c r="AJ148" s="14">
        <v>233.68</v>
      </c>
      <c r="AK148" s="14">
        <v>233.5745</v>
      </c>
      <c r="AL148" s="14">
        <v>235.501</v>
      </c>
      <c r="AN148" s="38">
        <f t="shared" si="7"/>
        <v>0</v>
      </c>
      <c r="AO148" s="38">
        <f t="shared" si="8"/>
        <v>0</v>
      </c>
      <c r="AQ148" s="37">
        <v>42949</v>
      </c>
      <c r="AR148">
        <v>22</v>
      </c>
      <c r="AS148">
        <v>233.57447499999901</v>
      </c>
      <c r="AT148">
        <v>235.501</v>
      </c>
      <c r="AV148" s="37">
        <v>42949</v>
      </c>
      <c r="AW148">
        <v>22</v>
      </c>
      <c r="AX148">
        <v>233.57447499999901</v>
      </c>
      <c r="AY148">
        <v>235.501</v>
      </c>
      <c r="BA148" s="38">
        <f>AX148-Table3[[#This Row],[Trendline]]</f>
        <v>-2.5000000988484317E-5</v>
      </c>
      <c r="BB148" s="38">
        <f>AY148-Table3[[#This Row],[SmPrice]]</f>
        <v>0</v>
      </c>
    </row>
    <row r="149" spans="1:54" x14ac:dyDescent="0.35">
      <c r="A149" s="6">
        <v>147</v>
      </c>
      <c r="B149" s="3">
        <v>42950</v>
      </c>
      <c r="C149" s="2">
        <v>235.81</v>
      </c>
      <c r="D149" s="2">
        <v>235.84</v>
      </c>
      <c r="E149" s="2">
        <v>235.17</v>
      </c>
      <c r="F149" s="2">
        <v>235.48</v>
      </c>
      <c r="G149" s="1">
        <v>42848608</v>
      </c>
      <c r="H149" s="30">
        <f>(testdata[[#This Row],[high]]+testdata[[#This Row],[low]])/2</f>
        <v>235.505</v>
      </c>
      <c r="I149" s="23">
        <f>(4*testdata[[#This Row],[price]]+3*H148+2*H147+H146)/10</f>
        <v>235.52699999999999</v>
      </c>
      <c r="J149" s="9">
        <f>(0.0962*testdata[[#This Row],[smooth]]+0.5769*I147-0.5769*I145-0.0962*I143)*(0.075*$Z148+0.54)</f>
        <v>-2.0754372545540727E-2</v>
      </c>
      <c r="K149" s="14">
        <f t="shared" si="6"/>
        <v>0.24113557844315234</v>
      </c>
      <c r="L149" s="14">
        <f>(0.0962*testdata[[#This Row],[detrender]]+0.5769*J147-0.5769*J145-0.0962*J143)*(0.075*$Z148+0.54)</f>
        <v>-1.4932308511602814</v>
      </c>
      <c r="M149" s="9">
        <f>(0.0962*testdata[[#This Row],[I1]]+0.5769*K147-0.5769*K145-0.0962*K143)*(0.075*$Z148+0.54)</f>
        <v>-0.89075970685529937</v>
      </c>
      <c r="N149" s="9">
        <f>(0.0962*testdata[[#This Row],[Q1]]+0.5769*L147-0.5769*L145-0.0962*L143)*(0.075*$Z148+0.54)</f>
        <v>1.0549039046553492</v>
      </c>
      <c r="O149" s="9">
        <f>testdata[[#This Row],[I1]]-testdata[[#This Row],[JQ]]</f>
        <v>-0.81376832621219686</v>
      </c>
      <c r="P149" s="9">
        <f>testdata[[#This Row],[Q1]]+testdata[[#This Row],[jI]]</f>
        <v>-2.3839905580155807</v>
      </c>
      <c r="Q149" s="9">
        <f>0.2*testdata[[#This Row],[I2]]+0.8*Q148</f>
        <v>1.2304165590932481</v>
      </c>
      <c r="R149" s="9">
        <f>0.2*testdata[[#This Row],[Q2]]+0.8*R148</f>
        <v>-1.1055523311263675</v>
      </c>
      <c r="S149" s="9">
        <f>testdata[[#This Row],[I2'']]*Q148+testdata[[#This Row],[Q2'']]*R148</f>
        <v>3.0116255084471941</v>
      </c>
      <c r="T149" s="9">
        <f>testdata[[#This Row],[I2'']]*R148-testdata[[#This Row],[Q2'']]*Q148</f>
        <v>0.95824123233625502</v>
      </c>
      <c r="U149" s="9">
        <f>0.2*testdata[[#This Row],[Re]]+0.8*U148</f>
        <v>3.9405627790507349</v>
      </c>
      <c r="V149" s="9">
        <f>0.2*testdata[[#This Row],[Im]]+0.8*V148</f>
        <v>0.98651479831846878</v>
      </c>
      <c r="W149" s="9">
        <f>IF(AND(testdata[[#This Row],[Re'']]&lt;&gt;0,testdata[[#This Row],[Im'']]&lt;&gt;0),2*PI()/ATAN(testdata[[#This Row],[Im'']]/testdata[[#This Row],[Re'']]),0)</f>
        <v>25.61357655899749</v>
      </c>
      <c r="X149" s="9">
        <f>IF(testdata[[#This Row],[pd-atan]]&gt;1.5*Z148,1.5*Z148,IF(testdata[[#This Row],[pd-atan]]&lt;0.67*Z148,0.67*Z148,testdata[[#This Row],[pd-atan]]))</f>
        <v>25.61357655899749</v>
      </c>
      <c r="Y149" s="9">
        <f>IF(testdata[[#This Row],[pd-limit1]]&lt;6,6,IF(testdata[[#This Row],[pd-limit1]]&gt;50,50,testdata[[#This Row],[pd-limit1]]))</f>
        <v>25.61357655899749</v>
      </c>
      <c r="Z149" s="14">
        <f>0.2*testdata[[#This Row],[pd-limit2]]+0.8*Z148</f>
        <v>23.70208718248081</v>
      </c>
      <c r="AA149" s="14">
        <f>0.33*testdata[[#This Row],[period]]+0.67*AA148</f>
        <v>22.425569973455733</v>
      </c>
      <c r="AB149" s="31">
        <f>TRUNC(testdata[[#This Row],[SmPd]]+0.5,0)</f>
        <v>22</v>
      </c>
      <c r="AC149" s="14">
        <f ca="1">IF(testdata[[#This Row],[PdInt]]&lt;=0,0,AVERAGE(OFFSET(testdata[[#This Row],[price]],0,0,-testdata[[#This Row],[PdInt]],1)))</f>
        <v>233.86181818181819</v>
      </c>
      <c r="AD149" s="14">
        <f ca="1">IF(testdata[[#This Row],[i]]&lt;11,testdata[[#This Row],[price]],(4*testdata[[#This Row],[iTrend]]+3*AC148+2*AC147+AC146)/10)</f>
        <v>233.7166189393939</v>
      </c>
      <c r="AE149" s="14">
        <f>(4*testdata[[#This Row],[price]]+3*H148+2*H147+H146)/10</f>
        <v>235.52699999999999</v>
      </c>
      <c r="AF149" t="str">
        <f ca="1">IF(OR(ROUND(testdata[[#This Row],[Trendline]],4)&lt;&gt;Table3[[#This Row],[Trendline]],ROUND(testdata[[#This Row],[SmPrice]],4)&lt;&gt;Table3[[#This Row],[SmPrice]]),"ERR","")</f>
        <v/>
      </c>
      <c r="AG149" s="3">
        <v>42950</v>
      </c>
      <c r="AH149" s="14">
        <v>22.4252</v>
      </c>
      <c r="AI149" s="34">
        <v>22</v>
      </c>
      <c r="AJ149" s="14">
        <v>233.86179999999999</v>
      </c>
      <c r="AK149" s="14">
        <v>233.7166</v>
      </c>
      <c r="AL149" s="14">
        <v>235.52699999999999</v>
      </c>
      <c r="AN149" s="38">
        <f t="shared" si="7"/>
        <v>0</v>
      </c>
      <c r="AO149" s="38">
        <f t="shared" si="8"/>
        <v>0</v>
      </c>
      <c r="AQ149" s="37">
        <v>42950</v>
      </c>
      <c r="AR149">
        <v>22</v>
      </c>
      <c r="AS149">
        <v>233.71661893939299</v>
      </c>
      <c r="AT149">
        <v>235.52699999999999</v>
      </c>
      <c r="AV149" s="37">
        <v>42950</v>
      </c>
      <c r="AW149">
        <v>22</v>
      </c>
      <c r="AX149">
        <v>233.71661893939299</v>
      </c>
      <c r="AY149">
        <v>235.52699999999999</v>
      </c>
      <c r="BA149" s="38">
        <f>AX149-Table3[[#This Row],[Trendline]]</f>
        <v>1.8939392987249448E-5</v>
      </c>
      <c r="BB149" s="38">
        <f>AY149-Table3[[#This Row],[SmPrice]]</f>
        <v>0</v>
      </c>
    </row>
    <row r="150" spans="1:54" x14ac:dyDescent="0.35">
      <c r="A150" s="6">
        <v>148</v>
      </c>
      <c r="B150" s="3">
        <v>42951</v>
      </c>
      <c r="C150" s="2">
        <v>236.01</v>
      </c>
      <c r="D150" s="2">
        <v>236.27</v>
      </c>
      <c r="E150" s="2">
        <v>235.49</v>
      </c>
      <c r="F150" s="2">
        <v>235.9</v>
      </c>
      <c r="G150" s="1">
        <v>63127488</v>
      </c>
      <c r="H150" s="30">
        <f>(testdata[[#This Row],[high]]+testdata[[#This Row],[low]])/2</f>
        <v>235.88</v>
      </c>
      <c r="I150" s="23">
        <f>(4*testdata[[#This Row],[price]]+3*H149+2*H148+H147)/10</f>
        <v>235.66499999999996</v>
      </c>
      <c r="J150" s="9">
        <f>(0.0962*testdata[[#This Row],[smooth]]+0.5769*I148-0.5769*I146-0.0962*I144)*(0.075*$Z149+0.54)</f>
        <v>0.12111748599264946</v>
      </c>
      <c r="K150" s="14">
        <f t="shared" si="6"/>
        <v>-0.26883505409409569</v>
      </c>
      <c r="L150" s="14">
        <f>(0.0962*testdata[[#This Row],[detrender]]+0.5769*J148-0.5769*J146-0.0962*J144)*(0.075*$Z149+0.54)</f>
        <v>-0.85868147868894207</v>
      </c>
      <c r="M150" s="9">
        <f>(0.0962*testdata[[#This Row],[I1]]+0.5769*K148-0.5769*K146-0.0962*K144)*(0.075*$Z149+0.54)</f>
        <v>-0.47532630756799488</v>
      </c>
      <c r="N150" s="9">
        <f>(0.0962*testdata[[#This Row],[Q1]]+0.5769*L148-0.5769*L146-0.0962*L144)*(0.075*$Z149+0.54)</f>
        <v>-0.31328916742107993</v>
      </c>
      <c r="O150" s="9">
        <f>testdata[[#This Row],[I1]]-testdata[[#This Row],[JQ]]</f>
        <v>4.4454113326984235E-2</v>
      </c>
      <c r="P150" s="9">
        <f>testdata[[#This Row],[Q1]]+testdata[[#This Row],[jI]]</f>
        <v>-1.3340077862569371</v>
      </c>
      <c r="Q150" s="9">
        <f>0.2*testdata[[#This Row],[I2]]+0.8*Q149</f>
        <v>0.99322406993999535</v>
      </c>
      <c r="R150" s="9">
        <f>0.2*testdata[[#This Row],[Q2]]+0.8*R149</f>
        <v>-1.1512434221524814</v>
      </c>
      <c r="S150" s="9">
        <f>testdata[[#This Row],[I2'']]*Q149+testdata[[#This Row],[Q2'']]*R149</f>
        <v>2.4948391915987331</v>
      </c>
      <c r="T150" s="9">
        <f>testdata[[#This Row],[I2'']]*R149-testdata[[#This Row],[Q2'']]*Q149</f>
        <v>0.31844778431061171</v>
      </c>
      <c r="U150" s="9">
        <f>0.2*testdata[[#This Row],[Re]]+0.8*U149</f>
        <v>3.6514180615603351</v>
      </c>
      <c r="V150" s="9">
        <f>0.2*testdata[[#This Row],[Im]]+0.8*V149</f>
        <v>0.85290139551689736</v>
      </c>
      <c r="W150" s="9">
        <f>IF(AND(testdata[[#This Row],[Re'']]&lt;&gt;0,testdata[[#This Row],[Im'']]&lt;&gt;0),2*PI()/ATAN(testdata[[#This Row],[Im'']]/testdata[[#This Row],[Re'']]),0)</f>
        <v>27.381690029068537</v>
      </c>
      <c r="X150" s="9">
        <f>IF(testdata[[#This Row],[pd-atan]]&gt;1.5*Z149,1.5*Z149,IF(testdata[[#This Row],[pd-atan]]&lt;0.67*Z149,0.67*Z149,testdata[[#This Row],[pd-atan]]))</f>
        <v>27.381690029068537</v>
      </c>
      <c r="Y150" s="9">
        <f>IF(testdata[[#This Row],[pd-limit1]]&lt;6,6,IF(testdata[[#This Row],[pd-limit1]]&gt;50,50,testdata[[#This Row],[pd-limit1]]))</f>
        <v>27.381690029068537</v>
      </c>
      <c r="Z150" s="14">
        <f>0.2*testdata[[#This Row],[pd-limit2]]+0.8*Z149</f>
        <v>24.438007751798356</v>
      </c>
      <c r="AA150" s="14">
        <f>0.33*testdata[[#This Row],[period]]+0.67*AA149</f>
        <v>23.089674440308798</v>
      </c>
      <c r="AB150" s="31">
        <f>TRUNC(testdata[[#This Row],[SmPd]]+0.5,0)</f>
        <v>23</v>
      </c>
      <c r="AC150" s="14">
        <f ca="1">IF(testdata[[#This Row],[PdInt]]&lt;=0,0,AVERAGE(OFFSET(testdata[[#This Row],[price]],0,0,-testdata[[#This Row],[PdInt]],1)))</f>
        <v>233.94956521739132</v>
      </c>
      <c r="AD150" s="14">
        <f ca="1">IF(testdata[[#This Row],[i]]&lt;11,testdata[[#This Row],[price]],(4*testdata[[#This Row],[iTrend]]+3*AC149+2*AC148+AC147)/10)</f>
        <v>233.83370487483529</v>
      </c>
      <c r="AE150" s="14">
        <f>(4*testdata[[#This Row],[price]]+3*H149+2*H148+H147)/10</f>
        <v>235.66499999999996</v>
      </c>
      <c r="AF150" t="str">
        <f ca="1">IF(OR(ROUND(testdata[[#This Row],[Trendline]],4)&lt;&gt;Table3[[#This Row],[Trendline]],ROUND(testdata[[#This Row],[SmPrice]],4)&lt;&gt;Table3[[#This Row],[SmPrice]]),"ERR","")</f>
        <v/>
      </c>
      <c r="AG150" s="3">
        <v>42951</v>
      </c>
      <c r="AH150" s="14">
        <v>23.091899999999999</v>
      </c>
      <c r="AI150" s="34">
        <v>23</v>
      </c>
      <c r="AJ150" s="14">
        <v>233.9496</v>
      </c>
      <c r="AK150" s="14">
        <v>233.83369999999999</v>
      </c>
      <c r="AL150" s="14">
        <v>235.66499999999999</v>
      </c>
      <c r="AN150" s="38">
        <f t="shared" si="7"/>
        <v>0</v>
      </c>
      <c r="AO150" s="38">
        <f t="shared" si="8"/>
        <v>0</v>
      </c>
      <c r="AQ150" s="37">
        <v>42951</v>
      </c>
      <c r="AR150">
        <v>23</v>
      </c>
      <c r="AS150">
        <v>233.83370487483501</v>
      </c>
      <c r="AT150">
        <v>235.664999999999</v>
      </c>
      <c r="AV150" s="37">
        <v>42951</v>
      </c>
      <c r="AW150">
        <v>23</v>
      </c>
      <c r="AX150">
        <v>233.83370487483501</v>
      </c>
      <c r="AY150">
        <v>235.664999999999</v>
      </c>
      <c r="BA150" s="38">
        <f>AX150-Table3[[#This Row],[Trendline]]</f>
        <v>4.8748350138794194E-6</v>
      </c>
      <c r="BB150" s="38">
        <f>AY150-Table3[[#This Row],[SmPrice]]</f>
        <v>-9.9475983006414026E-13</v>
      </c>
    </row>
    <row r="151" spans="1:54" x14ac:dyDescent="0.35">
      <c r="A151" s="6">
        <v>149</v>
      </c>
      <c r="B151" s="3">
        <v>42954</v>
      </c>
      <c r="C151" s="2">
        <v>235.98</v>
      </c>
      <c r="D151" s="2">
        <v>236.34</v>
      </c>
      <c r="E151" s="2">
        <v>235.87</v>
      </c>
      <c r="F151" s="2">
        <v>236.34</v>
      </c>
      <c r="G151" s="1">
        <v>33555464</v>
      </c>
      <c r="H151" s="30">
        <f>(testdata[[#This Row],[high]]+testdata[[#This Row],[low]])/2</f>
        <v>236.10500000000002</v>
      </c>
      <c r="I151" s="23">
        <f>(4*testdata[[#This Row],[price]]+3*H150+2*H149+H148)/10</f>
        <v>235.85699999999997</v>
      </c>
      <c r="J151" s="9">
        <f>(0.0962*testdata[[#This Row],[smooth]]+0.5769*I149-0.5769*I147-0.0962*I145)*(0.075*$Z150+0.54)</f>
        <v>0.18028669568048639</v>
      </c>
      <c r="K151" s="14">
        <f t="shared" si="6"/>
        <v>-0.29282293779446222</v>
      </c>
      <c r="L151" s="14">
        <f>(0.0962*testdata[[#This Row],[detrender]]+0.5769*J149-0.5769*J147-0.0962*J145)*(0.075*$Z150+0.54)</f>
        <v>0.21245957830932491</v>
      </c>
      <c r="M151" s="9">
        <f>(0.0962*testdata[[#This Row],[I1]]+0.5769*K149-0.5769*K147-0.0962*K145)*(0.075*$Z150+0.54)</f>
        <v>-1.0739093437303293</v>
      </c>
      <c r="N151" s="9">
        <f>(0.0962*testdata[[#This Row],[Q1]]+0.5769*L149-0.5769*L147-0.0962*L145)*(0.075*$Z150+0.54)</f>
        <v>-1.0728031489278367</v>
      </c>
      <c r="O151" s="9">
        <f>testdata[[#This Row],[I1]]-testdata[[#This Row],[JQ]]</f>
        <v>0.77998021113337446</v>
      </c>
      <c r="P151" s="9">
        <f>testdata[[#This Row],[Q1]]+testdata[[#This Row],[jI]]</f>
        <v>-0.86144976542100438</v>
      </c>
      <c r="Q151" s="9">
        <f>0.2*testdata[[#This Row],[I2]]+0.8*Q150</f>
        <v>0.95057529817867126</v>
      </c>
      <c r="R151" s="9">
        <f>0.2*testdata[[#This Row],[Q2]]+0.8*R150</f>
        <v>-1.093284690806186</v>
      </c>
      <c r="S151" s="9">
        <f>testdata[[#This Row],[I2'']]*Q150+testdata[[#This Row],[Q2'']]*R150</f>
        <v>2.2027710752720755</v>
      </c>
      <c r="T151" s="9">
        <f>testdata[[#This Row],[I2'']]*R150-testdata[[#This Row],[Q2'']]*Q150</f>
        <v>-8.4668890832193533E-3</v>
      </c>
      <c r="U151" s="9">
        <f>0.2*testdata[[#This Row],[Re]]+0.8*U150</f>
        <v>3.3616886643026835</v>
      </c>
      <c r="V151" s="9">
        <f>0.2*testdata[[#This Row],[Im]]+0.8*V150</f>
        <v>0.68062773859687398</v>
      </c>
      <c r="W151" s="9">
        <f>IF(AND(testdata[[#This Row],[Re'']]&lt;&gt;0,testdata[[#This Row],[Im'']]&lt;&gt;0),2*PI()/ATAN(testdata[[#This Row],[Im'']]/testdata[[#This Row],[Re'']]),0)</f>
        <v>31.452787850205674</v>
      </c>
      <c r="X151" s="9">
        <f>IF(testdata[[#This Row],[pd-atan]]&gt;1.5*Z150,1.5*Z150,IF(testdata[[#This Row],[pd-atan]]&lt;0.67*Z150,0.67*Z150,testdata[[#This Row],[pd-atan]]))</f>
        <v>31.452787850205674</v>
      </c>
      <c r="Y151" s="9">
        <f>IF(testdata[[#This Row],[pd-limit1]]&lt;6,6,IF(testdata[[#This Row],[pd-limit1]]&gt;50,50,testdata[[#This Row],[pd-limit1]]))</f>
        <v>31.452787850205674</v>
      </c>
      <c r="Z151" s="14">
        <f>0.2*testdata[[#This Row],[pd-limit2]]+0.8*Z150</f>
        <v>25.840963771479821</v>
      </c>
      <c r="AA151" s="14">
        <f>0.33*testdata[[#This Row],[period]]+0.67*AA150</f>
        <v>23.997599919595238</v>
      </c>
      <c r="AB151" s="31">
        <f>TRUNC(testdata[[#This Row],[SmPd]]+0.5,0)</f>
        <v>24</v>
      </c>
      <c r="AC151" s="14">
        <f ca="1">IF(testdata[[#This Row],[PdInt]]&lt;=0,0,AVERAGE(OFFSET(testdata[[#This Row],[price]],0,0,-testdata[[#This Row],[PdInt]],1)))</f>
        <v>234.03937499999998</v>
      </c>
      <c r="AD151" s="16">
        <f ca="1">IF(testdata[[#This Row],[i]]&lt;11,testdata[[#This Row],[price]],(4*testdata[[#This Row],[iTrend]]+3*AC150+2*AC149+AC148)/10)</f>
        <v>233.94098320158105</v>
      </c>
      <c r="AE151" s="16">
        <f>(4*testdata[[#This Row],[price]]+3*H150+2*H149+H148)/10</f>
        <v>235.85699999999997</v>
      </c>
      <c r="AF151" t="str">
        <f ca="1">IF(OR(ROUND(testdata[[#This Row],[Trendline]],4)&lt;&gt;Table3[[#This Row],[Trendline]],ROUND(testdata[[#This Row],[SmPrice]],4)&lt;&gt;Table3[[#This Row],[SmPrice]]),"ERR","")</f>
        <v/>
      </c>
      <c r="AG151" s="3">
        <v>42954</v>
      </c>
      <c r="AH151" s="14">
        <v>24.003399999999999</v>
      </c>
      <c r="AI151" s="34">
        <v>24</v>
      </c>
      <c r="AJ151" s="14">
        <v>234.0394</v>
      </c>
      <c r="AK151" s="16">
        <v>233.941</v>
      </c>
      <c r="AL151" s="16">
        <v>235.857</v>
      </c>
      <c r="AN151" s="38">
        <f t="shared" si="7"/>
        <v>0</v>
      </c>
      <c r="AO151" s="38">
        <f t="shared" si="8"/>
        <v>0</v>
      </c>
      <c r="AQ151" s="37">
        <v>42954</v>
      </c>
      <c r="AR151">
        <v>24</v>
      </c>
      <c r="AS151">
        <v>233.94098320158099</v>
      </c>
      <c r="AT151">
        <v>235.856999999999</v>
      </c>
      <c r="AV151" s="37">
        <v>42954</v>
      </c>
      <c r="AW151">
        <v>24</v>
      </c>
      <c r="AX151">
        <v>233.94098320158099</v>
      </c>
      <c r="AY151">
        <v>235.856999999999</v>
      </c>
      <c r="BA151" s="38">
        <f>AX151-Table3[[#This Row],[Trendline]]</f>
        <v>-1.6798419011365695E-5</v>
      </c>
      <c r="BB151" s="38">
        <f>AY151-Table3[[#This Row],[SmPrice]]</f>
        <v>-9.9475983006414026E-13</v>
      </c>
    </row>
    <row r="152" spans="1:54" x14ac:dyDescent="0.35">
      <c r="A152" s="6">
        <v>150</v>
      </c>
      <c r="B152" s="3">
        <v>42955</v>
      </c>
      <c r="C152" s="2">
        <v>236</v>
      </c>
      <c r="D152" s="2">
        <v>237.33</v>
      </c>
      <c r="E152" s="2">
        <v>235.35</v>
      </c>
      <c r="F152" s="2">
        <v>235.76</v>
      </c>
      <c r="G152" s="1">
        <v>64729500</v>
      </c>
      <c r="H152" s="30">
        <f>(testdata[[#This Row],[high]]+testdata[[#This Row],[low]])/2</f>
        <v>236.34</v>
      </c>
      <c r="I152" s="23">
        <f>(4*testdata[[#This Row],[price]]+3*H151+2*H150+H149)/10</f>
        <v>236.09400000000005</v>
      </c>
      <c r="J152" s="9">
        <f>(0.0962*testdata[[#This Row],[smooth]]+0.5769*I150-0.5769*I148-0.0962*I146)*(0.075*$Z151+0.54)</f>
        <v>0.39655996005268401</v>
      </c>
      <c r="K152" s="14">
        <f t="shared" si="6"/>
        <v>-2.0754372545540727E-2</v>
      </c>
      <c r="L152" s="14">
        <f>(0.0962*testdata[[#This Row],[detrender]]+0.5769*J150-0.5769*J148-0.0962*J146)*(0.075*$Z151+0.54)</f>
        <v>0.62882089282134856</v>
      </c>
      <c r="M152" s="9">
        <f>(0.0962*testdata[[#This Row],[I1]]+0.5769*K150-0.5769*K148-0.0962*K146)*(0.075*$Z151+0.54)</f>
        <v>-1.6216617821620645</v>
      </c>
      <c r="N152" s="9">
        <f>(0.0962*testdata[[#This Row],[Q1]]+0.5769*L150-0.5769*L148-0.0962*L146)*(0.075*$Z151+0.54)</f>
        <v>0.54594227287662322</v>
      </c>
      <c r="O152" s="9">
        <f>testdata[[#This Row],[I1]]-testdata[[#This Row],[JQ]]</f>
        <v>-0.56669664542216391</v>
      </c>
      <c r="P152" s="9">
        <f>testdata[[#This Row],[Q1]]+testdata[[#This Row],[jI]]</f>
        <v>-0.9928408893407159</v>
      </c>
      <c r="Q152" s="9">
        <f>0.2*testdata[[#This Row],[I2]]+0.8*Q151</f>
        <v>0.64712090945850431</v>
      </c>
      <c r="R152" s="9">
        <f>0.2*testdata[[#This Row],[Q2]]+0.8*R151</f>
        <v>-1.073195930513092</v>
      </c>
      <c r="S152" s="9">
        <f>testdata[[#This Row],[I2'']]*Q151+testdata[[#This Row],[Q2'']]*R151</f>
        <v>1.7884458325316337</v>
      </c>
      <c r="T152" s="9">
        <f>testdata[[#This Row],[I2'']]*R151-testdata[[#This Row],[Q2'']]*Q151</f>
        <v>0.31266615824006028</v>
      </c>
      <c r="U152" s="9">
        <f>0.2*testdata[[#This Row],[Re]]+0.8*U151</f>
        <v>3.0470400979484737</v>
      </c>
      <c r="V152" s="9">
        <f>0.2*testdata[[#This Row],[Im]]+0.8*V151</f>
        <v>0.60703542252551124</v>
      </c>
      <c r="W152" s="9">
        <f>IF(AND(testdata[[#This Row],[Re'']]&lt;&gt;0,testdata[[#This Row],[Im'']]&lt;&gt;0),2*PI()/ATAN(testdata[[#This Row],[Im'']]/testdata[[#This Row],[Re'']]),0)</f>
        <v>31.951637296361113</v>
      </c>
      <c r="X152" s="9">
        <f>IF(testdata[[#This Row],[pd-atan]]&gt;1.5*Z151,1.5*Z151,IF(testdata[[#This Row],[pd-atan]]&lt;0.67*Z151,0.67*Z151,testdata[[#This Row],[pd-atan]]))</f>
        <v>31.951637296361113</v>
      </c>
      <c r="Y152" s="9">
        <f>IF(testdata[[#This Row],[pd-limit1]]&lt;6,6,IF(testdata[[#This Row],[pd-limit1]]&gt;50,50,testdata[[#This Row],[pd-limit1]]))</f>
        <v>31.951637296361113</v>
      </c>
      <c r="Z152" s="14">
        <f>0.2*testdata[[#This Row],[pd-limit2]]+0.8*Z151</f>
        <v>27.063098476456084</v>
      </c>
      <c r="AA152" s="14">
        <f>0.33*testdata[[#This Row],[period]]+0.67*AA151</f>
        <v>25.009214443359319</v>
      </c>
      <c r="AB152" s="31">
        <f>TRUNC(testdata[[#This Row],[SmPd]]+0.5,0)</f>
        <v>25</v>
      </c>
      <c r="AC152" s="14">
        <f ca="1">IF(testdata[[#This Row],[PdInt]]&lt;=0,0,AVERAGE(OFFSET(testdata[[#This Row],[price]],0,0,-testdata[[#This Row],[PdInt]],1)))</f>
        <v>234.13139999999999</v>
      </c>
      <c r="AD152" s="14">
        <f ca="1">IF(testdata[[#This Row],[i]]&lt;11,testdata[[#This Row],[price]],(4*testdata[[#This Row],[iTrend]]+3*AC151+2*AC150+AC149)/10)</f>
        <v>234.04046736166009</v>
      </c>
      <c r="AE152" s="14">
        <f>(4*testdata[[#This Row],[price]]+3*H151+2*H150+H149)/10</f>
        <v>236.09400000000005</v>
      </c>
      <c r="AF152" t="str">
        <f ca="1">IF(OR(ROUND(testdata[[#This Row],[Trendline]],4)&lt;&gt;Table3[[#This Row],[Trendline]],ROUND(testdata[[#This Row],[SmPrice]],4)&lt;&gt;Table3[[#This Row],[SmPrice]]),"ERR","")</f>
        <v/>
      </c>
      <c r="AG152" s="3">
        <v>42955</v>
      </c>
      <c r="AH152" s="14">
        <v>25.018699999999999</v>
      </c>
      <c r="AI152" s="34">
        <v>25</v>
      </c>
      <c r="AJ152" s="14">
        <v>234.13140000000001</v>
      </c>
      <c r="AK152" s="14">
        <v>234.04050000000001</v>
      </c>
      <c r="AL152" s="14">
        <v>236.09399999999999</v>
      </c>
      <c r="AN152" s="38">
        <f t="shared" si="7"/>
        <v>0</v>
      </c>
      <c r="AO152" s="38">
        <f t="shared" si="8"/>
        <v>0</v>
      </c>
      <c r="AQ152" s="37">
        <v>42955</v>
      </c>
      <c r="AR152">
        <v>25</v>
      </c>
      <c r="AS152">
        <v>234.04046736166001</v>
      </c>
      <c r="AT152">
        <v>236.09399999999999</v>
      </c>
      <c r="AV152" s="37">
        <v>42955</v>
      </c>
      <c r="AW152">
        <v>25</v>
      </c>
      <c r="AX152">
        <v>234.04046736166001</v>
      </c>
      <c r="AY152">
        <v>236.09399999999999</v>
      </c>
      <c r="BA152" s="38">
        <f>AX152-Table3[[#This Row],[Trendline]]</f>
        <v>-3.2638340002222321E-5</v>
      </c>
      <c r="BB152" s="38">
        <f>AY152-Table3[[#This Row],[SmPrice]]</f>
        <v>0</v>
      </c>
    </row>
    <row r="153" spans="1:54" x14ac:dyDescent="0.35">
      <c r="A153" s="6">
        <v>151</v>
      </c>
      <c r="B153" s="3">
        <v>42956</v>
      </c>
      <c r="C153" s="2">
        <v>235.01</v>
      </c>
      <c r="D153" s="2">
        <v>235.81</v>
      </c>
      <c r="E153" s="2">
        <v>234.62</v>
      </c>
      <c r="F153" s="2">
        <v>235.75</v>
      </c>
      <c r="G153" s="1">
        <v>65687312</v>
      </c>
      <c r="H153" s="30">
        <f>(testdata[[#This Row],[high]]+testdata[[#This Row],[low]])/2</f>
        <v>235.215</v>
      </c>
      <c r="I153" s="23">
        <f>(4*testdata[[#This Row],[price]]+3*H152+2*H151+H150)/10</f>
        <v>235.79700000000003</v>
      </c>
      <c r="J153" s="9">
        <f>(0.0962*testdata[[#This Row],[smooth]]+0.5769*I151-0.5769*I149-0.0962*I147)*(0.075*$Z152+0.54)</f>
        <v>0.57166189561070191</v>
      </c>
      <c r="K153" s="14">
        <f t="shared" si="6"/>
        <v>0.12111748599264946</v>
      </c>
      <c r="L153" s="14">
        <f>(0.0962*testdata[[#This Row],[detrender]]+0.5769*J151-0.5769*J149-0.0962*J147)*(0.075*$Z152+0.54)</f>
        <v>0.50581686874212317</v>
      </c>
      <c r="M153" s="9">
        <f>(0.0962*testdata[[#This Row],[I1]]+0.5769*K151-0.5769*K149-0.0962*K147)*(0.075*$Z152+0.54)</f>
        <v>-0.9520744631420146</v>
      </c>
      <c r="N153" s="9">
        <f>(0.0962*testdata[[#This Row],[Q1]]+0.5769*L151-0.5769*L149-0.0962*L147)*(0.075*$Z152+0.54)</f>
        <v>2.761135349762712</v>
      </c>
      <c r="O153" s="9">
        <f>testdata[[#This Row],[I1]]-testdata[[#This Row],[JQ]]</f>
        <v>-2.6400178637700624</v>
      </c>
      <c r="P153" s="9">
        <f>testdata[[#This Row],[Q1]]+testdata[[#This Row],[jI]]</f>
        <v>-0.44625759439989143</v>
      </c>
      <c r="Q153" s="9">
        <f>0.2*testdata[[#This Row],[I2]]+0.8*Q152</f>
        <v>-1.0306845187209035E-2</v>
      </c>
      <c r="R153" s="9">
        <f>0.2*testdata[[#This Row],[Q2]]+0.8*R152</f>
        <v>-0.94780826329045198</v>
      </c>
      <c r="S153" s="9">
        <f>testdata[[#This Row],[I2'']]*Q152+testdata[[#This Row],[Q2'']]*R152</f>
        <v>1.0105141960387996</v>
      </c>
      <c r="T153" s="9">
        <f>testdata[[#This Row],[I2'']]*R152-testdata[[#This Row],[Q2'']]*Q152</f>
        <v>0.62440780964414389</v>
      </c>
      <c r="U153" s="9">
        <f>0.2*testdata[[#This Row],[Re]]+0.8*U152</f>
        <v>2.639734917566539</v>
      </c>
      <c r="V153" s="9">
        <f>0.2*testdata[[#This Row],[Im]]+0.8*V152</f>
        <v>0.61050989994923777</v>
      </c>
      <c r="W153" s="9">
        <f>IF(AND(testdata[[#This Row],[Re'']]&lt;&gt;0,testdata[[#This Row],[Im'']]&lt;&gt;0),2*PI()/ATAN(testdata[[#This Row],[Im'']]/testdata[[#This Row],[Re'']]),0)</f>
        <v>27.645025640473126</v>
      </c>
      <c r="X153" s="9">
        <f>IF(testdata[[#This Row],[pd-atan]]&gt;1.5*Z152,1.5*Z152,IF(testdata[[#This Row],[pd-atan]]&lt;0.67*Z152,0.67*Z152,testdata[[#This Row],[pd-atan]]))</f>
        <v>27.645025640473126</v>
      </c>
      <c r="Y153" s="9">
        <f>IF(testdata[[#This Row],[pd-limit1]]&lt;6,6,IF(testdata[[#This Row],[pd-limit1]]&gt;50,50,testdata[[#This Row],[pd-limit1]]))</f>
        <v>27.645025640473126</v>
      </c>
      <c r="Z153" s="14">
        <f>0.2*testdata[[#This Row],[pd-limit2]]+0.8*Z152</f>
        <v>27.179483909259492</v>
      </c>
      <c r="AA153" s="14">
        <f>0.33*testdata[[#This Row],[period]]+0.67*AA152</f>
        <v>25.725403367106381</v>
      </c>
      <c r="AB153" s="31">
        <f>TRUNC(testdata[[#This Row],[SmPd]]+0.5,0)</f>
        <v>26</v>
      </c>
      <c r="AC153" s="14">
        <f ca="1">IF(testdata[[#This Row],[PdInt]]&lt;=0,0,AVERAGE(OFFSET(testdata[[#This Row],[price]],0,0,-testdata[[#This Row],[PdInt]],1)))</f>
        <v>234.17307692307693</v>
      </c>
      <c r="AD153" s="14">
        <f ca="1">IF(testdata[[#This Row],[i]]&lt;11,testdata[[#This Row],[price]],(4*testdata[[#This Row],[iTrend]]+3*AC152+2*AC151+AC150)/10)</f>
        <v>234.11148229096995</v>
      </c>
      <c r="AE153" s="14">
        <f>(4*testdata[[#This Row],[price]]+3*H152+2*H151+H150)/10</f>
        <v>235.79700000000003</v>
      </c>
      <c r="AF153" t="str">
        <f ca="1">IF(OR(ROUND(testdata[[#This Row],[Trendline]],4)&lt;&gt;Table3[[#This Row],[Trendline]],ROUND(testdata[[#This Row],[SmPrice]],4)&lt;&gt;Table3[[#This Row],[SmPrice]]),"ERR","")</f>
        <v/>
      </c>
      <c r="AG153" s="3">
        <v>42956</v>
      </c>
      <c r="AH153" s="14">
        <v>25.736699999999999</v>
      </c>
      <c r="AI153" s="34">
        <v>26</v>
      </c>
      <c r="AJ153" s="14">
        <v>234.17310000000001</v>
      </c>
      <c r="AK153" s="14">
        <v>234.11150000000001</v>
      </c>
      <c r="AL153" s="14">
        <v>235.797</v>
      </c>
      <c r="AN153" s="38">
        <f t="shared" si="7"/>
        <v>0</v>
      </c>
      <c r="AO153" s="38">
        <f t="shared" si="8"/>
        <v>0</v>
      </c>
      <c r="AQ153" s="37">
        <v>42956</v>
      </c>
      <c r="AR153">
        <v>26</v>
      </c>
      <c r="AS153">
        <v>234.11148229096901</v>
      </c>
      <c r="AT153">
        <v>235.797</v>
      </c>
      <c r="AV153" s="37">
        <v>42956</v>
      </c>
      <c r="AW153">
        <v>26</v>
      </c>
      <c r="AX153">
        <v>234.11148229096901</v>
      </c>
      <c r="AY153">
        <v>235.797</v>
      </c>
      <c r="BA153" s="38">
        <f>AX153-Table3[[#This Row],[Trendline]]</f>
        <v>-1.7709030998958042E-5</v>
      </c>
      <c r="BB153" s="38">
        <f>AY153-Table3[[#This Row],[SmPrice]]</f>
        <v>0</v>
      </c>
    </row>
    <row r="154" spans="1:54" x14ac:dyDescent="0.35">
      <c r="A154" s="6">
        <v>152</v>
      </c>
      <c r="B154" s="3">
        <v>42957</v>
      </c>
      <c r="C154" s="2">
        <v>234.84</v>
      </c>
      <c r="D154" s="2">
        <v>234.98</v>
      </c>
      <c r="E154" s="2">
        <v>232.37</v>
      </c>
      <c r="F154" s="2">
        <v>232.42</v>
      </c>
      <c r="G154" s="1">
        <v>126355448</v>
      </c>
      <c r="H154" s="30">
        <f>(testdata[[#This Row],[high]]+testdata[[#This Row],[low]])/2</f>
        <v>233.67500000000001</v>
      </c>
      <c r="I154" s="23">
        <f>(4*testdata[[#This Row],[price]]+3*H153+2*H152+H151)/10</f>
        <v>234.91300000000001</v>
      </c>
      <c r="J154" s="9">
        <f>(0.0962*testdata[[#This Row],[smooth]]+0.5769*I152-0.5769*I150-0.0962*I148)*(0.075*$Z153+0.54)</f>
        <v>0.49229143317264673</v>
      </c>
      <c r="K154" s="14">
        <f t="shared" si="6"/>
        <v>0.18028669568048639</v>
      </c>
      <c r="L154" s="14">
        <f>(0.0962*testdata[[#This Row],[detrender]]+0.5769*J152-0.5769*J150-0.0962*J148)*(0.075*$Z153+0.54)</f>
        <v>0.60447065547773471</v>
      </c>
      <c r="M154" s="9">
        <f>(0.0962*testdata[[#This Row],[I1]]+0.5769*K152-0.5769*K150-0.0962*K148)*(0.075*$Z153+0.54)</f>
        <v>0.23086948809026406</v>
      </c>
      <c r="N154" s="9">
        <f>(0.0962*testdata[[#This Row],[Q1]]+0.5769*L152-0.5769*L150-0.0962*L148)*(0.075*$Z153+0.54)</f>
        <v>2.6110867951965333</v>
      </c>
      <c r="O154" s="9">
        <f>testdata[[#This Row],[I1]]-testdata[[#This Row],[JQ]]</f>
        <v>-2.430800099516047</v>
      </c>
      <c r="P154" s="9">
        <f>testdata[[#This Row],[Q1]]+testdata[[#This Row],[jI]]</f>
        <v>0.83534014356799879</v>
      </c>
      <c r="Q154" s="9">
        <f>0.2*testdata[[#This Row],[I2]]+0.8*Q153</f>
        <v>-0.49440549605297668</v>
      </c>
      <c r="R154" s="9">
        <f>0.2*testdata[[#This Row],[Q2]]+0.8*R153</f>
        <v>-0.59117858191876183</v>
      </c>
      <c r="S154" s="9">
        <f>testdata[[#This Row],[I2'']]*Q153+testdata[[#This Row],[Q2'']]*R153</f>
        <v>0.56541970593045709</v>
      </c>
      <c r="T154" s="9">
        <f>testdata[[#This Row],[I2'']]*R153-testdata[[#This Row],[Q2'']]*Q153</f>
        <v>0.46250842845339579</v>
      </c>
      <c r="U154" s="9">
        <f>0.2*testdata[[#This Row],[Re]]+0.8*U153</f>
        <v>2.2248718752393226</v>
      </c>
      <c r="V154" s="9">
        <f>0.2*testdata[[#This Row],[Im]]+0.8*V153</f>
        <v>0.58090960565006944</v>
      </c>
      <c r="W154" s="9">
        <f>IF(AND(testdata[[#This Row],[Re'']]&lt;&gt;0,testdata[[#This Row],[Im'']]&lt;&gt;0),2*PI()/ATAN(testdata[[#This Row],[Im'']]/testdata[[#This Row],[Re'']]),0)</f>
        <v>24.601712090336076</v>
      </c>
      <c r="X154" s="9">
        <f>IF(testdata[[#This Row],[pd-atan]]&gt;1.5*Z153,1.5*Z153,IF(testdata[[#This Row],[pd-atan]]&lt;0.67*Z153,0.67*Z153,testdata[[#This Row],[pd-atan]]))</f>
        <v>24.601712090336076</v>
      </c>
      <c r="Y154" s="9">
        <f>IF(testdata[[#This Row],[pd-limit1]]&lt;6,6,IF(testdata[[#This Row],[pd-limit1]]&gt;50,50,testdata[[#This Row],[pd-limit1]]))</f>
        <v>24.601712090336076</v>
      </c>
      <c r="Z154" s="14">
        <f>0.2*testdata[[#This Row],[pd-limit2]]+0.8*Z153</f>
        <v>26.663929545474808</v>
      </c>
      <c r="AA154" s="14">
        <f>0.33*testdata[[#This Row],[period]]+0.67*AA153</f>
        <v>26.035117005967962</v>
      </c>
      <c r="AB154" s="31">
        <f>TRUNC(testdata[[#This Row],[SmPd]]+0.5,0)</f>
        <v>26</v>
      </c>
      <c r="AC154" s="14">
        <f ca="1">IF(testdata[[#This Row],[PdInt]]&lt;=0,0,AVERAGE(OFFSET(testdata[[#This Row],[price]],0,0,-testdata[[#This Row],[PdInt]],1)))</f>
        <v>234.27269230769227</v>
      </c>
      <c r="AD154" s="14">
        <f ca="1">IF(testdata[[#This Row],[i]]&lt;11,testdata[[#This Row],[price]],(4*testdata[[#This Row],[iTrend]]+3*AC153+2*AC152+AC151)/10)</f>
        <v>234.19121749999999</v>
      </c>
      <c r="AE154" s="14">
        <f>(4*testdata[[#This Row],[price]]+3*H153+2*H152+H151)/10</f>
        <v>234.91300000000001</v>
      </c>
      <c r="AF154" t="str">
        <f ca="1">IF(OR(ROUND(testdata[[#This Row],[Trendline]],4)&lt;&gt;Table3[[#This Row],[Trendline]],ROUND(testdata[[#This Row],[SmPrice]],4)&lt;&gt;Table3[[#This Row],[SmPrice]]),"ERR","")</f>
        <v/>
      </c>
      <c r="AG154" s="3">
        <v>42957</v>
      </c>
      <c r="AH154" s="14">
        <v>26.046199999999999</v>
      </c>
      <c r="AI154" s="34">
        <v>26</v>
      </c>
      <c r="AJ154" s="14">
        <v>234.27269999999999</v>
      </c>
      <c r="AK154" s="14">
        <v>234.19120000000001</v>
      </c>
      <c r="AL154" s="14">
        <v>234.91300000000001</v>
      </c>
      <c r="AN154" s="38">
        <f t="shared" si="7"/>
        <v>0</v>
      </c>
      <c r="AO154" s="38">
        <f t="shared" si="8"/>
        <v>0</v>
      </c>
      <c r="AQ154" s="37">
        <v>42957</v>
      </c>
      <c r="AR154">
        <v>26</v>
      </c>
      <c r="AS154">
        <v>234.19121749999999</v>
      </c>
      <c r="AT154">
        <v>234.91300000000001</v>
      </c>
      <c r="AV154" s="37">
        <v>42957</v>
      </c>
      <c r="AW154">
        <v>26</v>
      </c>
      <c r="AX154">
        <v>234.19121749999999</v>
      </c>
      <c r="AY154">
        <v>234.91300000000001</v>
      </c>
      <c r="BA154" s="38">
        <f>AX154-Table3[[#This Row],[Trendline]]</f>
        <v>1.7499999984238457E-5</v>
      </c>
      <c r="BB154" s="38">
        <f>AY154-Table3[[#This Row],[SmPrice]]</f>
        <v>0</v>
      </c>
    </row>
    <row r="155" spans="1:54" x14ac:dyDescent="0.35">
      <c r="A155" s="6">
        <v>153</v>
      </c>
      <c r="B155" s="3">
        <v>42958</v>
      </c>
      <c r="C155" s="2">
        <v>232.67</v>
      </c>
      <c r="D155" s="2">
        <v>233.42</v>
      </c>
      <c r="E155" s="2">
        <v>232.41</v>
      </c>
      <c r="F155" s="2">
        <v>232.77</v>
      </c>
      <c r="G155" s="1">
        <v>78521472</v>
      </c>
      <c r="H155" s="30">
        <f>(testdata[[#This Row],[high]]+testdata[[#This Row],[low]])/2</f>
        <v>232.91499999999999</v>
      </c>
      <c r="I155" s="23">
        <f>(4*testdata[[#This Row],[price]]+3*H154+2*H153+H152)/10</f>
        <v>233.94549999999998</v>
      </c>
      <c r="J155" s="9">
        <f>(0.0962*testdata[[#This Row],[smooth]]+0.5769*I153-0.5769*I151-0.0962*I149)*(0.075*$Z154+0.54)</f>
        <v>-0.47431758431350496</v>
      </c>
      <c r="K155" s="14">
        <f t="shared" si="6"/>
        <v>0.39655996005268401</v>
      </c>
      <c r="L155" s="14">
        <f>(0.0962*testdata[[#This Row],[detrender]]+0.5769*J153-0.5769*J151-0.0962*J149)*(0.075*$Z154+0.54)</f>
        <v>0.46262759972430278</v>
      </c>
      <c r="M155" s="9">
        <f>(0.0962*testdata[[#This Row],[I1]]+0.5769*K153-0.5769*K151-0.0962*K149)*(0.075*$Z154+0.54)</f>
        <v>0.64448321055348545</v>
      </c>
      <c r="N155" s="9">
        <f>(0.0962*testdata[[#This Row],[Q1]]+0.5769*L153-0.5769*L151-0.0962*L149)*(0.075*$Z154+0.54)</f>
        <v>0.90770079894858691</v>
      </c>
      <c r="O155" s="9">
        <f>testdata[[#This Row],[I1]]-testdata[[#This Row],[JQ]]</f>
        <v>-0.51114083889590289</v>
      </c>
      <c r="P155" s="9">
        <f>testdata[[#This Row],[Q1]]+testdata[[#This Row],[jI]]</f>
        <v>1.1071108102777882</v>
      </c>
      <c r="Q155" s="9">
        <f>0.2*testdata[[#This Row],[I2]]+0.8*Q154</f>
        <v>-0.49775256462156198</v>
      </c>
      <c r="R155" s="9">
        <f>0.2*testdata[[#This Row],[Q2]]+0.8*R154</f>
        <v>-0.25152070347945182</v>
      </c>
      <c r="S155" s="9">
        <f>testdata[[#This Row],[I2'']]*Q154+testdata[[#This Row],[Q2'']]*R154</f>
        <v>0.39478525642955642</v>
      </c>
      <c r="T155" s="9">
        <f>testdata[[#This Row],[I2'']]*R154-testdata[[#This Row],[Q2'']]*Q154</f>
        <v>0.16990743712804984</v>
      </c>
      <c r="U155" s="9">
        <f>0.2*testdata[[#This Row],[Re]]+0.8*U154</f>
        <v>1.8588545514773693</v>
      </c>
      <c r="V155" s="9">
        <f>0.2*testdata[[#This Row],[Im]]+0.8*V154</f>
        <v>0.49870917194566555</v>
      </c>
      <c r="W155" s="9">
        <f>IF(AND(testdata[[#This Row],[Re'']]&lt;&gt;0,testdata[[#This Row],[Im'']]&lt;&gt;0),2*PI()/ATAN(testdata[[#This Row],[Im'']]/testdata[[#This Row],[Re'']]),0)</f>
        <v>23.971021596803425</v>
      </c>
      <c r="X155" s="9">
        <f>IF(testdata[[#This Row],[pd-atan]]&gt;1.5*Z154,1.5*Z154,IF(testdata[[#This Row],[pd-atan]]&lt;0.67*Z154,0.67*Z154,testdata[[#This Row],[pd-atan]]))</f>
        <v>23.971021596803425</v>
      </c>
      <c r="Y155" s="9">
        <f>IF(testdata[[#This Row],[pd-limit1]]&lt;6,6,IF(testdata[[#This Row],[pd-limit1]]&gt;50,50,testdata[[#This Row],[pd-limit1]]))</f>
        <v>23.971021596803425</v>
      </c>
      <c r="Z155" s="14">
        <f>0.2*testdata[[#This Row],[pd-limit2]]+0.8*Z154</f>
        <v>26.125347955740533</v>
      </c>
      <c r="AA155" s="14">
        <f>0.33*testdata[[#This Row],[period]]+0.67*AA154</f>
        <v>26.064893219392911</v>
      </c>
      <c r="AB155" s="31">
        <f>TRUNC(testdata[[#This Row],[SmPd]]+0.5,0)</f>
        <v>26</v>
      </c>
      <c r="AC155" s="14">
        <f ca="1">IF(testdata[[#This Row],[PdInt]]&lt;=0,0,AVERAGE(OFFSET(testdata[[#This Row],[price]],0,0,-testdata[[#This Row],[PdInt]],1)))</f>
        <v>234.38615384615389</v>
      </c>
      <c r="AD155" s="14">
        <f ca="1">IF(testdata[[#This Row],[i]]&lt;11,testdata[[#This Row],[price]],(4*testdata[[#This Row],[iTrend]]+3*AC154+2*AC153+AC152)/10)</f>
        <v>234.28402461538462</v>
      </c>
      <c r="AE155" s="14">
        <f>(4*testdata[[#This Row],[price]]+3*H154+2*H153+H152)/10</f>
        <v>233.94549999999998</v>
      </c>
      <c r="AF155" t="str">
        <f ca="1">IF(OR(ROUND(testdata[[#This Row],[Trendline]],4)&lt;&gt;Table3[[#This Row],[Trendline]],ROUND(testdata[[#This Row],[SmPrice]],4)&lt;&gt;Table3[[#This Row],[SmPrice]]),"ERR","")</f>
        <v/>
      </c>
      <c r="AG155" s="3">
        <v>42958</v>
      </c>
      <c r="AH155" s="14">
        <v>26.0745</v>
      </c>
      <c r="AI155" s="34">
        <v>26</v>
      </c>
      <c r="AJ155" s="14">
        <v>234.3862</v>
      </c>
      <c r="AK155" s="14">
        <v>234.28399999999999</v>
      </c>
      <c r="AL155" s="14">
        <v>233.94550000000001</v>
      </c>
      <c r="AN155" s="38">
        <f t="shared" si="7"/>
        <v>0</v>
      </c>
      <c r="AO155" s="38">
        <f t="shared" si="8"/>
        <v>0</v>
      </c>
      <c r="AQ155" s="37">
        <v>42958</v>
      </c>
      <c r="AR155">
        <v>26</v>
      </c>
      <c r="AS155">
        <v>234.284024615384</v>
      </c>
      <c r="AT155">
        <v>233.94549999999899</v>
      </c>
      <c r="AV155" s="37">
        <v>42958</v>
      </c>
      <c r="AW155">
        <v>26</v>
      </c>
      <c r="AX155">
        <v>234.284024615384</v>
      </c>
      <c r="AY155">
        <v>233.94549999999899</v>
      </c>
      <c r="BA155" s="38">
        <f>AX155-Table3[[#This Row],[Trendline]]</f>
        <v>2.4615384006665408E-5</v>
      </c>
      <c r="BB155" s="38">
        <f>AY155-Table3[[#This Row],[SmPrice]]</f>
        <v>-1.0231815394945443E-12</v>
      </c>
    </row>
    <row r="156" spans="1:54" x14ac:dyDescent="0.35">
      <c r="A156" s="6">
        <v>154</v>
      </c>
      <c r="B156" s="3">
        <v>42961</v>
      </c>
      <c r="C156" s="2">
        <v>234.17</v>
      </c>
      <c r="D156" s="2">
        <v>235.31</v>
      </c>
      <c r="E156" s="2">
        <v>234.13</v>
      </c>
      <c r="F156" s="2">
        <v>235.07</v>
      </c>
      <c r="G156" s="1">
        <v>76866480</v>
      </c>
      <c r="H156" s="30">
        <f>(testdata[[#This Row],[high]]+testdata[[#This Row],[low]])/2</f>
        <v>234.72</v>
      </c>
      <c r="I156" s="23">
        <f>(4*testdata[[#This Row],[price]]+3*H155+2*H154+H153)/10</f>
        <v>234.01900000000001</v>
      </c>
      <c r="J156" s="9">
        <f>(0.0962*testdata[[#This Row],[smooth]]+0.5769*I154-0.5769*I152-0.0962*I150)*(0.075*$Z155+0.54)</f>
        <v>-2.0986573723833857</v>
      </c>
      <c r="K156" s="14">
        <f t="shared" si="6"/>
        <v>0.57166189561070191</v>
      </c>
      <c r="L156" s="14">
        <f>(0.0962*testdata[[#This Row],[detrender]]+0.5769*J154-0.5769*J152-0.0962*J150)*(0.075*$Z155+0.54)</f>
        <v>-0.39569232104027058</v>
      </c>
      <c r="M156" s="9">
        <f>(0.0962*testdata[[#This Row],[I1]]+0.5769*K154-0.5769*K152-0.0962*K150)*(0.075*$Z155+0.54)</f>
        <v>0.49197311108034686</v>
      </c>
      <c r="N156" s="9">
        <f>(0.0962*testdata[[#This Row],[Q1]]+0.5769*L154-0.5769*L152-0.0962*L150)*(0.075*$Z155+0.54)</f>
        <v>7.6211500902531801E-2</v>
      </c>
      <c r="O156" s="9">
        <f>testdata[[#This Row],[I1]]-testdata[[#This Row],[JQ]]</f>
        <v>0.49545039470817009</v>
      </c>
      <c r="P156" s="9">
        <f>testdata[[#This Row],[Q1]]+testdata[[#This Row],[jI]]</f>
        <v>9.6280790040076281E-2</v>
      </c>
      <c r="Q156" s="9">
        <f>0.2*testdata[[#This Row],[I2]]+0.8*Q155</f>
        <v>-0.29911197275561557</v>
      </c>
      <c r="R156" s="9">
        <f>0.2*testdata[[#This Row],[Q2]]+0.8*R155</f>
        <v>-0.18196040477554623</v>
      </c>
      <c r="S156" s="9">
        <f>testdata[[#This Row],[I2'']]*Q155+testdata[[#This Row],[Q2'']]*R155</f>
        <v>0.1946505605626736</v>
      </c>
      <c r="T156" s="9">
        <f>testdata[[#This Row],[I2'']]*R155-testdata[[#This Row],[Q2'']]*Q155</f>
        <v>-1.5338404329986594E-2</v>
      </c>
      <c r="U156" s="9">
        <f>0.2*testdata[[#This Row],[Re]]+0.8*U155</f>
        <v>1.5260137532944302</v>
      </c>
      <c r="V156" s="9">
        <f>0.2*testdata[[#This Row],[Im]]+0.8*V155</f>
        <v>0.39589965669053517</v>
      </c>
      <c r="W156" s="9">
        <f>IF(AND(testdata[[#This Row],[Re'']]&lt;&gt;0,testdata[[#This Row],[Im'']]&lt;&gt;0),2*PI()/ATAN(testdata[[#This Row],[Im'']]/testdata[[#This Row],[Re'']]),0)</f>
        <v>24.752766027828368</v>
      </c>
      <c r="X156" s="9">
        <f>IF(testdata[[#This Row],[pd-atan]]&gt;1.5*Z155,1.5*Z155,IF(testdata[[#This Row],[pd-atan]]&lt;0.67*Z155,0.67*Z155,testdata[[#This Row],[pd-atan]]))</f>
        <v>24.752766027828368</v>
      </c>
      <c r="Y156" s="9">
        <f>IF(testdata[[#This Row],[pd-limit1]]&lt;6,6,IF(testdata[[#This Row],[pd-limit1]]&gt;50,50,testdata[[#This Row],[pd-limit1]]))</f>
        <v>24.752766027828368</v>
      </c>
      <c r="Z156" s="14">
        <f>0.2*testdata[[#This Row],[pd-limit2]]+0.8*Z155</f>
        <v>25.8508315701581</v>
      </c>
      <c r="AA156" s="14">
        <f>0.33*testdata[[#This Row],[period]]+0.67*AA155</f>
        <v>25.994252875145424</v>
      </c>
      <c r="AB156" s="31">
        <f>TRUNC(testdata[[#This Row],[SmPd]]+0.5,0)</f>
        <v>26</v>
      </c>
      <c r="AC156" s="14">
        <f ca="1">IF(testdata[[#This Row],[PdInt]]&lt;=0,0,AVERAGE(OFFSET(testdata[[#This Row],[price]],0,0,-testdata[[#This Row],[PdInt]],1)))</f>
        <v>234.56019230769238</v>
      </c>
      <c r="AD156" s="14">
        <f ca="1">IF(testdata[[#This Row],[i]]&lt;11,testdata[[#This Row],[price]],(4*testdata[[#This Row],[iTrend]]+3*AC155+2*AC154+AC153)/10)</f>
        <v>234.41176923076927</v>
      </c>
      <c r="AE156" s="14">
        <f>(4*testdata[[#This Row],[price]]+3*H155+2*H154+H153)/10</f>
        <v>234.01900000000001</v>
      </c>
      <c r="AF156" t="str">
        <f ca="1">IF(OR(ROUND(testdata[[#This Row],[Trendline]],4)&lt;&gt;Table3[[#This Row],[Trendline]],ROUND(testdata[[#This Row],[SmPrice]],4)&lt;&gt;Table3[[#This Row],[SmPrice]]),"ERR","")</f>
        <v/>
      </c>
      <c r="AG156" s="3">
        <v>42961</v>
      </c>
      <c r="AH156" s="14">
        <v>26.001899999999999</v>
      </c>
      <c r="AI156" s="34">
        <v>26</v>
      </c>
      <c r="AJ156" s="14">
        <v>234.56020000000001</v>
      </c>
      <c r="AK156" s="14">
        <v>234.4118</v>
      </c>
      <c r="AL156" s="14">
        <v>234.01900000000001</v>
      </c>
      <c r="AN156" s="38">
        <f t="shared" si="7"/>
        <v>0</v>
      </c>
      <c r="AO156" s="38">
        <f t="shared" si="8"/>
        <v>0</v>
      </c>
      <c r="AQ156" s="37">
        <v>42961</v>
      </c>
      <c r="AR156">
        <v>26</v>
      </c>
      <c r="AS156">
        <v>234.41176923076901</v>
      </c>
      <c r="AT156">
        <v>234.01900000000001</v>
      </c>
      <c r="AV156" s="37">
        <v>42961</v>
      </c>
      <c r="AW156">
        <v>26</v>
      </c>
      <c r="AX156">
        <v>234.41176923076901</v>
      </c>
      <c r="AY156">
        <v>234.01900000000001</v>
      </c>
      <c r="BA156" s="38">
        <f>AX156-Table3[[#This Row],[Trendline]]</f>
        <v>-3.0769230988880736E-5</v>
      </c>
      <c r="BB156" s="38">
        <f>AY156-Table3[[#This Row],[SmPrice]]</f>
        <v>0</v>
      </c>
    </row>
    <row r="157" spans="1:54" x14ac:dyDescent="0.35">
      <c r="A157" s="6">
        <v>155</v>
      </c>
      <c r="B157" s="3">
        <v>42962</v>
      </c>
      <c r="C157" s="2">
        <v>235.49</v>
      </c>
      <c r="D157" s="2">
        <v>235.51</v>
      </c>
      <c r="E157" s="2">
        <v>234.71</v>
      </c>
      <c r="F157" s="2">
        <v>235.05</v>
      </c>
      <c r="G157" s="1">
        <v>57937020</v>
      </c>
      <c r="H157" s="30">
        <f>(testdata[[#This Row],[high]]+testdata[[#This Row],[low]])/2</f>
        <v>235.11</v>
      </c>
      <c r="I157" s="23">
        <f>(4*testdata[[#This Row],[price]]+3*H156+2*H155+H154)/10</f>
        <v>234.41050000000001</v>
      </c>
      <c r="J157" s="9">
        <f>(0.0962*testdata[[#This Row],[smooth]]+0.5769*I155-0.5769*I153-0.0962*I151)*(0.075*$Z156+0.54)</f>
        <v>-2.9926296430166794</v>
      </c>
      <c r="K157" s="14">
        <f t="shared" si="6"/>
        <v>0.49229143317264673</v>
      </c>
      <c r="L157" s="14">
        <f>(0.0962*testdata[[#This Row],[detrender]]+0.5769*J155-0.5769*J153-0.0962*J151)*(0.075*$Z156+0.54)</f>
        <v>-2.2523979280577318</v>
      </c>
      <c r="M157" s="9">
        <f>(0.0962*testdata[[#This Row],[I1]]+0.5769*K155-0.5769*K153-0.0962*K151)*(0.075*$Z156+0.54)</f>
        <v>0.58110988158018539</v>
      </c>
      <c r="N157" s="9">
        <f>(0.0962*testdata[[#This Row],[Q1]]+0.5769*L155-0.5769*L153-0.0962*L151)*(0.075*$Z156+0.54)</f>
        <v>-0.64953604846508195</v>
      </c>
      <c r="O157" s="9">
        <f>testdata[[#This Row],[I1]]-testdata[[#This Row],[JQ]]</f>
        <v>1.1418274816377287</v>
      </c>
      <c r="P157" s="9">
        <f>testdata[[#This Row],[Q1]]+testdata[[#This Row],[jI]]</f>
        <v>-1.6712880464775464</v>
      </c>
      <c r="Q157" s="9">
        <f>0.2*testdata[[#This Row],[I2]]+0.8*Q156</f>
        <v>-1.0924081876946712E-2</v>
      </c>
      <c r="R157" s="9">
        <f>0.2*testdata[[#This Row],[Q2]]+0.8*R156</f>
        <v>-0.47982593311594629</v>
      </c>
      <c r="S157" s="9">
        <f>testdata[[#This Row],[I2'']]*Q156+testdata[[#This Row],[Q2'']]*R156</f>
        <v>9.0576844692339162E-2</v>
      </c>
      <c r="T157" s="9">
        <f>testdata[[#This Row],[I2'']]*R156-testdata[[#This Row],[Q2'']]*Q156</f>
        <v>-0.1415339310734843</v>
      </c>
      <c r="U157" s="9">
        <f>0.2*testdata[[#This Row],[Re]]+0.8*U156</f>
        <v>1.2389263715740122</v>
      </c>
      <c r="V157" s="9">
        <f>0.2*testdata[[#This Row],[Im]]+0.8*V156</f>
        <v>0.28841293913773131</v>
      </c>
      <c r="W157" s="9">
        <f>IF(AND(testdata[[#This Row],[Re'']]&lt;&gt;0,testdata[[#This Row],[Im'']]&lt;&gt;0),2*PI()/ATAN(testdata[[#This Row],[Im'']]/testdata[[#This Row],[Re'']]),0)</f>
        <v>27.471188199335508</v>
      </c>
      <c r="X157" s="9">
        <f>IF(testdata[[#This Row],[pd-atan]]&gt;1.5*Z156,1.5*Z156,IF(testdata[[#This Row],[pd-atan]]&lt;0.67*Z156,0.67*Z156,testdata[[#This Row],[pd-atan]]))</f>
        <v>27.471188199335508</v>
      </c>
      <c r="Y157" s="9">
        <f>IF(testdata[[#This Row],[pd-limit1]]&lt;6,6,IF(testdata[[#This Row],[pd-limit1]]&gt;50,50,testdata[[#This Row],[pd-limit1]]))</f>
        <v>27.471188199335508</v>
      </c>
      <c r="Z157" s="14">
        <f>0.2*testdata[[#This Row],[pd-limit2]]+0.8*Z156</f>
        <v>26.174902895993583</v>
      </c>
      <c r="AA157" s="14">
        <f>0.33*testdata[[#This Row],[period]]+0.67*AA156</f>
        <v>26.053867382025317</v>
      </c>
      <c r="AB157" s="31">
        <f>TRUNC(testdata[[#This Row],[SmPd]]+0.5,0)</f>
        <v>26</v>
      </c>
      <c r="AC157" s="14">
        <f ca="1">IF(testdata[[#This Row],[PdInt]]&lt;=0,0,AVERAGE(OFFSET(testdata[[#This Row],[price]],0,0,-testdata[[#This Row],[PdInt]],1)))</f>
        <v>234.71769230769229</v>
      </c>
      <c r="AD157" s="14">
        <f ca="1">IF(testdata[[#This Row],[i]]&lt;11,testdata[[#This Row],[price]],(4*testdata[[#This Row],[iTrend]]+3*AC156+2*AC155+AC154)/10)</f>
        <v>234.55963461538462</v>
      </c>
      <c r="AE157" s="14">
        <f>(4*testdata[[#This Row],[price]]+3*H156+2*H155+H154)/10</f>
        <v>234.41050000000001</v>
      </c>
      <c r="AF157" t="str">
        <f ca="1">IF(OR(ROUND(testdata[[#This Row],[Trendline]],4)&lt;&gt;Table3[[#This Row],[Trendline]],ROUND(testdata[[#This Row],[SmPrice]],4)&lt;&gt;Table3[[#This Row],[SmPrice]]),"ERR","")</f>
        <v/>
      </c>
      <c r="AG157" s="3">
        <v>42962</v>
      </c>
      <c r="AH157" s="14">
        <v>26.059899999999999</v>
      </c>
      <c r="AI157" s="34">
        <v>26</v>
      </c>
      <c r="AJ157" s="14">
        <v>234.71770000000001</v>
      </c>
      <c r="AK157" s="14">
        <v>234.55959999999999</v>
      </c>
      <c r="AL157" s="14">
        <v>234.41050000000001</v>
      </c>
      <c r="AN157" s="38">
        <f t="shared" si="7"/>
        <v>0</v>
      </c>
      <c r="AO157" s="38">
        <f t="shared" si="8"/>
        <v>0</v>
      </c>
      <c r="AQ157" s="37">
        <v>42962</v>
      </c>
      <c r="AR157">
        <v>26</v>
      </c>
      <c r="AS157">
        <v>234.559634615384</v>
      </c>
      <c r="AT157">
        <v>234.41050000000001</v>
      </c>
      <c r="AV157" s="37">
        <v>42962</v>
      </c>
      <c r="AW157">
        <v>26</v>
      </c>
      <c r="AX157">
        <v>234.559634615384</v>
      </c>
      <c r="AY157">
        <v>234.41050000000001</v>
      </c>
      <c r="BA157" s="38">
        <f>AX157-Table3[[#This Row],[Trendline]]</f>
        <v>3.4615384009839545E-5</v>
      </c>
      <c r="BB157" s="38">
        <f>AY157-Table3[[#This Row],[SmPrice]]</f>
        <v>0</v>
      </c>
    </row>
    <row r="158" spans="1:54" x14ac:dyDescent="0.35">
      <c r="A158" s="6">
        <v>156</v>
      </c>
      <c r="B158" s="3">
        <v>42963</v>
      </c>
      <c r="C158" s="2">
        <v>235.62</v>
      </c>
      <c r="D158" s="2">
        <v>236.06</v>
      </c>
      <c r="E158" s="2">
        <v>234.99</v>
      </c>
      <c r="F158" s="2">
        <v>235.46</v>
      </c>
      <c r="G158" s="1">
        <v>59481648</v>
      </c>
      <c r="H158" s="30">
        <f>(testdata[[#This Row],[high]]+testdata[[#This Row],[low]])/2</f>
        <v>235.52500000000001</v>
      </c>
      <c r="I158" s="23">
        <f>(4*testdata[[#This Row],[price]]+3*H157+2*H156+H155)/10</f>
        <v>234.9785</v>
      </c>
      <c r="J158" s="9">
        <f>(0.0962*testdata[[#This Row],[smooth]]+0.5769*I156-0.5769*I154-0.0962*I152)*(0.075*$Z157+0.54)</f>
        <v>-1.5595917739429876</v>
      </c>
      <c r="K158" s="14">
        <f t="shared" si="6"/>
        <v>-0.47431758431350496</v>
      </c>
      <c r="L158" s="14">
        <f>(0.0962*testdata[[#This Row],[detrender]]+0.5769*J156-0.5769*J154-0.0962*J152)*(0.075*$Z157+0.54)</f>
        <v>-4.2124972136215808</v>
      </c>
      <c r="M158" s="9">
        <f>(0.0962*testdata[[#This Row],[I1]]+0.5769*K156-0.5769*K154-0.0962*K152)*(0.075*$Z157+0.54)</f>
        <v>0.45594682675768922</v>
      </c>
      <c r="N158" s="9">
        <f>(0.0962*testdata[[#This Row],[Q1]]+0.5769*L156-0.5769*L154-0.0962*L152)*(0.075*$Z157+0.54)</f>
        <v>-2.6100729910684968</v>
      </c>
      <c r="O158" s="9">
        <f>testdata[[#This Row],[I1]]-testdata[[#This Row],[JQ]]</f>
        <v>2.135755406754992</v>
      </c>
      <c r="P158" s="9">
        <f>testdata[[#This Row],[Q1]]+testdata[[#This Row],[jI]]</f>
        <v>-3.7565503868638914</v>
      </c>
      <c r="Q158" s="9">
        <f>0.2*testdata[[#This Row],[I2]]+0.8*Q157</f>
        <v>0.41841181584944109</v>
      </c>
      <c r="R158" s="9">
        <f>0.2*testdata[[#This Row],[Q2]]+0.8*R157</f>
        <v>-1.1351708238655354</v>
      </c>
      <c r="S158" s="9">
        <f>testdata[[#This Row],[I2'']]*Q157+testdata[[#This Row],[Q2'']]*R157</f>
        <v>0.54011363487265673</v>
      </c>
      <c r="T158" s="9">
        <f>testdata[[#This Row],[I2'']]*R157-testdata[[#This Row],[Q2'']]*Q157</f>
        <v>-0.21316553899092372</v>
      </c>
      <c r="U158" s="9">
        <f>0.2*testdata[[#This Row],[Re]]+0.8*U157</f>
        <v>1.0991638242337411</v>
      </c>
      <c r="V158" s="9">
        <f>0.2*testdata[[#This Row],[Im]]+0.8*V157</f>
        <v>0.1880972435120003</v>
      </c>
      <c r="W158" s="9">
        <f>IF(AND(testdata[[#This Row],[Re'']]&lt;&gt;0,testdata[[#This Row],[Im'']]&lt;&gt;0),2*PI()/ATAN(testdata[[#This Row],[Im'']]/testdata[[#This Row],[Re'']]),0)</f>
        <v>37.072032640283958</v>
      </c>
      <c r="X158" s="9">
        <f>IF(testdata[[#This Row],[pd-atan]]&gt;1.5*Z157,1.5*Z157,IF(testdata[[#This Row],[pd-atan]]&lt;0.67*Z157,0.67*Z157,testdata[[#This Row],[pd-atan]]))</f>
        <v>37.072032640283958</v>
      </c>
      <c r="Y158" s="9">
        <f>IF(testdata[[#This Row],[pd-limit1]]&lt;6,6,IF(testdata[[#This Row],[pd-limit1]]&gt;50,50,testdata[[#This Row],[pd-limit1]]))</f>
        <v>37.072032640283958</v>
      </c>
      <c r="Z158" s="14">
        <f>0.2*testdata[[#This Row],[pd-limit2]]+0.8*Z157</f>
        <v>28.354328844851658</v>
      </c>
      <c r="AA158" s="14">
        <f>0.33*testdata[[#This Row],[period]]+0.67*AA157</f>
        <v>26.813019664758013</v>
      </c>
      <c r="AB158" s="31">
        <f>TRUNC(testdata[[#This Row],[SmPd]]+0.5,0)</f>
        <v>27</v>
      </c>
      <c r="AC158" s="14">
        <f ca="1">IF(testdata[[#This Row],[PdInt]]&lt;=0,0,AVERAGE(OFFSET(testdata[[#This Row],[price]],0,0,-testdata[[#This Row],[PdInt]],1)))</f>
        <v>234.74759259259258</v>
      </c>
      <c r="AD158" s="14">
        <f ca="1">IF(testdata[[#This Row],[i]]&lt;11,testdata[[#This Row],[price]],(4*testdata[[#This Row],[iTrend]]+3*AC157+2*AC156+AC155)/10)</f>
        <v>234.66499857549857</v>
      </c>
      <c r="AE158" s="14">
        <f>(4*testdata[[#This Row],[price]]+3*H157+2*H156+H155)/10</f>
        <v>234.9785</v>
      </c>
      <c r="AF158" t="str">
        <f ca="1">IF(OR(ROUND(testdata[[#This Row],[Trendline]],4)&lt;&gt;Table3[[#This Row],[Trendline]],ROUND(testdata[[#This Row],[SmPrice]],4)&lt;&gt;Table3[[#This Row],[SmPrice]]),"ERR","")</f>
        <v/>
      </c>
      <c r="AG158" s="3">
        <v>42963</v>
      </c>
      <c r="AH158" s="14">
        <v>26.820699999999999</v>
      </c>
      <c r="AI158" s="34">
        <v>27</v>
      </c>
      <c r="AJ158" s="14">
        <v>234.74760000000001</v>
      </c>
      <c r="AK158" s="14">
        <v>234.66499999999999</v>
      </c>
      <c r="AL158" s="14">
        <v>234.9785</v>
      </c>
      <c r="AN158" s="38">
        <f t="shared" si="7"/>
        <v>0</v>
      </c>
      <c r="AO158" s="38">
        <f t="shared" si="8"/>
        <v>0</v>
      </c>
      <c r="AQ158" s="37">
        <v>42963</v>
      </c>
      <c r="AR158">
        <v>27</v>
      </c>
      <c r="AS158">
        <v>234.664998575498</v>
      </c>
      <c r="AT158">
        <v>234.9785</v>
      </c>
      <c r="AV158" s="37">
        <v>42963</v>
      </c>
      <c r="AW158">
        <v>27</v>
      </c>
      <c r="AX158">
        <v>234.664998575498</v>
      </c>
      <c r="AY158">
        <v>234.9785</v>
      </c>
      <c r="BA158" s="38">
        <f>AX158-Table3[[#This Row],[Trendline]]</f>
        <v>-1.4245019883674104E-6</v>
      </c>
      <c r="BB158" s="38">
        <f>AY158-Table3[[#This Row],[SmPrice]]</f>
        <v>0</v>
      </c>
    </row>
    <row r="159" spans="1:54" x14ac:dyDescent="0.35">
      <c r="A159" s="6">
        <v>157</v>
      </c>
      <c r="B159" s="3">
        <v>42964</v>
      </c>
      <c r="C159" s="2">
        <v>234.79</v>
      </c>
      <c r="D159" s="2">
        <v>235.13</v>
      </c>
      <c r="E159" s="2">
        <v>231.79</v>
      </c>
      <c r="F159" s="2">
        <v>231.79</v>
      </c>
      <c r="G159" s="1">
        <v>134757072</v>
      </c>
      <c r="H159" s="30">
        <f>(testdata[[#This Row],[high]]+testdata[[#This Row],[low]])/2</f>
        <v>233.45999999999998</v>
      </c>
      <c r="I159" s="23">
        <f>(4*testdata[[#This Row],[price]]+3*H158+2*H157+H156)/10</f>
        <v>234.53550000000001</v>
      </c>
      <c r="J159" s="9">
        <f>(0.0962*testdata[[#This Row],[smooth]]+0.5769*I157-0.5769*I155-0.0962*I153)*(0.075*$Z158+0.54)</f>
        <v>0.39172568451250606</v>
      </c>
      <c r="K159" s="14">
        <f t="shared" si="6"/>
        <v>-2.0986573723833857</v>
      </c>
      <c r="L159" s="14">
        <f>(0.0962*testdata[[#This Row],[detrender]]+0.5769*J157-0.5769*J155-0.0962*J153)*(0.075*$Z158+0.54)</f>
        <v>-3.9201956508575435</v>
      </c>
      <c r="M159" s="9">
        <f>(0.0962*testdata[[#This Row],[I1]]+0.5769*K157-0.5769*K155-0.0962*K153)*(0.075*$Z158+0.54)</f>
        <v>-0.42215837993148336</v>
      </c>
      <c r="N159" s="9">
        <f>(0.0962*testdata[[#This Row],[Q1]]+0.5769*L157-0.5769*L155-0.0962*L153)*(0.075*$Z158+0.54)</f>
        <v>-5.3120317389703349</v>
      </c>
      <c r="O159" s="9">
        <f>testdata[[#This Row],[I1]]-testdata[[#This Row],[JQ]]</f>
        <v>3.2133743665869492</v>
      </c>
      <c r="P159" s="9">
        <f>testdata[[#This Row],[Q1]]+testdata[[#This Row],[jI]]</f>
        <v>-4.3423540307890267</v>
      </c>
      <c r="Q159" s="9">
        <f>0.2*testdata[[#This Row],[I2]]+0.8*Q158</f>
        <v>0.97740432599694282</v>
      </c>
      <c r="R159" s="9">
        <f>0.2*testdata[[#This Row],[Q2]]+0.8*R158</f>
        <v>-1.7766074652502337</v>
      </c>
      <c r="S159" s="9">
        <f>testdata[[#This Row],[I2'']]*Q158+testdata[[#This Row],[Q2'']]*R158</f>
        <v>2.4257104788732482</v>
      </c>
      <c r="T159" s="9">
        <f>testdata[[#This Row],[I2'']]*R158-testdata[[#This Row],[Q2'']]*Q158</f>
        <v>-0.36616731840466488</v>
      </c>
      <c r="U159" s="9">
        <f>0.2*testdata[[#This Row],[Re]]+0.8*U158</f>
        <v>1.3644731551616427</v>
      </c>
      <c r="V159" s="9">
        <f>0.2*testdata[[#This Row],[Im]]+0.8*V158</f>
        <v>7.7244331128667271E-2</v>
      </c>
      <c r="W159" s="9">
        <f>IF(AND(testdata[[#This Row],[Re'']]&lt;&gt;0,testdata[[#This Row],[Im'']]&lt;&gt;0),2*PI()/ATAN(testdata[[#This Row],[Im'']]/testdata[[#This Row],[Re'']]),0)</f>
        <v>111.10703263218407</v>
      </c>
      <c r="X159" s="9">
        <f>IF(testdata[[#This Row],[pd-atan]]&gt;1.5*Z158,1.5*Z158,IF(testdata[[#This Row],[pd-atan]]&lt;0.67*Z158,0.67*Z158,testdata[[#This Row],[pd-atan]]))</f>
        <v>42.531493267277483</v>
      </c>
      <c r="Y159" s="9">
        <f>IF(testdata[[#This Row],[pd-limit1]]&lt;6,6,IF(testdata[[#This Row],[pd-limit1]]&gt;50,50,testdata[[#This Row],[pd-limit1]]))</f>
        <v>42.531493267277483</v>
      </c>
      <c r="Z159" s="14">
        <f>0.2*testdata[[#This Row],[pd-limit2]]+0.8*Z158</f>
        <v>31.189761729336823</v>
      </c>
      <c r="AA159" s="14">
        <f>0.33*testdata[[#This Row],[period]]+0.67*AA158</f>
        <v>28.257344546069021</v>
      </c>
      <c r="AB159" s="31">
        <f>TRUNC(testdata[[#This Row],[SmPd]]+0.5,0)</f>
        <v>28</v>
      </c>
      <c r="AC159" s="14">
        <f ca="1">IF(testdata[[#This Row],[PdInt]]&lt;=0,0,AVERAGE(OFFSET(testdata[[#This Row],[price]],0,0,-testdata[[#This Row],[PdInt]],1)))</f>
        <v>234.70160714285711</v>
      </c>
      <c r="AD159" s="14">
        <f ca="1">IF(testdata[[#This Row],[i]]&lt;11,testdata[[#This Row],[price]],(4*testdata[[#This Row],[iTrend]]+3*AC158+2*AC157+AC156)/10)</f>
        <v>234.70447832722829</v>
      </c>
      <c r="AE159" s="14">
        <f>(4*testdata[[#This Row],[price]]+3*H158+2*H157+H156)/10</f>
        <v>234.53550000000001</v>
      </c>
      <c r="AF159" t="str">
        <f ca="1">IF(OR(ROUND(testdata[[#This Row],[Trendline]],4)&lt;&gt;Table3[[#This Row],[Trendline]],ROUND(testdata[[#This Row],[SmPrice]],4)&lt;&gt;Table3[[#This Row],[SmPrice]]),"ERR","")</f>
        <v/>
      </c>
      <c r="AG159" s="3">
        <v>42964</v>
      </c>
      <c r="AH159" s="14">
        <v>28.266500000000001</v>
      </c>
      <c r="AI159" s="34">
        <v>28</v>
      </c>
      <c r="AJ159" s="14">
        <v>234.70160000000001</v>
      </c>
      <c r="AK159" s="14">
        <v>234.7045</v>
      </c>
      <c r="AL159" s="14">
        <v>234.53550000000001</v>
      </c>
      <c r="AN159" s="38">
        <f t="shared" si="7"/>
        <v>0</v>
      </c>
      <c r="AO159" s="38">
        <f t="shared" si="8"/>
        <v>0</v>
      </c>
      <c r="AQ159" s="37">
        <v>42964</v>
      </c>
      <c r="AR159">
        <v>28</v>
      </c>
      <c r="AS159">
        <v>234.704478327228</v>
      </c>
      <c r="AT159">
        <v>234.53550000000001</v>
      </c>
      <c r="AV159" s="37">
        <v>42964</v>
      </c>
      <c r="AW159">
        <v>28</v>
      </c>
      <c r="AX159">
        <v>234.704478327228</v>
      </c>
      <c r="AY159">
        <v>234.53550000000001</v>
      </c>
      <c r="BA159" s="38">
        <f>AX159-Table3[[#This Row],[Trendline]]</f>
        <v>-2.1672771993053175E-5</v>
      </c>
      <c r="BB159" s="38">
        <f>AY159-Table3[[#This Row],[SmPrice]]</f>
        <v>0</v>
      </c>
    </row>
    <row r="160" spans="1:54" x14ac:dyDescent="0.35">
      <c r="A160" s="6">
        <v>158</v>
      </c>
      <c r="B160" s="3">
        <v>42965</v>
      </c>
      <c r="C160" s="2">
        <v>231.6</v>
      </c>
      <c r="D160" s="2">
        <v>232.83</v>
      </c>
      <c r="E160" s="2">
        <v>230.94</v>
      </c>
      <c r="F160" s="2">
        <v>231.42</v>
      </c>
      <c r="G160" s="1">
        <v>143417408</v>
      </c>
      <c r="H160" s="30">
        <f>(testdata[[#This Row],[high]]+testdata[[#This Row],[low]])/2</f>
        <v>231.88499999999999</v>
      </c>
      <c r="I160" s="23">
        <f>(4*testdata[[#This Row],[price]]+3*H159+2*H158+H157)/10</f>
        <v>233.40799999999999</v>
      </c>
      <c r="J160" s="9">
        <f>(0.0962*testdata[[#This Row],[smooth]]+0.5769*I158-0.5769*I156-0.0962*I154)*(0.075*$Z159+0.54)</f>
        <v>1.1768992335211039</v>
      </c>
      <c r="K160" s="14">
        <f t="shared" si="6"/>
        <v>-2.9926296430166794</v>
      </c>
      <c r="L160" s="14">
        <f>(0.0962*testdata[[#This Row],[detrender]]+0.5769*J158-0.5769*J156-0.0962*J154)*(0.075*$Z159+0.54)</f>
        <v>1.0850277276899052</v>
      </c>
      <c r="M160" s="9">
        <f>(0.0962*testdata[[#This Row],[I1]]+0.5769*K158-0.5769*K156-0.0962*K154)*(0.075*$Z159+0.54)</f>
        <v>-2.6162433944888073</v>
      </c>
      <c r="N160" s="9">
        <f>(0.0962*testdata[[#This Row],[Q1]]+0.5769*L158-0.5769*L156-0.0962*L154)*(0.075*$Z159+0.54)</f>
        <v>-6.2067179516840909</v>
      </c>
      <c r="O160" s="9">
        <f>testdata[[#This Row],[I1]]-testdata[[#This Row],[JQ]]</f>
        <v>3.2140883086674115</v>
      </c>
      <c r="P160" s="9">
        <f>testdata[[#This Row],[Q1]]+testdata[[#This Row],[jI]]</f>
        <v>-1.5312156667989021</v>
      </c>
      <c r="Q160" s="9">
        <f>0.2*testdata[[#This Row],[I2]]+0.8*Q159</f>
        <v>1.4247411225310365</v>
      </c>
      <c r="R160" s="9">
        <f>0.2*testdata[[#This Row],[Q2]]+0.8*R159</f>
        <v>-1.7275291055599675</v>
      </c>
      <c r="S160" s="9">
        <f>testdata[[#This Row],[I2'']]*Q159+testdata[[#This Row],[Q2'']]*R159</f>
        <v>4.461689241962473</v>
      </c>
      <c r="T160" s="9">
        <f>testdata[[#This Row],[I2'']]*R159-testdata[[#This Row],[Q2'']]*Q159</f>
        <v>-0.84271129327769589</v>
      </c>
      <c r="U160" s="9">
        <f>0.2*testdata[[#This Row],[Re]]+0.8*U159</f>
        <v>1.9839163725218087</v>
      </c>
      <c r="V160" s="9">
        <f>0.2*testdata[[#This Row],[Im]]+0.8*V159</f>
        <v>-0.10674679375260536</v>
      </c>
      <c r="W160" s="9">
        <f>IF(AND(testdata[[#This Row],[Re'']]&lt;&gt;0,testdata[[#This Row],[Im'']]&lt;&gt;0),2*PI()/ATAN(testdata[[#This Row],[Im'']]/testdata[[#This Row],[Re'']]),0)</f>
        <v>-116.88720492320958</v>
      </c>
      <c r="X160" s="9">
        <f>IF(testdata[[#This Row],[pd-atan]]&gt;1.5*Z159,1.5*Z159,IF(testdata[[#This Row],[pd-atan]]&lt;0.67*Z159,0.67*Z159,testdata[[#This Row],[pd-atan]]))</f>
        <v>20.897140358655673</v>
      </c>
      <c r="Y160" s="9">
        <f>IF(testdata[[#This Row],[pd-limit1]]&lt;6,6,IF(testdata[[#This Row],[pd-limit1]]&gt;50,50,testdata[[#This Row],[pd-limit1]]))</f>
        <v>20.897140358655673</v>
      </c>
      <c r="Z160" s="14">
        <f>0.2*testdata[[#This Row],[pd-limit2]]+0.8*Z159</f>
        <v>29.131237455200594</v>
      </c>
      <c r="AA160" s="14">
        <f>0.33*testdata[[#This Row],[period]]+0.67*AA159</f>
        <v>28.545729206082441</v>
      </c>
      <c r="AB160" s="31">
        <f>TRUNC(testdata[[#This Row],[SmPd]]+0.5,0)</f>
        <v>29</v>
      </c>
      <c r="AC160" s="14">
        <f ca="1">IF(testdata[[#This Row],[PdInt]]&lt;=0,0,AVERAGE(OFFSET(testdata[[#This Row],[price]],0,0,-testdata[[#This Row],[PdInt]],1)))</f>
        <v>234.60448275862069</v>
      </c>
      <c r="AD160" s="14">
        <f ca="1">IF(testdata[[#This Row],[i]]&lt;11,testdata[[#This Row],[price]],(4*testdata[[#This Row],[iTrend]]+3*AC159+2*AC158+AC157)/10)</f>
        <v>234.67356299559316</v>
      </c>
      <c r="AE160" s="14">
        <f>(4*testdata[[#This Row],[price]]+3*H159+2*H158+H157)/10</f>
        <v>233.40799999999999</v>
      </c>
      <c r="AF160" t="str">
        <f ca="1">IF(OR(ROUND(testdata[[#This Row],[Trendline]],4)&lt;&gt;Table3[[#This Row],[Trendline]],ROUND(testdata[[#This Row],[SmPrice]],4)&lt;&gt;Table3[[#This Row],[SmPrice]]),"ERR","")</f>
        <v/>
      </c>
      <c r="AG160" s="3">
        <v>42965</v>
      </c>
      <c r="AH160" s="14">
        <v>28.555599999999998</v>
      </c>
      <c r="AI160" s="34">
        <v>29</v>
      </c>
      <c r="AJ160" s="14">
        <v>234.6045</v>
      </c>
      <c r="AK160" s="14">
        <v>234.67359999999999</v>
      </c>
      <c r="AL160" s="14">
        <v>233.40799999999999</v>
      </c>
      <c r="AN160" s="38">
        <f t="shared" si="7"/>
        <v>0</v>
      </c>
      <c r="AO160" s="38">
        <f t="shared" si="8"/>
        <v>0</v>
      </c>
      <c r="AQ160" s="37">
        <v>42965</v>
      </c>
      <c r="AR160">
        <v>29</v>
      </c>
      <c r="AS160">
        <v>234.67356299559299</v>
      </c>
      <c r="AT160">
        <v>233.40799999999999</v>
      </c>
      <c r="AV160" s="37">
        <v>42965</v>
      </c>
      <c r="AW160">
        <v>29</v>
      </c>
      <c r="AX160">
        <v>234.67356299559299</v>
      </c>
      <c r="AY160">
        <v>233.40799999999999</v>
      </c>
      <c r="BA160" s="38">
        <f>AX160-Table3[[#This Row],[Trendline]]</f>
        <v>-3.7004407005269968E-5</v>
      </c>
      <c r="BB160" s="38">
        <f>AY160-Table3[[#This Row],[SmPrice]]</f>
        <v>0</v>
      </c>
    </row>
    <row r="161" spans="1:54" x14ac:dyDescent="0.35">
      <c r="A161" s="6">
        <v>159</v>
      </c>
      <c r="B161" s="3">
        <v>42968</v>
      </c>
      <c r="C161" s="2">
        <v>231.36</v>
      </c>
      <c r="D161" s="2">
        <v>231.89</v>
      </c>
      <c r="E161" s="2">
        <v>230.58</v>
      </c>
      <c r="F161" s="2">
        <v>231.6</v>
      </c>
      <c r="G161" s="1">
        <v>68662792</v>
      </c>
      <c r="H161" s="30">
        <f>(testdata[[#This Row],[high]]+testdata[[#This Row],[low]])/2</f>
        <v>231.23500000000001</v>
      </c>
      <c r="I161" s="23">
        <f>(4*testdata[[#This Row],[price]]+3*H160+2*H159+H158)/10</f>
        <v>232.304</v>
      </c>
      <c r="J161" s="9">
        <f>(0.0962*testdata[[#This Row],[smooth]]+0.5769*I159-0.5769*I157-0.0962*I155)*(0.075*$Z160+0.54)</f>
        <v>-0.23379096805568358</v>
      </c>
      <c r="K161" s="14">
        <f t="shared" si="6"/>
        <v>-1.5595917739429876</v>
      </c>
      <c r="L161" s="14">
        <f>(0.0962*testdata[[#This Row],[detrender]]+0.5769*J159-0.5769*J157-0.0962*J155)*(0.075*$Z160+0.54)</f>
        <v>5.3831265612915757</v>
      </c>
      <c r="M161" s="9">
        <f>(0.0962*testdata[[#This Row],[I1]]+0.5769*K159-0.5769*K157-0.0962*K155)*(0.075*$Z160+0.54)</f>
        <v>-4.5856384069308707</v>
      </c>
      <c r="N161" s="9">
        <f>(0.0962*testdata[[#This Row],[Q1]]+0.5769*L159-0.5769*L157-0.0962*L155)*(0.075*$Z160+0.54)</f>
        <v>-1.331904544369785</v>
      </c>
      <c r="O161" s="9">
        <f>testdata[[#This Row],[I1]]-testdata[[#This Row],[JQ]]</f>
        <v>-0.22768722957320264</v>
      </c>
      <c r="P161" s="9">
        <f>testdata[[#This Row],[Q1]]+testdata[[#This Row],[jI]]</f>
        <v>0.79748815436070508</v>
      </c>
      <c r="Q161" s="9">
        <f>0.2*testdata[[#This Row],[I2]]+0.8*Q160</f>
        <v>1.0942554521101888</v>
      </c>
      <c r="R161" s="9">
        <f>0.2*testdata[[#This Row],[Q2]]+0.8*R160</f>
        <v>-1.2225256535758331</v>
      </c>
      <c r="S161" s="9">
        <f>testdata[[#This Row],[I2'']]*Q160+testdata[[#This Row],[Q2'']]*R160</f>
        <v>3.6709793900211509</v>
      </c>
      <c r="T161" s="9">
        <f>testdata[[#This Row],[I2'']]*R160-testdata[[#This Row],[Q2'']]*Q160</f>
        <v>-0.14857557043941094</v>
      </c>
      <c r="U161" s="9">
        <f>0.2*testdata[[#This Row],[Re]]+0.8*U160</f>
        <v>2.3213289760216775</v>
      </c>
      <c r="V161" s="9">
        <f>0.2*testdata[[#This Row],[Im]]+0.8*V160</f>
        <v>-0.11511254908996649</v>
      </c>
      <c r="W161" s="9">
        <f>IF(AND(testdata[[#This Row],[Re'']]&lt;&gt;0,testdata[[#This Row],[Im'']]&lt;&gt;0),2*PI()/ATAN(testdata[[#This Row],[Im'']]/testdata[[#This Row],[Re'']]),0)</f>
        <v>-126.80883090224771</v>
      </c>
      <c r="X161" s="9">
        <f>IF(testdata[[#This Row],[pd-atan]]&gt;1.5*Z160,1.5*Z160,IF(testdata[[#This Row],[pd-atan]]&lt;0.67*Z160,0.67*Z160,testdata[[#This Row],[pd-atan]]))</f>
        <v>19.5179290949844</v>
      </c>
      <c r="Y161" s="9">
        <f>IF(testdata[[#This Row],[pd-limit1]]&lt;6,6,IF(testdata[[#This Row],[pd-limit1]]&gt;50,50,testdata[[#This Row],[pd-limit1]]))</f>
        <v>19.5179290949844</v>
      </c>
      <c r="Z161" s="14">
        <f>0.2*testdata[[#This Row],[pd-limit2]]+0.8*Z160</f>
        <v>27.208575783157357</v>
      </c>
      <c r="AA161" s="14">
        <f>0.33*testdata[[#This Row],[period]]+0.67*AA160</f>
        <v>28.104468576517164</v>
      </c>
      <c r="AB161" s="31">
        <f>TRUNC(testdata[[#This Row],[SmPd]]+0.5,0)</f>
        <v>28</v>
      </c>
      <c r="AC161" s="14">
        <f ca="1">IF(testdata[[#This Row],[PdInt]]&lt;=0,0,AVERAGE(OFFSET(testdata[[#This Row],[price]],0,0,-testdata[[#This Row],[PdInt]],1)))</f>
        <v>234.71035714285719</v>
      </c>
      <c r="AD161" s="14">
        <f ca="1">IF(testdata[[#This Row],[i]]&lt;11,testdata[[#This Row],[price]],(4*testdata[[#This Row],[iTrend]]+3*AC160+2*AC159+AC158)/10)</f>
        <v>234.68056837255972</v>
      </c>
      <c r="AE161" s="14">
        <f>(4*testdata[[#This Row],[price]]+3*H160+2*H159+H158)/10</f>
        <v>232.304</v>
      </c>
      <c r="AF161" t="str">
        <f ca="1">IF(OR(ROUND(testdata[[#This Row],[Trendline]],4)&lt;&gt;Table3[[#This Row],[Trendline]],ROUND(testdata[[#This Row],[SmPrice]],4)&lt;&gt;Table3[[#This Row],[SmPrice]]),"ERR","")</f>
        <v/>
      </c>
      <c r="AG161" s="3">
        <v>42968</v>
      </c>
      <c r="AH161" s="14">
        <v>28.114599999999999</v>
      </c>
      <c r="AI161" s="34">
        <v>28</v>
      </c>
      <c r="AJ161" s="14">
        <v>234.71039999999999</v>
      </c>
      <c r="AK161" s="14">
        <v>234.6806</v>
      </c>
      <c r="AL161" s="14">
        <v>232.304</v>
      </c>
      <c r="AN161" s="38">
        <f t="shared" si="7"/>
        <v>0</v>
      </c>
      <c r="AO161" s="38">
        <f t="shared" si="8"/>
        <v>0</v>
      </c>
      <c r="AQ161" s="37">
        <v>42968</v>
      </c>
      <c r="AR161">
        <v>28</v>
      </c>
      <c r="AS161">
        <v>234.68056837255901</v>
      </c>
      <c r="AT161">
        <v>232.304</v>
      </c>
      <c r="AV161" s="37">
        <v>42968</v>
      </c>
      <c r="AW161">
        <v>28</v>
      </c>
      <c r="AX161">
        <v>234.68056837255901</v>
      </c>
      <c r="AY161">
        <v>232.304</v>
      </c>
      <c r="BA161" s="38">
        <f>AX161-Table3[[#This Row],[Trendline]]</f>
        <v>-3.1627440989723254E-5</v>
      </c>
      <c r="BB161" s="38">
        <f>AY161-Table3[[#This Row],[SmPrice]]</f>
        <v>0</v>
      </c>
    </row>
    <row r="162" spans="1:54" x14ac:dyDescent="0.35">
      <c r="A162" s="6">
        <v>160</v>
      </c>
      <c r="B162" s="3">
        <v>42969</v>
      </c>
      <c r="C162" s="2">
        <v>232.24</v>
      </c>
      <c r="D162" s="2">
        <v>234.2</v>
      </c>
      <c r="E162" s="2">
        <v>232.22</v>
      </c>
      <c r="F162" s="2">
        <v>234.03</v>
      </c>
      <c r="G162" s="1">
        <v>66219544</v>
      </c>
      <c r="H162" s="30">
        <f>(testdata[[#This Row],[high]]+testdata[[#This Row],[low]])/2</f>
        <v>233.20999999999998</v>
      </c>
      <c r="I162" s="23">
        <f>(4*testdata[[#This Row],[price]]+3*H161+2*H160+H159)/10</f>
        <v>232.3775</v>
      </c>
      <c r="J162" s="9">
        <f>(0.0962*testdata[[#This Row],[smooth]]+0.5769*I160-0.5769*I158-0.0962*I156)*(0.075*$Z161+0.54)</f>
        <v>-2.7456333798850352</v>
      </c>
      <c r="K162" s="14">
        <f t="shared" si="6"/>
        <v>0.39172568451250606</v>
      </c>
      <c r="L162" s="14">
        <f>(0.0962*testdata[[#This Row],[detrender]]+0.5769*J160-0.5769*J158-0.0962*J156)*(0.075*$Z161+0.54)</f>
        <v>3.9133971825326896</v>
      </c>
      <c r="M162" s="9">
        <f>(0.0962*testdata[[#This Row],[I1]]+0.5769*K160-0.5769*K158-0.0962*K156)*(0.075*$Z161+0.54)</f>
        <v>-3.7938657125535298</v>
      </c>
      <c r="N162" s="9">
        <f>(0.0962*testdata[[#This Row],[Q1]]+0.5769*L160-0.5769*L158-0.0962*L156)*(0.075*$Z161+0.54)</f>
        <v>8.9565777788386338</v>
      </c>
      <c r="O162" s="9">
        <f>testdata[[#This Row],[I1]]-testdata[[#This Row],[JQ]]</f>
        <v>-8.5648520943261275</v>
      </c>
      <c r="P162" s="9">
        <f>testdata[[#This Row],[Q1]]+testdata[[#This Row],[jI]]</f>
        <v>0.11953146997915987</v>
      </c>
      <c r="Q162" s="9">
        <f>0.2*testdata[[#This Row],[I2]]+0.8*Q161</f>
        <v>-0.83756605717707444</v>
      </c>
      <c r="R162" s="9">
        <f>0.2*testdata[[#This Row],[Q2]]+0.8*R161</f>
        <v>-0.95411422886483455</v>
      </c>
      <c r="S162" s="9">
        <f>testdata[[#This Row],[I2'']]*Q161+testdata[[#This Row],[Q2'']]*R161</f>
        <v>0.2499178966605361</v>
      </c>
      <c r="T162" s="9">
        <f>testdata[[#This Row],[I2'']]*R161-testdata[[#This Row],[Q2'']]*Q161</f>
        <v>2.0679906883345902</v>
      </c>
      <c r="U162" s="9">
        <f>0.2*testdata[[#This Row],[Re]]+0.8*U161</f>
        <v>1.9070467601494494</v>
      </c>
      <c r="V162" s="9">
        <f>0.2*testdata[[#This Row],[Im]]+0.8*V161</f>
        <v>0.32150809839494487</v>
      </c>
      <c r="W162" s="9">
        <f>IF(AND(testdata[[#This Row],[Re'']]&lt;&gt;0,testdata[[#This Row],[Im'']]&lt;&gt;0),2*PI()/ATAN(testdata[[#This Row],[Im'']]/testdata[[#This Row],[Re'']]),0)</f>
        <v>37.61958930885605</v>
      </c>
      <c r="X162" s="9">
        <f>IF(testdata[[#This Row],[pd-atan]]&gt;1.5*Z161,1.5*Z161,IF(testdata[[#This Row],[pd-atan]]&lt;0.67*Z161,0.67*Z161,testdata[[#This Row],[pd-atan]]))</f>
        <v>37.61958930885605</v>
      </c>
      <c r="Y162" s="9">
        <f>IF(testdata[[#This Row],[pd-limit1]]&lt;6,6,IF(testdata[[#This Row],[pd-limit1]]&gt;50,50,testdata[[#This Row],[pd-limit1]]))</f>
        <v>37.61958930885605</v>
      </c>
      <c r="Z162" s="14">
        <f>0.2*testdata[[#This Row],[pd-limit2]]+0.8*Z161</f>
        <v>29.290778488297097</v>
      </c>
      <c r="AA162" s="14">
        <f>0.33*testdata[[#This Row],[period]]+0.67*AA161</f>
        <v>28.495950847404544</v>
      </c>
      <c r="AB162" s="31">
        <f>TRUNC(testdata[[#This Row],[SmPd]]+0.5,0)</f>
        <v>28</v>
      </c>
      <c r="AC162" s="14">
        <f ca="1">IF(testdata[[#This Row],[PdInt]]&lt;=0,0,AVERAGE(OFFSET(testdata[[#This Row],[price]],0,0,-testdata[[#This Row],[PdInt]],1)))</f>
        <v>234.72499999999999</v>
      </c>
      <c r="AD162" s="14">
        <f ca="1">IF(testdata[[#This Row],[i]]&lt;11,testdata[[#This Row],[price]],(4*testdata[[#This Row],[iTrend]]+3*AC161+2*AC160+AC159)/10)</f>
        <v>234.69416440886698</v>
      </c>
      <c r="AE162" s="14">
        <f>(4*testdata[[#This Row],[price]]+3*H161+2*H160+H159)/10</f>
        <v>232.3775</v>
      </c>
      <c r="AF162" t="str">
        <f ca="1">IF(OR(ROUND(testdata[[#This Row],[Trendline]],4)&lt;&gt;Table3[[#This Row],[Trendline]],ROUND(testdata[[#This Row],[SmPrice]],4)&lt;&gt;Table3[[#This Row],[SmPrice]]),"ERR","")</f>
        <v>ERR</v>
      </c>
      <c r="AG162" s="3">
        <v>42969</v>
      </c>
      <c r="AH162" s="14">
        <v>28.506499999999999</v>
      </c>
      <c r="AI162" s="34">
        <v>29</v>
      </c>
      <c r="AJ162" s="14">
        <v>234.65860000000001</v>
      </c>
      <c r="AK162" s="14">
        <v>234.66759999999999</v>
      </c>
      <c r="AL162" s="14">
        <v>232.3775</v>
      </c>
      <c r="AN162" s="38">
        <f t="shared" si="7"/>
        <v>-2.6551724136993471E-2</v>
      </c>
      <c r="AO162" s="38">
        <f t="shared" si="8"/>
        <v>0</v>
      </c>
      <c r="AQ162" s="37">
        <v>42969</v>
      </c>
      <c r="AR162">
        <v>28</v>
      </c>
      <c r="AS162">
        <v>234.69416440886599</v>
      </c>
      <c r="AT162">
        <v>232.3775</v>
      </c>
      <c r="AV162" s="37">
        <v>42969</v>
      </c>
      <c r="AW162">
        <v>29</v>
      </c>
      <c r="AX162">
        <v>234.66761268472899</v>
      </c>
      <c r="AY162">
        <v>232.3775</v>
      </c>
      <c r="BA162" s="38">
        <f>AX162-Table3[[#This Row],[Trendline]]</f>
        <v>1.2684729000511652E-5</v>
      </c>
      <c r="BB162" s="38">
        <f>AY162-Table3[[#This Row],[SmPrice]]</f>
        <v>0</v>
      </c>
    </row>
    <row r="163" spans="1:54" x14ac:dyDescent="0.35">
      <c r="A163" s="6">
        <v>161</v>
      </c>
      <c r="B163" s="3">
        <v>42970</v>
      </c>
      <c r="C163" s="2">
        <v>232.97</v>
      </c>
      <c r="D163" s="2">
        <v>233.65</v>
      </c>
      <c r="E163" s="2">
        <v>232.81</v>
      </c>
      <c r="F163" s="2">
        <v>233.19</v>
      </c>
      <c r="G163" s="1">
        <v>52652352</v>
      </c>
      <c r="H163" s="30">
        <f>(testdata[[#This Row],[high]]+testdata[[#This Row],[low]])/2</f>
        <v>233.23000000000002</v>
      </c>
      <c r="I163" s="23">
        <f>(4*testdata[[#This Row],[price]]+3*H162+2*H161+H160)/10</f>
        <v>232.69049999999999</v>
      </c>
      <c r="J163" s="9">
        <f>(0.0962*testdata[[#This Row],[smooth]]+0.5769*I161-0.5769*I159-0.0962*I157)*(0.075*$Z162+0.54)</f>
        <v>-3.9760799709020382</v>
      </c>
      <c r="K163" s="14">
        <f t="shared" si="6"/>
        <v>1.1768992335211039</v>
      </c>
      <c r="L163" s="14">
        <f>(0.0962*testdata[[#This Row],[detrender]]+0.5769*J161-0.5769*J159-0.0962*J157)*(0.075*$Z162+0.54)</f>
        <v>-1.246529951552279</v>
      </c>
      <c r="M163" s="9">
        <f>(0.0962*testdata[[#This Row],[I1]]+0.5769*K161-0.5769*K159-0.0962*K157)*(0.075*$Z162+0.54)</f>
        <v>1.0313558793082054</v>
      </c>
      <c r="N163" s="9">
        <f>(0.0962*testdata[[#This Row],[Q1]]+0.5769*L161-0.5769*L159-0.0962*L157)*(0.075*$Z162+0.54)</f>
        <v>14.953513468656457</v>
      </c>
      <c r="O163" s="9">
        <f>testdata[[#This Row],[I1]]-testdata[[#This Row],[JQ]]</f>
        <v>-13.776614235135353</v>
      </c>
      <c r="P163" s="9">
        <f>testdata[[#This Row],[Q1]]+testdata[[#This Row],[jI]]</f>
        <v>-0.21517407224407359</v>
      </c>
      <c r="Q163" s="9">
        <f>0.2*testdata[[#This Row],[I2]]+0.8*Q162</f>
        <v>-3.4253756927687302</v>
      </c>
      <c r="R163" s="9">
        <f>0.2*testdata[[#This Row],[Q2]]+0.8*R162</f>
        <v>-0.80632619754068247</v>
      </c>
      <c r="S163" s="9">
        <f>testdata[[#This Row],[I2'']]*Q162+testdata[[#This Row],[Q2'']]*R162</f>
        <v>3.6383057115225377</v>
      </c>
      <c r="T163" s="9">
        <f>testdata[[#This Row],[I2'']]*R162-testdata[[#This Row],[Q2'']]*Q162</f>
        <v>2.5928482336056531</v>
      </c>
      <c r="U163" s="9">
        <f>0.2*testdata[[#This Row],[Re]]+0.8*U162</f>
        <v>2.2532985504240672</v>
      </c>
      <c r="V163" s="9">
        <f>0.2*testdata[[#This Row],[Im]]+0.8*V162</f>
        <v>0.77577612543708652</v>
      </c>
      <c r="W163" s="9">
        <f>IF(AND(testdata[[#This Row],[Re'']]&lt;&gt;0,testdata[[#This Row],[Im'']]&lt;&gt;0),2*PI()/ATAN(testdata[[#This Row],[Im'']]/testdata[[#This Row],[Re'']]),0)</f>
        <v>18.949562791596144</v>
      </c>
      <c r="X163" s="9">
        <f>IF(testdata[[#This Row],[pd-atan]]&gt;1.5*Z162,1.5*Z162,IF(testdata[[#This Row],[pd-atan]]&lt;0.67*Z162,0.67*Z162,testdata[[#This Row],[pd-atan]]))</f>
        <v>19.624821587159055</v>
      </c>
      <c r="Y163" s="9">
        <f>IF(testdata[[#This Row],[pd-limit1]]&lt;6,6,IF(testdata[[#This Row],[pd-limit1]]&gt;50,50,testdata[[#This Row],[pd-limit1]]))</f>
        <v>19.624821587159055</v>
      </c>
      <c r="Z163" s="14">
        <f>0.2*testdata[[#This Row],[pd-limit2]]+0.8*Z162</f>
        <v>27.357587108069492</v>
      </c>
      <c r="AA163" s="14">
        <f>0.33*testdata[[#This Row],[period]]+0.67*AA162</f>
        <v>28.120290813423978</v>
      </c>
      <c r="AB163" s="31">
        <f>TRUNC(testdata[[#This Row],[SmPd]]+0.5,0)</f>
        <v>28</v>
      </c>
      <c r="AC163" s="14">
        <f ca="1">IF(testdata[[#This Row],[PdInt]]&lt;=0,0,AVERAGE(OFFSET(testdata[[#This Row],[price]],0,0,-testdata[[#This Row],[PdInt]],1)))</f>
        <v>234.70678571428567</v>
      </c>
      <c r="AD163" s="14">
        <f ca="1">IF(testdata[[#This Row],[i]]&lt;11,testdata[[#This Row],[price]],(4*testdata[[#This Row],[iTrend]]+3*AC162+2*AC161+AC160)/10)</f>
        <v>234.70273399014778</v>
      </c>
      <c r="AE163" s="14">
        <f>(4*testdata[[#This Row],[price]]+3*H162+2*H161+H160)/10</f>
        <v>232.69049999999999</v>
      </c>
      <c r="AF163" t="str">
        <f ca="1">IF(OR(ROUND(testdata[[#This Row],[Trendline]],4)&lt;&gt;Table3[[#This Row],[Trendline]],ROUND(testdata[[#This Row],[SmPrice]],4)&lt;&gt;Table3[[#This Row],[SmPrice]]),"ERR","")</f>
        <v>ERR</v>
      </c>
      <c r="AG163" s="3">
        <v>42970</v>
      </c>
      <c r="AH163" s="14">
        <v>28.1309</v>
      </c>
      <c r="AI163" s="34">
        <v>28</v>
      </c>
      <c r="AJ163" s="14">
        <v>234.70679999999999</v>
      </c>
      <c r="AK163" s="14">
        <v>234.68279999999999</v>
      </c>
      <c r="AL163" s="14">
        <v>232.69049999999999</v>
      </c>
      <c r="AN163" s="38">
        <f t="shared" si="7"/>
        <v>-1.9913793103000899E-2</v>
      </c>
      <c r="AO163" s="38">
        <f t="shared" si="8"/>
        <v>0</v>
      </c>
      <c r="AQ163" s="37">
        <v>42970</v>
      </c>
      <c r="AR163">
        <v>28</v>
      </c>
      <c r="AS163">
        <v>234.70273399014701</v>
      </c>
      <c r="AT163">
        <v>232.69049999999999</v>
      </c>
      <c r="AV163" s="37">
        <v>42970</v>
      </c>
      <c r="AW163">
        <v>28</v>
      </c>
      <c r="AX163">
        <v>234.68282019704401</v>
      </c>
      <c r="AY163">
        <v>232.69049999999999</v>
      </c>
      <c r="BA163" s="38">
        <f>AX163-Table3[[#This Row],[Trendline]]</f>
        <v>2.0197044023007038E-5</v>
      </c>
      <c r="BB163" s="38">
        <f>AY163-Table3[[#This Row],[SmPrice]]</f>
        <v>0</v>
      </c>
    </row>
    <row r="164" spans="1:54" x14ac:dyDescent="0.35">
      <c r="A164" s="6">
        <v>162</v>
      </c>
      <c r="B164" s="3">
        <v>42971</v>
      </c>
      <c r="C164" s="2">
        <v>233.61</v>
      </c>
      <c r="D164" s="2">
        <v>233.78</v>
      </c>
      <c r="E164" s="2">
        <v>232.41</v>
      </c>
      <c r="F164" s="2">
        <v>232.64</v>
      </c>
      <c r="G164" s="1">
        <v>53216420</v>
      </c>
      <c r="H164" s="30">
        <f>(testdata[[#This Row],[high]]+testdata[[#This Row],[low]])/2</f>
        <v>233.095</v>
      </c>
      <c r="I164" s="23">
        <f>(4*testdata[[#This Row],[price]]+3*H163+2*H162+H161)/10</f>
        <v>232.97250000000003</v>
      </c>
      <c r="J164" s="9">
        <f>(0.0962*testdata[[#This Row],[smooth]]+0.5769*I162-0.5769*I160-0.0962*I158)*(0.075*$Z163+0.54)</f>
        <v>-2.0409866023198031</v>
      </c>
      <c r="K164" s="14">
        <f t="shared" si="6"/>
        <v>-0.23379096805568358</v>
      </c>
      <c r="L164" s="14">
        <f>(0.0962*testdata[[#This Row],[detrender]]+0.5769*J162-0.5769*J160-0.0962*J158)*(0.075*$Z163+0.54)</f>
        <v>-5.9850783964121588</v>
      </c>
      <c r="M164" s="9">
        <f>(0.0962*testdata[[#This Row],[I1]]+0.5769*K162-0.5769*K160-0.0962*K158)*(0.075*$Z163+0.54)</f>
        <v>5.1203283478847617</v>
      </c>
      <c r="N164" s="9">
        <f>(0.0962*testdata[[#This Row],[Q1]]+0.5769*L162-0.5769*L160-0.0962*L158)*(0.075*$Z163+0.54)</f>
        <v>3.7870727401105397</v>
      </c>
      <c r="O164" s="9">
        <f>testdata[[#This Row],[I1]]-testdata[[#This Row],[JQ]]</f>
        <v>-4.0208637081662237</v>
      </c>
      <c r="P164" s="9">
        <f>testdata[[#This Row],[Q1]]+testdata[[#This Row],[jI]]</f>
        <v>-0.86475004852739712</v>
      </c>
      <c r="Q164" s="9">
        <f>0.2*testdata[[#This Row],[I2]]+0.8*Q163</f>
        <v>-3.5444732958482295</v>
      </c>
      <c r="R164" s="9">
        <f>0.2*testdata[[#This Row],[Q2]]+0.8*R163</f>
        <v>-0.81801096773802551</v>
      </c>
      <c r="S164" s="9">
        <f>testdata[[#This Row],[I2'']]*Q163+testdata[[#This Row],[Q2'']]*R163</f>
        <v>12.80073634442917</v>
      </c>
      <c r="T164" s="9">
        <f>testdata[[#This Row],[I2'']]*R163-testdata[[#This Row],[Q2'']]*Q163</f>
        <v>5.6006789617734754E-2</v>
      </c>
      <c r="U164" s="9">
        <f>0.2*testdata[[#This Row],[Re]]+0.8*U163</f>
        <v>4.3627861092250884</v>
      </c>
      <c r="V164" s="9">
        <f>0.2*testdata[[#This Row],[Im]]+0.8*V163</f>
        <v>0.63182225827321614</v>
      </c>
      <c r="W164" s="9">
        <f>IF(AND(testdata[[#This Row],[Re'']]&lt;&gt;0,testdata[[#This Row],[Im'']]&lt;&gt;0),2*PI()/ATAN(testdata[[#This Row],[Im'']]/testdata[[#This Row],[Re'']]),0)</f>
        <v>43.68755977422186</v>
      </c>
      <c r="X164" s="9">
        <f>IF(testdata[[#This Row],[pd-atan]]&gt;1.5*Z163,1.5*Z163,IF(testdata[[#This Row],[pd-atan]]&lt;0.67*Z163,0.67*Z163,testdata[[#This Row],[pd-atan]]))</f>
        <v>41.036380662104236</v>
      </c>
      <c r="Y164" s="9">
        <f>IF(testdata[[#This Row],[pd-limit1]]&lt;6,6,IF(testdata[[#This Row],[pd-limit1]]&gt;50,50,testdata[[#This Row],[pd-limit1]]))</f>
        <v>41.036380662104236</v>
      </c>
      <c r="Z164" s="14">
        <f>0.2*testdata[[#This Row],[pd-limit2]]+0.8*Z163</f>
        <v>30.093345818876443</v>
      </c>
      <c r="AA164" s="14">
        <f>0.33*testdata[[#This Row],[period]]+0.67*AA163</f>
        <v>28.771398965223291</v>
      </c>
      <c r="AB164" s="31">
        <f>TRUNC(testdata[[#This Row],[SmPd]]+0.5,0)</f>
        <v>29</v>
      </c>
      <c r="AC164" s="14">
        <f ca="1">IF(testdata[[#This Row],[PdInt]]&lt;=0,0,AVERAGE(OFFSET(testdata[[#This Row],[price]],0,0,-testdata[[#This Row],[PdInt]],1)))</f>
        <v>234.65120689655171</v>
      </c>
      <c r="AD164" s="14">
        <f ca="1">IF(testdata[[#This Row],[i]]&lt;11,testdata[[#This Row],[price]],(4*testdata[[#This Row],[iTrend]]+3*AC163+2*AC162+AC161)/10)</f>
        <v>234.6885541871921</v>
      </c>
      <c r="AE164" s="14">
        <f>(4*testdata[[#This Row],[price]]+3*H163+2*H162+H161)/10</f>
        <v>232.97250000000003</v>
      </c>
      <c r="AF164" t="str">
        <f ca="1">IF(OR(ROUND(testdata[[#This Row],[Trendline]],4)&lt;&gt;Table3[[#This Row],[Trendline]],ROUND(testdata[[#This Row],[SmPrice]],4)&lt;&gt;Table3[[#This Row],[SmPrice]]),"ERR","")</f>
        <v>ERR</v>
      </c>
      <c r="AG164" s="3">
        <v>42971</v>
      </c>
      <c r="AH164" s="14">
        <v>28.782399999999999</v>
      </c>
      <c r="AI164" s="34">
        <v>29</v>
      </c>
      <c r="AJ164" s="14">
        <v>234.65119999999999</v>
      </c>
      <c r="AK164" s="14">
        <v>234.67529999999999</v>
      </c>
      <c r="AL164" s="14">
        <v>232.9725</v>
      </c>
      <c r="AN164" s="38">
        <f t="shared" si="7"/>
        <v>-1.3275862069008326E-2</v>
      </c>
      <c r="AO164" s="38">
        <f t="shared" si="8"/>
        <v>0</v>
      </c>
      <c r="AQ164" s="37">
        <v>42971</v>
      </c>
      <c r="AR164">
        <v>29</v>
      </c>
      <c r="AS164">
        <v>234.68855418719201</v>
      </c>
      <c r="AT164">
        <v>232.9725</v>
      </c>
      <c r="AV164" s="37">
        <v>42971</v>
      </c>
      <c r="AW164">
        <v>29</v>
      </c>
      <c r="AX164">
        <v>234.675278325123</v>
      </c>
      <c r="AY164">
        <v>232.9725</v>
      </c>
      <c r="BA164" s="38">
        <f>AX164-Table3[[#This Row],[Trendline]]</f>
        <v>-2.1674876990118719E-5</v>
      </c>
      <c r="BB164" s="38">
        <f>AY164-Table3[[#This Row],[SmPrice]]</f>
        <v>0</v>
      </c>
    </row>
    <row r="165" spans="1:54" x14ac:dyDescent="0.35">
      <c r="A165" s="6">
        <v>163</v>
      </c>
      <c r="B165" s="3">
        <v>42972</v>
      </c>
      <c r="C165" s="2">
        <v>233.51</v>
      </c>
      <c r="D165" s="2">
        <v>234.19</v>
      </c>
      <c r="E165" s="2">
        <v>233.02</v>
      </c>
      <c r="F165" s="2">
        <v>233.19</v>
      </c>
      <c r="G165" s="1">
        <v>67589040</v>
      </c>
      <c r="H165" s="30">
        <f>(testdata[[#This Row],[high]]+testdata[[#This Row],[low]])/2</f>
        <v>233.60500000000002</v>
      </c>
      <c r="I165" s="23">
        <f>(4*testdata[[#This Row],[price]]+3*H164+2*H163+H162)/10</f>
        <v>233.33750000000001</v>
      </c>
      <c r="J165" s="9">
        <f>(0.0962*testdata[[#This Row],[smooth]]+0.5769*I163-0.5769*I161-0.0962*I159)*(0.075*$Z164+0.54)</f>
        <v>0.30130482812467374</v>
      </c>
      <c r="K165" s="14">
        <f t="shared" si="6"/>
        <v>-2.7456333798850352</v>
      </c>
      <c r="L165" s="14">
        <f>(0.0962*testdata[[#This Row],[detrender]]+0.5769*J163-0.5769*J161-0.0962*J159)*(0.075*$Z164+0.54)</f>
        <v>-6.0628491887161848</v>
      </c>
      <c r="M165" s="9">
        <f>(0.0962*testdata[[#This Row],[I1]]+0.5769*K163-0.5769*K161-0.0962*K159)*(0.075*$Z164+0.54)</f>
        <v>4.2414912891060794</v>
      </c>
      <c r="N165" s="9">
        <f>(0.0962*testdata[[#This Row],[Q1]]+0.5769*L163-0.5769*L161-0.0962*L159)*(0.075*$Z164+0.54)</f>
        <v>-11.274073373425157</v>
      </c>
      <c r="O165" s="9">
        <f>testdata[[#This Row],[I1]]-testdata[[#This Row],[JQ]]</f>
        <v>8.5284399935401218</v>
      </c>
      <c r="P165" s="9">
        <f>testdata[[#This Row],[Q1]]+testdata[[#This Row],[jI]]</f>
        <v>-1.8213578996101054</v>
      </c>
      <c r="Q165" s="9">
        <f>0.2*testdata[[#This Row],[I2]]+0.8*Q164</f>
        <v>-1.1298906379705591</v>
      </c>
      <c r="R165" s="9">
        <f>0.2*testdata[[#This Row],[Q2]]+0.8*R164</f>
        <v>-1.0186803541124414</v>
      </c>
      <c r="S165" s="9">
        <f>testdata[[#This Row],[I2'']]*Q164+testdata[[#This Row],[Q2'']]*R164</f>
        <v>4.8381588957987987</v>
      </c>
      <c r="T165" s="9">
        <f>testdata[[#This Row],[I2'']]*R164-testdata[[#This Row],[Q2'']]*Q164</f>
        <v>-2.6864223779523346</v>
      </c>
      <c r="U165" s="9">
        <f>0.2*testdata[[#This Row],[Re]]+0.8*U164</f>
        <v>4.4578606665398306</v>
      </c>
      <c r="V165" s="9">
        <f>0.2*testdata[[#This Row],[Im]]+0.8*V164</f>
        <v>-3.1826668971894012E-2</v>
      </c>
      <c r="W165" s="9">
        <f>IF(AND(testdata[[#This Row],[Re'']]&lt;&gt;0,testdata[[#This Row],[Im'']]&lt;&gt;0),2*PI()/ATAN(testdata[[#This Row],[Im'']]/testdata[[#This Row],[Re'']]),0)</f>
        <v>-880.08080765225804</v>
      </c>
      <c r="X165" s="9">
        <f>IF(testdata[[#This Row],[pd-atan]]&gt;1.5*Z164,1.5*Z164,IF(testdata[[#This Row],[pd-atan]]&lt;0.67*Z164,0.67*Z164,testdata[[#This Row],[pd-atan]]))</f>
        <v>20.162541698647217</v>
      </c>
      <c r="Y165" s="9">
        <f>IF(testdata[[#This Row],[pd-limit1]]&lt;6,6,IF(testdata[[#This Row],[pd-limit1]]&gt;50,50,testdata[[#This Row],[pd-limit1]]))</f>
        <v>20.162541698647217</v>
      </c>
      <c r="Z165" s="14">
        <f>0.2*testdata[[#This Row],[pd-limit2]]+0.8*Z164</f>
        <v>28.1071849948306</v>
      </c>
      <c r="AA165" s="14">
        <f>0.33*testdata[[#This Row],[period]]+0.67*AA164</f>
        <v>28.552208354993702</v>
      </c>
      <c r="AB165" s="31">
        <f>TRUNC(testdata[[#This Row],[SmPd]]+0.5,0)</f>
        <v>29</v>
      </c>
      <c r="AC165" s="14">
        <f ca="1">IF(testdata[[#This Row],[PdInt]]&lt;=0,0,AVERAGE(OFFSET(testdata[[#This Row],[price]],0,0,-testdata[[#This Row],[PdInt]],1)))</f>
        <v>234.63086206896551</v>
      </c>
      <c r="AD165" s="14">
        <f ca="1">IF(testdata[[#This Row],[i]]&lt;11,testdata[[#This Row],[price]],(4*testdata[[#This Row],[iTrend]]+3*AC164+2*AC163+AC162)/10)</f>
        <v>234.66156403940886</v>
      </c>
      <c r="AE165" s="14">
        <f>(4*testdata[[#This Row],[price]]+3*H164+2*H163+H162)/10</f>
        <v>233.33750000000001</v>
      </c>
      <c r="AF165" t="str">
        <f ca="1">IF(OR(ROUND(testdata[[#This Row],[Trendline]],4)&lt;&gt;Table3[[#This Row],[Trendline]],ROUND(testdata[[#This Row],[SmPrice]],4)&lt;&gt;Table3[[#This Row],[SmPrice]]),"ERR","")</f>
        <v>ERR</v>
      </c>
      <c r="AG165" s="3">
        <v>42972</v>
      </c>
      <c r="AH165" s="14">
        <v>28.563300000000002</v>
      </c>
      <c r="AI165" s="34">
        <v>29</v>
      </c>
      <c r="AJ165" s="14">
        <v>234.6309</v>
      </c>
      <c r="AK165" s="14">
        <v>234.6549</v>
      </c>
      <c r="AL165" s="14">
        <v>233.33750000000001</v>
      </c>
      <c r="AN165" s="38">
        <f t="shared" si="7"/>
        <v>-6.6379310339925723E-3</v>
      </c>
      <c r="AO165" s="38">
        <f t="shared" si="8"/>
        <v>0</v>
      </c>
      <c r="AQ165" s="37">
        <v>42972</v>
      </c>
      <c r="AR165">
        <v>29</v>
      </c>
      <c r="AS165">
        <v>234.66156403940801</v>
      </c>
      <c r="AT165">
        <v>233.33750000000001</v>
      </c>
      <c r="AV165" s="37">
        <v>42972</v>
      </c>
      <c r="AW165">
        <v>29</v>
      </c>
      <c r="AX165">
        <v>234.65492610837401</v>
      </c>
      <c r="AY165">
        <v>233.33750000000001</v>
      </c>
      <c r="BA165" s="38">
        <f>AX165-Table3[[#This Row],[Trendline]]</f>
        <v>2.6108374015620939E-5</v>
      </c>
      <c r="BB165" s="38">
        <f>AY165-Table3[[#This Row],[SmPrice]]</f>
        <v>0</v>
      </c>
    </row>
    <row r="166" spans="1:54" x14ac:dyDescent="0.35">
      <c r="A166" s="6">
        <v>164</v>
      </c>
      <c r="B166" s="3">
        <v>42975</v>
      </c>
      <c r="C166" s="2">
        <v>233.77</v>
      </c>
      <c r="D166" s="2">
        <v>233.8</v>
      </c>
      <c r="E166" s="2">
        <v>232.74</v>
      </c>
      <c r="F166" s="2">
        <v>233.2</v>
      </c>
      <c r="G166" s="1">
        <v>42544052</v>
      </c>
      <c r="H166" s="30">
        <f>(testdata[[#This Row],[high]]+testdata[[#This Row],[low]])/2</f>
        <v>233.27</v>
      </c>
      <c r="I166" s="23">
        <f>(4*testdata[[#This Row],[price]]+3*H165+2*H164+H163)/10</f>
        <v>233.33150000000001</v>
      </c>
      <c r="J166" s="9">
        <f>(0.0962*testdata[[#This Row],[smooth]]+0.5769*I164-0.5769*I162-0.0962*I160)*(0.075*$Z165+0.54)</f>
        <v>0.88946619543460426</v>
      </c>
      <c r="K166" s="14">
        <f t="shared" si="6"/>
        <v>-3.9760799709020382</v>
      </c>
      <c r="L166" s="14">
        <f>(0.0962*testdata[[#This Row],[detrender]]+0.5769*J164-0.5769*J162-0.0962*J160)*(0.075*$Z165+0.54)</f>
        <v>1.0032351281279412</v>
      </c>
      <c r="M166" s="9">
        <f>(0.0962*testdata[[#This Row],[I1]]+0.5769*K164-0.5769*K162-0.0962*K160)*(0.075*$Z165+0.54)</f>
        <v>-1.2060982369879667</v>
      </c>
      <c r="N166" s="9">
        <f>(0.0962*testdata[[#This Row],[Q1]]+0.5769*L164-0.5769*L162-0.0962*L160)*(0.075*$Z165+0.54)</f>
        <v>-15.142278074001371</v>
      </c>
      <c r="O166" s="9">
        <f>testdata[[#This Row],[I1]]-testdata[[#This Row],[JQ]]</f>
        <v>11.166198103099333</v>
      </c>
      <c r="P166" s="9">
        <f>testdata[[#This Row],[Q1]]+testdata[[#This Row],[jI]]</f>
        <v>-0.20286310886002545</v>
      </c>
      <c r="Q166" s="9">
        <f>0.2*testdata[[#This Row],[I2]]+0.8*Q165</f>
        <v>1.3293271102434194</v>
      </c>
      <c r="R166" s="9">
        <f>0.2*testdata[[#This Row],[Q2]]+0.8*R165</f>
        <v>-0.85551690506195821</v>
      </c>
      <c r="S166" s="9">
        <f>testdata[[#This Row],[I2'']]*Q165+testdata[[#This Row],[Q2'']]*R165</f>
        <v>-0.63049599286680158</v>
      </c>
      <c r="T166" s="9">
        <f>testdata[[#This Row],[I2'']]*R165-testdata[[#This Row],[Q2'']]*Q165</f>
        <v>-2.320799953049089</v>
      </c>
      <c r="U166" s="9">
        <f>0.2*testdata[[#This Row],[Re]]+0.8*U165</f>
        <v>3.4401893346585042</v>
      </c>
      <c r="V166" s="9">
        <f>0.2*testdata[[#This Row],[Im]]+0.8*V165</f>
        <v>-0.48962132578733303</v>
      </c>
      <c r="W166" s="9">
        <f>IF(AND(testdata[[#This Row],[Re'']]&lt;&gt;0,testdata[[#This Row],[Im'']]&lt;&gt;0),2*PI()/ATAN(testdata[[#This Row],[Im'']]/testdata[[#This Row],[Re'']]),0)</f>
        <v>-44.443559592593118</v>
      </c>
      <c r="X166" s="9">
        <f>IF(testdata[[#This Row],[pd-atan]]&gt;1.5*Z165,1.5*Z165,IF(testdata[[#This Row],[pd-atan]]&lt;0.67*Z165,0.67*Z165,testdata[[#This Row],[pd-atan]]))</f>
        <v>18.831813946536503</v>
      </c>
      <c r="Y166" s="9">
        <f>IF(testdata[[#This Row],[pd-limit1]]&lt;6,6,IF(testdata[[#This Row],[pd-limit1]]&gt;50,50,testdata[[#This Row],[pd-limit1]]))</f>
        <v>18.831813946536503</v>
      </c>
      <c r="Z166" s="14">
        <f>0.2*testdata[[#This Row],[pd-limit2]]+0.8*Z165</f>
        <v>26.252110785171784</v>
      </c>
      <c r="AA166" s="14">
        <f>0.33*testdata[[#This Row],[period]]+0.67*AA165</f>
        <v>27.79317615695247</v>
      </c>
      <c r="AB166" s="31">
        <f>TRUNC(testdata[[#This Row],[SmPd]]+0.5,0)</f>
        <v>28</v>
      </c>
      <c r="AC166" s="14">
        <f ca="1">IF(testdata[[#This Row],[PdInt]]&lt;=0,0,AVERAGE(OFFSET(testdata[[#This Row],[price]],0,0,-testdata[[#This Row],[PdInt]],1)))</f>
        <v>234.59767857142859</v>
      </c>
      <c r="AD166" s="14">
        <f ca="1">IF(testdata[[#This Row],[i]]&lt;11,testdata[[#This Row],[price]],(4*testdata[[#This Row],[iTrend]]+3*AC165+2*AC164+AC163)/10)</f>
        <v>234.62925000000001</v>
      </c>
      <c r="AE166" s="14">
        <f>(4*testdata[[#This Row],[price]]+3*H165+2*H164+H163)/10</f>
        <v>233.33150000000001</v>
      </c>
      <c r="AF166" t="str">
        <f ca="1">IF(OR(ROUND(testdata[[#This Row],[Trendline]],4)&lt;&gt;Table3[[#This Row],[Trendline]],ROUND(testdata[[#This Row],[SmPrice]],4)&lt;&gt;Table3[[#This Row],[SmPrice]]),"ERR","")</f>
        <v/>
      </c>
      <c r="AG166" s="3">
        <v>42975</v>
      </c>
      <c r="AH166" s="14">
        <v>27.803999999999998</v>
      </c>
      <c r="AI166" s="34">
        <v>28</v>
      </c>
      <c r="AJ166" s="14">
        <v>234.5977</v>
      </c>
      <c r="AK166" s="14">
        <v>234.6293</v>
      </c>
      <c r="AL166" s="14">
        <v>233.33150000000001</v>
      </c>
      <c r="AN166" s="38">
        <f t="shared" si="7"/>
        <v>0</v>
      </c>
      <c r="AO166" s="38">
        <f t="shared" si="8"/>
        <v>0</v>
      </c>
      <c r="AQ166" s="37">
        <v>42975</v>
      </c>
      <c r="AR166">
        <v>28</v>
      </c>
      <c r="AS166">
        <v>234.62924999999899</v>
      </c>
      <c r="AT166">
        <v>233.33150000000001</v>
      </c>
      <c r="AV166" s="37">
        <v>42975</v>
      </c>
      <c r="AW166">
        <v>28</v>
      </c>
      <c r="AX166">
        <v>234.62924999999899</v>
      </c>
      <c r="AY166">
        <v>233.33150000000001</v>
      </c>
      <c r="BA166" s="38">
        <f>AX166-Table3[[#This Row],[Trendline]]</f>
        <v>-5.0000001010630513E-5</v>
      </c>
      <c r="BB166" s="38">
        <f>AY166-Table3[[#This Row],[SmPrice]]</f>
        <v>0</v>
      </c>
    </row>
    <row r="167" spans="1:54" x14ac:dyDescent="0.35">
      <c r="A167" s="6">
        <v>165</v>
      </c>
      <c r="B167" s="3">
        <v>42976</v>
      </c>
      <c r="C167" s="2">
        <v>231.76</v>
      </c>
      <c r="D167" s="2">
        <v>233.75</v>
      </c>
      <c r="E167" s="2">
        <v>231.63</v>
      </c>
      <c r="F167" s="2">
        <v>233.46</v>
      </c>
      <c r="G167" s="1">
        <v>53629680</v>
      </c>
      <c r="H167" s="30">
        <f>(testdata[[#This Row],[high]]+testdata[[#This Row],[low]])/2</f>
        <v>232.69</v>
      </c>
      <c r="I167" s="23">
        <f>(4*testdata[[#This Row],[price]]+3*H166+2*H165+H164)/10</f>
        <v>233.08750000000001</v>
      </c>
      <c r="J167" s="9">
        <f>(0.0962*testdata[[#This Row],[smooth]]+0.5769*I165-0.5769*I163-0.0962*I161)*(0.075*$Z166+0.54)</f>
        <v>1.1255640078915206</v>
      </c>
      <c r="K167" s="14">
        <f t="shared" si="6"/>
        <v>-2.0409866023198031</v>
      </c>
      <c r="L167" s="14">
        <f>(0.0962*testdata[[#This Row],[detrender]]+0.5769*J165-0.5769*J163-0.0962*J161)*(0.075*$Z166+0.54)</f>
        <v>6.519130387698957</v>
      </c>
      <c r="M167" s="9">
        <f>(0.0962*testdata[[#This Row],[I1]]+0.5769*K165-0.5769*K163-0.0962*K161)*(0.075*$Z166+0.54)</f>
        <v>-5.7936193562532097</v>
      </c>
      <c r="N167" s="9">
        <f>(0.0962*testdata[[#This Row],[Q1]]+0.5769*L165-0.5769*L163-0.0962*L161)*(0.075*$Z166+0.54)</f>
        <v>-6.6969060119543515</v>
      </c>
      <c r="O167" s="9">
        <f>testdata[[#This Row],[I1]]-testdata[[#This Row],[JQ]]</f>
        <v>4.6559194096345484</v>
      </c>
      <c r="P167" s="9">
        <f>testdata[[#This Row],[Q1]]+testdata[[#This Row],[jI]]</f>
        <v>0.72551103144574736</v>
      </c>
      <c r="Q167" s="9">
        <f>0.2*testdata[[#This Row],[I2]]+0.8*Q166</f>
        <v>1.9946455701216452</v>
      </c>
      <c r="R167" s="9">
        <f>0.2*testdata[[#This Row],[Q2]]+0.8*R166</f>
        <v>-0.53931131776041707</v>
      </c>
      <c r="S167" s="9">
        <f>testdata[[#This Row],[I2'']]*Q166+testdata[[#This Row],[Q2'']]*R166</f>
        <v>3.112926381124923</v>
      </c>
      <c r="T167" s="9">
        <f>testdata[[#This Row],[I2'']]*R166-testdata[[#This Row],[Q2'']]*Q166</f>
        <v>-0.98953184928598936</v>
      </c>
      <c r="U167" s="9">
        <f>0.2*testdata[[#This Row],[Re]]+0.8*U166</f>
        <v>3.3747367439517881</v>
      </c>
      <c r="V167" s="9">
        <f>0.2*testdata[[#This Row],[Im]]+0.8*V166</f>
        <v>-0.58960343048706432</v>
      </c>
      <c r="W167" s="9">
        <f>IF(AND(testdata[[#This Row],[Re'']]&lt;&gt;0,testdata[[#This Row],[Im'']]&lt;&gt;0),2*PI()/ATAN(testdata[[#This Row],[Im'']]/testdata[[#This Row],[Re'']]),0)</f>
        <v>-36.326301125935998</v>
      </c>
      <c r="X167" s="9">
        <f>IF(testdata[[#This Row],[pd-atan]]&gt;1.5*Z166,1.5*Z166,IF(testdata[[#This Row],[pd-atan]]&lt;0.67*Z166,0.67*Z166,testdata[[#This Row],[pd-atan]]))</f>
        <v>17.588914226065096</v>
      </c>
      <c r="Y167" s="9">
        <f>IF(testdata[[#This Row],[pd-limit1]]&lt;6,6,IF(testdata[[#This Row],[pd-limit1]]&gt;50,50,testdata[[#This Row],[pd-limit1]]))</f>
        <v>17.588914226065096</v>
      </c>
      <c r="Z167" s="14">
        <f>0.2*testdata[[#This Row],[pd-limit2]]+0.8*Z166</f>
        <v>24.51947147335045</v>
      </c>
      <c r="AA167" s="14">
        <f>0.33*testdata[[#This Row],[period]]+0.67*AA166</f>
        <v>26.712853611363805</v>
      </c>
      <c r="AB167" s="31">
        <f>TRUNC(testdata[[#This Row],[SmPd]]+0.5,0)</f>
        <v>27</v>
      </c>
      <c r="AC167" s="14">
        <f ca="1">IF(testdata[[#This Row],[PdInt]]&lt;=0,0,AVERAGE(OFFSET(testdata[[#This Row],[price]],0,0,-testdata[[#This Row],[PdInt]],1)))</f>
        <v>234.47722222222225</v>
      </c>
      <c r="AD167" s="14">
        <f ca="1">IF(testdata[[#This Row],[i]]&lt;11,testdata[[#This Row],[price]],(4*testdata[[#This Row],[iTrend]]+3*AC166+2*AC165+AC164)/10)</f>
        <v>234.56148556376576</v>
      </c>
      <c r="AE167" s="14">
        <f>(4*testdata[[#This Row],[price]]+3*H166+2*H165+H164)/10</f>
        <v>233.08750000000001</v>
      </c>
      <c r="AF167" t="str">
        <f ca="1">IF(OR(ROUND(testdata[[#This Row],[Trendline]],4)&lt;&gt;Table3[[#This Row],[Trendline]],ROUND(testdata[[#This Row],[SmPrice]],4)&lt;&gt;Table3[[#This Row],[SmPrice]]),"ERR","")</f>
        <v/>
      </c>
      <c r="AG167" s="3">
        <v>42976</v>
      </c>
      <c r="AH167" s="14">
        <v>26.723299999999998</v>
      </c>
      <c r="AI167" s="34">
        <v>27</v>
      </c>
      <c r="AJ167" s="14">
        <v>234.47720000000001</v>
      </c>
      <c r="AK167" s="14">
        <v>234.5615</v>
      </c>
      <c r="AL167" s="14">
        <v>233.08750000000001</v>
      </c>
      <c r="AN167" s="38">
        <f t="shared" si="7"/>
        <v>0</v>
      </c>
      <c r="AO167" s="38">
        <f t="shared" si="8"/>
        <v>0</v>
      </c>
      <c r="AQ167" s="37">
        <v>42976</v>
      </c>
      <c r="AR167">
        <v>27</v>
      </c>
      <c r="AS167">
        <v>234.56148556376499</v>
      </c>
      <c r="AT167">
        <v>233.08750000000001</v>
      </c>
      <c r="AV167" s="37">
        <v>42976</v>
      </c>
      <c r="AW167">
        <v>27</v>
      </c>
      <c r="AX167">
        <v>234.56148556376499</v>
      </c>
      <c r="AY167">
        <v>233.08750000000001</v>
      </c>
      <c r="BA167" s="38">
        <f>AX167-Table3[[#This Row],[Trendline]]</f>
        <v>-1.4436235005632625E-5</v>
      </c>
      <c r="BB167" s="38">
        <f>AY167-Table3[[#This Row],[SmPrice]]</f>
        <v>0</v>
      </c>
    </row>
    <row r="168" spans="1:54" x14ac:dyDescent="0.35">
      <c r="A168" s="6">
        <v>166</v>
      </c>
      <c r="B168" s="3">
        <v>42977</v>
      </c>
      <c r="C168" s="2">
        <v>233.44</v>
      </c>
      <c r="D168" s="2">
        <v>234.87</v>
      </c>
      <c r="E168" s="2">
        <v>233.24</v>
      </c>
      <c r="F168" s="2">
        <v>234.57</v>
      </c>
      <c r="G168" s="1">
        <v>65056144</v>
      </c>
      <c r="H168" s="30">
        <f>(testdata[[#This Row],[high]]+testdata[[#This Row],[low]])/2</f>
        <v>234.05500000000001</v>
      </c>
      <c r="I168" s="23">
        <f>(4*testdata[[#This Row],[price]]+3*H167+2*H166+H165)/10</f>
        <v>233.4435</v>
      </c>
      <c r="J168" s="9">
        <f>(0.0962*testdata[[#This Row],[smooth]]+0.5769*I166-0.5769*I164-0.0962*I162)*(0.075*$Z167+0.54)</f>
        <v>0.73666006307949439</v>
      </c>
      <c r="K168" s="14">
        <f t="shared" si="6"/>
        <v>0.30130482812467374</v>
      </c>
      <c r="L168" s="14">
        <f>(0.0962*testdata[[#This Row],[detrender]]+0.5769*J166-0.5769*J164-0.0962*J162)*(0.075*$Z167+0.54)</f>
        <v>4.8187622711859044</v>
      </c>
      <c r="M168" s="9">
        <f>(0.0962*testdata[[#This Row],[I1]]+0.5769*K166-0.5769*K164-0.0962*K162)*(0.075*$Z167+0.54)</f>
        <v>-5.1566939802802274</v>
      </c>
      <c r="N168" s="9">
        <f>(0.0962*testdata[[#This Row],[Q1]]+0.5769*L166-0.5769*L164-0.0962*L162)*(0.075*$Z167+0.54)</f>
        <v>9.7981150657473162</v>
      </c>
      <c r="O168" s="9">
        <f>testdata[[#This Row],[I1]]-testdata[[#This Row],[JQ]]</f>
        <v>-9.4968102376226433</v>
      </c>
      <c r="P168" s="9">
        <f>testdata[[#This Row],[Q1]]+testdata[[#This Row],[jI]]</f>
        <v>-0.33793170909432302</v>
      </c>
      <c r="Q168" s="9">
        <f>0.2*testdata[[#This Row],[I2]]+0.8*Q167</f>
        <v>-0.30364559142721248</v>
      </c>
      <c r="R168" s="9">
        <f>0.2*testdata[[#This Row],[Q2]]+0.8*R167</f>
        <v>-0.49903539602719826</v>
      </c>
      <c r="S168" s="9">
        <f>testdata[[#This Row],[I2'']]*Q167+testdata[[#This Row],[Q2'']]*R167</f>
        <v>-0.3365298967867365</v>
      </c>
      <c r="T168" s="9">
        <f>testdata[[#This Row],[I2'']]*R167-testdata[[#This Row],[Q2'']]*Q167</f>
        <v>1.1591582460643031</v>
      </c>
      <c r="U168" s="9">
        <f>0.2*testdata[[#This Row],[Re]]+0.8*U167</f>
        <v>2.6324834158040833</v>
      </c>
      <c r="V168" s="9">
        <f>0.2*testdata[[#This Row],[Im]]+0.8*V167</f>
        <v>-0.23985109517679085</v>
      </c>
      <c r="W168" s="9">
        <f>IF(AND(testdata[[#This Row],[Re'']]&lt;&gt;0,testdata[[#This Row],[Im'']]&lt;&gt;0),2*PI()/ATAN(testdata[[#This Row],[Im'']]/testdata[[#This Row],[Re'']]),0)</f>
        <v>-69.151444764387421</v>
      </c>
      <c r="X168" s="9">
        <f>IF(testdata[[#This Row],[pd-atan]]&gt;1.5*Z167,1.5*Z167,IF(testdata[[#This Row],[pd-atan]]&lt;0.67*Z167,0.67*Z167,testdata[[#This Row],[pd-atan]]))</f>
        <v>16.428045887144801</v>
      </c>
      <c r="Y168" s="9">
        <f>IF(testdata[[#This Row],[pd-limit1]]&lt;6,6,IF(testdata[[#This Row],[pd-limit1]]&gt;50,50,testdata[[#This Row],[pd-limit1]]))</f>
        <v>16.428045887144801</v>
      </c>
      <c r="Z168" s="14">
        <f>0.2*testdata[[#This Row],[pd-limit2]]+0.8*Z167</f>
        <v>22.901186356109321</v>
      </c>
      <c r="AA168" s="14">
        <f>0.33*testdata[[#This Row],[period]]+0.67*AA167</f>
        <v>25.455003417129827</v>
      </c>
      <c r="AB168" s="31">
        <f>TRUNC(testdata[[#This Row],[SmPd]]+0.5,0)</f>
        <v>25</v>
      </c>
      <c r="AC168" s="14">
        <f ca="1">IF(testdata[[#This Row],[PdInt]]&lt;=0,0,AVERAGE(OFFSET(testdata[[#This Row],[price]],0,0,-testdata[[#This Row],[PdInt]],1)))</f>
        <v>234.31400000000005</v>
      </c>
      <c r="AD168" s="14">
        <f ca="1">IF(testdata[[#This Row],[i]]&lt;11,testdata[[#This Row],[price]],(4*testdata[[#This Row],[iTrend]]+3*AC167+2*AC166+AC165)/10)</f>
        <v>234.45138858784898</v>
      </c>
      <c r="AE168" s="14">
        <f>(4*testdata[[#This Row],[price]]+3*H167+2*H166+H165)/10</f>
        <v>233.4435</v>
      </c>
      <c r="AF168" t="str">
        <f ca="1">IF(OR(ROUND(testdata[[#This Row],[Trendline]],4)&lt;&gt;Table3[[#This Row],[Trendline]],ROUND(testdata[[#This Row],[SmPrice]],4)&lt;&gt;Table3[[#This Row],[SmPrice]]),"ERR","")</f>
        <v/>
      </c>
      <c r="AG168" s="3">
        <v>42977</v>
      </c>
      <c r="AH168" s="14">
        <v>25.465</v>
      </c>
      <c r="AI168" s="34">
        <v>25</v>
      </c>
      <c r="AJ168" s="14">
        <v>234.31399999999999</v>
      </c>
      <c r="AK168" s="14">
        <v>234.45140000000001</v>
      </c>
      <c r="AL168" s="14">
        <v>233.4435</v>
      </c>
      <c r="AN168" s="38">
        <f t="shared" si="7"/>
        <v>0</v>
      </c>
      <c r="AO168" s="38">
        <f t="shared" si="8"/>
        <v>0</v>
      </c>
      <c r="AQ168" s="37">
        <v>42977</v>
      </c>
      <c r="AR168">
        <v>25</v>
      </c>
      <c r="AS168">
        <v>234.45138858784799</v>
      </c>
      <c r="AT168">
        <v>233.4435</v>
      </c>
      <c r="AV168" s="37">
        <v>42977</v>
      </c>
      <c r="AW168">
        <v>25</v>
      </c>
      <c r="AX168">
        <v>234.45138858784799</v>
      </c>
      <c r="AY168">
        <v>233.4435</v>
      </c>
      <c r="BA168" s="38">
        <f>AX168-Table3[[#This Row],[Trendline]]</f>
        <v>-1.1412152019829591E-5</v>
      </c>
      <c r="BB168" s="38">
        <f>AY168-Table3[[#This Row],[SmPrice]]</f>
        <v>0</v>
      </c>
    </row>
    <row r="169" spans="1:54" x14ac:dyDescent="0.35">
      <c r="A169" s="6">
        <v>167</v>
      </c>
      <c r="B169" s="3">
        <v>42978</v>
      </c>
      <c r="C169" s="2">
        <v>235.25</v>
      </c>
      <c r="D169" s="2">
        <v>236.25</v>
      </c>
      <c r="E169" s="2">
        <v>234.61</v>
      </c>
      <c r="F169" s="2">
        <v>235.98</v>
      </c>
      <c r="G169" s="1">
        <v>108866560</v>
      </c>
      <c r="H169" s="30">
        <f>(testdata[[#This Row],[high]]+testdata[[#This Row],[low]])/2</f>
        <v>235.43</v>
      </c>
      <c r="I169" s="23">
        <f>(4*testdata[[#This Row],[price]]+3*H168+2*H167+H166)/10</f>
        <v>234.25349999999997</v>
      </c>
      <c r="J169" s="9">
        <f>(0.0962*testdata[[#This Row],[smooth]]+0.5769*I167-0.5769*I165-0.0962*I163)*(0.075*$Z168+0.54)</f>
        <v>1.3851662925475579E-2</v>
      </c>
      <c r="K169" s="14">
        <f t="shared" si="6"/>
        <v>0.88946619543460426</v>
      </c>
      <c r="L169" s="14">
        <f>(0.0962*testdata[[#This Row],[detrender]]+0.5769*J167-0.5769*J165-0.0962*J163)*(0.075*$Z168+0.54)</f>
        <v>1.940051284865375</v>
      </c>
      <c r="M169" s="9">
        <f>(0.0962*testdata[[#This Row],[I1]]+0.5769*K167-0.5769*K165-0.0962*K163)*(0.075*$Z168+0.54)</f>
        <v>0.85530940954924062</v>
      </c>
      <c r="N169" s="9">
        <f>(0.0962*testdata[[#This Row],[Q1]]+0.5769*L167-0.5769*L165-0.0962*L163)*(0.075*$Z168+0.54)</f>
        <v>17.078870863877349</v>
      </c>
      <c r="O169" s="9">
        <f>testdata[[#This Row],[I1]]-testdata[[#This Row],[JQ]]</f>
        <v>-16.189404668442744</v>
      </c>
      <c r="P169" s="9">
        <f>testdata[[#This Row],[Q1]]+testdata[[#This Row],[jI]]</f>
        <v>2.7953606944146157</v>
      </c>
      <c r="Q169" s="9">
        <f>0.2*testdata[[#This Row],[I2]]+0.8*Q168</f>
        <v>-3.4807974068303191</v>
      </c>
      <c r="R169" s="9">
        <f>0.2*testdata[[#This Row],[Q2]]+0.8*R168</f>
        <v>0.15984382206116454</v>
      </c>
      <c r="S169" s="9">
        <f>testdata[[#This Row],[I2'']]*Q168+testdata[[#This Row],[Q2'']]*R168</f>
        <v>0.97716106219050547</v>
      </c>
      <c r="T169" s="9">
        <f>testdata[[#This Row],[I2'']]*R168-testdata[[#This Row],[Q2'']]*Q168</f>
        <v>1.7855769842937614</v>
      </c>
      <c r="U169" s="9">
        <f>0.2*testdata[[#This Row],[Re]]+0.8*U168</f>
        <v>2.3014189450813678</v>
      </c>
      <c r="V169" s="9">
        <f>0.2*testdata[[#This Row],[Im]]+0.8*V168</f>
        <v>0.16523452071731964</v>
      </c>
      <c r="W169" s="9">
        <f>IF(AND(testdata[[#This Row],[Re'']]&lt;&gt;0,testdata[[#This Row],[Im'']]&lt;&gt;0),2*PI()/ATAN(testdata[[#This Row],[Im'']]/testdata[[#This Row],[Re'']]),0)</f>
        <v>87.663607066229304</v>
      </c>
      <c r="X169" s="9">
        <f>IF(testdata[[#This Row],[pd-atan]]&gt;1.5*Z168,1.5*Z168,IF(testdata[[#This Row],[pd-atan]]&lt;0.67*Z168,0.67*Z168,testdata[[#This Row],[pd-atan]]))</f>
        <v>34.351779534163981</v>
      </c>
      <c r="Y169" s="9">
        <f>IF(testdata[[#This Row],[pd-limit1]]&lt;6,6,IF(testdata[[#This Row],[pd-limit1]]&gt;50,50,testdata[[#This Row],[pd-limit1]]))</f>
        <v>34.351779534163981</v>
      </c>
      <c r="Z169" s="14">
        <f>0.2*testdata[[#This Row],[pd-limit2]]+0.8*Z168</f>
        <v>25.191304991720251</v>
      </c>
      <c r="AA169" s="14">
        <f>0.33*testdata[[#This Row],[period]]+0.67*AA168</f>
        <v>25.367982936744671</v>
      </c>
      <c r="AB169" s="31">
        <f>TRUNC(testdata[[#This Row],[SmPd]]+0.5,0)</f>
        <v>25</v>
      </c>
      <c r="AC169" s="14">
        <f ca="1">IF(testdata[[#This Row],[PdInt]]&lt;=0,0,AVERAGE(OFFSET(testdata[[#This Row],[price]],0,0,-testdata[[#This Row],[PdInt]],1)))</f>
        <v>234.31660000000008</v>
      </c>
      <c r="AD169" s="14">
        <f ca="1">IF(testdata[[#This Row],[i]]&lt;11,testdata[[#This Row],[price]],(4*testdata[[#This Row],[iTrend]]+3*AC168+2*AC167+AC166)/10)</f>
        <v>234.37605230158738</v>
      </c>
      <c r="AE169" s="14">
        <f>(4*testdata[[#This Row],[price]]+3*H168+2*H167+H166)/10</f>
        <v>234.25349999999997</v>
      </c>
      <c r="AF169" t="str">
        <f ca="1">IF(OR(ROUND(testdata[[#This Row],[Trendline]],4)&lt;&gt;Table3[[#This Row],[Trendline]],ROUND(testdata[[#This Row],[SmPrice]],4)&lt;&gt;Table3[[#This Row],[SmPrice]]),"ERR","")</f>
        <v/>
      </c>
      <c r="AG169" s="3">
        <v>42978</v>
      </c>
      <c r="AH169" s="14">
        <v>25.3779</v>
      </c>
      <c r="AI169" s="34">
        <v>25</v>
      </c>
      <c r="AJ169" s="14">
        <v>234.31659999999999</v>
      </c>
      <c r="AK169" s="14">
        <v>234.37610000000001</v>
      </c>
      <c r="AL169" s="14">
        <v>234.2535</v>
      </c>
      <c r="AN169" s="38">
        <f t="shared" si="7"/>
        <v>0</v>
      </c>
      <c r="AO169" s="38">
        <f t="shared" si="8"/>
        <v>0</v>
      </c>
      <c r="AQ169" s="37">
        <v>42978</v>
      </c>
      <c r="AR169">
        <v>25</v>
      </c>
      <c r="AS169">
        <v>234.37605230158701</v>
      </c>
      <c r="AT169">
        <v>234.25349999999901</v>
      </c>
      <c r="AV169" s="37">
        <v>42978</v>
      </c>
      <c r="AW169">
        <v>25</v>
      </c>
      <c r="AX169">
        <v>234.37605230158701</v>
      </c>
      <c r="AY169">
        <v>234.25349999999901</v>
      </c>
      <c r="BA169" s="38">
        <f>AX169-Table3[[#This Row],[Trendline]]</f>
        <v>-4.7698412998897766E-5</v>
      </c>
      <c r="BB169" s="38">
        <f>AY169-Table3[[#This Row],[SmPrice]]</f>
        <v>-9.9475983006414026E-13</v>
      </c>
    </row>
    <row r="170" spans="1:54" x14ac:dyDescent="0.35">
      <c r="A170" s="6">
        <v>168</v>
      </c>
      <c r="B170" s="3">
        <v>42979</v>
      </c>
      <c r="C170" s="2">
        <v>236.39</v>
      </c>
      <c r="D170" s="2">
        <v>236.78</v>
      </c>
      <c r="E170" s="2">
        <v>236.15</v>
      </c>
      <c r="F170" s="2">
        <v>236.31</v>
      </c>
      <c r="G170" s="1">
        <v>65031164</v>
      </c>
      <c r="H170" s="30">
        <f>(testdata[[#This Row],[high]]+testdata[[#This Row],[low]])/2</f>
        <v>236.465</v>
      </c>
      <c r="I170" s="23">
        <f>(4*testdata[[#This Row],[price]]+3*H169+2*H168+H167)/10</f>
        <v>235.29500000000002</v>
      </c>
      <c r="J170" s="9">
        <f>(0.0962*testdata[[#This Row],[smooth]]+0.5769*I168-0.5769*I166-0.0962*I164)*(0.075*$Z169+0.54)</f>
        <v>0.6997428024968525</v>
      </c>
      <c r="K170" s="14">
        <f t="shared" si="6"/>
        <v>1.1255640078915206</v>
      </c>
      <c r="L170" s="14">
        <f>(0.0962*testdata[[#This Row],[detrender]]+0.5769*J168-0.5769*J166-0.0962*J164)*(0.075*$Z169+0.54)</f>
        <v>0.42636102484232175</v>
      </c>
      <c r="M170" s="9">
        <f>(0.0962*testdata[[#This Row],[I1]]+0.5769*K168-0.5769*K166-0.0962*K164)*(0.075*$Z169+0.54)</f>
        <v>6.3124010925597576</v>
      </c>
      <c r="N170" s="9">
        <f>(0.0962*testdata[[#This Row],[Q1]]+0.5769*L168-0.5769*L166-0.0962*L164)*(0.075*$Z169+0.54)</f>
        <v>6.8458004745426404</v>
      </c>
      <c r="O170" s="9">
        <f>testdata[[#This Row],[I1]]-testdata[[#This Row],[JQ]]</f>
        <v>-5.7202364666511194</v>
      </c>
      <c r="P170" s="9">
        <f>testdata[[#This Row],[Q1]]+testdata[[#This Row],[jI]]</f>
        <v>6.7387621174020795</v>
      </c>
      <c r="Q170" s="9">
        <f>0.2*testdata[[#This Row],[I2]]+0.8*Q169</f>
        <v>-3.9286852187944792</v>
      </c>
      <c r="R170" s="9">
        <f>0.2*testdata[[#This Row],[Q2]]+0.8*R169</f>
        <v>1.4756274811293475</v>
      </c>
      <c r="S170" s="9">
        <f>testdata[[#This Row],[I2'']]*Q169+testdata[[#This Row],[Q2'']]*R169</f>
        <v>13.910827258354631</v>
      </c>
      <c r="T170" s="9">
        <f>testdata[[#This Row],[I2'']]*R169-testdata[[#This Row],[Q2'']]*Q169</f>
        <v>4.5083842487152763</v>
      </c>
      <c r="U170" s="9">
        <f>0.2*testdata[[#This Row],[Re]]+0.8*U169</f>
        <v>4.623300607736021</v>
      </c>
      <c r="V170" s="9">
        <f>0.2*testdata[[#This Row],[Im]]+0.8*V169</f>
        <v>1.033864466316911</v>
      </c>
      <c r="W170" s="9">
        <f>IF(AND(testdata[[#This Row],[Re'']]&lt;&gt;0,testdata[[#This Row],[Im'']]&lt;&gt;0),2*PI()/ATAN(testdata[[#This Row],[Im'']]/testdata[[#This Row],[Re'']]),0)</f>
        <v>28.559808627407111</v>
      </c>
      <c r="X170" s="9">
        <f>IF(testdata[[#This Row],[pd-atan]]&gt;1.5*Z169,1.5*Z169,IF(testdata[[#This Row],[pd-atan]]&lt;0.67*Z169,0.67*Z169,testdata[[#This Row],[pd-atan]]))</f>
        <v>28.559808627407111</v>
      </c>
      <c r="Y170" s="9">
        <f>IF(testdata[[#This Row],[pd-limit1]]&lt;6,6,IF(testdata[[#This Row],[pd-limit1]]&gt;50,50,testdata[[#This Row],[pd-limit1]]))</f>
        <v>28.559808627407111</v>
      </c>
      <c r="Z170" s="14">
        <f>0.2*testdata[[#This Row],[pd-limit2]]+0.8*Z169</f>
        <v>25.865005718857624</v>
      </c>
      <c r="AA170" s="14">
        <f>0.33*testdata[[#This Row],[period]]+0.67*AA169</f>
        <v>25.532000454841949</v>
      </c>
      <c r="AB170" s="31">
        <f>TRUNC(testdata[[#This Row],[SmPd]]+0.5,0)</f>
        <v>26</v>
      </c>
      <c r="AC170" s="14">
        <f ca="1">IF(testdata[[#This Row],[PdInt]]&lt;=0,0,AVERAGE(OFFSET(testdata[[#This Row],[price]],0,0,-testdata[[#This Row],[PdInt]],1)))</f>
        <v>234.39923076923085</v>
      </c>
      <c r="AD170" s="14">
        <f ca="1">IF(testdata[[#This Row],[i]]&lt;11,testdata[[#This Row],[price]],(4*testdata[[#This Row],[iTrend]]+3*AC169+2*AC168+AC167)/10)</f>
        <v>234.36519452991462</v>
      </c>
      <c r="AE170" s="14">
        <f>(4*testdata[[#This Row],[price]]+3*H169+2*H168+H167)/10</f>
        <v>235.29500000000002</v>
      </c>
      <c r="AF170" t="str">
        <f ca="1">IF(OR(ROUND(testdata[[#This Row],[Trendline]],4)&lt;&gt;Table3[[#This Row],[Trendline]],ROUND(testdata[[#This Row],[SmPrice]],4)&lt;&gt;Table3[[#This Row],[SmPrice]]),"ERR","")</f>
        <v/>
      </c>
      <c r="AG170" s="3">
        <v>42979</v>
      </c>
      <c r="AH170" s="14">
        <v>25.541799999999999</v>
      </c>
      <c r="AI170" s="34">
        <v>26</v>
      </c>
      <c r="AJ170" s="14">
        <v>234.39920000000001</v>
      </c>
      <c r="AK170" s="14">
        <v>234.36519999999999</v>
      </c>
      <c r="AL170" s="14">
        <v>235.29499999999999</v>
      </c>
      <c r="AN170" s="38">
        <f t="shared" si="7"/>
        <v>0</v>
      </c>
      <c r="AO170" s="38">
        <f t="shared" si="8"/>
        <v>0</v>
      </c>
      <c r="AQ170" s="37">
        <v>42979</v>
      </c>
      <c r="AR170">
        <v>26</v>
      </c>
      <c r="AS170">
        <v>234.36519452991399</v>
      </c>
      <c r="AT170">
        <v>235.29499999999999</v>
      </c>
      <c r="AV170" s="37">
        <v>42979</v>
      </c>
      <c r="AW170">
        <v>26</v>
      </c>
      <c r="AX170">
        <v>234.36519452991399</v>
      </c>
      <c r="AY170">
        <v>235.29499999999999</v>
      </c>
      <c r="BA170" s="38">
        <f>AX170-Table3[[#This Row],[Trendline]]</f>
        <v>-5.4700859948297875E-6</v>
      </c>
      <c r="BB170" s="38">
        <f>AY170-Table3[[#This Row],[SmPrice]]</f>
        <v>0</v>
      </c>
    </row>
    <row r="171" spans="1:54" x14ac:dyDescent="0.35">
      <c r="A171" s="6">
        <v>169</v>
      </c>
      <c r="B171" s="3">
        <v>42983</v>
      </c>
      <c r="C171" s="2">
        <v>235.76</v>
      </c>
      <c r="D171" s="2">
        <v>236.01</v>
      </c>
      <c r="E171" s="2">
        <v>233.56</v>
      </c>
      <c r="F171" s="2">
        <v>234.62</v>
      </c>
      <c r="G171" s="1">
        <v>95856440</v>
      </c>
      <c r="H171" s="30">
        <f>(testdata[[#This Row],[high]]+testdata[[#This Row],[low]])/2</f>
        <v>234.785</v>
      </c>
      <c r="I171" s="23">
        <f>(4*testdata[[#This Row],[price]]+3*H170+2*H169+H168)/10</f>
        <v>235.34499999999997</v>
      </c>
      <c r="J171" s="9">
        <f>(0.0962*testdata[[#This Row],[smooth]]+0.5769*I169-0.5769*I167-0.0962*I165)*(0.075*$Z170+0.54)</f>
        <v>2.1470436599858123</v>
      </c>
      <c r="K171" s="14">
        <f t="shared" si="6"/>
        <v>0.73666006307949439</v>
      </c>
      <c r="L171" s="14">
        <f>(0.0962*testdata[[#This Row],[detrender]]+0.5769*J169-0.5769*J167-0.0962*J165)*(0.075*$Z170+0.54)</f>
        <v>-1.1501334305187243</v>
      </c>
      <c r="M171" s="9">
        <f>(0.0962*testdata[[#This Row],[I1]]+0.5769*K169-0.5769*K167-0.0962*K165)*(0.075*$Z170+0.54)</f>
        <v>5.0231732955715414</v>
      </c>
      <c r="N171" s="9">
        <f>(0.0962*testdata[[#This Row],[Q1]]+0.5769*L169-0.5769*L167-0.0962*L165)*(0.075*$Z170+0.54)</f>
        <v>-5.3790171435548171</v>
      </c>
      <c r="O171" s="9">
        <f>testdata[[#This Row],[I1]]-testdata[[#This Row],[JQ]]</f>
        <v>6.1156772066343112</v>
      </c>
      <c r="P171" s="9">
        <f>testdata[[#This Row],[Q1]]+testdata[[#This Row],[jI]]</f>
        <v>3.8730398650528173</v>
      </c>
      <c r="Q171" s="9">
        <f>0.2*testdata[[#This Row],[I2]]+0.8*Q170</f>
        <v>-1.9198127337087212</v>
      </c>
      <c r="R171" s="9">
        <f>0.2*testdata[[#This Row],[Q2]]+0.8*R170</f>
        <v>1.9551099579140416</v>
      </c>
      <c r="S171" s="9">
        <f>testdata[[#This Row],[I2'']]*Q170+testdata[[#This Row],[Q2'']]*R170</f>
        <v>10.427353892302476</v>
      </c>
      <c r="T171" s="9">
        <f>testdata[[#This Row],[I2'']]*R170-testdata[[#This Row],[Q2'']]*Q170</f>
        <v>4.8480831642921451</v>
      </c>
      <c r="U171" s="9">
        <f>0.2*testdata[[#This Row],[Re]]+0.8*U170</f>
        <v>5.7841112646493116</v>
      </c>
      <c r="V171" s="9">
        <f>0.2*testdata[[#This Row],[Im]]+0.8*V170</f>
        <v>1.7967082059119579</v>
      </c>
      <c r="W171" s="9">
        <f>IF(AND(testdata[[#This Row],[Re'']]&lt;&gt;0,testdata[[#This Row],[Im'']]&lt;&gt;0),2*PI()/ATAN(testdata[[#This Row],[Im'']]/testdata[[#This Row],[Re'']]),0)</f>
        <v>20.861983430424601</v>
      </c>
      <c r="X171" s="9">
        <f>IF(testdata[[#This Row],[pd-atan]]&gt;1.5*Z170,1.5*Z170,IF(testdata[[#This Row],[pd-atan]]&lt;0.67*Z170,0.67*Z170,testdata[[#This Row],[pd-atan]]))</f>
        <v>20.861983430424601</v>
      </c>
      <c r="Y171" s="9">
        <f>IF(testdata[[#This Row],[pd-limit1]]&lt;6,6,IF(testdata[[#This Row],[pd-limit1]]&gt;50,50,testdata[[#This Row],[pd-limit1]]))</f>
        <v>20.861983430424601</v>
      </c>
      <c r="Z171" s="14">
        <f>0.2*testdata[[#This Row],[pd-limit2]]+0.8*Z170</f>
        <v>24.864401261171022</v>
      </c>
      <c r="AA171" s="14">
        <f>0.33*testdata[[#This Row],[period]]+0.67*AA170</f>
        <v>25.311692720930544</v>
      </c>
      <c r="AB171" s="31">
        <f>TRUNC(testdata[[#This Row],[SmPd]]+0.5,0)</f>
        <v>25</v>
      </c>
      <c r="AC171" s="14">
        <f ca="1">IF(testdata[[#This Row],[PdInt]]&lt;=0,0,AVERAGE(OFFSET(testdata[[#This Row],[price]],0,0,-testdata[[#This Row],[PdInt]],1)))</f>
        <v>234.34080000000006</v>
      </c>
      <c r="AD171" s="14">
        <f ca="1">IF(testdata[[#This Row],[i]]&lt;11,testdata[[#This Row],[price]],(4*testdata[[#This Row],[iTrend]]+3*AC170+2*AC169+AC168)/10)</f>
        <v>234.3508092307693</v>
      </c>
      <c r="AE171" s="14">
        <f>(4*testdata[[#This Row],[price]]+3*H170+2*H169+H168)/10</f>
        <v>235.34499999999997</v>
      </c>
      <c r="AF171" t="str">
        <f ca="1">IF(OR(ROUND(testdata[[#This Row],[Trendline]],4)&lt;&gt;Table3[[#This Row],[Trendline]],ROUND(testdata[[#This Row],[SmPrice]],4)&lt;&gt;Table3[[#This Row],[SmPrice]]),"ERR","")</f>
        <v/>
      </c>
      <c r="AG171" s="3">
        <v>42983</v>
      </c>
      <c r="AH171" s="14">
        <v>25.321000000000002</v>
      </c>
      <c r="AI171" s="34">
        <v>25</v>
      </c>
      <c r="AJ171" s="14">
        <v>234.3408</v>
      </c>
      <c r="AK171" s="14">
        <v>234.35079999999999</v>
      </c>
      <c r="AL171" s="14">
        <v>235.345</v>
      </c>
      <c r="AN171" s="38">
        <f t="shared" si="7"/>
        <v>0</v>
      </c>
      <c r="AO171" s="38">
        <f t="shared" si="8"/>
        <v>0</v>
      </c>
      <c r="AQ171" s="37">
        <v>42983</v>
      </c>
      <c r="AR171">
        <v>25</v>
      </c>
      <c r="AS171">
        <v>234.35080923076899</v>
      </c>
      <c r="AT171">
        <v>235.344999999999</v>
      </c>
      <c r="AV171" s="37">
        <v>42983</v>
      </c>
      <c r="AW171">
        <v>25</v>
      </c>
      <c r="AX171">
        <v>234.35080923076899</v>
      </c>
      <c r="AY171">
        <v>235.344999999999</v>
      </c>
      <c r="BA171" s="38">
        <f>AX171-Table3[[#This Row],[Trendline]]</f>
        <v>9.2307689953941008E-6</v>
      </c>
      <c r="BB171" s="38">
        <f>AY171-Table3[[#This Row],[SmPrice]]</f>
        <v>-9.9475983006414026E-13</v>
      </c>
    </row>
    <row r="172" spans="1:54" x14ac:dyDescent="0.35">
      <c r="A172" s="6">
        <v>170</v>
      </c>
      <c r="B172" s="3">
        <v>42984</v>
      </c>
      <c r="C172" s="2">
        <v>235.36</v>
      </c>
      <c r="D172" s="2">
        <v>235.78</v>
      </c>
      <c r="E172" s="2">
        <v>234.78</v>
      </c>
      <c r="F172" s="2">
        <v>235.42</v>
      </c>
      <c r="G172" s="1">
        <v>60741564</v>
      </c>
      <c r="H172" s="30">
        <f>(testdata[[#This Row],[high]]+testdata[[#This Row],[low]])/2</f>
        <v>235.28</v>
      </c>
      <c r="I172" s="23">
        <f>(4*testdata[[#This Row],[price]]+3*H171+2*H170+H169)/10</f>
        <v>235.38349999999997</v>
      </c>
      <c r="J172" s="9">
        <f>(0.0962*testdata[[#This Row],[smooth]]+0.5769*I170-0.5769*I168-0.0962*I166)*(0.075*$Z171+0.54)</f>
        <v>3.0433912428864884</v>
      </c>
      <c r="K172" s="14">
        <f t="shared" si="6"/>
        <v>1.3851662925475579E-2</v>
      </c>
      <c r="L172" s="14">
        <f>(0.0962*testdata[[#This Row],[detrender]]+0.5769*J170-0.5769*J168-0.0962*J166)*(0.075*$Z171+0.54)</f>
        <v>0.44708201563415806</v>
      </c>
      <c r="M172" s="9">
        <f>(0.0962*testdata[[#This Row],[I1]]+0.5769*K170-0.5769*K168-0.0962*K166)*(0.075*$Z171+0.54)</f>
        <v>2.0665824306472351</v>
      </c>
      <c r="N172" s="9">
        <f>(0.0962*testdata[[#This Row],[Q1]]+0.5769*L170-0.5769*L168-0.0962*L166)*(0.075*$Z171+0.54)</f>
        <v>-6.2224454647407299</v>
      </c>
      <c r="O172" s="9">
        <f>testdata[[#This Row],[I1]]-testdata[[#This Row],[JQ]]</f>
        <v>6.2362971276662051</v>
      </c>
      <c r="P172" s="9">
        <f>testdata[[#This Row],[Q1]]+testdata[[#This Row],[jI]]</f>
        <v>2.5136644462813931</v>
      </c>
      <c r="Q172" s="9">
        <f>0.2*testdata[[#This Row],[I2]]+0.8*Q171</f>
        <v>-0.28859076143373574</v>
      </c>
      <c r="R172" s="9">
        <f>0.2*testdata[[#This Row],[Q2]]+0.8*R171</f>
        <v>2.0668208555875123</v>
      </c>
      <c r="S172" s="9">
        <f>testdata[[#This Row],[I2'']]*Q171+testdata[[#This Row],[Q2'']]*R171</f>
        <v>4.5949022546147456</v>
      </c>
      <c r="T172" s="9">
        <f>testdata[[#This Row],[I2'']]*R171-testdata[[#This Row],[Q2'']]*Q171</f>
        <v>3.4036823254105677</v>
      </c>
      <c r="U172" s="9">
        <f>0.2*testdata[[#This Row],[Re]]+0.8*U171</f>
        <v>5.5462694626423987</v>
      </c>
      <c r="V172" s="9">
        <f>0.2*testdata[[#This Row],[Im]]+0.8*V171</f>
        <v>2.1181030298116799</v>
      </c>
      <c r="W172" s="9">
        <f>IF(AND(testdata[[#This Row],[Re'']]&lt;&gt;0,testdata[[#This Row],[Im'']]&lt;&gt;0),2*PI()/ATAN(testdata[[#This Row],[Im'']]/testdata[[#This Row],[Re'']]),0)</f>
        <v>17.223478613551542</v>
      </c>
      <c r="X172" s="9">
        <f>IF(testdata[[#This Row],[pd-atan]]&gt;1.5*Z171,1.5*Z171,IF(testdata[[#This Row],[pd-atan]]&lt;0.67*Z171,0.67*Z171,testdata[[#This Row],[pd-atan]]))</f>
        <v>17.223478613551542</v>
      </c>
      <c r="Y172" s="9">
        <f>IF(testdata[[#This Row],[pd-limit1]]&lt;6,6,IF(testdata[[#This Row],[pd-limit1]]&gt;50,50,testdata[[#This Row],[pd-limit1]]))</f>
        <v>17.223478613551542</v>
      </c>
      <c r="Z172" s="14">
        <f>0.2*testdata[[#This Row],[pd-limit2]]+0.8*Z171</f>
        <v>23.336216731647127</v>
      </c>
      <c r="AA172" s="14">
        <f>0.33*testdata[[#This Row],[period]]+0.67*AA171</f>
        <v>24.659785644467018</v>
      </c>
      <c r="AB172" s="31">
        <f>TRUNC(testdata[[#This Row],[SmPd]]+0.5,0)</f>
        <v>25</v>
      </c>
      <c r="AC172" s="14">
        <f ca="1">IF(testdata[[#This Row],[PdInt]]&lt;=0,0,AVERAGE(OFFSET(testdata[[#This Row],[price]],0,0,-testdata[[#This Row],[PdInt]],1)))</f>
        <v>234.32740000000001</v>
      </c>
      <c r="AD172" s="14">
        <f ca="1">IF(testdata[[#This Row],[i]]&lt;11,testdata[[#This Row],[price]],(4*testdata[[#This Row],[iTrend]]+3*AC171+2*AC170+AC169)/10)</f>
        <v>234.3447061538462</v>
      </c>
      <c r="AE172" s="14">
        <f>(4*testdata[[#This Row],[price]]+3*H171+2*H170+H169)/10</f>
        <v>235.38349999999997</v>
      </c>
      <c r="AF172" t="str">
        <f ca="1">IF(OR(ROUND(testdata[[#This Row],[Trendline]],4)&lt;&gt;Table3[[#This Row],[Trendline]],ROUND(testdata[[#This Row],[SmPrice]],4)&lt;&gt;Table3[[#This Row],[SmPrice]]),"ERR","")</f>
        <v/>
      </c>
      <c r="AG172" s="3">
        <v>42984</v>
      </c>
      <c r="AH172" s="14">
        <v>24.668299999999999</v>
      </c>
      <c r="AI172" s="34">
        <v>25</v>
      </c>
      <c r="AJ172" s="14">
        <v>234.32740000000001</v>
      </c>
      <c r="AK172" s="14">
        <v>234.34469999999999</v>
      </c>
      <c r="AL172" s="14">
        <v>235.3835</v>
      </c>
      <c r="AN172" s="38">
        <f t="shared" si="7"/>
        <v>0</v>
      </c>
      <c r="AO172" s="38">
        <f t="shared" si="8"/>
        <v>0</v>
      </c>
      <c r="AQ172" s="37">
        <v>42984</v>
      </c>
      <c r="AR172">
        <v>25</v>
      </c>
      <c r="AS172">
        <v>234.344706153846</v>
      </c>
      <c r="AT172">
        <v>235.383499999999</v>
      </c>
      <c r="AV172" s="37">
        <v>42984</v>
      </c>
      <c r="AW172">
        <v>25</v>
      </c>
      <c r="AX172">
        <v>234.344706153846</v>
      </c>
      <c r="AY172">
        <v>235.383499999999</v>
      </c>
      <c r="BA172" s="38">
        <f>AX172-Table3[[#This Row],[Trendline]]</f>
        <v>6.1538460158772068E-6</v>
      </c>
      <c r="BB172" s="38">
        <f>AY172-Table3[[#This Row],[SmPrice]]</f>
        <v>-9.9475983006414026E-13</v>
      </c>
    </row>
    <row r="173" spans="1:54" x14ac:dyDescent="0.35">
      <c r="A173" s="6">
        <v>171</v>
      </c>
      <c r="B173" s="3">
        <v>42985</v>
      </c>
      <c r="C173" s="2">
        <v>235.75</v>
      </c>
      <c r="D173" s="2">
        <v>235.77</v>
      </c>
      <c r="E173" s="2">
        <v>234.94</v>
      </c>
      <c r="F173" s="2">
        <v>235.39</v>
      </c>
      <c r="G173" s="1">
        <v>60865172</v>
      </c>
      <c r="H173" s="30">
        <f>(testdata[[#This Row],[high]]+testdata[[#This Row],[low]])/2</f>
        <v>235.35500000000002</v>
      </c>
      <c r="I173" s="23">
        <f>(4*testdata[[#This Row],[price]]+3*H172+2*H171+H170)/10</f>
        <v>235.32950000000005</v>
      </c>
      <c r="J173" s="9">
        <f>(0.0962*testdata[[#This Row],[smooth]]+0.5769*I171-0.5769*I169-0.0962*I167)*(0.075*$Z172+0.54)</f>
        <v>1.9360726721796691</v>
      </c>
      <c r="K173" s="14">
        <f t="shared" si="6"/>
        <v>0.6997428024968525</v>
      </c>
      <c r="L173" s="14">
        <f>(0.0962*testdata[[#This Row],[detrender]]+0.5769*J171-0.5769*J169-0.0962*J167)*(0.075*$Z172+0.54)</f>
        <v>2.9969985113933282</v>
      </c>
      <c r="M173" s="9">
        <f>(0.0962*testdata[[#This Row],[I1]]+0.5769*K171-0.5769*K169-0.0962*K167)*(0.075*$Z172+0.54)</f>
        <v>0.40194282582440899</v>
      </c>
      <c r="N173" s="9">
        <f>(0.0962*testdata[[#This Row],[Q1]]+0.5769*L171-0.5769*L169-0.0962*L167)*(0.075*$Z172+0.54)</f>
        <v>-4.8588235227298107</v>
      </c>
      <c r="O173" s="9">
        <f>testdata[[#This Row],[I1]]-testdata[[#This Row],[JQ]]</f>
        <v>5.5585663252266633</v>
      </c>
      <c r="P173" s="9">
        <f>testdata[[#This Row],[Q1]]+testdata[[#This Row],[jI]]</f>
        <v>3.3989413372177371</v>
      </c>
      <c r="Q173" s="9">
        <f>0.2*testdata[[#This Row],[I2]]+0.8*Q172</f>
        <v>0.88084065589834415</v>
      </c>
      <c r="R173" s="9">
        <f>0.2*testdata[[#This Row],[Q2]]+0.8*R172</f>
        <v>2.3332449519135574</v>
      </c>
      <c r="S173" s="9">
        <f>testdata[[#This Row],[I2'']]*Q172+testdata[[#This Row],[Q2'']]*R172</f>
        <v>4.5681968522217282</v>
      </c>
      <c r="T173" s="9">
        <f>testdata[[#This Row],[I2'']]*R172-testdata[[#This Row],[Q2'']]*Q172</f>
        <v>2.4938927753442348</v>
      </c>
      <c r="U173" s="9">
        <f>0.2*testdata[[#This Row],[Re]]+0.8*U172</f>
        <v>5.3506549405582646</v>
      </c>
      <c r="V173" s="9">
        <f>0.2*testdata[[#This Row],[Im]]+0.8*V172</f>
        <v>2.1932609789181909</v>
      </c>
      <c r="W173" s="9">
        <f>IF(AND(testdata[[#This Row],[Re'']]&lt;&gt;0,testdata[[#This Row],[Im'']]&lt;&gt;0),2*PI()/ATAN(testdata[[#This Row],[Im'']]/testdata[[#This Row],[Re'']]),0)</f>
        <v>16.151482070086686</v>
      </c>
      <c r="X173" s="9">
        <f>IF(testdata[[#This Row],[pd-atan]]&gt;1.5*Z172,1.5*Z172,IF(testdata[[#This Row],[pd-atan]]&lt;0.67*Z172,0.67*Z172,testdata[[#This Row],[pd-atan]]))</f>
        <v>16.151482070086686</v>
      </c>
      <c r="Y173" s="9">
        <f>IF(testdata[[#This Row],[pd-limit1]]&lt;6,6,IF(testdata[[#This Row],[pd-limit1]]&gt;50,50,testdata[[#This Row],[pd-limit1]]))</f>
        <v>16.151482070086686</v>
      </c>
      <c r="Z173" s="14">
        <f>0.2*testdata[[#This Row],[pd-limit2]]+0.8*Z172</f>
        <v>21.899269799335041</v>
      </c>
      <c r="AA173" s="14">
        <f>0.33*testdata[[#This Row],[period]]+0.67*AA172</f>
        <v>23.748815415573468</v>
      </c>
      <c r="AB173" s="31">
        <f>TRUNC(testdata[[#This Row],[SmPd]]+0.5,0)</f>
        <v>24</v>
      </c>
      <c r="AC173" s="14">
        <f ca="1">IF(testdata[[#This Row],[PdInt]]&lt;=0,0,AVERAGE(OFFSET(testdata[[#This Row],[price]],0,0,-testdata[[#This Row],[PdInt]],1)))</f>
        <v>234.27229166666666</v>
      </c>
      <c r="AD173" s="14">
        <f ca="1">IF(testdata[[#This Row],[i]]&lt;11,testdata[[#This Row],[price]],(4*testdata[[#This Row],[iTrend]]+3*AC172+2*AC171+AC170)/10)</f>
        <v>234.31521974358981</v>
      </c>
      <c r="AE173" s="14">
        <f>(4*testdata[[#This Row],[price]]+3*H172+2*H171+H170)/10</f>
        <v>235.32950000000005</v>
      </c>
      <c r="AF173" t="str">
        <f ca="1">IF(OR(ROUND(testdata[[#This Row],[Trendline]],4)&lt;&gt;Table3[[#This Row],[Trendline]],ROUND(testdata[[#This Row],[SmPrice]],4)&lt;&gt;Table3[[#This Row],[SmPrice]]),"ERR","")</f>
        <v/>
      </c>
      <c r="AG173" s="3">
        <v>42985</v>
      </c>
      <c r="AH173" s="14">
        <v>23.7563</v>
      </c>
      <c r="AI173" s="34">
        <v>24</v>
      </c>
      <c r="AJ173" s="14">
        <v>234.2723</v>
      </c>
      <c r="AK173" s="14">
        <v>234.3152</v>
      </c>
      <c r="AL173" s="14">
        <v>235.3295</v>
      </c>
      <c r="AN173" s="38">
        <f t="shared" si="7"/>
        <v>0</v>
      </c>
      <c r="AO173" s="38">
        <f t="shared" si="8"/>
        <v>0</v>
      </c>
      <c r="AQ173" s="37">
        <v>42985</v>
      </c>
      <c r="AR173">
        <v>24</v>
      </c>
      <c r="AS173">
        <v>234.31521974358901</v>
      </c>
      <c r="AT173">
        <v>235.3295</v>
      </c>
      <c r="AV173" s="37">
        <v>42985</v>
      </c>
      <c r="AW173">
        <v>24</v>
      </c>
      <c r="AX173">
        <v>234.31521974358901</v>
      </c>
      <c r="AY173">
        <v>235.3295</v>
      </c>
      <c r="BA173" s="38">
        <f>AX173-Table3[[#This Row],[Trendline]]</f>
        <v>1.9743589007248374E-5</v>
      </c>
      <c r="BB173" s="38">
        <f>AY173-Table3[[#This Row],[SmPrice]]</f>
        <v>0</v>
      </c>
    </row>
    <row r="174" spans="1:54" x14ac:dyDescent="0.35">
      <c r="A174" s="6">
        <v>172</v>
      </c>
      <c r="B174" s="3">
        <v>42986</v>
      </c>
      <c r="C174" s="2">
        <v>235.07</v>
      </c>
      <c r="D174" s="2">
        <v>235.62</v>
      </c>
      <c r="E174" s="2">
        <v>234.85</v>
      </c>
      <c r="F174" s="2">
        <v>235.11</v>
      </c>
      <c r="G174" s="1">
        <v>66946052</v>
      </c>
      <c r="H174" s="30">
        <f>(testdata[[#This Row],[high]]+testdata[[#This Row],[low]])/2</f>
        <v>235.23500000000001</v>
      </c>
      <c r="I174" s="23">
        <f>(4*testdata[[#This Row],[price]]+3*H173+2*H172+H171)/10</f>
        <v>235.23499999999999</v>
      </c>
      <c r="J174" s="9">
        <f>(0.0962*testdata[[#This Row],[smooth]]+0.5769*I172-0.5769*I170-0.0962*I168)*(0.075*$Z173+0.54)</f>
        <v>0.48755379147510147</v>
      </c>
      <c r="K174" s="14">
        <f t="shared" si="6"/>
        <v>2.1470436599858123</v>
      </c>
      <c r="L174" s="14">
        <f>(0.0962*testdata[[#This Row],[detrender]]+0.5769*J172-0.5769*J170-0.0962*J168)*(0.075*$Z173+0.54)</f>
        <v>2.8984766251797955</v>
      </c>
      <c r="M174" s="9">
        <f>(0.0962*testdata[[#This Row],[I1]]+0.5769*K172-0.5769*K170-0.0962*K168)*(0.075*$Z173+0.54)</f>
        <v>-1.0121892397197332</v>
      </c>
      <c r="N174" s="9">
        <f>(0.0962*testdata[[#This Row],[Q1]]+0.5769*L172-0.5769*L170-0.0962*L168)*(0.075*$Z173+0.54)</f>
        <v>-0.37707751791471489</v>
      </c>
      <c r="O174" s="9">
        <f>testdata[[#This Row],[I1]]-testdata[[#This Row],[JQ]]</f>
        <v>2.5241211779005273</v>
      </c>
      <c r="P174" s="9">
        <f>testdata[[#This Row],[Q1]]+testdata[[#This Row],[jI]]</f>
        <v>1.8862873854600624</v>
      </c>
      <c r="Q174" s="9">
        <f>0.2*testdata[[#This Row],[I2]]+0.8*Q173</f>
        <v>1.2094967602987809</v>
      </c>
      <c r="R174" s="9">
        <f>0.2*testdata[[#This Row],[Q2]]+0.8*R173</f>
        <v>2.2438534386228586</v>
      </c>
      <c r="S174" s="9">
        <f>testdata[[#This Row],[I2'']]*Q173+testdata[[#This Row],[Q2'']]*R173</f>
        <v>6.3008336281491628</v>
      </c>
      <c r="T174" s="9">
        <f>testdata[[#This Row],[I2'']]*R173-testdata[[#This Row],[Q2'']]*Q173</f>
        <v>0.84557487570661904</v>
      </c>
      <c r="U174" s="9">
        <f>0.2*testdata[[#This Row],[Re]]+0.8*U173</f>
        <v>5.5406906780764444</v>
      </c>
      <c r="V174" s="9">
        <f>0.2*testdata[[#This Row],[Im]]+0.8*V173</f>
        <v>1.9237237582758768</v>
      </c>
      <c r="W174" s="9">
        <f>IF(AND(testdata[[#This Row],[Re'']]&lt;&gt;0,testdata[[#This Row],[Im'']]&lt;&gt;0),2*PI()/ATAN(testdata[[#This Row],[Im'']]/testdata[[#This Row],[Re'']]),0)</f>
        <v>18.801936559901776</v>
      </c>
      <c r="X174" s="9">
        <f>IF(testdata[[#This Row],[pd-atan]]&gt;1.5*Z173,1.5*Z173,IF(testdata[[#This Row],[pd-atan]]&lt;0.67*Z173,0.67*Z173,testdata[[#This Row],[pd-atan]]))</f>
        <v>18.801936559901776</v>
      </c>
      <c r="Y174" s="9">
        <f>IF(testdata[[#This Row],[pd-limit1]]&lt;6,6,IF(testdata[[#This Row],[pd-limit1]]&gt;50,50,testdata[[#This Row],[pd-limit1]]))</f>
        <v>18.801936559901776</v>
      </c>
      <c r="Z174" s="14">
        <f>0.2*testdata[[#This Row],[pd-limit2]]+0.8*Z173</f>
        <v>21.279803151448391</v>
      </c>
      <c r="AA174" s="14">
        <f>0.33*testdata[[#This Row],[period]]+0.67*AA173</f>
        <v>22.934041368412196</v>
      </c>
      <c r="AB174" s="31">
        <f>TRUNC(testdata[[#This Row],[SmPd]]+0.5,0)</f>
        <v>23</v>
      </c>
      <c r="AC174" s="14">
        <f ca="1">IF(testdata[[#This Row],[PdInt]]&lt;=0,0,AVERAGE(OFFSET(testdata[[#This Row],[price]],0,0,-testdata[[#This Row],[PdInt]],1)))</f>
        <v>234.16456521739127</v>
      </c>
      <c r="AD174" s="14">
        <f ca="1">IF(testdata[[#This Row],[i]]&lt;11,testdata[[#This Row],[price]],(4*testdata[[#This Row],[iTrend]]+3*AC173+2*AC172+AC171)/10)</f>
        <v>234.2470735869565</v>
      </c>
      <c r="AE174" s="14">
        <f>(4*testdata[[#This Row],[price]]+3*H173+2*H172+H171)/10</f>
        <v>235.23499999999999</v>
      </c>
      <c r="AF174" t="str">
        <f ca="1">IF(OR(ROUND(testdata[[#This Row],[Trendline]],4)&lt;&gt;Table3[[#This Row],[Trendline]],ROUND(testdata[[#This Row],[SmPrice]],4)&lt;&gt;Table3[[#This Row],[SmPrice]]),"ERR","")</f>
        <v/>
      </c>
      <c r="AG174" s="3">
        <v>42986</v>
      </c>
      <c r="AH174" s="14">
        <v>22.9405</v>
      </c>
      <c r="AI174" s="34">
        <v>23</v>
      </c>
      <c r="AJ174" s="14">
        <v>234.16460000000001</v>
      </c>
      <c r="AK174" s="14">
        <v>234.24709999999999</v>
      </c>
      <c r="AL174" s="14">
        <v>235.23500000000001</v>
      </c>
      <c r="AN174" s="38">
        <f t="shared" si="7"/>
        <v>0</v>
      </c>
      <c r="AO174" s="38">
        <f t="shared" si="8"/>
        <v>0</v>
      </c>
      <c r="AQ174" s="37">
        <v>42986</v>
      </c>
      <c r="AR174">
        <v>23</v>
      </c>
      <c r="AS174">
        <v>234.24707358695599</v>
      </c>
      <c r="AT174">
        <v>235.23499999999899</v>
      </c>
      <c r="AV174" s="37">
        <v>42986</v>
      </c>
      <c r="AW174">
        <v>23</v>
      </c>
      <c r="AX174">
        <v>234.24707358695599</v>
      </c>
      <c r="AY174">
        <v>235.23499999999899</v>
      </c>
      <c r="BA174" s="38">
        <f>AX174-Table3[[#This Row],[Trendline]]</f>
        <v>-2.6413043997308705E-5</v>
      </c>
      <c r="BB174" s="38">
        <f>AY174-Table3[[#This Row],[SmPrice]]</f>
        <v>-1.0231815394945443E-12</v>
      </c>
    </row>
    <row r="175" spans="1:54" x14ac:dyDescent="0.35">
      <c r="A175" s="6">
        <v>173</v>
      </c>
      <c r="B175" s="3">
        <v>42989</v>
      </c>
      <c r="C175" s="2">
        <v>236.51</v>
      </c>
      <c r="D175" s="2">
        <v>237.71</v>
      </c>
      <c r="E175" s="2">
        <v>236.49</v>
      </c>
      <c r="F175" s="2">
        <v>237.62</v>
      </c>
      <c r="G175" s="1">
        <v>74845424</v>
      </c>
      <c r="H175" s="30">
        <f>(testdata[[#This Row],[high]]+testdata[[#This Row],[low]])/2</f>
        <v>237.10000000000002</v>
      </c>
      <c r="I175" s="23">
        <f>(4*testdata[[#This Row],[price]]+3*H174+2*H173+H172)/10</f>
        <v>236.00950000000003</v>
      </c>
      <c r="J175" s="9">
        <f>(0.0962*testdata[[#This Row],[smooth]]+0.5769*I173-0.5769*I171-0.0962*I169)*(0.075*$Z174+0.54)</f>
        <v>0.34172613203527735</v>
      </c>
      <c r="K175" s="14">
        <f t="shared" si="6"/>
        <v>3.0433912428864884</v>
      </c>
      <c r="L175" s="14">
        <f>(0.0962*testdata[[#This Row],[detrender]]+0.5769*J173-0.5769*J171-0.0962*J169)*(0.075*$Z174+0.54)</f>
        <v>-0.19259674556674944</v>
      </c>
      <c r="M175" s="9">
        <f>(0.0962*testdata[[#This Row],[I1]]+0.5769*K173-0.5769*K171-0.0962*K169)*(0.075*$Z174+0.54)</f>
        <v>0.39710106214372459</v>
      </c>
      <c r="N175" s="9">
        <f>(0.0962*testdata[[#This Row],[Q1]]+0.5769*L173-0.5769*L171-0.0962*L169)*(0.075*$Z174+0.54)</f>
        <v>4.6720825367592775</v>
      </c>
      <c r="O175" s="9">
        <f>testdata[[#This Row],[I1]]-testdata[[#This Row],[JQ]]</f>
        <v>-1.6286912938727891</v>
      </c>
      <c r="P175" s="9">
        <f>testdata[[#This Row],[Q1]]+testdata[[#This Row],[jI]]</f>
        <v>0.20450431657697515</v>
      </c>
      <c r="Q175" s="9">
        <f>0.2*testdata[[#This Row],[I2]]+0.8*Q174</f>
        <v>0.64185914946446698</v>
      </c>
      <c r="R175" s="9">
        <f>0.2*testdata[[#This Row],[Q2]]+0.8*R174</f>
        <v>1.8359836142136821</v>
      </c>
      <c r="S175" s="9">
        <f>testdata[[#This Row],[I2'']]*Q174+testdata[[#This Row],[Q2'']]*R174</f>
        <v>4.8960047078539981</v>
      </c>
      <c r="T175" s="9">
        <f>testdata[[#This Row],[I2'']]*R174-testdata[[#This Row],[Q2'']]*Q174</f>
        <v>-0.78037837371570773</v>
      </c>
      <c r="U175" s="9">
        <f>0.2*testdata[[#This Row],[Re]]+0.8*U174</f>
        <v>5.411753484031955</v>
      </c>
      <c r="V175" s="9">
        <f>0.2*testdata[[#This Row],[Im]]+0.8*V174</f>
        <v>1.3829033318775601</v>
      </c>
      <c r="W175" s="9">
        <f>IF(AND(testdata[[#This Row],[Re'']]&lt;&gt;0,testdata[[#This Row],[Im'']]&lt;&gt;0),2*PI()/ATAN(testdata[[#This Row],[Im'']]/testdata[[#This Row],[Re'']]),0)</f>
        <v>25.114343075303537</v>
      </c>
      <c r="X175" s="9">
        <f>IF(testdata[[#This Row],[pd-atan]]&gt;1.5*Z174,1.5*Z174,IF(testdata[[#This Row],[pd-atan]]&lt;0.67*Z174,0.67*Z174,testdata[[#This Row],[pd-atan]]))</f>
        <v>25.114343075303537</v>
      </c>
      <c r="Y175" s="9">
        <f>IF(testdata[[#This Row],[pd-limit1]]&lt;6,6,IF(testdata[[#This Row],[pd-limit1]]&gt;50,50,testdata[[#This Row],[pd-limit1]]))</f>
        <v>25.114343075303537</v>
      </c>
      <c r="Z175" s="14">
        <f>0.2*testdata[[#This Row],[pd-limit2]]+0.8*Z174</f>
        <v>22.046711136219422</v>
      </c>
      <c r="AA175" s="14">
        <f>0.33*testdata[[#This Row],[period]]+0.67*AA174</f>
        <v>22.641222391788581</v>
      </c>
      <c r="AB175" s="31">
        <f>TRUNC(testdata[[#This Row],[SmPd]]+0.5,0)</f>
        <v>23</v>
      </c>
      <c r="AC175" s="14">
        <f ca="1">IF(testdata[[#This Row],[PdInt]]&lt;=0,0,AVERAGE(OFFSET(testdata[[#This Row],[price]],0,0,-testdata[[#This Row],[PdInt]],1)))</f>
        <v>234.19760869565215</v>
      </c>
      <c r="AD175" s="14">
        <f ca="1">IF(testdata[[#This Row],[i]]&lt;11,testdata[[#This Row],[price]],(4*testdata[[#This Row],[iTrend]]+3*AC174+2*AC173+AC172)/10)</f>
        <v>234.21561137681155</v>
      </c>
      <c r="AE175" s="14">
        <f>(4*testdata[[#This Row],[price]]+3*H174+2*H173+H172)/10</f>
        <v>236.00950000000003</v>
      </c>
      <c r="AF175" t="str">
        <f ca="1">IF(OR(ROUND(testdata[[#This Row],[Trendline]],4)&lt;&gt;Table3[[#This Row],[Trendline]],ROUND(testdata[[#This Row],[SmPrice]],4)&lt;&gt;Table3[[#This Row],[SmPrice]]),"ERR","")</f>
        <v/>
      </c>
      <c r="AG175" s="3">
        <v>42989</v>
      </c>
      <c r="AH175" s="14">
        <v>22.646799999999999</v>
      </c>
      <c r="AI175" s="34">
        <v>23</v>
      </c>
      <c r="AJ175" s="14">
        <v>234.19759999999999</v>
      </c>
      <c r="AK175" s="14">
        <v>234.21559999999999</v>
      </c>
      <c r="AL175" s="14">
        <v>236.0095</v>
      </c>
      <c r="AN175" s="38">
        <f t="shared" si="7"/>
        <v>0</v>
      </c>
      <c r="AO175" s="38">
        <f t="shared" si="8"/>
        <v>0</v>
      </c>
      <c r="AQ175" s="37">
        <v>42989</v>
      </c>
      <c r="AR175">
        <v>23</v>
      </c>
      <c r="AS175">
        <v>234.21561137681101</v>
      </c>
      <c r="AT175">
        <v>236.0095</v>
      </c>
      <c r="AV175" s="37">
        <v>42989</v>
      </c>
      <c r="AW175">
        <v>23</v>
      </c>
      <c r="AX175">
        <v>234.21561137681101</v>
      </c>
      <c r="AY175">
        <v>236.0095</v>
      </c>
      <c r="BA175" s="38">
        <f>AX175-Table3[[#This Row],[Trendline]]</f>
        <v>1.1376811016816646E-5</v>
      </c>
      <c r="BB175" s="38">
        <f>AY175-Table3[[#This Row],[SmPrice]]</f>
        <v>0</v>
      </c>
    </row>
    <row r="176" spans="1:54" x14ac:dyDescent="0.35">
      <c r="A176" s="6">
        <v>174</v>
      </c>
      <c r="B176" s="3">
        <v>42990</v>
      </c>
      <c r="C176" s="2">
        <v>238.02</v>
      </c>
      <c r="D176" s="2">
        <v>238.46</v>
      </c>
      <c r="E176" s="2">
        <v>237.82</v>
      </c>
      <c r="F176" s="2">
        <v>238.42</v>
      </c>
      <c r="G176" s="1">
        <v>59670932</v>
      </c>
      <c r="H176" s="30">
        <f>(testdata[[#This Row],[high]]+testdata[[#This Row],[low]])/2</f>
        <v>238.14</v>
      </c>
      <c r="I176" s="23">
        <f>(4*testdata[[#This Row],[price]]+3*H175+2*H174+H173)/10</f>
        <v>236.96850000000001</v>
      </c>
      <c r="J176" s="9">
        <f>(0.0962*testdata[[#This Row],[smooth]]+0.5769*I174-0.5769*I172-0.0962*I170)*(0.075*$Z175+0.54)</f>
        <v>0.16521697438703545</v>
      </c>
      <c r="K176" s="14">
        <f t="shared" si="6"/>
        <v>1.9360726721796691</v>
      </c>
      <c r="L176" s="14">
        <f>(0.0962*testdata[[#This Row],[detrender]]+0.5769*J174-0.5769*J172-0.0962*J170)*(0.075*$Z175+0.54)</f>
        <v>-3.3470316659294359</v>
      </c>
      <c r="M176" s="9">
        <f>(0.0962*testdata[[#This Row],[I1]]+0.5769*K174-0.5769*K172-0.0962*K170)*(0.075*$Z175+0.54)</f>
        <v>2.8704390759566203</v>
      </c>
      <c r="N176" s="9">
        <f>(0.0962*testdata[[#This Row],[Q1]]+0.5769*L174-0.5769*L172-0.0962*L170)*(0.075*$Z175+0.54)</f>
        <v>2.3058308278512665</v>
      </c>
      <c r="O176" s="9">
        <f>testdata[[#This Row],[I1]]-testdata[[#This Row],[JQ]]</f>
        <v>-0.36975815567159742</v>
      </c>
      <c r="P176" s="9">
        <f>testdata[[#This Row],[Q1]]+testdata[[#This Row],[jI]]</f>
        <v>-0.47659258997281562</v>
      </c>
      <c r="Q176" s="9">
        <f>0.2*testdata[[#This Row],[I2]]+0.8*Q175</f>
        <v>0.4395356884372541</v>
      </c>
      <c r="R176" s="9">
        <f>0.2*testdata[[#This Row],[Q2]]+0.8*R175</f>
        <v>1.3734683733763826</v>
      </c>
      <c r="S176" s="9">
        <f>testdata[[#This Row],[I2'']]*Q175+testdata[[#This Row],[Q2'']]*R175</f>
        <v>2.8037854312993726</v>
      </c>
      <c r="T176" s="9">
        <f>testdata[[#This Row],[I2'']]*R175-testdata[[#This Row],[Q2'']]*Q175</f>
        <v>-7.459292011878127E-2</v>
      </c>
      <c r="U176" s="9">
        <f>0.2*testdata[[#This Row],[Re]]+0.8*U175</f>
        <v>4.8901598734854383</v>
      </c>
      <c r="V176" s="9">
        <f>0.2*testdata[[#This Row],[Im]]+0.8*V175</f>
        <v>1.0914040814782919</v>
      </c>
      <c r="W176" s="9">
        <f>IF(AND(testdata[[#This Row],[Re'']]&lt;&gt;0,testdata[[#This Row],[Im'']]&lt;&gt;0),2*PI()/ATAN(testdata[[#This Row],[Im'']]/testdata[[#This Row],[Re'']]),0)</f>
        <v>28.613907918427085</v>
      </c>
      <c r="X176" s="9">
        <f>IF(testdata[[#This Row],[pd-atan]]&gt;1.5*Z175,1.5*Z175,IF(testdata[[#This Row],[pd-atan]]&lt;0.67*Z175,0.67*Z175,testdata[[#This Row],[pd-atan]]))</f>
        <v>28.613907918427085</v>
      </c>
      <c r="Y176" s="9">
        <f>IF(testdata[[#This Row],[pd-limit1]]&lt;6,6,IF(testdata[[#This Row],[pd-limit1]]&gt;50,50,testdata[[#This Row],[pd-limit1]]))</f>
        <v>28.613907918427085</v>
      </c>
      <c r="Z176" s="14">
        <f>0.2*testdata[[#This Row],[pd-limit2]]+0.8*Z175</f>
        <v>23.360150492660956</v>
      </c>
      <c r="AA176" s="14">
        <f>0.33*testdata[[#This Row],[period]]+0.67*AA175</f>
        <v>22.878468665076468</v>
      </c>
      <c r="AB176" s="31">
        <f>TRUNC(testdata[[#This Row],[SmPd]]+0.5,0)</f>
        <v>23</v>
      </c>
      <c r="AC176" s="14">
        <f ca="1">IF(testdata[[#This Row],[PdInt]]&lt;=0,0,AVERAGE(OFFSET(testdata[[#This Row],[price]],0,0,-testdata[[#This Row],[PdInt]],1)))</f>
        <v>234.32478260869561</v>
      </c>
      <c r="AD176" s="14">
        <f ca="1">IF(testdata[[#This Row],[i]]&lt;11,testdata[[#This Row],[price]],(4*testdata[[#This Row],[iTrend]]+3*AC175+2*AC174+AC173)/10)</f>
        <v>234.24933786231881</v>
      </c>
      <c r="AE176" s="14">
        <f>(4*testdata[[#This Row],[price]]+3*H175+2*H174+H173)/10</f>
        <v>236.96850000000001</v>
      </c>
      <c r="AF176" t="str">
        <f ca="1">IF(OR(ROUND(testdata[[#This Row],[Trendline]],4)&lt;&gt;Table3[[#This Row],[Trendline]],ROUND(testdata[[#This Row],[SmPrice]],4)&lt;&gt;Table3[[#This Row],[SmPrice]]),"ERR","")</f>
        <v/>
      </c>
      <c r="AG176" s="3">
        <v>42990</v>
      </c>
      <c r="AH176" s="14">
        <v>22.883199999999999</v>
      </c>
      <c r="AI176" s="34">
        <v>23</v>
      </c>
      <c r="AJ176" s="14">
        <v>234.32480000000001</v>
      </c>
      <c r="AK176" s="14">
        <v>234.24930000000001</v>
      </c>
      <c r="AL176" s="14">
        <v>236.96850000000001</v>
      </c>
      <c r="AN176" s="38">
        <f t="shared" si="7"/>
        <v>0</v>
      </c>
      <c r="AO176" s="38">
        <f t="shared" si="8"/>
        <v>0</v>
      </c>
      <c r="AQ176" s="37">
        <v>42990</v>
      </c>
      <c r="AR176">
        <v>23</v>
      </c>
      <c r="AS176">
        <v>234.24933786231799</v>
      </c>
      <c r="AT176">
        <v>236.96850000000001</v>
      </c>
      <c r="AV176" s="37">
        <v>42990</v>
      </c>
      <c r="AW176">
        <v>23</v>
      </c>
      <c r="AX176">
        <v>234.24933786231799</v>
      </c>
      <c r="AY176">
        <v>236.96850000000001</v>
      </c>
      <c r="BA176" s="38">
        <f>AX176-Table3[[#This Row],[Trendline]]</f>
        <v>3.7862317981307569E-5</v>
      </c>
      <c r="BB176" s="38">
        <f>AY176-Table3[[#This Row],[SmPrice]]</f>
        <v>0</v>
      </c>
    </row>
    <row r="177" spans="1:54" x14ac:dyDescent="0.35">
      <c r="A177" s="6">
        <v>175</v>
      </c>
      <c r="B177" s="3">
        <v>42991</v>
      </c>
      <c r="C177" s="2">
        <v>238.11</v>
      </c>
      <c r="D177" s="2">
        <v>238.57</v>
      </c>
      <c r="E177" s="2">
        <v>237.98</v>
      </c>
      <c r="F177" s="2">
        <v>238.54</v>
      </c>
      <c r="G177" s="1">
        <v>62116640</v>
      </c>
      <c r="H177" s="30">
        <f>(testdata[[#This Row],[high]]+testdata[[#This Row],[low]])/2</f>
        <v>238.27499999999998</v>
      </c>
      <c r="I177" s="23">
        <f>(4*testdata[[#This Row],[price]]+3*H176+2*H175+H174)/10</f>
        <v>237.69550000000004</v>
      </c>
      <c r="J177" s="9">
        <f>(0.0962*testdata[[#This Row],[smooth]]+0.5769*I175-0.5769*I173-0.0962*I171)*(0.075*$Z176+0.54)</f>
        <v>1.4174029291635526</v>
      </c>
      <c r="K177" s="14">
        <f t="shared" si="6"/>
        <v>0.48755379147510147</v>
      </c>
      <c r="L177" s="14">
        <f>(0.0962*testdata[[#This Row],[detrender]]+0.5769*J175-0.5769*J173-0.0962*J171)*(0.075*$Z176+0.54)</f>
        <v>-2.2690223159055929</v>
      </c>
      <c r="M177" s="9">
        <f>(0.0962*testdata[[#This Row],[I1]]+0.5769*K175-0.5769*K173-0.0962*K171)*(0.075*$Z176+0.54)</f>
        <v>3.0439898483974575</v>
      </c>
      <c r="N177" s="9">
        <f>(0.0962*testdata[[#This Row],[Q1]]+0.5769*L175-0.5769*L173-0.0962*L171)*(0.075*$Z176+0.54)</f>
        <v>-4.4641838802238345</v>
      </c>
      <c r="O177" s="9">
        <f>testdata[[#This Row],[I1]]-testdata[[#This Row],[JQ]]</f>
        <v>4.9517376716989361</v>
      </c>
      <c r="P177" s="9">
        <f>testdata[[#This Row],[Q1]]+testdata[[#This Row],[jI]]</f>
        <v>0.77496753249186456</v>
      </c>
      <c r="Q177" s="9">
        <f>0.2*testdata[[#This Row],[I2]]+0.8*Q176</f>
        <v>1.3419760850895905</v>
      </c>
      <c r="R177" s="9">
        <f>0.2*testdata[[#This Row],[Q2]]+0.8*R176</f>
        <v>1.2537682051994792</v>
      </c>
      <c r="S177" s="9">
        <f>testdata[[#This Row],[I2'']]*Q176+testdata[[#This Row],[Q2'']]*R176</f>
        <v>2.3118573598125396</v>
      </c>
      <c r="T177" s="9">
        <f>testdata[[#This Row],[I2'']]*R176-testdata[[#This Row],[Q2'']]*Q176</f>
        <v>1.2920858394849124</v>
      </c>
      <c r="U177" s="9">
        <f>0.2*testdata[[#This Row],[Re]]+0.8*U176</f>
        <v>4.3744993707508586</v>
      </c>
      <c r="V177" s="9">
        <f>0.2*testdata[[#This Row],[Im]]+0.8*V176</f>
        <v>1.1315404330796162</v>
      </c>
      <c r="W177" s="9">
        <f>IF(AND(testdata[[#This Row],[Re'']]&lt;&gt;0,testdata[[#This Row],[Im'']]&lt;&gt;0),2*PI()/ATAN(testdata[[#This Row],[Im'']]/testdata[[#This Row],[Re'']]),0)</f>
        <v>24.82300519555389</v>
      </c>
      <c r="X177" s="9">
        <f>IF(testdata[[#This Row],[pd-atan]]&gt;1.5*Z176,1.5*Z176,IF(testdata[[#This Row],[pd-atan]]&lt;0.67*Z176,0.67*Z176,testdata[[#This Row],[pd-atan]]))</f>
        <v>24.82300519555389</v>
      </c>
      <c r="Y177" s="9">
        <f>IF(testdata[[#This Row],[pd-limit1]]&lt;6,6,IF(testdata[[#This Row],[pd-limit1]]&gt;50,50,testdata[[#This Row],[pd-limit1]]))</f>
        <v>24.82300519555389</v>
      </c>
      <c r="Z177" s="14">
        <f>0.2*testdata[[#This Row],[pd-limit2]]+0.8*Z176</f>
        <v>23.652721433239545</v>
      </c>
      <c r="AA177" s="14">
        <f>0.33*testdata[[#This Row],[period]]+0.67*AA176</f>
        <v>23.133972078570284</v>
      </c>
      <c r="AB177" s="31">
        <f>TRUNC(testdata[[#This Row],[SmPd]]+0.5,0)</f>
        <v>23</v>
      </c>
      <c r="AC177" s="14">
        <f ca="1">IF(testdata[[#This Row],[PdInt]]&lt;=0,0,AVERAGE(OFFSET(testdata[[#This Row],[price]],0,0,-testdata[[#This Row],[PdInt]],1)))</f>
        <v>234.52478260869563</v>
      </c>
      <c r="AD177" s="14">
        <f ca="1">IF(testdata[[#This Row],[i]]&lt;11,testdata[[#This Row],[price]],(4*testdata[[#This Row],[iTrend]]+3*AC176+2*AC175+AC174)/10)</f>
        <v>234.36332608695648</v>
      </c>
      <c r="AE177" s="14">
        <f>(4*testdata[[#This Row],[price]]+3*H176+2*H175+H174)/10</f>
        <v>237.69550000000004</v>
      </c>
      <c r="AF177" t="str">
        <f ca="1">IF(OR(ROUND(testdata[[#This Row],[Trendline]],4)&lt;&gt;Table3[[#This Row],[Trendline]],ROUND(testdata[[#This Row],[SmPrice]],4)&lt;&gt;Table3[[#This Row],[SmPrice]]),"ERR","")</f>
        <v/>
      </c>
      <c r="AG177" s="3">
        <v>42991</v>
      </c>
      <c r="AH177" s="14">
        <v>23.137899999999998</v>
      </c>
      <c r="AI177" s="34">
        <v>23</v>
      </c>
      <c r="AJ177" s="14">
        <v>234.5248</v>
      </c>
      <c r="AK177" s="14">
        <v>234.36330000000001</v>
      </c>
      <c r="AL177" s="14">
        <v>237.69550000000001</v>
      </c>
      <c r="AN177" s="38">
        <f t="shared" si="7"/>
        <v>0</v>
      </c>
      <c r="AO177" s="38">
        <f t="shared" si="8"/>
        <v>0</v>
      </c>
      <c r="AQ177" s="37">
        <v>42991</v>
      </c>
      <c r="AR177">
        <v>23</v>
      </c>
      <c r="AS177">
        <v>234.36332608695599</v>
      </c>
      <c r="AT177">
        <v>237.69549999999899</v>
      </c>
      <c r="AV177" s="37">
        <v>42991</v>
      </c>
      <c r="AW177">
        <v>23</v>
      </c>
      <c r="AX177">
        <v>234.36332608695599</v>
      </c>
      <c r="AY177">
        <v>237.69549999999899</v>
      </c>
      <c r="BA177" s="38">
        <f>AX177-Table3[[#This Row],[Trendline]]</f>
        <v>2.6086955983828375E-5</v>
      </c>
      <c r="BB177" s="38">
        <f>AY177-Table3[[#This Row],[SmPrice]]</f>
        <v>-1.0231815394945443E-12</v>
      </c>
    </row>
    <row r="178" spans="1:54" x14ac:dyDescent="0.35">
      <c r="A178" s="6">
        <v>176</v>
      </c>
      <c r="B178" s="3">
        <v>42992</v>
      </c>
      <c r="C178" s="2">
        <v>238.18</v>
      </c>
      <c r="D178" s="2">
        <v>238.68</v>
      </c>
      <c r="E178" s="2">
        <v>237.99</v>
      </c>
      <c r="F178" s="2">
        <v>238.46</v>
      </c>
      <c r="G178" s="1">
        <v>100101416</v>
      </c>
      <c r="H178" s="30">
        <f>(testdata[[#This Row],[high]]+testdata[[#This Row],[low]])/2</f>
        <v>238.33500000000001</v>
      </c>
      <c r="I178" s="23">
        <f>(4*testdata[[#This Row],[price]]+3*H177+2*H176+H175)/10</f>
        <v>238.15449999999996</v>
      </c>
      <c r="J178" s="9">
        <f>(0.0962*testdata[[#This Row],[smooth]]+0.5769*I176-0.5769*I174-0.0962*I172)*(0.075*$Z177+0.54)</f>
        <v>2.9309152452413461</v>
      </c>
      <c r="K178" s="14">
        <f t="shared" si="6"/>
        <v>0.34172613203527735</v>
      </c>
      <c r="L178" s="14">
        <f>(0.0962*testdata[[#This Row],[detrender]]+0.5769*J176-0.5769*J174-0.0962*J172)*(0.075*$Z177+0.54)</f>
        <v>-0.45533132938136195</v>
      </c>
      <c r="M178" s="9">
        <f>(0.0962*testdata[[#This Row],[I1]]+0.5769*K176-0.5769*K174-0.0962*K172)*(0.075*$Z177+0.54)</f>
        <v>-0.20864377848121596</v>
      </c>
      <c r="N178" s="9">
        <f>(0.0962*testdata[[#This Row],[Q1]]+0.5769*L176-0.5769*L174-0.0962*L172)*(0.075*$Z177+0.54)</f>
        <v>-8.5381340692205008</v>
      </c>
      <c r="O178" s="9">
        <f>testdata[[#This Row],[I1]]-testdata[[#This Row],[JQ]]</f>
        <v>8.8798602012557772</v>
      </c>
      <c r="P178" s="9">
        <f>testdata[[#This Row],[Q1]]+testdata[[#This Row],[jI]]</f>
        <v>-0.66397510786257796</v>
      </c>
      <c r="Q178" s="9">
        <f>0.2*testdata[[#This Row],[I2]]+0.8*Q177</f>
        <v>2.8495529083228281</v>
      </c>
      <c r="R178" s="9">
        <f>0.2*testdata[[#This Row],[Q2]]+0.8*R177</f>
        <v>0.8702195425870678</v>
      </c>
      <c r="S178" s="9">
        <f>testdata[[#This Row],[I2'']]*Q177+testdata[[#This Row],[Q2'']]*R177</f>
        <v>4.9150854502056252</v>
      </c>
      <c r="T178" s="9">
        <f>testdata[[#This Row],[I2'']]*R177-testdata[[#This Row],[Q2'']]*Q177</f>
        <v>2.4048650205594209</v>
      </c>
      <c r="U178" s="9">
        <f>0.2*testdata[[#This Row],[Re]]+0.8*U177</f>
        <v>4.4826165866418126</v>
      </c>
      <c r="V178" s="9">
        <f>0.2*testdata[[#This Row],[Im]]+0.8*V177</f>
        <v>1.3862053505755771</v>
      </c>
      <c r="W178" s="9">
        <f>IF(AND(testdata[[#This Row],[Re'']]&lt;&gt;0,testdata[[#This Row],[Im'']]&lt;&gt;0),2*PI()/ATAN(testdata[[#This Row],[Im'']]/testdata[[#This Row],[Re'']]),0)</f>
        <v>20.95007146437413</v>
      </c>
      <c r="X178" s="9">
        <f>IF(testdata[[#This Row],[pd-atan]]&gt;1.5*Z177,1.5*Z177,IF(testdata[[#This Row],[pd-atan]]&lt;0.67*Z177,0.67*Z177,testdata[[#This Row],[pd-atan]]))</f>
        <v>20.95007146437413</v>
      </c>
      <c r="Y178" s="9">
        <f>IF(testdata[[#This Row],[pd-limit1]]&lt;6,6,IF(testdata[[#This Row],[pd-limit1]]&gt;50,50,testdata[[#This Row],[pd-limit1]]))</f>
        <v>20.95007146437413</v>
      </c>
      <c r="Z178" s="14">
        <f>0.2*testdata[[#This Row],[pd-limit2]]+0.8*Z177</f>
        <v>23.112191439466464</v>
      </c>
      <c r="AA178" s="14">
        <f>0.33*testdata[[#This Row],[period]]+0.67*AA177</f>
        <v>23.126784467666024</v>
      </c>
      <c r="AB178" s="31">
        <f>TRUNC(testdata[[#This Row],[SmPd]]+0.5,0)</f>
        <v>23</v>
      </c>
      <c r="AC178" s="14">
        <f ca="1">IF(testdata[[#This Row],[PdInt]]&lt;=0,0,AVERAGE(OFFSET(testdata[[#This Row],[price]],0,0,-testdata[[#This Row],[PdInt]],1)))</f>
        <v>234.76043478260868</v>
      </c>
      <c r="AD178" s="14">
        <f ca="1">IF(testdata[[#This Row],[i]]&lt;11,testdata[[#This Row],[price]],(4*testdata[[#This Row],[iTrend]]+3*AC177+2*AC176+AC175)/10)</f>
        <v>234.54632608695647</v>
      </c>
      <c r="AE178" s="14">
        <f>(4*testdata[[#This Row],[price]]+3*H177+2*H176+H175)/10</f>
        <v>238.15449999999996</v>
      </c>
      <c r="AF178" t="str">
        <f ca="1">IF(OR(ROUND(testdata[[#This Row],[Trendline]],4)&lt;&gt;Table3[[#This Row],[Trendline]],ROUND(testdata[[#This Row],[SmPrice]],4)&lt;&gt;Table3[[#This Row],[SmPrice]]),"ERR","")</f>
        <v/>
      </c>
      <c r="AG178" s="3">
        <v>42992</v>
      </c>
      <c r="AH178" s="14">
        <v>23.13</v>
      </c>
      <c r="AI178" s="34">
        <v>23</v>
      </c>
      <c r="AJ178" s="14">
        <v>234.7604</v>
      </c>
      <c r="AK178" s="14">
        <v>234.5463</v>
      </c>
      <c r="AL178" s="14">
        <v>238.15450000000001</v>
      </c>
      <c r="AN178" s="38">
        <f t="shared" si="7"/>
        <v>0</v>
      </c>
      <c r="AO178" s="38">
        <f t="shared" si="8"/>
        <v>0</v>
      </c>
      <c r="AQ178" s="37">
        <v>42992</v>
      </c>
      <c r="AR178">
        <v>23</v>
      </c>
      <c r="AS178">
        <v>234.54632608695599</v>
      </c>
      <c r="AT178">
        <v>238.15449999999899</v>
      </c>
      <c r="AV178" s="37">
        <v>42992</v>
      </c>
      <c r="AW178">
        <v>23</v>
      </c>
      <c r="AX178">
        <v>234.54632608695599</v>
      </c>
      <c r="AY178">
        <v>238.15449999999899</v>
      </c>
      <c r="BA178" s="38">
        <f>AX178-Table3[[#This Row],[Trendline]]</f>
        <v>2.6086955983828375E-5</v>
      </c>
      <c r="BB178" s="38">
        <f>AY178-Table3[[#This Row],[SmPrice]]</f>
        <v>-1.0231815394945443E-12</v>
      </c>
    </row>
    <row r="179" spans="1:54" x14ac:dyDescent="0.35">
      <c r="A179" s="6">
        <v>177</v>
      </c>
      <c r="B179" s="3">
        <v>42993</v>
      </c>
      <c r="C179" s="2">
        <v>238.3</v>
      </c>
      <c r="D179" s="2">
        <v>238.88</v>
      </c>
      <c r="E179" s="2">
        <v>238.19</v>
      </c>
      <c r="F179" s="2">
        <v>238.78</v>
      </c>
      <c r="G179" s="1">
        <v>99592680</v>
      </c>
      <c r="H179" s="30">
        <f>(testdata[[#This Row],[high]]+testdata[[#This Row],[low]])/2</f>
        <v>238.535</v>
      </c>
      <c r="I179" s="23">
        <f>(4*testdata[[#This Row],[price]]+3*H178+2*H177+H176)/10</f>
        <v>238.38349999999997</v>
      </c>
      <c r="J179" s="9">
        <f>(0.0962*testdata[[#This Row],[smooth]]+0.5769*I177-0.5769*I175-0.0962*I173)*(0.075*$Z178+0.54)</f>
        <v>2.879161521492561</v>
      </c>
      <c r="K179" s="14">
        <f t="shared" si="6"/>
        <v>0.16521697438703545</v>
      </c>
      <c r="L179" s="14">
        <f>(0.0962*testdata[[#This Row],[detrender]]+0.5769*J177-0.5769*J175-0.0962*J173)*(0.075*$Z178+0.54)</f>
        <v>1.6170411929430442</v>
      </c>
      <c r="M179" s="9">
        <f>(0.0962*testdata[[#This Row],[I1]]+0.5769*K177-0.5769*K175-0.0962*K173)*(0.075*$Z178+0.54)</f>
        <v>-3.4689666177871699</v>
      </c>
      <c r="N179" s="9">
        <f>(0.0962*testdata[[#This Row],[Q1]]+0.5769*L177-0.5769*L175-0.0962*L173)*(0.075*$Z178+0.54)</f>
        <v>-3.0251001860696229</v>
      </c>
      <c r="O179" s="9">
        <f>testdata[[#This Row],[I1]]-testdata[[#This Row],[JQ]]</f>
        <v>3.1903171604566585</v>
      </c>
      <c r="P179" s="9">
        <f>testdata[[#This Row],[Q1]]+testdata[[#This Row],[jI]]</f>
        <v>-1.8519254248441257</v>
      </c>
      <c r="Q179" s="9">
        <f>0.2*testdata[[#This Row],[I2]]+0.8*Q178</f>
        <v>2.9177057587495945</v>
      </c>
      <c r="R179" s="9">
        <f>0.2*testdata[[#This Row],[Q2]]+0.8*R178</f>
        <v>0.32579054910082916</v>
      </c>
      <c r="S179" s="9">
        <f>testdata[[#This Row],[I2'']]*Q178+testdata[[#This Row],[Q2'']]*R178</f>
        <v>8.5976662330928839</v>
      </c>
      <c r="T179" s="9">
        <f>testdata[[#This Row],[I2'']]*R178-testdata[[#This Row],[Q2'']]*Q178</f>
        <v>1.6106871640883669</v>
      </c>
      <c r="U179" s="9">
        <f>0.2*testdata[[#This Row],[Re]]+0.8*U178</f>
        <v>5.3056265159320271</v>
      </c>
      <c r="V179" s="9">
        <f>0.2*testdata[[#This Row],[Im]]+0.8*V178</f>
        <v>1.4311017132781352</v>
      </c>
      <c r="W179" s="9">
        <f>IF(AND(testdata[[#This Row],[Re'']]&lt;&gt;0,testdata[[#This Row],[Im'']]&lt;&gt;0),2*PI()/ATAN(testdata[[#This Row],[Im'']]/testdata[[#This Row],[Re'']]),0)</f>
        <v>23.848471353300038</v>
      </c>
      <c r="X179" s="9">
        <f>IF(testdata[[#This Row],[pd-atan]]&gt;1.5*Z178,1.5*Z178,IF(testdata[[#This Row],[pd-atan]]&lt;0.67*Z178,0.67*Z178,testdata[[#This Row],[pd-atan]]))</f>
        <v>23.848471353300038</v>
      </c>
      <c r="Y179" s="9">
        <f>IF(testdata[[#This Row],[pd-limit1]]&lt;6,6,IF(testdata[[#This Row],[pd-limit1]]&gt;50,50,testdata[[#This Row],[pd-limit1]]))</f>
        <v>23.848471353300038</v>
      </c>
      <c r="Z179" s="14">
        <f>0.2*testdata[[#This Row],[pd-limit2]]+0.8*Z178</f>
        <v>23.25944742223318</v>
      </c>
      <c r="AA179" s="14">
        <f>0.33*testdata[[#This Row],[period]]+0.67*AA178</f>
        <v>23.170563242673186</v>
      </c>
      <c r="AB179" s="31">
        <f>TRUNC(testdata[[#This Row],[SmPd]]+0.5,0)</f>
        <v>23</v>
      </c>
      <c r="AC179" s="14">
        <f ca="1">IF(testdata[[#This Row],[PdInt]]&lt;=0,0,AVERAGE(OFFSET(testdata[[#This Row],[price]],0,0,-testdata[[#This Row],[PdInt]],1)))</f>
        <v>234.92630434782609</v>
      </c>
      <c r="AD179" s="14">
        <f ca="1">IF(testdata[[#This Row],[i]]&lt;11,testdata[[#This Row],[price]],(4*testdata[[#This Row],[iTrend]]+3*AC178+2*AC177+AC176)/10)</f>
        <v>234.73608695652175</v>
      </c>
      <c r="AE179" s="14">
        <f>(4*testdata[[#This Row],[price]]+3*H178+2*H177+H176)/10</f>
        <v>238.38349999999997</v>
      </c>
      <c r="AF179" t="str">
        <f ca="1">IF(OR(ROUND(testdata[[#This Row],[Trendline]],4)&lt;&gt;Table3[[#This Row],[Trendline]],ROUND(testdata[[#This Row],[SmPrice]],4)&lt;&gt;Table3[[#This Row],[SmPrice]]),"ERR","")</f>
        <v/>
      </c>
      <c r="AG179" s="3">
        <v>42993</v>
      </c>
      <c r="AH179" s="14">
        <v>23.173100000000002</v>
      </c>
      <c r="AI179" s="34">
        <v>23</v>
      </c>
      <c r="AJ179" s="14">
        <v>234.9263</v>
      </c>
      <c r="AK179" s="14">
        <v>234.73609999999999</v>
      </c>
      <c r="AL179" s="14">
        <v>238.3835</v>
      </c>
      <c r="AN179" s="38">
        <f t="shared" si="7"/>
        <v>0</v>
      </c>
      <c r="AO179" s="38">
        <f t="shared" si="8"/>
        <v>0</v>
      </c>
      <c r="AQ179" s="37">
        <v>42993</v>
      </c>
      <c r="AR179">
        <v>23</v>
      </c>
      <c r="AS179">
        <v>234.73608695652101</v>
      </c>
      <c r="AT179">
        <v>238.3835</v>
      </c>
      <c r="AV179" s="37">
        <v>42993</v>
      </c>
      <c r="AW179">
        <v>23</v>
      </c>
      <c r="AX179">
        <v>234.73608695652101</v>
      </c>
      <c r="AY179">
        <v>238.3835</v>
      </c>
      <c r="BA179" s="38">
        <f>AX179-Table3[[#This Row],[Trendline]]</f>
        <v>-1.3043478986674018E-5</v>
      </c>
      <c r="BB179" s="38">
        <f>AY179-Table3[[#This Row],[SmPrice]]</f>
        <v>0</v>
      </c>
    </row>
    <row r="180" spans="1:54" x14ac:dyDescent="0.35">
      <c r="A180" s="6">
        <v>178</v>
      </c>
      <c r="B180" s="3">
        <v>42996</v>
      </c>
      <c r="C180" s="2">
        <v>239.18</v>
      </c>
      <c r="D180" s="2">
        <v>239.67</v>
      </c>
      <c r="E180" s="2">
        <v>238.87</v>
      </c>
      <c r="F180" s="2">
        <v>239.29</v>
      </c>
      <c r="G180" s="1">
        <v>48250824</v>
      </c>
      <c r="H180" s="30">
        <f>(testdata[[#This Row],[high]]+testdata[[#This Row],[low]])/2</f>
        <v>239.26999999999998</v>
      </c>
      <c r="I180" s="23">
        <f>(4*testdata[[#This Row],[price]]+3*H179+2*H178+H177)/10</f>
        <v>238.76300000000001</v>
      </c>
      <c r="J180" s="9">
        <f>(0.0962*testdata[[#This Row],[smooth]]+0.5769*I178-0.5769*I176-0.0962*I174)*(0.075*$Z179+0.54)</f>
        <v>2.338364925229087</v>
      </c>
      <c r="K180" s="14">
        <f t="shared" si="6"/>
        <v>1.4174029291635526</v>
      </c>
      <c r="L180" s="14">
        <f>(0.0962*testdata[[#This Row],[detrender]]+0.5769*J178-0.5769*J176-0.0962*J174)*(0.075*$Z179+0.54)</f>
        <v>4.0516685529289616</v>
      </c>
      <c r="M180" s="9">
        <f>(0.0962*testdata[[#This Row],[I1]]+0.5769*K178-0.5769*K176-0.0962*K174)*(0.075*$Z179+0.54)</f>
        <v>-2.2615453398306316</v>
      </c>
      <c r="N180" s="9">
        <f>(0.0962*testdata[[#This Row],[Q1]]+0.5769*L178-0.5769*L176-0.0962*L174)*(0.075*$Z179+0.54)</f>
        <v>4.064414972903946</v>
      </c>
      <c r="O180" s="9">
        <f>testdata[[#This Row],[I1]]-testdata[[#This Row],[JQ]]</f>
        <v>-2.6470120437403937</v>
      </c>
      <c r="P180" s="9">
        <f>testdata[[#This Row],[Q1]]+testdata[[#This Row],[jI]]</f>
        <v>1.79012321309833</v>
      </c>
      <c r="Q180" s="9">
        <f>0.2*testdata[[#This Row],[I2]]+0.8*Q179</f>
        <v>1.8047621982515971</v>
      </c>
      <c r="R180" s="9">
        <f>0.2*testdata[[#This Row],[Q2]]+0.8*R179</f>
        <v>0.61865708190032942</v>
      </c>
      <c r="S180" s="9">
        <f>testdata[[#This Row],[I2'']]*Q179+testdata[[#This Row],[Q2'']]*R179</f>
        <v>5.467317689429688</v>
      </c>
      <c r="T180" s="9">
        <f>testdata[[#This Row],[I2'']]*R179-testdata[[#This Row],[Q2'']]*Q179</f>
        <v>-1.2170848629870032</v>
      </c>
      <c r="U180" s="9">
        <f>0.2*testdata[[#This Row],[Re]]+0.8*U179</f>
        <v>5.3379647506315591</v>
      </c>
      <c r="V180" s="9">
        <f>0.2*testdata[[#This Row],[Im]]+0.8*V179</f>
        <v>0.90146439802510758</v>
      </c>
      <c r="W180" s="9">
        <f>IF(AND(testdata[[#This Row],[Re'']]&lt;&gt;0,testdata[[#This Row],[Im'']]&lt;&gt;0),2*PI()/ATAN(testdata[[#This Row],[Im'']]/testdata[[#This Row],[Re'']]),0)</f>
        <v>37.556533312267334</v>
      </c>
      <c r="X180" s="9">
        <f>IF(testdata[[#This Row],[pd-atan]]&gt;1.5*Z179,1.5*Z179,IF(testdata[[#This Row],[pd-atan]]&lt;0.67*Z179,0.67*Z179,testdata[[#This Row],[pd-atan]]))</f>
        <v>34.88917113334977</v>
      </c>
      <c r="Y180" s="9">
        <f>IF(testdata[[#This Row],[pd-limit1]]&lt;6,6,IF(testdata[[#This Row],[pd-limit1]]&gt;50,50,testdata[[#This Row],[pd-limit1]]))</f>
        <v>34.88917113334977</v>
      </c>
      <c r="Z180" s="14">
        <f>0.2*testdata[[#This Row],[pd-limit2]]+0.8*Z179</f>
        <v>25.585392164456501</v>
      </c>
      <c r="AA180" s="14">
        <f>0.33*testdata[[#This Row],[period]]+0.67*AA179</f>
        <v>23.967456786861682</v>
      </c>
      <c r="AB180" s="31">
        <f>TRUNC(testdata[[#This Row],[SmPd]]+0.5,0)</f>
        <v>24</v>
      </c>
      <c r="AC180" s="14">
        <f ca="1">IF(testdata[[#This Row],[PdInt]]&lt;=0,0,AVERAGE(OFFSET(testdata[[#This Row],[price]],0,0,-testdata[[#This Row],[PdInt]],1)))</f>
        <v>235.1072916666667</v>
      </c>
      <c r="AD180" s="14">
        <f ca="1">IF(testdata[[#This Row],[i]]&lt;11,testdata[[#This Row],[price]],(4*testdata[[#This Row],[iTrend]]+3*AC179+2*AC178+AC177)/10)</f>
        <v>234.92537318840581</v>
      </c>
      <c r="AE180" s="14">
        <f>(4*testdata[[#This Row],[price]]+3*H179+2*H178+H177)/10</f>
        <v>238.76300000000001</v>
      </c>
      <c r="AF180" t="str">
        <f ca="1">IF(OR(ROUND(testdata[[#This Row],[Trendline]],4)&lt;&gt;Table3[[#This Row],[Trendline]],ROUND(testdata[[#This Row],[SmPrice]],4)&lt;&gt;Table3[[#This Row],[SmPrice]]),"ERR","")</f>
        <v/>
      </c>
      <c r="AG180" s="3">
        <v>42996</v>
      </c>
      <c r="AH180" s="14">
        <v>23.9696</v>
      </c>
      <c r="AI180" s="34">
        <v>24</v>
      </c>
      <c r="AJ180" s="14">
        <v>235.10730000000001</v>
      </c>
      <c r="AK180" s="14">
        <v>234.9254</v>
      </c>
      <c r="AL180" s="14">
        <v>238.76300000000001</v>
      </c>
      <c r="AN180" s="38">
        <f t="shared" si="7"/>
        <v>0</v>
      </c>
      <c r="AO180" s="38">
        <f t="shared" si="8"/>
        <v>0</v>
      </c>
      <c r="AQ180" s="37">
        <v>42996</v>
      </c>
      <c r="AR180">
        <v>24</v>
      </c>
      <c r="AS180">
        <v>234.92537318840499</v>
      </c>
      <c r="AT180">
        <v>238.76300000000001</v>
      </c>
      <c r="AV180" s="37">
        <v>42996</v>
      </c>
      <c r="AW180">
        <v>24</v>
      </c>
      <c r="AX180">
        <v>234.92537318840499</v>
      </c>
      <c r="AY180">
        <v>238.76300000000001</v>
      </c>
      <c r="BA180" s="38">
        <f>AX180-Table3[[#This Row],[Trendline]]</f>
        <v>-2.6811595006392963E-5</v>
      </c>
      <c r="BB180" s="38">
        <f>AY180-Table3[[#This Row],[SmPrice]]</f>
        <v>0</v>
      </c>
    </row>
    <row r="181" spans="1:54" x14ac:dyDescent="0.35">
      <c r="A181" s="6">
        <v>179</v>
      </c>
      <c r="B181" s="3">
        <v>42997</v>
      </c>
      <c r="C181" s="2">
        <v>239.56</v>
      </c>
      <c r="D181" s="2">
        <v>239.62</v>
      </c>
      <c r="E181" s="2">
        <v>239.17</v>
      </c>
      <c r="F181" s="2">
        <v>239.53</v>
      </c>
      <c r="G181" s="1">
        <v>49161788</v>
      </c>
      <c r="H181" s="30">
        <f>(testdata[[#This Row],[high]]+testdata[[#This Row],[low]])/2</f>
        <v>239.39499999999998</v>
      </c>
      <c r="I181" s="23">
        <f>(4*testdata[[#This Row],[price]]+3*H180+2*H179+H178)/10</f>
        <v>239.0795</v>
      </c>
      <c r="J181" s="9">
        <f>(0.0962*testdata[[#This Row],[smooth]]+0.5769*I179-0.5769*I177-0.0962*I175)*(0.075*$Z180+0.54)</f>
        <v>1.702154941079455</v>
      </c>
      <c r="K181" s="14">
        <f t="shared" si="6"/>
        <v>2.9309152452413461</v>
      </c>
      <c r="L181" s="14">
        <f>(0.0962*testdata[[#This Row],[detrender]]+0.5769*J179-0.5769*J177-0.0962*J175)*(0.075*$Z180+0.54)</f>
        <v>2.3953707073935617</v>
      </c>
      <c r="M181" s="9">
        <f>(0.0962*testdata[[#This Row],[I1]]+0.5769*K179-0.5769*K177-0.0962*K175)*(0.075*$Z180+0.54)</f>
        <v>-0.48385411416083945</v>
      </c>
      <c r="N181" s="9">
        <f>(0.0962*testdata[[#This Row],[Q1]]+0.5769*L179-0.5769*L177-0.0962*L175)*(0.075*$Z180+0.54)</f>
        <v>6.1247190424123179</v>
      </c>
      <c r="O181" s="9">
        <f>testdata[[#This Row],[I1]]-testdata[[#This Row],[JQ]]</f>
        <v>-3.1938037971709718</v>
      </c>
      <c r="P181" s="9">
        <f>testdata[[#This Row],[Q1]]+testdata[[#This Row],[jI]]</f>
        <v>1.9115165932327223</v>
      </c>
      <c r="Q181" s="9">
        <f>0.2*testdata[[#This Row],[I2]]+0.8*Q180</f>
        <v>0.80504899916708328</v>
      </c>
      <c r="R181" s="9">
        <f>0.2*testdata[[#This Row],[Q2]]+0.8*R180</f>
        <v>0.87722898416680806</v>
      </c>
      <c r="S181" s="9">
        <f>testdata[[#This Row],[I2'']]*Q180+testdata[[#This Row],[Q2'']]*R180</f>
        <v>1.9956259249400612</v>
      </c>
      <c r="T181" s="9">
        <f>testdata[[#This Row],[I2'']]*R180-testdata[[#This Row],[Q2'']]*Q180</f>
        <v>-1.0851404452234155</v>
      </c>
      <c r="U181" s="9">
        <f>0.2*testdata[[#This Row],[Re]]+0.8*U180</f>
        <v>4.66949698549326</v>
      </c>
      <c r="V181" s="9">
        <f>0.2*testdata[[#This Row],[Im]]+0.8*V180</f>
        <v>0.50414342937540302</v>
      </c>
      <c r="W181" s="9">
        <f>IF(AND(testdata[[#This Row],[Re'']]&lt;&gt;0,testdata[[#This Row],[Im'']]&lt;&gt;0),2*PI()/ATAN(testdata[[#This Row],[Im'']]/testdata[[#This Row],[Re'']]),0)</f>
        <v>58.421787930834896</v>
      </c>
      <c r="X181" s="9">
        <f>IF(testdata[[#This Row],[pd-atan]]&gt;1.5*Z180,1.5*Z180,IF(testdata[[#This Row],[pd-atan]]&lt;0.67*Z180,0.67*Z180,testdata[[#This Row],[pd-atan]]))</f>
        <v>38.378088246684754</v>
      </c>
      <c r="Y181" s="9">
        <f>IF(testdata[[#This Row],[pd-limit1]]&lt;6,6,IF(testdata[[#This Row],[pd-limit1]]&gt;50,50,testdata[[#This Row],[pd-limit1]]))</f>
        <v>38.378088246684754</v>
      </c>
      <c r="Z181" s="14">
        <f>0.2*testdata[[#This Row],[pd-limit2]]+0.8*Z180</f>
        <v>28.143931380902153</v>
      </c>
      <c r="AA181" s="14">
        <f>0.33*testdata[[#This Row],[period]]+0.67*AA180</f>
        <v>25.345693402895037</v>
      </c>
      <c r="AB181" s="31">
        <f>TRUNC(testdata[[#This Row],[SmPd]]+0.5,0)</f>
        <v>25</v>
      </c>
      <c r="AC181" s="14">
        <f ca="1">IF(testdata[[#This Row],[PdInt]]&lt;=0,0,AVERAGE(OFFSET(testdata[[#This Row],[price]],0,0,-testdata[[#This Row],[PdInt]],1)))</f>
        <v>235.27880000000005</v>
      </c>
      <c r="AD181" s="14">
        <f ca="1">IF(testdata[[#This Row],[i]]&lt;11,testdata[[#This Row],[price]],(4*testdata[[#This Row],[iTrend]]+3*AC180+2*AC179+AC178)/10)</f>
        <v>235.10501184782612</v>
      </c>
      <c r="AE181" s="14">
        <f>(4*testdata[[#This Row],[price]]+3*H180+2*H179+H178)/10</f>
        <v>239.0795</v>
      </c>
      <c r="AF181" t="str">
        <f ca="1">IF(OR(ROUND(testdata[[#This Row],[Trendline]],4)&lt;&gt;Table3[[#This Row],[Trendline]],ROUND(testdata[[#This Row],[SmPrice]],4)&lt;&gt;Table3[[#This Row],[SmPrice]]),"ERR","")</f>
        <v/>
      </c>
      <c r="AG181" s="3">
        <v>42997</v>
      </c>
      <c r="AH181" s="14">
        <v>25.3477</v>
      </c>
      <c r="AI181" s="34">
        <v>25</v>
      </c>
      <c r="AJ181" s="14">
        <v>235.27879999999999</v>
      </c>
      <c r="AK181" s="14">
        <v>235.10499999999999</v>
      </c>
      <c r="AL181" s="14">
        <v>239.0795</v>
      </c>
      <c r="AN181" s="38">
        <f t="shared" si="7"/>
        <v>0</v>
      </c>
      <c r="AO181" s="38">
        <f t="shared" si="8"/>
        <v>0</v>
      </c>
      <c r="AQ181" s="37">
        <v>42997</v>
      </c>
      <c r="AR181">
        <v>25</v>
      </c>
      <c r="AS181">
        <v>235.10501184782601</v>
      </c>
      <c r="AT181">
        <v>239.0795</v>
      </c>
      <c r="AV181" s="37">
        <v>42997</v>
      </c>
      <c r="AW181">
        <v>25</v>
      </c>
      <c r="AX181">
        <v>235.10501184782601</v>
      </c>
      <c r="AY181">
        <v>239.0795</v>
      </c>
      <c r="BA181" s="38">
        <f>AX181-Table3[[#This Row],[Trendline]]</f>
        <v>1.1847826016264662E-5</v>
      </c>
      <c r="BB181" s="38">
        <f>AY181-Table3[[#This Row],[SmPrice]]</f>
        <v>0</v>
      </c>
    </row>
    <row r="182" spans="1:54" x14ac:dyDescent="0.35">
      <c r="A182" s="6">
        <v>180</v>
      </c>
      <c r="B182" s="3">
        <v>42998</v>
      </c>
      <c r="C182" s="2">
        <v>239.62</v>
      </c>
      <c r="D182" s="2">
        <v>239.74</v>
      </c>
      <c r="E182" s="2">
        <v>238.52</v>
      </c>
      <c r="F182" s="2">
        <v>239.61</v>
      </c>
      <c r="G182" s="1">
        <v>62171164</v>
      </c>
      <c r="H182" s="30">
        <f>(testdata[[#This Row],[high]]+testdata[[#This Row],[low]])/2</f>
        <v>239.13</v>
      </c>
      <c r="I182" s="23">
        <f>(4*testdata[[#This Row],[price]]+3*H181+2*H180+H179)/10</f>
        <v>239.17799999999997</v>
      </c>
      <c r="J182" s="9">
        <f>(0.0962*testdata[[#This Row],[smooth]]+0.5769*I180-0.5769*I178-0.0962*I176)*(0.075*$Z181+0.54)</f>
        <v>1.4939814850234483</v>
      </c>
      <c r="K182" s="14">
        <f t="shared" si="6"/>
        <v>2.879161521492561</v>
      </c>
      <c r="L182" s="14">
        <f>(0.0962*testdata[[#This Row],[detrender]]+0.5769*J180-0.5769*J178-0.0962*J176)*(0.075*$Z181+0.54)</f>
        <v>-0.56731021497594969</v>
      </c>
      <c r="M182" s="9">
        <f>(0.0962*testdata[[#This Row],[I1]]+0.5769*K180-0.5769*K178-0.0962*K176)*(0.075*$Z181+0.54)</f>
        <v>1.8854655585560351</v>
      </c>
      <c r="N182" s="9">
        <f>(0.0962*testdata[[#This Row],[Q1]]+0.5769*L180-0.5769*L178-0.0962*L176)*(0.075*$Z181+0.54)</f>
        <v>7.6011474451363732</v>
      </c>
      <c r="O182" s="9">
        <f>testdata[[#This Row],[I1]]-testdata[[#This Row],[JQ]]</f>
        <v>-4.7219859236438122</v>
      </c>
      <c r="P182" s="9">
        <f>testdata[[#This Row],[Q1]]+testdata[[#This Row],[jI]]</f>
        <v>1.3181553435800855</v>
      </c>
      <c r="Q182" s="9">
        <f>0.2*testdata[[#This Row],[I2]]+0.8*Q181</f>
        <v>-0.30035798539509573</v>
      </c>
      <c r="R182" s="9">
        <f>0.2*testdata[[#This Row],[Q2]]+0.8*R181</f>
        <v>0.96541425604946363</v>
      </c>
      <c r="S182" s="9">
        <f>testdata[[#This Row],[I2'']]*Q181+testdata[[#This Row],[Q2'']]*R181</f>
        <v>0.60508647160026252</v>
      </c>
      <c r="T182" s="9">
        <f>testdata[[#This Row],[I2'']]*R181-testdata[[#This Row],[Q2'']]*Q181</f>
        <v>-1.0406885110287838</v>
      </c>
      <c r="U182" s="9">
        <f>0.2*testdata[[#This Row],[Re]]+0.8*U181</f>
        <v>3.8566148827146605</v>
      </c>
      <c r="V182" s="9">
        <f>0.2*testdata[[#This Row],[Im]]+0.8*V181</f>
        <v>0.19517704129456565</v>
      </c>
      <c r="W182" s="9">
        <f>IF(AND(testdata[[#This Row],[Re'']]&lt;&gt;0,testdata[[#This Row],[Im'']]&lt;&gt;0),2*PI()/ATAN(testdata[[#This Row],[Im'']]/testdata[[#This Row],[Re'']]),0)</f>
        <v>124.25897677546662</v>
      </c>
      <c r="X182" s="9">
        <f>IF(testdata[[#This Row],[pd-atan]]&gt;1.5*Z181,1.5*Z181,IF(testdata[[#This Row],[pd-atan]]&lt;0.67*Z181,0.67*Z181,testdata[[#This Row],[pd-atan]]))</f>
        <v>42.215897071353226</v>
      </c>
      <c r="Y182" s="9">
        <f>IF(testdata[[#This Row],[pd-limit1]]&lt;6,6,IF(testdata[[#This Row],[pd-limit1]]&gt;50,50,testdata[[#This Row],[pd-limit1]]))</f>
        <v>42.215897071353226</v>
      </c>
      <c r="Z182" s="14">
        <f>0.2*testdata[[#This Row],[pd-limit2]]+0.8*Z181</f>
        <v>30.95832451899237</v>
      </c>
      <c r="AA182" s="14">
        <f>0.33*testdata[[#This Row],[period]]+0.67*AA181</f>
        <v>27.197861671207161</v>
      </c>
      <c r="AB182" s="31">
        <f>TRUNC(testdata[[#This Row],[SmPd]]+0.5,0)</f>
        <v>27</v>
      </c>
      <c r="AC182" s="14">
        <f ca="1">IF(testdata[[#This Row],[PdInt]]&lt;=0,0,AVERAGE(OFFSET(testdata[[#This Row],[price]],0,0,-testdata[[#This Row],[PdInt]],1)))</f>
        <v>235.40074074074076</v>
      </c>
      <c r="AD182" s="14">
        <f ca="1">IF(testdata[[#This Row],[i]]&lt;11,testdata[[#This Row],[price]],(4*testdata[[#This Row],[iTrend]]+3*AC181+2*AC180+AC179)/10)</f>
        <v>235.25802506441224</v>
      </c>
      <c r="AE182" s="14">
        <f>(4*testdata[[#This Row],[price]]+3*H181+2*H180+H179)/10</f>
        <v>239.17799999999997</v>
      </c>
      <c r="AF182" t="str">
        <f ca="1">IF(OR(ROUND(testdata[[#This Row],[Trendline]],4)&lt;&gt;Table3[[#This Row],[Trendline]],ROUND(testdata[[#This Row],[SmPrice]],4)&lt;&gt;Table3[[#This Row],[SmPrice]]),"ERR","")</f>
        <v/>
      </c>
      <c r="AG182" s="3">
        <v>42998</v>
      </c>
      <c r="AH182" s="14">
        <v>27.1997</v>
      </c>
      <c r="AI182" s="34">
        <v>27</v>
      </c>
      <c r="AJ182" s="14">
        <v>235.4007</v>
      </c>
      <c r="AK182" s="14">
        <v>235.25800000000001</v>
      </c>
      <c r="AL182" s="14">
        <v>239.178</v>
      </c>
      <c r="AN182" s="38">
        <f t="shared" si="7"/>
        <v>0</v>
      </c>
      <c r="AO182" s="38">
        <f t="shared" si="8"/>
        <v>0</v>
      </c>
      <c r="AQ182" s="37">
        <v>42998</v>
      </c>
      <c r="AR182">
        <v>27</v>
      </c>
      <c r="AS182">
        <v>235.25802506441201</v>
      </c>
      <c r="AT182">
        <v>239.177999999999</v>
      </c>
      <c r="AV182" s="37">
        <v>42998</v>
      </c>
      <c r="AW182">
        <v>27</v>
      </c>
      <c r="AX182">
        <v>235.25802506441201</v>
      </c>
      <c r="AY182">
        <v>239.177999999999</v>
      </c>
      <c r="BA182" s="38">
        <f>AX182-Table3[[#This Row],[Trendline]]</f>
        <v>2.5064412000119773E-5</v>
      </c>
      <c r="BB182" s="38">
        <f>AY182-Table3[[#This Row],[SmPrice]]</f>
        <v>-9.9475983006414026E-13</v>
      </c>
    </row>
    <row r="183" spans="1:54" x14ac:dyDescent="0.35">
      <c r="A183" s="6">
        <v>181</v>
      </c>
      <c r="B183" s="3">
        <v>42999</v>
      </c>
      <c r="C183" s="2">
        <v>239.44</v>
      </c>
      <c r="D183" s="2">
        <v>239.54</v>
      </c>
      <c r="E183" s="2">
        <v>238.78</v>
      </c>
      <c r="F183" s="2">
        <v>238.97</v>
      </c>
      <c r="G183" s="1">
        <v>50313136</v>
      </c>
      <c r="H183" s="30">
        <f>(testdata[[#This Row],[high]]+testdata[[#This Row],[low]])/2</f>
        <v>239.16</v>
      </c>
      <c r="I183" s="23">
        <f>(4*testdata[[#This Row],[price]]+3*H182+2*H181+H180)/10</f>
        <v>239.20899999999997</v>
      </c>
      <c r="J183" s="9">
        <f>(0.0962*testdata[[#This Row],[smooth]]+0.5769*I181-0.5769*I179-0.0962*I177)*(0.075*$Z182+0.54)</f>
        <v>1.5657918363741721</v>
      </c>
      <c r="K183" s="14">
        <f t="shared" si="6"/>
        <v>2.338364925229087</v>
      </c>
      <c r="L183" s="14">
        <f>(0.0962*testdata[[#This Row],[detrender]]+0.5769*J181-0.5769*J179-0.0962*J177)*(0.075*$Z182+0.54)</f>
        <v>-1.9024025866415277</v>
      </c>
      <c r="M183" s="9">
        <f>(0.0962*testdata[[#This Row],[I1]]+0.5769*K181-0.5769*K179-0.0962*K177)*(0.075*$Z182+0.54)</f>
        <v>5.0757612685123501</v>
      </c>
      <c r="N183" s="9">
        <f>(0.0962*testdata[[#This Row],[Q1]]+0.5769*L181-0.5769*L179-0.0962*L177)*(0.075*$Z182+0.54)</f>
        <v>1.3859688666372278</v>
      </c>
      <c r="O183" s="9">
        <f>testdata[[#This Row],[I1]]-testdata[[#This Row],[JQ]]</f>
        <v>0.95239605859185916</v>
      </c>
      <c r="P183" s="9">
        <f>testdata[[#This Row],[Q1]]+testdata[[#This Row],[jI]]</f>
        <v>3.1733586818708224</v>
      </c>
      <c r="Q183" s="9">
        <f>0.2*testdata[[#This Row],[I2]]+0.8*Q182</f>
        <v>-4.9807176597704755E-2</v>
      </c>
      <c r="R183" s="9">
        <f>0.2*testdata[[#This Row],[Q2]]+0.8*R182</f>
        <v>1.4070031412137354</v>
      </c>
      <c r="S183" s="9">
        <f>testdata[[#This Row],[I2'']]*Q182+testdata[[#This Row],[Q2'']]*R182</f>
        <v>1.3733008740552211</v>
      </c>
      <c r="T183" s="9">
        <f>testdata[[#This Row],[I2'']]*R182-testdata[[#This Row],[Q2'']]*Q182</f>
        <v>0.37452007059853154</v>
      </c>
      <c r="U183" s="9">
        <f>0.2*testdata[[#This Row],[Re]]+0.8*U182</f>
        <v>3.3599520809827728</v>
      </c>
      <c r="V183" s="9">
        <f>0.2*testdata[[#This Row],[Im]]+0.8*V182</f>
        <v>0.23104564715535886</v>
      </c>
      <c r="W183" s="9">
        <f>IF(AND(testdata[[#This Row],[Re'']]&lt;&gt;0,testdata[[#This Row],[Im'']]&lt;&gt;0),2*PI()/ATAN(testdata[[#This Row],[Im'']]/testdata[[#This Row],[Re'']]),0)</f>
        <v>91.51626610186625</v>
      </c>
      <c r="X183" s="9">
        <f>IF(testdata[[#This Row],[pd-atan]]&gt;1.5*Z182,1.5*Z182,IF(testdata[[#This Row],[pd-atan]]&lt;0.67*Z182,0.67*Z182,testdata[[#This Row],[pd-atan]]))</f>
        <v>46.437486778488555</v>
      </c>
      <c r="Y183" s="9">
        <f>IF(testdata[[#This Row],[pd-limit1]]&lt;6,6,IF(testdata[[#This Row],[pd-limit1]]&gt;50,50,testdata[[#This Row],[pd-limit1]]))</f>
        <v>46.437486778488555</v>
      </c>
      <c r="Z183" s="14">
        <f>0.2*testdata[[#This Row],[pd-limit2]]+0.8*Z182</f>
        <v>34.054156970891611</v>
      </c>
      <c r="AA183" s="14">
        <f>0.33*testdata[[#This Row],[period]]+0.67*AA182</f>
        <v>29.460439120103032</v>
      </c>
      <c r="AB183" s="31">
        <f>TRUNC(testdata[[#This Row],[SmPd]]+0.5,0)</f>
        <v>29</v>
      </c>
      <c r="AC183" s="14">
        <f ca="1">IF(testdata[[#This Row],[PdInt]]&lt;=0,0,AVERAGE(OFFSET(testdata[[#This Row],[price]],0,0,-testdata[[#This Row],[PdInt]],1)))</f>
        <v>235.44465517241377</v>
      </c>
      <c r="AD183" s="14">
        <f ca="1">IF(testdata[[#This Row],[i]]&lt;11,testdata[[#This Row],[price]],(4*testdata[[#This Row],[iTrend]]+3*AC182+2*AC181+AC180)/10)</f>
        <v>235.36457345785442</v>
      </c>
      <c r="AE183" s="14">
        <f>(4*testdata[[#This Row],[price]]+3*H182+2*H181+H180)/10</f>
        <v>239.20899999999997</v>
      </c>
      <c r="AF183" t="str">
        <f ca="1">IF(OR(ROUND(testdata[[#This Row],[Trendline]],4)&lt;&gt;Table3[[#This Row],[Trendline]],ROUND(testdata[[#This Row],[SmPrice]],4)&lt;&gt;Table3[[#This Row],[SmPrice]]),"ERR","")</f>
        <v/>
      </c>
      <c r="AG183" s="3">
        <v>42999</v>
      </c>
      <c r="AH183" s="14">
        <v>29.462299999999999</v>
      </c>
      <c r="AI183" s="34">
        <v>29</v>
      </c>
      <c r="AJ183" s="14">
        <v>235.44470000000001</v>
      </c>
      <c r="AK183" s="14">
        <v>235.3646</v>
      </c>
      <c r="AL183" s="14">
        <v>239.209</v>
      </c>
      <c r="AN183" s="38">
        <f t="shared" si="7"/>
        <v>0</v>
      </c>
      <c r="AO183" s="38">
        <f t="shared" si="8"/>
        <v>0</v>
      </c>
      <c r="AQ183" s="37">
        <v>42999</v>
      </c>
      <c r="AR183">
        <v>29</v>
      </c>
      <c r="AS183">
        <v>235.36457345785399</v>
      </c>
      <c r="AT183">
        <v>239.209</v>
      </c>
      <c r="AV183" s="37">
        <v>42999</v>
      </c>
      <c r="AW183">
        <v>29</v>
      </c>
      <c r="AX183">
        <v>235.36457345785399</v>
      </c>
      <c r="AY183">
        <v>239.209</v>
      </c>
      <c r="BA183" s="38">
        <f>AX183-Table3[[#This Row],[Trendline]]</f>
        <v>-2.6542146002839218E-5</v>
      </c>
      <c r="BB183" s="38">
        <f>AY183-Table3[[#This Row],[SmPrice]]</f>
        <v>0</v>
      </c>
    </row>
    <row r="184" spans="1:54" x14ac:dyDescent="0.35">
      <c r="A184" s="6">
        <v>182</v>
      </c>
      <c r="B184" s="3">
        <v>43000</v>
      </c>
      <c r="C184" s="2">
        <v>238.65</v>
      </c>
      <c r="D184" s="2">
        <v>239.2</v>
      </c>
      <c r="E184" s="2">
        <v>238.62</v>
      </c>
      <c r="F184" s="2">
        <v>239.02</v>
      </c>
      <c r="G184" s="1">
        <v>53446664</v>
      </c>
      <c r="H184" s="30">
        <f>(testdata[[#This Row],[high]]+testdata[[#This Row],[low]])/2</f>
        <v>238.91</v>
      </c>
      <c r="I184" s="23">
        <f>(4*testdata[[#This Row],[price]]+3*H183+2*H182+H181)/10</f>
        <v>239.07750000000001</v>
      </c>
      <c r="J184" s="9">
        <f>(0.0962*testdata[[#This Row],[smooth]]+0.5769*I182-0.5769*I180-0.0962*I178)*(0.075*$Z183+0.54)</f>
        <v>1.0154899476152865</v>
      </c>
      <c r="K184" s="14">
        <f t="shared" si="6"/>
        <v>1.702154941079455</v>
      </c>
      <c r="L184" s="14">
        <f>(0.0962*testdata[[#This Row],[detrender]]+0.5769*J182-0.5769*J180-0.0962*J178)*(0.075*$Z183+0.54)</f>
        <v>-2.077318174138155</v>
      </c>
      <c r="M184" s="9">
        <f>(0.0962*testdata[[#This Row],[I1]]+0.5769*K182-0.5769*K180-0.0962*K178)*(0.075*$Z183+0.54)</f>
        <v>3.0141167343858082</v>
      </c>
      <c r="N184" s="9">
        <f>(0.0962*testdata[[#This Row],[Q1]]+0.5769*L182-0.5769*L180-0.0962*L178)*(0.075*$Z183+0.54)</f>
        <v>-8.7274942557290256</v>
      </c>
      <c r="O184" s="9">
        <f>testdata[[#This Row],[I1]]-testdata[[#This Row],[JQ]]</f>
        <v>10.42964919680848</v>
      </c>
      <c r="P184" s="9">
        <f>testdata[[#This Row],[Q1]]+testdata[[#This Row],[jI]]</f>
        <v>0.93679856024765318</v>
      </c>
      <c r="Q184" s="9">
        <f>0.2*testdata[[#This Row],[I2]]+0.8*Q183</f>
        <v>2.0460840980835324</v>
      </c>
      <c r="R184" s="9">
        <f>0.2*testdata[[#This Row],[Q2]]+0.8*R183</f>
        <v>1.3129622250205191</v>
      </c>
      <c r="S184" s="9">
        <f>testdata[[#This Row],[I2'']]*Q183+testdata[[#This Row],[Q2'']]*R183</f>
        <v>1.7454323028918437</v>
      </c>
      <c r="T184" s="9">
        <f>testdata[[#This Row],[I2'']]*R183-testdata[[#This Row],[Q2'']]*Q183</f>
        <v>2.9442416945987149</v>
      </c>
      <c r="U184" s="9">
        <f>0.2*testdata[[#This Row],[Re]]+0.8*U183</f>
        <v>3.0370481253645876</v>
      </c>
      <c r="V184" s="9">
        <f>0.2*testdata[[#This Row],[Im]]+0.8*V183</f>
        <v>0.77368485664403008</v>
      </c>
      <c r="W184" s="9">
        <f>IF(AND(testdata[[#This Row],[Re'']]&lt;&gt;0,testdata[[#This Row],[Im'']]&lt;&gt;0),2*PI()/ATAN(testdata[[#This Row],[Im'']]/testdata[[#This Row],[Re'']]),0)</f>
        <v>25.188836190935444</v>
      </c>
      <c r="X184" s="9">
        <f>IF(testdata[[#This Row],[pd-atan]]&gt;1.5*Z183,1.5*Z183,IF(testdata[[#This Row],[pd-atan]]&lt;0.67*Z183,0.67*Z183,testdata[[#This Row],[pd-atan]]))</f>
        <v>25.188836190935444</v>
      </c>
      <c r="Y184" s="9">
        <f>IF(testdata[[#This Row],[pd-limit1]]&lt;6,6,IF(testdata[[#This Row],[pd-limit1]]&gt;50,50,testdata[[#This Row],[pd-limit1]]))</f>
        <v>25.188836190935444</v>
      </c>
      <c r="Z184" s="14">
        <f>0.2*testdata[[#This Row],[pd-limit2]]+0.8*Z183</f>
        <v>32.281092814900376</v>
      </c>
      <c r="AA184" s="14">
        <f>0.33*testdata[[#This Row],[period]]+0.67*AA183</f>
        <v>30.391254839386157</v>
      </c>
      <c r="AB184" s="31">
        <f>TRUNC(testdata[[#This Row],[SmPd]]+0.5,0)</f>
        <v>30</v>
      </c>
      <c r="AC184" s="14">
        <f ca="1">IF(testdata[[#This Row],[PdInt]]&lt;=0,0,AVERAGE(OFFSET(testdata[[#This Row],[price]],0,0,-testdata[[#This Row],[PdInt]],1)))</f>
        <v>235.56016666666665</v>
      </c>
      <c r="AD184" s="14">
        <f ca="1">IF(testdata[[#This Row],[i]]&lt;11,testdata[[#This Row],[price]],(4*testdata[[#This Row],[iTrend]]+3*AC183+2*AC182+AC181)/10)</f>
        <v>235.46549136653894</v>
      </c>
      <c r="AE184" s="14">
        <f>(4*testdata[[#This Row],[price]]+3*H183+2*H182+H181)/10</f>
        <v>239.07750000000001</v>
      </c>
      <c r="AF184" t="str">
        <f ca="1">IF(OR(ROUND(testdata[[#This Row],[Trendline]],4)&lt;&gt;Table3[[#This Row],[Trendline]],ROUND(testdata[[#This Row],[SmPrice]],4)&lt;&gt;Table3[[#This Row],[SmPrice]]),"ERR","")</f>
        <v/>
      </c>
      <c r="AG184" s="3">
        <v>43000</v>
      </c>
      <c r="AH184" s="14">
        <v>30.3932</v>
      </c>
      <c r="AI184" s="34">
        <v>30</v>
      </c>
      <c r="AJ184" s="14">
        <v>235.56020000000001</v>
      </c>
      <c r="AK184" s="14">
        <v>235.46549999999999</v>
      </c>
      <c r="AL184" s="14">
        <v>239.07749999999999</v>
      </c>
      <c r="AN184" s="38">
        <f t="shared" si="7"/>
        <v>0</v>
      </c>
      <c r="AO184" s="38">
        <f t="shared" si="8"/>
        <v>0</v>
      </c>
      <c r="AQ184" s="37">
        <v>43000</v>
      </c>
      <c r="AR184">
        <v>30</v>
      </c>
      <c r="AS184">
        <v>235.465491366538</v>
      </c>
      <c r="AT184">
        <v>239.07749999999999</v>
      </c>
      <c r="AV184" s="37">
        <v>43000</v>
      </c>
      <c r="AW184">
        <v>30</v>
      </c>
      <c r="AX184">
        <v>235.465491366538</v>
      </c>
      <c r="AY184">
        <v>239.07749999999999</v>
      </c>
      <c r="BA184" s="38">
        <f>AX184-Table3[[#This Row],[Trendline]]</f>
        <v>-8.6334619879835373E-6</v>
      </c>
      <c r="BB184" s="38">
        <f>AY184-Table3[[#This Row],[SmPrice]]</f>
        <v>0</v>
      </c>
    </row>
    <row r="185" spans="1:54" x14ac:dyDescent="0.35">
      <c r="A185" s="6">
        <v>183</v>
      </c>
      <c r="B185" s="3">
        <v>43003</v>
      </c>
      <c r="C185" s="2">
        <v>238.74</v>
      </c>
      <c r="D185" s="2">
        <v>239.13</v>
      </c>
      <c r="E185" s="2">
        <v>237.72</v>
      </c>
      <c r="F185" s="2">
        <v>238.53</v>
      </c>
      <c r="G185" s="1">
        <v>59552032</v>
      </c>
      <c r="H185" s="30">
        <f>(testdata[[#This Row],[high]]+testdata[[#This Row],[low]])/2</f>
        <v>238.42500000000001</v>
      </c>
      <c r="I185" s="23">
        <f>(4*testdata[[#This Row],[price]]+3*H184+2*H183+H182)/10</f>
        <v>238.78800000000001</v>
      </c>
      <c r="J185" s="9">
        <f>(0.0962*testdata[[#This Row],[smooth]]+0.5769*I183-0.5769*I181-0.0962*I179)*(0.075*$Z184+0.54)</f>
        <v>0.33644242599093338</v>
      </c>
      <c r="K185" s="14">
        <f t="shared" si="6"/>
        <v>1.4939814850234483</v>
      </c>
      <c r="L185" s="14">
        <f>(0.0962*testdata[[#This Row],[detrender]]+0.5769*J183-0.5769*J181-0.0962*J179)*(0.075*$Z184+0.54)</f>
        <v>-0.95725103182487015</v>
      </c>
      <c r="M185" s="9">
        <f>(0.0962*testdata[[#This Row],[I1]]+0.5769*K183-0.5769*K181-0.0962*K179)*(0.075*$Z184+0.54)</f>
        <v>-0.63371635178109176</v>
      </c>
      <c r="N185" s="9">
        <f>(0.0962*testdata[[#This Row],[Q1]]+0.5769*L183-0.5769*L181-0.0962*L179)*(0.075*$Z184+0.54)</f>
        <v>-8.074966225982763</v>
      </c>
      <c r="O185" s="9">
        <f>testdata[[#This Row],[I1]]-testdata[[#This Row],[JQ]]</f>
        <v>9.5689477110062118</v>
      </c>
      <c r="P185" s="9">
        <f>testdata[[#This Row],[Q1]]+testdata[[#This Row],[jI]]</f>
        <v>-1.5909673836059619</v>
      </c>
      <c r="Q185" s="9">
        <f>0.2*testdata[[#This Row],[I2]]+0.8*Q184</f>
        <v>3.5506568206680686</v>
      </c>
      <c r="R185" s="9">
        <f>0.2*testdata[[#This Row],[Q2]]+0.8*R184</f>
        <v>0.73217630329522287</v>
      </c>
      <c r="S185" s="9">
        <f>testdata[[#This Row],[I2'']]*Q184+testdata[[#This Row],[Q2'']]*R184</f>
        <v>8.2262622868025623</v>
      </c>
      <c r="T185" s="9">
        <f>testdata[[#This Row],[I2'']]*R184-testdata[[#This Row],[Q2'']]*Q184</f>
        <v>3.1637839883826882</v>
      </c>
      <c r="U185" s="9">
        <f>0.2*testdata[[#This Row],[Re]]+0.8*U184</f>
        <v>4.0748909576521823</v>
      </c>
      <c r="V185" s="9">
        <f>0.2*testdata[[#This Row],[Im]]+0.8*V184</f>
        <v>1.251704682991762</v>
      </c>
      <c r="W185" s="9">
        <f>IF(AND(testdata[[#This Row],[Re'']]&lt;&gt;0,testdata[[#This Row],[Im'']]&lt;&gt;0),2*PI()/ATAN(testdata[[#This Row],[Im'']]/testdata[[#This Row],[Re'']]),0)</f>
        <v>21.082653291720259</v>
      </c>
      <c r="X185" s="9">
        <f>IF(testdata[[#This Row],[pd-atan]]&gt;1.5*Z184,1.5*Z184,IF(testdata[[#This Row],[pd-atan]]&lt;0.67*Z184,0.67*Z184,testdata[[#This Row],[pd-atan]]))</f>
        <v>21.628332185983254</v>
      </c>
      <c r="Y185" s="9">
        <f>IF(testdata[[#This Row],[pd-limit1]]&lt;6,6,IF(testdata[[#This Row],[pd-limit1]]&gt;50,50,testdata[[#This Row],[pd-limit1]]))</f>
        <v>21.628332185983254</v>
      </c>
      <c r="Z185" s="14">
        <f>0.2*testdata[[#This Row],[pd-limit2]]+0.8*Z184</f>
        <v>30.150540689116955</v>
      </c>
      <c r="AA185" s="14">
        <f>0.33*testdata[[#This Row],[period]]+0.67*AA184</f>
        <v>30.311819169797321</v>
      </c>
      <c r="AB185" s="31">
        <f>TRUNC(testdata[[#This Row],[SmPd]]+0.5,0)</f>
        <v>30</v>
      </c>
      <c r="AC185" s="14">
        <f ca="1">IF(testdata[[#This Row],[PdInt]]&lt;=0,0,AVERAGE(OFFSET(testdata[[#This Row],[price]],0,0,-testdata[[#This Row],[PdInt]],1)))</f>
        <v>235.74383333333336</v>
      </c>
      <c r="AD185" s="14">
        <f ca="1">IF(testdata[[#This Row],[i]]&lt;11,testdata[[#This Row],[price]],(4*testdata[[#This Row],[iTrend]]+3*AC184+2*AC183+AC182)/10)</f>
        <v>235.59458844189015</v>
      </c>
      <c r="AE185" s="14">
        <f>(4*testdata[[#This Row],[price]]+3*H184+2*H183+H182)/10</f>
        <v>238.78800000000001</v>
      </c>
      <c r="AF185" t="str">
        <f ca="1">IF(OR(ROUND(testdata[[#This Row],[Trendline]],4)&lt;&gt;Table3[[#This Row],[Trendline]],ROUND(testdata[[#This Row],[SmPrice]],4)&lt;&gt;Table3[[#This Row],[SmPrice]]),"ERR","")</f>
        <v/>
      </c>
      <c r="AG185" s="3">
        <v>43003</v>
      </c>
      <c r="AH185" s="14">
        <v>30.313700000000001</v>
      </c>
      <c r="AI185" s="34">
        <v>30</v>
      </c>
      <c r="AJ185" s="14">
        <v>235.74379999999999</v>
      </c>
      <c r="AK185" s="14">
        <v>235.59460000000001</v>
      </c>
      <c r="AL185" s="14">
        <v>238.78800000000001</v>
      </c>
      <c r="AN185" s="38">
        <f t="shared" si="7"/>
        <v>0</v>
      </c>
      <c r="AO185" s="38">
        <f t="shared" si="8"/>
        <v>0</v>
      </c>
      <c r="AQ185" s="37">
        <v>43003</v>
      </c>
      <c r="AR185">
        <v>30</v>
      </c>
      <c r="AS185">
        <v>235.59458844189001</v>
      </c>
      <c r="AT185">
        <v>238.78800000000001</v>
      </c>
      <c r="AV185" s="37">
        <v>43003</v>
      </c>
      <c r="AW185">
        <v>30</v>
      </c>
      <c r="AX185">
        <v>235.59458844189001</v>
      </c>
      <c r="AY185">
        <v>238.78800000000001</v>
      </c>
      <c r="BA185" s="38">
        <f>AX185-Table3[[#This Row],[Trendline]]</f>
        <v>-1.1558110003306865E-5</v>
      </c>
      <c r="BB185" s="38">
        <f>AY185-Table3[[#This Row],[SmPrice]]</f>
        <v>0</v>
      </c>
    </row>
    <row r="186" spans="1:54" x14ac:dyDescent="0.35">
      <c r="A186" s="6">
        <v>184</v>
      </c>
      <c r="B186" s="3">
        <v>43004</v>
      </c>
      <c r="C186" s="2">
        <v>239</v>
      </c>
      <c r="D186" s="2">
        <v>239.27</v>
      </c>
      <c r="E186" s="2">
        <v>238.41</v>
      </c>
      <c r="F186" s="2">
        <v>238.68</v>
      </c>
      <c r="G186" s="1">
        <v>56439616</v>
      </c>
      <c r="H186" s="30">
        <f>(testdata[[#This Row],[high]]+testdata[[#This Row],[low]])/2</f>
        <v>238.84</v>
      </c>
      <c r="I186" s="23">
        <f>(4*testdata[[#This Row],[price]]+3*H185+2*H184+H183)/10</f>
        <v>238.76150000000001</v>
      </c>
      <c r="J186" s="9">
        <f>(0.0962*testdata[[#This Row],[smooth]]+0.5769*I184-0.5769*I182-0.0962*I180)*(0.075*$Z185+0.54)</f>
        <v>-0.16281871041281543</v>
      </c>
      <c r="K186" s="14">
        <f t="shared" si="6"/>
        <v>1.5657918363741721</v>
      </c>
      <c r="L186" s="14">
        <f>(0.0962*testdata[[#This Row],[detrender]]+0.5769*J184-0.5769*J182-0.0962*J180)*(0.075*$Z185+0.54)</f>
        <v>-1.4473025451006296</v>
      </c>
      <c r="M186" s="9">
        <f>(0.0962*testdata[[#This Row],[I1]]+0.5769*K184-0.5769*K182-0.0962*K180)*(0.075*$Z185+0.54)</f>
        <v>-1.8621301148605056</v>
      </c>
      <c r="N186" s="9">
        <f>(0.0962*testdata[[#This Row],[Q1]]+0.5769*L184-0.5769*L182-0.0962*L180)*(0.075*$Z185+0.54)</f>
        <v>-3.9221558447337102</v>
      </c>
      <c r="O186" s="9">
        <f>testdata[[#This Row],[I1]]-testdata[[#This Row],[JQ]]</f>
        <v>5.4879476811078822</v>
      </c>
      <c r="P186" s="9">
        <f>testdata[[#This Row],[Q1]]+testdata[[#This Row],[jI]]</f>
        <v>-3.3094326599611352</v>
      </c>
      <c r="Q186" s="9">
        <f>0.2*testdata[[#This Row],[I2]]+0.8*Q185</f>
        <v>3.9381149927560317</v>
      </c>
      <c r="R186" s="9">
        <f>0.2*testdata[[#This Row],[Q2]]+0.8*R185</f>
        <v>-7.6145489356048812E-2</v>
      </c>
      <c r="S186" s="9">
        <f>testdata[[#This Row],[I2'']]*Q185+testdata[[#This Row],[Q2'']]*R185</f>
        <v>13.927142936695068</v>
      </c>
      <c r="T186" s="9">
        <f>testdata[[#This Row],[I2'']]*R185-testdata[[#This Row],[Q2'']]*Q185</f>
        <v>3.1537609784927669</v>
      </c>
      <c r="U186" s="9">
        <f>0.2*testdata[[#This Row],[Re]]+0.8*U185</f>
        <v>6.0453413534607598</v>
      </c>
      <c r="V186" s="9">
        <f>0.2*testdata[[#This Row],[Im]]+0.8*V185</f>
        <v>1.6321159420919629</v>
      </c>
      <c r="W186" s="9">
        <f>IF(AND(testdata[[#This Row],[Re'']]&lt;&gt;0,testdata[[#This Row],[Im'']]&lt;&gt;0),2*PI()/ATAN(testdata[[#This Row],[Im'']]/testdata[[#This Row],[Re'']]),0)</f>
        <v>23.827709619326608</v>
      </c>
      <c r="X186" s="9">
        <f>IF(testdata[[#This Row],[pd-atan]]&gt;1.5*Z185,1.5*Z185,IF(testdata[[#This Row],[pd-atan]]&lt;0.67*Z185,0.67*Z185,testdata[[#This Row],[pd-atan]]))</f>
        <v>23.827709619326608</v>
      </c>
      <c r="Y186" s="9">
        <f>IF(testdata[[#This Row],[pd-limit1]]&lt;6,6,IF(testdata[[#This Row],[pd-limit1]]&gt;50,50,testdata[[#This Row],[pd-limit1]]))</f>
        <v>23.827709619326608</v>
      </c>
      <c r="Z186" s="14">
        <f>0.2*testdata[[#This Row],[pd-limit2]]+0.8*Z185</f>
        <v>28.885974475158886</v>
      </c>
      <c r="AA186" s="14">
        <f>0.33*testdata[[#This Row],[period]]+0.67*AA185</f>
        <v>29.84129042056664</v>
      </c>
      <c r="AB186" s="31">
        <f>TRUNC(testdata[[#This Row],[SmPd]]+0.5,0)</f>
        <v>30</v>
      </c>
      <c r="AC186" s="14">
        <f ca="1">IF(testdata[[#This Row],[PdInt]]&lt;=0,0,AVERAGE(OFFSET(testdata[[#This Row],[price]],0,0,-testdata[[#This Row],[PdInt]],1)))</f>
        <v>235.8811666666667</v>
      </c>
      <c r="AD186" s="14">
        <f ca="1">IF(testdata[[#This Row],[i]]&lt;11,testdata[[#This Row],[price]],(4*testdata[[#This Row],[iTrend]]+3*AC185+2*AC184+AC183)/10)</f>
        <v>235.7321155172414</v>
      </c>
      <c r="AE186" s="14">
        <f>(4*testdata[[#This Row],[price]]+3*H185+2*H184+H183)/10</f>
        <v>238.76150000000001</v>
      </c>
      <c r="AF186" t="str">
        <f ca="1">IF(OR(ROUND(testdata[[#This Row],[Trendline]],4)&lt;&gt;Table3[[#This Row],[Trendline]],ROUND(testdata[[#This Row],[SmPrice]],4)&lt;&gt;Table3[[#This Row],[SmPrice]]),"ERR","")</f>
        <v/>
      </c>
      <c r="AG186" s="3">
        <v>43004</v>
      </c>
      <c r="AH186" s="14">
        <v>29.8432</v>
      </c>
      <c r="AI186" s="34">
        <v>30</v>
      </c>
      <c r="AJ186" s="14">
        <v>235.88120000000001</v>
      </c>
      <c r="AK186" s="14">
        <v>235.7321</v>
      </c>
      <c r="AL186" s="14">
        <v>238.76150000000001</v>
      </c>
      <c r="AN186" s="38">
        <f t="shared" si="7"/>
        <v>0</v>
      </c>
      <c r="AO186" s="38">
        <f t="shared" si="8"/>
        <v>0</v>
      </c>
      <c r="AQ186" s="37">
        <v>43004</v>
      </c>
      <c r="AR186">
        <v>30</v>
      </c>
      <c r="AS186">
        <v>235.732115517241</v>
      </c>
      <c r="AT186">
        <v>238.76150000000001</v>
      </c>
      <c r="AV186" s="37">
        <v>43004</v>
      </c>
      <c r="AW186">
        <v>30</v>
      </c>
      <c r="AX186">
        <v>235.732115517241</v>
      </c>
      <c r="AY186">
        <v>238.76150000000001</v>
      </c>
      <c r="BA186" s="38">
        <f>AX186-Table3[[#This Row],[Trendline]]</f>
        <v>1.5517240996132386E-5</v>
      </c>
      <c r="BB186" s="38">
        <f>AY186-Table3[[#This Row],[SmPrice]]</f>
        <v>0</v>
      </c>
    </row>
    <row r="187" spans="1:54" x14ac:dyDescent="0.35">
      <c r="A187" s="6">
        <v>185</v>
      </c>
      <c r="B187" s="3">
        <v>43005</v>
      </c>
      <c r="C187" s="2">
        <v>239.44</v>
      </c>
      <c r="D187" s="2">
        <v>240.03</v>
      </c>
      <c r="E187" s="2">
        <v>238.47</v>
      </c>
      <c r="F187" s="2">
        <v>239.6</v>
      </c>
      <c r="G187" s="1">
        <v>84532616</v>
      </c>
      <c r="H187" s="30">
        <f>(testdata[[#This Row],[high]]+testdata[[#This Row],[low]])/2</f>
        <v>239.25</v>
      </c>
      <c r="I187" s="23">
        <f>(4*testdata[[#This Row],[price]]+3*H186+2*H185+H184)/10</f>
        <v>238.92799999999997</v>
      </c>
      <c r="J187" s="9">
        <f>(0.0962*testdata[[#This Row],[smooth]]+0.5769*I185-0.5769*I183-0.0962*I181)*(0.075*$Z186+0.54)</f>
        <v>-0.69677289448872659</v>
      </c>
      <c r="K187" s="14">
        <f t="shared" si="6"/>
        <v>1.0154899476152865</v>
      </c>
      <c r="L187" s="14">
        <f>(0.0962*testdata[[#This Row],[detrender]]+0.5769*J185-0.5769*J183-0.0962*J181)*(0.075*$Z186+0.54)</f>
        <v>-2.5440301646618524</v>
      </c>
      <c r="M187" s="9">
        <f>(0.0962*testdata[[#This Row],[I1]]+0.5769*K185-0.5769*K183-0.0962*K181)*(0.075*$Z186+0.54)</f>
        <v>-1.8170787167369666</v>
      </c>
      <c r="N187" s="9">
        <f>(0.0962*testdata[[#This Row],[Q1]]+0.5769*L185-0.5769*L183-0.0962*L181)*(0.075*$Z186+0.54)</f>
        <v>0.18968836446247295</v>
      </c>
      <c r="O187" s="9">
        <f>testdata[[#This Row],[I1]]-testdata[[#This Row],[JQ]]</f>
        <v>0.8258015831528136</v>
      </c>
      <c r="P187" s="9">
        <f>testdata[[#This Row],[Q1]]+testdata[[#This Row],[jI]]</f>
        <v>-4.3611088813988186</v>
      </c>
      <c r="Q187" s="9">
        <f>0.2*testdata[[#This Row],[I2]]+0.8*Q186</f>
        <v>3.3156523108353886</v>
      </c>
      <c r="R187" s="9">
        <f>0.2*testdata[[#This Row],[Q2]]+0.8*R186</f>
        <v>-0.93313816776460279</v>
      </c>
      <c r="S187" s="9">
        <f>testdata[[#This Row],[I2'']]*Q186+testdata[[#This Row],[Q2'']]*R186</f>
        <v>13.128474338488269</v>
      </c>
      <c r="T187" s="9">
        <f>testdata[[#This Row],[I2'']]*R186-testdata[[#This Row],[Q2'']]*Q186</f>
        <v>3.4223334410436004</v>
      </c>
      <c r="U187" s="9">
        <f>0.2*testdata[[#This Row],[Re]]+0.8*U186</f>
        <v>7.4619679504662617</v>
      </c>
      <c r="V187" s="9">
        <f>0.2*testdata[[#This Row],[Im]]+0.8*V186</f>
        <v>1.9901594418822905</v>
      </c>
      <c r="W187" s="9">
        <f>IF(AND(testdata[[#This Row],[Re'']]&lt;&gt;0,testdata[[#This Row],[Im'']]&lt;&gt;0),2*PI()/ATAN(testdata[[#This Row],[Im'']]/testdata[[#This Row],[Re'']]),0)</f>
        <v>24.106749163577849</v>
      </c>
      <c r="X187" s="9">
        <f>IF(testdata[[#This Row],[pd-atan]]&gt;1.5*Z186,1.5*Z186,IF(testdata[[#This Row],[pd-atan]]&lt;0.67*Z186,0.67*Z186,testdata[[#This Row],[pd-atan]]))</f>
        <v>24.106749163577849</v>
      </c>
      <c r="Y187" s="9">
        <f>IF(testdata[[#This Row],[pd-limit1]]&lt;6,6,IF(testdata[[#This Row],[pd-limit1]]&gt;50,50,testdata[[#This Row],[pd-limit1]]))</f>
        <v>24.106749163577849</v>
      </c>
      <c r="Z187" s="14">
        <f>0.2*testdata[[#This Row],[pd-limit2]]+0.8*Z186</f>
        <v>27.930129412842678</v>
      </c>
      <c r="AA187" s="14">
        <f>0.33*testdata[[#This Row],[period]]+0.67*AA186</f>
        <v>29.210607288017734</v>
      </c>
      <c r="AB187" s="31">
        <f>TRUNC(testdata[[#This Row],[SmPd]]+0.5,0)</f>
        <v>29</v>
      </c>
      <c r="AC187" s="14">
        <f ca="1">IF(testdata[[#This Row],[PdInt]]&lt;=0,0,AVERAGE(OFFSET(testdata[[#This Row],[price]],0,0,-testdata[[#This Row],[PdInt]],1)))</f>
        <v>236.0362068965517</v>
      </c>
      <c r="AD187" s="14">
        <f ca="1">IF(testdata[[#This Row],[i]]&lt;11,testdata[[#This Row],[price]],(4*testdata[[#This Row],[iTrend]]+3*AC186+2*AC185+AC184)/10)</f>
        <v>235.88361609195402</v>
      </c>
      <c r="AE187" s="14">
        <f>(4*testdata[[#This Row],[price]]+3*H186+2*H185+H184)/10</f>
        <v>238.92799999999997</v>
      </c>
      <c r="AF187" t="str">
        <f ca="1">IF(OR(ROUND(testdata[[#This Row],[Trendline]],4)&lt;&gt;Table3[[#This Row],[Trendline]],ROUND(testdata[[#This Row],[SmPrice]],4)&lt;&gt;Table3[[#This Row],[SmPrice]]),"ERR","")</f>
        <v/>
      </c>
      <c r="AG187" s="3">
        <v>43005</v>
      </c>
      <c r="AH187" s="14">
        <v>29.212399999999999</v>
      </c>
      <c r="AI187" s="34">
        <v>29</v>
      </c>
      <c r="AJ187" s="14">
        <v>236.03620000000001</v>
      </c>
      <c r="AK187" s="14">
        <v>235.8836</v>
      </c>
      <c r="AL187" s="14">
        <v>238.928</v>
      </c>
      <c r="AN187" s="38">
        <f t="shared" si="7"/>
        <v>0</v>
      </c>
      <c r="AO187" s="38">
        <f t="shared" si="8"/>
        <v>0</v>
      </c>
      <c r="AQ187" s="37">
        <v>43005</v>
      </c>
      <c r="AR187">
        <v>29</v>
      </c>
      <c r="AS187">
        <v>235.883616091954</v>
      </c>
      <c r="AT187">
        <v>238.927999999999</v>
      </c>
      <c r="AV187" s="37">
        <v>43005</v>
      </c>
      <c r="AW187">
        <v>29</v>
      </c>
      <c r="AX187">
        <v>235.883616091954</v>
      </c>
      <c r="AY187">
        <v>238.927999999999</v>
      </c>
      <c r="BA187" s="38">
        <f>AX187-Table3[[#This Row],[Trendline]]</f>
        <v>1.6091953995100994E-5</v>
      </c>
      <c r="BB187" s="38">
        <f>AY187-Table3[[#This Row],[SmPrice]]</f>
        <v>-9.9475983006414026E-13</v>
      </c>
    </row>
    <row r="188" spans="1:54" x14ac:dyDescent="0.35">
      <c r="A188" s="6">
        <v>186</v>
      </c>
      <c r="B188" s="3">
        <v>43006</v>
      </c>
      <c r="C188" s="2">
        <v>239.3</v>
      </c>
      <c r="D188" s="2">
        <v>239.98</v>
      </c>
      <c r="E188" s="2">
        <v>239.2</v>
      </c>
      <c r="F188" s="2">
        <v>239.89</v>
      </c>
      <c r="G188" s="1">
        <v>46730936</v>
      </c>
      <c r="H188" s="30">
        <f>(testdata[[#This Row],[high]]+testdata[[#This Row],[low]])/2</f>
        <v>239.58999999999997</v>
      </c>
      <c r="I188" s="23">
        <f>(4*testdata[[#This Row],[price]]+3*H187+2*H186+H185)/10</f>
        <v>239.22150000000002</v>
      </c>
      <c r="J188" s="9">
        <f>(0.0962*testdata[[#This Row],[smooth]]+0.5769*I186-0.5769*I184-0.0962*I182)*(0.075*$Z187+0.54)</f>
        <v>-0.46929206935942785</v>
      </c>
      <c r="K188" s="14">
        <f t="shared" si="6"/>
        <v>0.33644242599093338</v>
      </c>
      <c r="L188" s="14">
        <f>(0.0962*testdata[[#This Row],[detrender]]+0.5769*J186-0.5769*J184-0.0962*J182)*(0.075*$Z187+0.54)</f>
        <v>-2.2886397038975979</v>
      </c>
      <c r="M188" s="9">
        <f>(0.0962*testdata[[#This Row],[I1]]+0.5769*K186-0.5769*K184-0.0962*K182)*(0.075*$Z187+0.54)</f>
        <v>-0.85175840461775032</v>
      </c>
      <c r="N188" s="9">
        <f>(0.0962*testdata[[#This Row],[Q1]]+0.5769*L186-0.5769*L184-0.0962*L182)*(0.075*$Z187+0.54)</f>
        <v>0.5213244094659496</v>
      </c>
      <c r="O188" s="9">
        <f>testdata[[#This Row],[I1]]-testdata[[#This Row],[JQ]]</f>
        <v>-0.18488198347501622</v>
      </c>
      <c r="P188" s="9">
        <f>testdata[[#This Row],[Q1]]+testdata[[#This Row],[jI]]</f>
        <v>-3.1403981085153481</v>
      </c>
      <c r="Q188" s="9">
        <f>0.2*testdata[[#This Row],[I2]]+0.8*Q187</f>
        <v>2.6155454519733077</v>
      </c>
      <c r="R188" s="9">
        <f>0.2*testdata[[#This Row],[Q2]]+0.8*R187</f>
        <v>-1.3745901559147518</v>
      </c>
      <c r="S188" s="9">
        <f>testdata[[#This Row],[I2'']]*Q187+testdata[[#This Row],[Q2'']]*R187</f>
        <v>9.9549218614478399</v>
      </c>
      <c r="T188" s="9">
        <f>testdata[[#This Row],[I2'']]*R187-testdata[[#This Row],[Q2'']]*Q187</f>
        <v>2.1169977361509114</v>
      </c>
      <c r="U188" s="9">
        <f>0.2*testdata[[#This Row],[Re]]+0.8*U187</f>
        <v>7.9605587326625775</v>
      </c>
      <c r="V188" s="9">
        <f>0.2*testdata[[#This Row],[Im]]+0.8*V187</f>
        <v>2.0155271007360147</v>
      </c>
      <c r="W188" s="9">
        <f>IF(AND(testdata[[#This Row],[Re'']]&lt;&gt;0,testdata[[#This Row],[Im'']]&lt;&gt;0),2*PI()/ATAN(testdata[[#This Row],[Im'']]/testdata[[#This Row],[Re'']]),0)</f>
        <v>25.337676753629513</v>
      </c>
      <c r="X188" s="9">
        <f>IF(testdata[[#This Row],[pd-atan]]&gt;1.5*Z187,1.5*Z187,IF(testdata[[#This Row],[pd-atan]]&lt;0.67*Z187,0.67*Z187,testdata[[#This Row],[pd-atan]]))</f>
        <v>25.337676753629513</v>
      </c>
      <c r="Y188" s="9">
        <f>IF(testdata[[#This Row],[pd-limit1]]&lt;6,6,IF(testdata[[#This Row],[pd-limit1]]&gt;50,50,testdata[[#This Row],[pd-limit1]]))</f>
        <v>25.337676753629513</v>
      </c>
      <c r="Z188" s="14">
        <f>0.2*testdata[[#This Row],[pd-limit2]]+0.8*Z187</f>
        <v>27.411638881000044</v>
      </c>
      <c r="AA188" s="14">
        <f>0.33*testdata[[#This Row],[period]]+0.67*AA187</f>
        <v>28.616947713701897</v>
      </c>
      <c r="AB188" s="31">
        <f>TRUNC(testdata[[#This Row],[SmPd]]+0.5,0)</f>
        <v>29</v>
      </c>
      <c r="AC188" s="14">
        <f ca="1">IF(testdata[[#This Row],[PdInt]]&lt;=0,0,AVERAGE(OFFSET(testdata[[#This Row],[price]],0,0,-testdata[[#This Row],[PdInt]],1)))</f>
        <v>236.24758620689656</v>
      </c>
      <c r="AD188" s="14">
        <f ca="1">IF(testdata[[#This Row],[i]]&lt;11,testdata[[#This Row],[price]],(4*testdata[[#This Row],[iTrend]]+3*AC187+2*AC186+AC185)/10)</f>
        <v>236.06051321839081</v>
      </c>
      <c r="AE188" s="14">
        <f>(4*testdata[[#This Row],[price]]+3*H187+2*H186+H185)/10</f>
        <v>239.22150000000002</v>
      </c>
      <c r="AF188" t="str">
        <f ca="1">IF(OR(ROUND(testdata[[#This Row],[Trendline]],4)&lt;&gt;Table3[[#This Row],[Trendline]],ROUND(testdata[[#This Row],[SmPrice]],4)&lt;&gt;Table3[[#This Row],[SmPrice]]),"ERR","")</f>
        <v/>
      </c>
      <c r="AG188" s="3">
        <v>43006</v>
      </c>
      <c r="AH188" s="14">
        <v>28.6187</v>
      </c>
      <c r="AI188" s="34">
        <v>29</v>
      </c>
      <c r="AJ188" s="14">
        <v>236.24760000000001</v>
      </c>
      <c r="AK188" s="14">
        <v>236.06049999999999</v>
      </c>
      <c r="AL188" s="14">
        <v>239.22149999999999</v>
      </c>
      <c r="AN188" s="38">
        <f t="shared" si="7"/>
        <v>0</v>
      </c>
      <c r="AO188" s="38">
        <f t="shared" si="8"/>
        <v>0</v>
      </c>
      <c r="AQ188" s="37">
        <v>43006</v>
      </c>
      <c r="AR188">
        <v>29</v>
      </c>
      <c r="AS188">
        <v>236.06051321839001</v>
      </c>
      <c r="AT188">
        <v>239.22149999999999</v>
      </c>
      <c r="AV188" s="37">
        <v>43006</v>
      </c>
      <c r="AW188">
        <v>29</v>
      </c>
      <c r="AX188">
        <v>236.06051321839001</v>
      </c>
      <c r="AY188">
        <v>239.22149999999999</v>
      </c>
      <c r="BA188" s="38">
        <f>AX188-Table3[[#This Row],[Trendline]]</f>
        <v>1.3218390023439497E-5</v>
      </c>
      <c r="BB188" s="38">
        <f>AY188-Table3[[#This Row],[SmPrice]]</f>
        <v>0</v>
      </c>
    </row>
    <row r="189" spans="1:54" x14ac:dyDescent="0.35">
      <c r="A189" s="6">
        <v>187</v>
      </c>
      <c r="B189" s="3">
        <v>43007</v>
      </c>
      <c r="C189" s="2">
        <v>239.88</v>
      </c>
      <c r="D189" s="2">
        <v>240.82</v>
      </c>
      <c r="E189" s="2">
        <v>239.68</v>
      </c>
      <c r="F189" s="2">
        <v>240.74</v>
      </c>
      <c r="G189" s="1">
        <v>89308704</v>
      </c>
      <c r="H189" s="30">
        <f>(testdata[[#This Row],[high]]+testdata[[#This Row],[low]])/2</f>
        <v>240.25</v>
      </c>
      <c r="I189" s="23">
        <f>(4*testdata[[#This Row],[price]]+3*H188+2*H187+H186)/10</f>
        <v>239.71100000000001</v>
      </c>
      <c r="J189" s="9">
        <f>(0.0962*testdata[[#This Row],[smooth]]+0.5769*I187-0.5769*I185-0.0962*I183)*(0.075*$Z188+0.54)</f>
        <v>0.33501920515194167</v>
      </c>
      <c r="K189" s="14">
        <f t="shared" si="6"/>
        <v>-0.16281871041281543</v>
      </c>
      <c r="L189" s="14">
        <f>(0.0962*testdata[[#This Row],[detrender]]+0.5769*J187-0.5769*J185-0.0962*J183)*(0.075*$Z188+0.54)</f>
        <v>-1.8546531926731111</v>
      </c>
      <c r="M189" s="9">
        <f>(0.0962*testdata[[#This Row],[I1]]+0.5769*K187-0.5769*K185-0.0962*K183)*(0.075*$Z188+0.54)</f>
        <v>-1.3411723664062329</v>
      </c>
      <c r="N189" s="9">
        <f>(0.0962*testdata[[#This Row],[Q1]]+0.5769*L187-0.5769*L185-0.0962*L183)*(0.075*$Z188+0.54)</f>
        <v>-2.3643713860249389</v>
      </c>
      <c r="O189" s="9">
        <f>testdata[[#This Row],[I1]]-testdata[[#This Row],[JQ]]</f>
        <v>2.2015526756121235</v>
      </c>
      <c r="P189" s="9">
        <f>testdata[[#This Row],[Q1]]+testdata[[#This Row],[jI]]</f>
        <v>-3.1958255590793438</v>
      </c>
      <c r="Q189" s="9">
        <f>0.2*testdata[[#This Row],[I2]]+0.8*Q188</f>
        <v>2.5327468967010711</v>
      </c>
      <c r="R189" s="9">
        <f>0.2*testdata[[#This Row],[Q2]]+0.8*R188</f>
        <v>-1.7388372365476703</v>
      </c>
      <c r="S189" s="9">
        <f>testdata[[#This Row],[I2'']]*Q188+testdata[[#This Row],[Q2'']]*R188</f>
        <v>9.0147031747624329</v>
      </c>
      <c r="T189" s="9">
        <f>testdata[[#This Row],[I2'']]*R188-testdata[[#This Row],[Q2'']]*Q188</f>
        <v>1.0665188741451646</v>
      </c>
      <c r="U189" s="9">
        <f>0.2*testdata[[#This Row],[Re]]+0.8*U188</f>
        <v>8.1713876210825482</v>
      </c>
      <c r="V189" s="9">
        <f>0.2*testdata[[#This Row],[Im]]+0.8*V188</f>
        <v>1.8257254554178448</v>
      </c>
      <c r="W189" s="9">
        <f>IF(AND(testdata[[#This Row],[Re'']]&lt;&gt;0,testdata[[#This Row],[Im'']]&lt;&gt;0),2*PI()/ATAN(testdata[[#This Row],[Im'']]/testdata[[#This Row],[Re'']]),0)</f>
        <v>28.583488999983267</v>
      </c>
      <c r="X189" s="9">
        <f>IF(testdata[[#This Row],[pd-atan]]&gt;1.5*Z188,1.5*Z188,IF(testdata[[#This Row],[pd-atan]]&lt;0.67*Z188,0.67*Z188,testdata[[#This Row],[pd-atan]]))</f>
        <v>28.583488999983267</v>
      </c>
      <c r="Y189" s="9">
        <f>IF(testdata[[#This Row],[pd-limit1]]&lt;6,6,IF(testdata[[#This Row],[pd-limit1]]&gt;50,50,testdata[[#This Row],[pd-limit1]]))</f>
        <v>28.583488999983267</v>
      </c>
      <c r="Z189" s="14">
        <f>0.2*testdata[[#This Row],[pd-limit2]]+0.8*Z188</f>
        <v>27.646008904796687</v>
      </c>
      <c r="AA189" s="14">
        <f>0.33*testdata[[#This Row],[period]]+0.67*AA188</f>
        <v>28.296537906763181</v>
      </c>
      <c r="AB189" s="31">
        <f>TRUNC(testdata[[#This Row],[SmPd]]+0.5,0)</f>
        <v>28</v>
      </c>
      <c r="AC189" s="14">
        <f ca="1">IF(testdata[[#This Row],[PdInt]]&lt;=0,0,AVERAGE(OFFSET(testdata[[#This Row],[price]],0,0,-testdata[[#This Row],[PdInt]],1)))</f>
        <v>236.72535714285718</v>
      </c>
      <c r="AD189" s="14">
        <f ca="1">IF(testdata[[#This Row],[i]]&lt;11,testdata[[#This Row],[price]],(4*testdata[[#This Row],[iTrend]]+3*AC188+2*AC187+AC186)/10)</f>
        <v>236.35977676518883</v>
      </c>
      <c r="AE189" s="14">
        <f>(4*testdata[[#This Row],[price]]+3*H188+2*H187+H186)/10</f>
        <v>239.71100000000001</v>
      </c>
      <c r="AF189" t="str">
        <f ca="1">IF(OR(ROUND(testdata[[#This Row],[Trendline]],4)&lt;&gt;Table3[[#This Row],[Trendline]],ROUND(testdata[[#This Row],[SmPrice]],4)&lt;&gt;Table3[[#This Row],[SmPrice]]),"ERR","")</f>
        <v/>
      </c>
      <c r="AG189" s="3">
        <v>43007</v>
      </c>
      <c r="AH189" s="14">
        <v>28.298100000000002</v>
      </c>
      <c r="AI189" s="34">
        <v>28</v>
      </c>
      <c r="AJ189" s="14">
        <v>236.72540000000001</v>
      </c>
      <c r="AK189" s="14">
        <v>236.35980000000001</v>
      </c>
      <c r="AL189" s="14">
        <v>239.71100000000001</v>
      </c>
      <c r="AN189" s="38">
        <f t="shared" si="7"/>
        <v>0</v>
      </c>
      <c r="AO189" s="38">
        <f t="shared" si="8"/>
        <v>0</v>
      </c>
      <c r="AQ189" s="37">
        <v>43007</v>
      </c>
      <c r="AR189">
        <v>28</v>
      </c>
      <c r="AS189">
        <v>236.359776765188</v>
      </c>
      <c r="AT189">
        <v>239.71100000000001</v>
      </c>
      <c r="AV189" s="37">
        <v>43007</v>
      </c>
      <c r="AW189">
        <v>28</v>
      </c>
      <c r="AX189">
        <v>236.359776765188</v>
      </c>
      <c r="AY189">
        <v>239.71100000000001</v>
      </c>
      <c r="BA189" s="38">
        <f>AX189-Table3[[#This Row],[Trendline]]</f>
        <v>-2.3234812005057393E-5</v>
      </c>
      <c r="BB189" s="38">
        <f>AY189-Table3[[#This Row],[SmPrice]]</f>
        <v>0</v>
      </c>
    </row>
    <row r="190" spans="1:54" x14ac:dyDescent="0.35">
      <c r="A190" s="6">
        <v>188</v>
      </c>
      <c r="B190" s="3">
        <v>43010</v>
      </c>
      <c r="C190" s="2">
        <v>240.98</v>
      </c>
      <c r="D190" s="2">
        <v>241.78</v>
      </c>
      <c r="E190" s="2">
        <v>240.8</v>
      </c>
      <c r="F190" s="2">
        <v>241.78</v>
      </c>
      <c r="G190" s="1">
        <v>61596044</v>
      </c>
      <c r="H190" s="30">
        <f>(testdata[[#This Row],[high]]+testdata[[#This Row],[low]])/2</f>
        <v>241.29000000000002</v>
      </c>
      <c r="I190" s="23">
        <f>(4*testdata[[#This Row],[price]]+3*H189+2*H188+H187)/10</f>
        <v>240.43400000000003</v>
      </c>
      <c r="J190" s="9">
        <f>(0.0962*testdata[[#This Row],[smooth]]+0.5769*I188-0.5769*I186-0.0962*I184)*(0.075*$Z189+0.54)</f>
        <v>1.0345848864702216</v>
      </c>
      <c r="K190" s="14">
        <f t="shared" si="6"/>
        <v>-0.69677289448872659</v>
      </c>
      <c r="L190" s="14">
        <f>(0.0962*testdata[[#This Row],[detrender]]+0.5769*J188-0.5769*J186-0.0962*J184)*(0.075*$Z189+0.54)</f>
        <v>-0.45726905428177461</v>
      </c>
      <c r="M190" s="9">
        <f>(0.0962*testdata[[#This Row],[I1]]+0.5769*K188-0.5769*K186-0.0962*K184)*(0.075*$Z189+0.54)</f>
        <v>-2.4566136583869533</v>
      </c>
      <c r="N190" s="9">
        <f>(0.0962*testdata[[#This Row],[Q1]]+0.5769*L188-0.5769*L186-0.0962*L184)*(0.075*$Z189+0.54)</f>
        <v>-0.86118081844695948</v>
      </c>
      <c r="O190" s="9">
        <f>testdata[[#This Row],[I1]]-testdata[[#This Row],[JQ]]</f>
        <v>0.16440792395823289</v>
      </c>
      <c r="P190" s="9">
        <f>testdata[[#This Row],[Q1]]+testdata[[#This Row],[jI]]</f>
        <v>-2.9138827126687281</v>
      </c>
      <c r="Q190" s="9">
        <f>0.2*testdata[[#This Row],[I2]]+0.8*Q189</f>
        <v>2.0590791021525034</v>
      </c>
      <c r="R190" s="9">
        <f>0.2*testdata[[#This Row],[Q2]]+0.8*R189</f>
        <v>-1.973846331771882</v>
      </c>
      <c r="S190" s="9">
        <f>testdata[[#This Row],[I2'']]*Q189+testdata[[#This Row],[Q2'']]*R189</f>
        <v>8.6473237069467572</v>
      </c>
      <c r="T190" s="9">
        <f>testdata[[#This Row],[I2'']]*R189-testdata[[#This Row],[Q2'']]*Q189</f>
        <v>1.4188497555401098</v>
      </c>
      <c r="U190" s="9">
        <f>0.2*testdata[[#This Row],[Re]]+0.8*U189</f>
        <v>8.2665748382553907</v>
      </c>
      <c r="V190" s="9">
        <f>0.2*testdata[[#This Row],[Im]]+0.8*V189</f>
        <v>1.7443503154422979</v>
      </c>
      <c r="W190" s="9">
        <f>IF(AND(testdata[[#This Row],[Re'']]&lt;&gt;0,testdata[[#This Row],[Im'']]&lt;&gt;0),2*PI()/ATAN(testdata[[#This Row],[Im'']]/testdata[[#This Row],[Re'']]),0)</f>
        <v>30.213185608917424</v>
      </c>
      <c r="X190" s="9">
        <f>IF(testdata[[#This Row],[pd-atan]]&gt;1.5*Z189,1.5*Z189,IF(testdata[[#This Row],[pd-atan]]&lt;0.67*Z189,0.67*Z189,testdata[[#This Row],[pd-atan]]))</f>
        <v>30.213185608917424</v>
      </c>
      <c r="Y190" s="9">
        <f>IF(testdata[[#This Row],[pd-limit1]]&lt;6,6,IF(testdata[[#This Row],[pd-limit1]]&gt;50,50,testdata[[#This Row],[pd-limit1]]))</f>
        <v>30.213185608917424</v>
      </c>
      <c r="Z190" s="14">
        <f>0.2*testdata[[#This Row],[pd-limit2]]+0.8*Z189</f>
        <v>28.159444245620836</v>
      </c>
      <c r="AA190" s="14">
        <f>0.33*testdata[[#This Row],[period]]+0.67*AA189</f>
        <v>28.251296998586206</v>
      </c>
      <c r="AB190" s="31">
        <f>TRUNC(testdata[[#This Row],[SmPd]]+0.5,0)</f>
        <v>28</v>
      </c>
      <c r="AC190" s="14">
        <f ca="1">IF(testdata[[#This Row],[PdInt]]&lt;=0,0,AVERAGE(OFFSET(testdata[[#This Row],[price]],0,0,-testdata[[#This Row],[PdInt]],1)))</f>
        <v>237.01392857142858</v>
      </c>
      <c r="AD190" s="14">
        <f ca="1">IF(testdata[[#This Row],[i]]&lt;11,testdata[[#This Row],[price]],(4*testdata[[#This Row],[iTrend]]+3*AC189+2*AC188+AC187)/10)</f>
        <v>236.67631650246307</v>
      </c>
      <c r="AE190" s="14">
        <f>(4*testdata[[#This Row],[price]]+3*H189+2*H188+H187)/10</f>
        <v>240.43400000000003</v>
      </c>
      <c r="AF190" t="str">
        <f ca="1">IF(OR(ROUND(testdata[[#This Row],[Trendline]],4)&lt;&gt;Table3[[#This Row],[Trendline]],ROUND(testdata[[#This Row],[SmPrice]],4)&lt;&gt;Table3[[#This Row],[SmPrice]]),"ERR","")</f>
        <v/>
      </c>
      <c r="AG190" s="3">
        <v>43010</v>
      </c>
      <c r="AH190" s="14">
        <v>28.252800000000001</v>
      </c>
      <c r="AI190" s="34">
        <v>28</v>
      </c>
      <c r="AJ190" s="14">
        <v>237.01390000000001</v>
      </c>
      <c r="AK190" s="14">
        <v>236.6763</v>
      </c>
      <c r="AL190" s="14">
        <v>240.434</v>
      </c>
      <c r="AN190" s="38">
        <f t="shared" si="7"/>
        <v>0</v>
      </c>
      <c r="AO190" s="38">
        <f t="shared" si="8"/>
        <v>0</v>
      </c>
      <c r="AQ190" s="37">
        <v>43010</v>
      </c>
      <c r="AR190">
        <v>28</v>
      </c>
      <c r="AS190">
        <v>236.67631650246301</v>
      </c>
      <c r="AT190">
        <v>240.433999999999</v>
      </c>
      <c r="AV190" s="37">
        <v>43010</v>
      </c>
      <c r="AW190">
        <v>28</v>
      </c>
      <c r="AX190">
        <v>236.67631650246301</v>
      </c>
      <c r="AY190">
        <v>240.433999999999</v>
      </c>
      <c r="BA190" s="38">
        <f>AX190-Table3[[#This Row],[Trendline]]</f>
        <v>1.6502463012102453E-5</v>
      </c>
      <c r="BB190" s="38">
        <f>AY190-Table3[[#This Row],[SmPrice]]</f>
        <v>-9.9475983006414026E-13</v>
      </c>
    </row>
    <row r="191" spans="1:54" x14ac:dyDescent="0.35">
      <c r="A191" s="6">
        <v>189</v>
      </c>
      <c r="B191" s="3">
        <v>43011</v>
      </c>
      <c r="C191" s="2">
        <v>241.91</v>
      </c>
      <c r="D191" s="2">
        <v>242.33</v>
      </c>
      <c r="E191" s="2">
        <v>241.69</v>
      </c>
      <c r="F191" s="2">
        <v>242.3</v>
      </c>
      <c r="G191" s="1">
        <v>69722704</v>
      </c>
      <c r="H191" s="30">
        <f>(testdata[[#This Row],[high]]+testdata[[#This Row],[low]])/2</f>
        <v>242.01</v>
      </c>
      <c r="I191" s="23">
        <f>(4*testdata[[#This Row],[price]]+3*H190+2*H189+H188)/10</f>
        <v>241.2</v>
      </c>
      <c r="J191" s="9">
        <f>(0.0962*testdata[[#This Row],[smooth]]+0.5769*I189-0.5769*I187-0.0962*I185)*(0.075*$Z190+0.54)</f>
        <v>1.8132688095416993</v>
      </c>
      <c r="K191" s="14">
        <f t="shared" si="6"/>
        <v>-0.46929206935942785</v>
      </c>
      <c r="L191" s="14">
        <f>(0.0962*testdata[[#This Row],[detrender]]+0.5769*J189-0.5769*J187-0.0962*J185)*(0.075*$Z190+0.54)</f>
        <v>1.9553195258188796</v>
      </c>
      <c r="M191" s="9">
        <f>(0.0962*testdata[[#This Row],[I1]]+0.5769*K189-0.5769*K187-0.0962*K185)*(0.075*$Z190+0.54)</f>
        <v>-2.3035789893417578</v>
      </c>
      <c r="N191" s="9">
        <f>(0.0962*testdata[[#This Row],[Q1]]+0.5769*L189-0.5769*L187-0.0962*L185)*(0.075*$Z190+0.54)</f>
        <v>1.7977383125463307</v>
      </c>
      <c r="O191" s="9">
        <f>testdata[[#This Row],[I1]]-testdata[[#This Row],[JQ]]</f>
        <v>-2.2670303819057587</v>
      </c>
      <c r="P191" s="9">
        <f>testdata[[#This Row],[Q1]]+testdata[[#This Row],[jI]]</f>
        <v>-0.34825946352287818</v>
      </c>
      <c r="Q191" s="9">
        <f>0.2*testdata[[#This Row],[I2]]+0.8*Q190</f>
        <v>1.1938572053408509</v>
      </c>
      <c r="R191" s="9">
        <f>0.2*testdata[[#This Row],[Q2]]+0.8*R190</f>
        <v>-1.6487289581220814</v>
      </c>
      <c r="S191" s="9">
        <f>testdata[[#This Row],[I2'']]*Q190+testdata[[#This Row],[Q2'']]*R190</f>
        <v>5.7125840285468836</v>
      </c>
      <c r="T191" s="9">
        <f>testdata[[#This Row],[I2'']]*R190-testdata[[#This Row],[Q2'']]*Q190</f>
        <v>1.0383726773613788</v>
      </c>
      <c r="U191" s="9">
        <f>0.2*testdata[[#This Row],[Re]]+0.8*U190</f>
        <v>7.7557766763136904</v>
      </c>
      <c r="V191" s="9">
        <f>0.2*testdata[[#This Row],[Im]]+0.8*V190</f>
        <v>1.6031547878261141</v>
      </c>
      <c r="W191" s="9">
        <f>IF(AND(testdata[[#This Row],[Re'']]&lt;&gt;0,testdata[[#This Row],[Im'']]&lt;&gt;0),2*PI()/ATAN(testdata[[#This Row],[Im'']]/testdata[[#This Row],[Re'']]),0)</f>
        <v>30.825024800814003</v>
      </c>
      <c r="X191" s="9">
        <f>IF(testdata[[#This Row],[pd-atan]]&gt;1.5*Z190,1.5*Z190,IF(testdata[[#This Row],[pd-atan]]&lt;0.67*Z190,0.67*Z190,testdata[[#This Row],[pd-atan]]))</f>
        <v>30.825024800814003</v>
      </c>
      <c r="Y191" s="9">
        <f>IF(testdata[[#This Row],[pd-limit1]]&lt;6,6,IF(testdata[[#This Row],[pd-limit1]]&gt;50,50,testdata[[#This Row],[pd-limit1]]))</f>
        <v>30.825024800814003</v>
      </c>
      <c r="Z191" s="14">
        <f>0.2*testdata[[#This Row],[pd-limit2]]+0.8*Z190</f>
        <v>28.69256035665947</v>
      </c>
      <c r="AA191" s="14">
        <f>0.33*testdata[[#This Row],[period]]+0.67*AA190</f>
        <v>28.396913906750385</v>
      </c>
      <c r="AB191" s="31">
        <f>TRUNC(testdata[[#This Row],[SmPd]]+0.5,0)</f>
        <v>28</v>
      </c>
      <c r="AC191" s="14">
        <f ca="1">IF(testdata[[#This Row],[PdInt]]&lt;=0,0,AVERAGE(OFFSET(testdata[[#This Row],[price]],0,0,-testdata[[#This Row],[PdInt]],1)))</f>
        <v>237.32750000000004</v>
      </c>
      <c r="AD191" s="14">
        <f ca="1">IF(testdata[[#This Row],[i]]&lt;11,testdata[[#This Row],[price]],(4*testdata[[#This Row],[iTrend]]+3*AC190+2*AC189+AC188)/10)</f>
        <v>237.00500862068967</v>
      </c>
      <c r="AE191" s="14">
        <f>(4*testdata[[#This Row],[price]]+3*H190+2*H189+H188)/10</f>
        <v>241.2</v>
      </c>
      <c r="AF191" t="str">
        <f ca="1">IF(OR(ROUND(testdata[[#This Row],[Trendline]],4)&lt;&gt;Table3[[#This Row],[Trendline]],ROUND(testdata[[#This Row],[SmPrice]],4)&lt;&gt;Table3[[#This Row],[SmPrice]]),"ERR","")</f>
        <v/>
      </c>
      <c r="AG191" s="3">
        <v>43011</v>
      </c>
      <c r="AH191" s="14">
        <v>28.398299999999999</v>
      </c>
      <c r="AI191" s="34">
        <v>28</v>
      </c>
      <c r="AJ191" s="14">
        <v>237.32749999999999</v>
      </c>
      <c r="AK191" s="14">
        <v>237.005</v>
      </c>
      <c r="AL191" s="14">
        <v>241.2</v>
      </c>
      <c r="AN191" s="38">
        <f t="shared" si="7"/>
        <v>0</v>
      </c>
      <c r="AO191" s="38">
        <f t="shared" si="8"/>
        <v>0</v>
      </c>
      <c r="AQ191" s="37">
        <v>43011</v>
      </c>
      <c r="AR191">
        <v>28</v>
      </c>
      <c r="AS191">
        <v>237.00500862068901</v>
      </c>
      <c r="AT191">
        <v>241.2</v>
      </c>
      <c r="AV191" s="37">
        <v>43011</v>
      </c>
      <c r="AW191">
        <v>28</v>
      </c>
      <c r="AX191">
        <v>237.00500862068901</v>
      </c>
      <c r="AY191">
        <v>241.2</v>
      </c>
      <c r="BA191" s="38">
        <f>AX191-Table3[[#This Row],[Trendline]]</f>
        <v>8.6206890159701288E-6</v>
      </c>
      <c r="BB191" s="38">
        <f>AY191-Table3[[#This Row],[SmPrice]]</f>
        <v>0</v>
      </c>
    </row>
    <row r="192" spans="1:54" x14ac:dyDescent="0.35">
      <c r="A192" s="6">
        <v>190</v>
      </c>
      <c r="B192" s="3">
        <v>43012</v>
      </c>
      <c r="C192" s="2">
        <v>242.13</v>
      </c>
      <c r="D192" s="2">
        <v>242.85</v>
      </c>
      <c r="E192" s="2">
        <v>242.01</v>
      </c>
      <c r="F192" s="2">
        <v>242.58</v>
      </c>
      <c r="G192" s="1">
        <v>58392872</v>
      </c>
      <c r="H192" s="30">
        <f>(testdata[[#This Row],[high]]+testdata[[#This Row],[low]])/2</f>
        <v>242.43</v>
      </c>
      <c r="I192" s="23">
        <f>(4*testdata[[#This Row],[price]]+3*H191+2*H190+H189)/10</f>
        <v>241.858</v>
      </c>
      <c r="J192" s="9">
        <f>(0.0962*testdata[[#This Row],[smooth]]+0.5769*I190-0.5769*I188-0.0962*I186)*(0.075*$Z191+0.54)</f>
        <v>2.6848744675553018</v>
      </c>
      <c r="K192" s="14">
        <f t="shared" si="6"/>
        <v>0.33501920515194167</v>
      </c>
      <c r="L192" s="14">
        <f>(0.0962*testdata[[#This Row],[detrender]]+0.5769*J190-0.5769*J188-0.0962*J186)*(0.075*$Z191+0.54)</f>
        <v>3.0729452326809295</v>
      </c>
      <c r="M192" s="9">
        <f>(0.0962*testdata[[#This Row],[I1]]+0.5769*K190-0.5769*K188-0.0962*K186)*(0.075*$Z191+0.54)</f>
        <v>-1.9232909452095683</v>
      </c>
      <c r="N192" s="9">
        <f>(0.0962*testdata[[#This Row],[Q1]]+0.5769*L190-0.5769*L188-0.0962*L186)*(0.075*$Z191+0.54)</f>
        <v>4.0146696389407017</v>
      </c>
      <c r="O192" s="9">
        <f>testdata[[#This Row],[I1]]-testdata[[#This Row],[JQ]]</f>
        <v>-3.6796504337887601</v>
      </c>
      <c r="P192" s="9">
        <f>testdata[[#This Row],[Q1]]+testdata[[#This Row],[jI]]</f>
        <v>1.1496542874713611</v>
      </c>
      <c r="Q192" s="9">
        <f>0.2*testdata[[#This Row],[I2]]+0.8*Q191</f>
        <v>0.2191556775149287</v>
      </c>
      <c r="R192" s="9">
        <f>0.2*testdata[[#This Row],[Q2]]+0.8*R191</f>
        <v>-1.089052309003393</v>
      </c>
      <c r="S192" s="9">
        <f>testdata[[#This Row],[I2'']]*Q191+testdata[[#This Row],[Q2'']]*R191</f>
        <v>2.0571926634561648</v>
      </c>
      <c r="T192" s="9">
        <f>testdata[[#This Row],[I2'']]*R191-testdata[[#This Row],[Q2'']]*Q191</f>
        <v>0.93884463424106435</v>
      </c>
      <c r="U192" s="9">
        <f>0.2*testdata[[#This Row],[Re]]+0.8*U191</f>
        <v>6.6160598737421852</v>
      </c>
      <c r="V192" s="9">
        <f>0.2*testdata[[#This Row],[Im]]+0.8*V191</f>
        <v>1.4702927571091045</v>
      </c>
      <c r="W192" s="9">
        <f>IF(AND(testdata[[#This Row],[Re'']]&lt;&gt;0,testdata[[#This Row],[Im'']]&lt;&gt;0),2*PI()/ATAN(testdata[[#This Row],[Im'']]/testdata[[#This Row],[Re'']]),0)</f>
        <v>28.732696532228978</v>
      </c>
      <c r="X192" s="9">
        <f>IF(testdata[[#This Row],[pd-atan]]&gt;1.5*Z191,1.5*Z191,IF(testdata[[#This Row],[pd-atan]]&lt;0.67*Z191,0.67*Z191,testdata[[#This Row],[pd-atan]]))</f>
        <v>28.732696532228978</v>
      </c>
      <c r="Y192" s="9">
        <f>IF(testdata[[#This Row],[pd-limit1]]&lt;6,6,IF(testdata[[#This Row],[pd-limit1]]&gt;50,50,testdata[[#This Row],[pd-limit1]]))</f>
        <v>28.732696532228978</v>
      </c>
      <c r="Z192" s="14">
        <f>0.2*testdata[[#This Row],[pd-limit2]]+0.8*Z191</f>
        <v>28.700587591773374</v>
      </c>
      <c r="AA192" s="14">
        <f>0.33*testdata[[#This Row],[period]]+0.67*AA191</f>
        <v>28.497126222807971</v>
      </c>
      <c r="AB192" s="31">
        <f>TRUNC(testdata[[#This Row],[SmPd]]+0.5,0)</f>
        <v>28</v>
      </c>
      <c r="AC192" s="14">
        <f ca="1">IF(testdata[[#This Row],[PdInt]]&lt;=0,0,AVERAGE(OFFSET(testdata[[#This Row],[price]],0,0,-testdata[[#This Row],[PdInt]],1)))</f>
        <v>237.6608928571429</v>
      </c>
      <c r="AD192" s="14">
        <f ca="1">IF(testdata[[#This Row],[i]]&lt;11,testdata[[#This Row],[price]],(4*testdata[[#This Row],[iTrend]]+3*AC191+2*AC190+AC189)/10)</f>
        <v>237.33792857142862</v>
      </c>
      <c r="AE192" s="14">
        <f>(4*testdata[[#This Row],[price]]+3*H191+2*H190+H189)/10</f>
        <v>241.858</v>
      </c>
      <c r="AF192" t="str">
        <f ca="1">IF(OR(ROUND(testdata[[#This Row],[Trendline]],4)&lt;&gt;Table3[[#This Row],[Trendline]],ROUND(testdata[[#This Row],[SmPrice]],4)&lt;&gt;Table3[[#This Row],[SmPrice]]),"ERR","")</f>
        <v/>
      </c>
      <c r="AG192" s="3">
        <v>43012</v>
      </c>
      <c r="AH192" s="14">
        <v>28.4984</v>
      </c>
      <c r="AI192" s="34">
        <v>28</v>
      </c>
      <c r="AJ192" s="14">
        <v>237.6609</v>
      </c>
      <c r="AK192" s="14">
        <v>237.33789999999999</v>
      </c>
      <c r="AL192" s="14">
        <v>241.858</v>
      </c>
      <c r="AN192" s="38">
        <f t="shared" si="7"/>
        <v>0</v>
      </c>
      <c r="AO192" s="38">
        <f t="shared" si="8"/>
        <v>0</v>
      </c>
      <c r="AQ192" s="37">
        <v>43012</v>
      </c>
      <c r="AR192">
        <v>28</v>
      </c>
      <c r="AS192">
        <v>237.33792857142799</v>
      </c>
      <c r="AT192">
        <v>241.858</v>
      </c>
      <c r="AV192" s="37">
        <v>43012</v>
      </c>
      <c r="AW192">
        <v>28</v>
      </c>
      <c r="AX192">
        <v>237.33792857142799</v>
      </c>
      <c r="AY192">
        <v>241.858</v>
      </c>
      <c r="BA192" s="38">
        <f>AX192-Table3[[#This Row],[Trendline]]</f>
        <v>2.8571428003942856E-5</v>
      </c>
      <c r="BB192" s="38">
        <f>AY192-Table3[[#This Row],[SmPrice]]</f>
        <v>0</v>
      </c>
    </row>
    <row r="193" spans="1:54" x14ac:dyDescent="0.35">
      <c r="A193" s="6">
        <v>191</v>
      </c>
      <c r="B193" s="3">
        <v>43013</v>
      </c>
      <c r="C193" s="2">
        <v>242.95</v>
      </c>
      <c r="D193" s="2">
        <v>244.04</v>
      </c>
      <c r="E193" s="2">
        <v>242.62</v>
      </c>
      <c r="F193" s="2">
        <v>244.02</v>
      </c>
      <c r="G193" s="1">
        <v>66291980</v>
      </c>
      <c r="H193" s="30">
        <f>(testdata[[#This Row],[high]]+testdata[[#This Row],[low]])/2</f>
        <v>243.32999999999998</v>
      </c>
      <c r="I193" s="23">
        <f>(4*testdata[[#This Row],[price]]+3*H192+2*H191+H190)/10</f>
        <v>242.59200000000001</v>
      </c>
      <c r="J193" s="9">
        <f>(0.0962*testdata[[#This Row],[smooth]]+0.5769*I191-0.5769*I189-0.0962*I187)*(0.075*$Z192+0.54)</f>
        <v>3.2619657124657491</v>
      </c>
      <c r="K193" s="14">
        <f t="shared" si="6"/>
        <v>1.0345848864702216</v>
      </c>
      <c r="L193" s="14">
        <f>(0.0962*testdata[[#This Row],[detrender]]+0.5769*J191-0.5769*J189-0.0962*J187)*(0.075*$Z192+0.54)</f>
        <v>3.3216108161138478</v>
      </c>
      <c r="M193" s="9">
        <f>(0.0962*testdata[[#This Row],[I1]]+0.5769*K191-0.5769*K189-0.0962*K187)*(0.075*$Z192+0.54)</f>
        <v>-0.47110783278226354</v>
      </c>
      <c r="N193" s="9">
        <f>(0.0962*testdata[[#This Row],[Q1]]+0.5769*L191-0.5769*L189-0.0962*L187)*(0.075*$Z192+0.54)</f>
        <v>7.437474264985692</v>
      </c>
      <c r="O193" s="9">
        <f>testdata[[#This Row],[I1]]-testdata[[#This Row],[JQ]]</f>
        <v>-6.4028893785154706</v>
      </c>
      <c r="P193" s="9">
        <f>testdata[[#This Row],[Q1]]+testdata[[#This Row],[jI]]</f>
        <v>2.8505029833315843</v>
      </c>
      <c r="Q193" s="9">
        <f>0.2*testdata[[#This Row],[I2]]+0.8*Q192</f>
        <v>-1.1052533336911512</v>
      </c>
      <c r="R193" s="9">
        <f>0.2*testdata[[#This Row],[Q2]]+0.8*R192</f>
        <v>-0.30114125053639762</v>
      </c>
      <c r="S193" s="9">
        <f>testdata[[#This Row],[I2'']]*Q192+testdata[[#This Row],[Q2'']]*R192</f>
        <v>8.5736031062115275E-2</v>
      </c>
      <c r="T193" s="9">
        <f>testdata[[#This Row],[I2'']]*R192-testdata[[#This Row],[Q2'']]*Q192</f>
        <v>1.2696755098790429</v>
      </c>
      <c r="U193" s="9">
        <f>0.2*testdata[[#This Row],[Re]]+0.8*U192</f>
        <v>5.3099951052061716</v>
      </c>
      <c r="V193" s="9">
        <f>0.2*testdata[[#This Row],[Im]]+0.8*V192</f>
        <v>1.4301693076630921</v>
      </c>
      <c r="W193" s="9">
        <f>IF(AND(testdata[[#This Row],[Re'']]&lt;&gt;0,testdata[[#This Row],[Im'']]&lt;&gt;0),2*PI()/ATAN(testdata[[#This Row],[Im'']]/testdata[[#This Row],[Re'']]),0)</f>
        <v>23.882063618357435</v>
      </c>
      <c r="X193" s="9">
        <f>IF(testdata[[#This Row],[pd-atan]]&gt;1.5*Z192,1.5*Z192,IF(testdata[[#This Row],[pd-atan]]&lt;0.67*Z192,0.67*Z192,testdata[[#This Row],[pd-atan]]))</f>
        <v>23.882063618357435</v>
      </c>
      <c r="Y193" s="9">
        <f>IF(testdata[[#This Row],[pd-limit1]]&lt;6,6,IF(testdata[[#This Row],[pd-limit1]]&gt;50,50,testdata[[#This Row],[pd-limit1]]))</f>
        <v>23.882063618357435</v>
      </c>
      <c r="Z193" s="14">
        <f>0.2*testdata[[#This Row],[pd-limit2]]+0.8*Z192</f>
        <v>27.736882797090189</v>
      </c>
      <c r="AA193" s="14">
        <f>0.33*testdata[[#This Row],[period]]+0.67*AA192</f>
        <v>28.246245892321106</v>
      </c>
      <c r="AB193" s="31">
        <f>TRUNC(testdata[[#This Row],[SmPd]]+0.5,0)</f>
        <v>28</v>
      </c>
      <c r="AC193" s="14">
        <f ca="1">IF(testdata[[#This Row],[PdInt]]&lt;=0,0,AVERAGE(OFFSET(testdata[[#This Row],[price]],0,0,-testdata[[#This Row],[PdInt]],1)))</f>
        <v>238.0082142857143</v>
      </c>
      <c r="AD193" s="14">
        <f ca="1">IF(testdata[[#This Row],[i]]&lt;11,testdata[[#This Row],[price]],(4*testdata[[#This Row],[iTrend]]+3*AC192+2*AC191+AC190)/10)</f>
        <v>237.66844642857146</v>
      </c>
      <c r="AE193" s="14">
        <f>(4*testdata[[#This Row],[price]]+3*H192+2*H191+H190)/10</f>
        <v>242.59200000000001</v>
      </c>
      <c r="AF193" t="str">
        <f ca="1">IF(OR(ROUND(testdata[[#This Row],[Trendline]],4)&lt;&gt;Table3[[#This Row],[Trendline]],ROUND(testdata[[#This Row],[SmPrice]],4)&lt;&gt;Table3[[#This Row],[SmPrice]]),"ERR","")</f>
        <v/>
      </c>
      <c r="AG193" s="3">
        <v>43013</v>
      </c>
      <c r="AH193" s="14">
        <v>28.247399999999999</v>
      </c>
      <c r="AI193" s="34">
        <v>28</v>
      </c>
      <c r="AJ193" s="14">
        <v>238.00819999999999</v>
      </c>
      <c r="AK193" s="14">
        <v>237.66839999999999</v>
      </c>
      <c r="AL193" s="14">
        <v>242.59200000000001</v>
      </c>
      <c r="AN193" s="38">
        <f t="shared" si="7"/>
        <v>0</v>
      </c>
      <c r="AO193" s="38">
        <f t="shared" si="8"/>
        <v>0</v>
      </c>
      <c r="AQ193" s="37">
        <v>43013</v>
      </c>
      <c r="AR193">
        <v>28</v>
      </c>
      <c r="AS193">
        <v>237.668446428571</v>
      </c>
      <c r="AT193">
        <v>242.59200000000001</v>
      </c>
      <c r="AV193" s="37">
        <v>43013</v>
      </c>
      <c r="AW193">
        <v>28</v>
      </c>
      <c r="AX193">
        <v>237.668446428571</v>
      </c>
      <c r="AY193">
        <v>242.59200000000001</v>
      </c>
      <c r="BA193" s="38">
        <f>AX193-Table3[[#This Row],[Trendline]]</f>
        <v>4.6428571010892483E-5</v>
      </c>
      <c r="BB193" s="38">
        <f>AY193-Table3[[#This Row],[SmPrice]]</f>
        <v>0</v>
      </c>
    </row>
    <row r="194" spans="1:54" x14ac:dyDescent="0.35">
      <c r="A194" s="6">
        <v>192</v>
      </c>
      <c r="B194" s="3">
        <v>43014</v>
      </c>
      <c r="C194" s="2">
        <v>243.53</v>
      </c>
      <c r="D194" s="2">
        <v>244.06</v>
      </c>
      <c r="E194" s="2">
        <v>243.25</v>
      </c>
      <c r="F194" s="2">
        <v>243.74</v>
      </c>
      <c r="G194" s="1">
        <v>84161696</v>
      </c>
      <c r="H194" s="30">
        <f>(testdata[[#This Row],[high]]+testdata[[#This Row],[low]])/2</f>
        <v>243.655</v>
      </c>
      <c r="I194" s="23">
        <f>(4*testdata[[#This Row],[price]]+3*H193+2*H192+H191)/10</f>
        <v>243.14800000000005</v>
      </c>
      <c r="J194" s="9">
        <f>(0.0962*testdata[[#This Row],[smooth]]+0.5769*I192-0.5769*I190-0.0962*I188)*(0.075*$Z193+0.54)</f>
        <v>3.1423146860609954</v>
      </c>
      <c r="K194" s="14">
        <f t="shared" si="6"/>
        <v>1.8132688095416993</v>
      </c>
      <c r="L194" s="14">
        <f>(0.0962*testdata[[#This Row],[detrender]]+0.5769*J192-0.5769*J190-0.0962*J188)*(0.075*$Z193+0.54)</f>
        <v>3.4050061450868836</v>
      </c>
      <c r="M194" s="9">
        <f>(0.0962*testdata[[#This Row],[I1]]+0.5769*K192-0.5769*K190-0.0962*K188)*(0.075*$Z193+0.54)</f>
        <v>1.9319525677459282</v>
      </c>
      <c r="N194" s="9">
        <f>(0.0962*testdata[[#This Row],[Q1]]+0.5769*L192-0.5769*L190-0.0962*L188)*(0.075*$Z193+0.54)</f>
        <v>6.7715784728200825</v>
      </c>
      <c r="O194" s="9">
        <f>testdata[[#This Row],[I1]]-testdata[[#This Row],[JQ]]</f>
        <v>-4.9583096632783832</v>
      </c>
      <c r="P194" s="9">
        <f>testdata[[#This Row],[Q1]]+testdata[[#This Row],[jI]]</f>
        <v>5.3369587128328115</v>
      </c>
      <c r="Q194" s="9">
        <f>0.2*testdata[[#This Row],[I2]]+0.8*Q193</f>
        <v>-1.8758645996085979</v>
      </c>
      <c r="R194" s="9">
        <f>0.2*testdata[[#This Row],[Q2]]+0.8*R193</f>
        <v>0.82647874213744432</v>
      </c>
      <c r="S194" s="9">
        <f>testdata[[#This Row],[I2'']]*Q193+testdata[[#This Row],[Q2'']]*R193</f>
        <v>1.8244187603216007</v>
      </c>
      <c r="T194" s="9">
        <f>testdata[[#This Row],[I2'']]*R193-testdata[[#This Row],[Q2'']]*Q193</f>
        <v>1.4783685963353717</v>
      </c>
      <c r="U194" s="9">
        <f>0.2*testdata[[#This Row],[Re]]+0.8*U193</f>
        <v>4.6128798362292578</v>
      </c>
      <c r="V194" s="9">
        <f>0.2*testdata[[#This Row],[Im]]+0.8*V193</f>
        <v>1.4398091653975482</v>
      </c>
      <c r="W194" s="9">
        <f>IF(AND(testdata[[#This Row],[Re'']]&lt;&gt;0,testdata[[#This Row],[Im'']]&lt;&gt;0),2*PI()/ATAN(testdata[[#This Row],[Im'']]/testdata[[#This Row],[Re'']]),0)</f>
        <v>20.767704539723532</v>
      </c>
      <c r="X194" s="9">
        <f>IF(testdata[[#This Row],[pd-atan]]&gt;1.5*Z193,1.5*Z193,IF(testdata[[#This Row],[pd-atan]]&lt;0.67*Z193,0.67*Z193,testdata[[#This Row],[pd-atan]]))</f>
        <v>20.767704539723532</v>
      </c>
      <c r="Y194" s="9">
        <f>IF(testdata[[#This Row],[pd-limit1]]&lt;6,6,IF(testdata[[#This Row],[pd-limit1]]&gt;50,50,testdata[[#This Row],[pd-limit1]]))</f>
        <v>20.767704539723532</v>
      </c>
      <c r="Z194" s="14">
        <f>0.2*testdata[[#This Row],[pd-limit2]]+0.8*Z193</f>
        <v>26.343047145616858</v>
      </c>
      <c r="AA194" s="14">
        <f>0.33*testdata[[#This Row],[period]]+0.67*AA193</f>
        <v>27.618190305908705</v>
      </c>
      <c r="AB194" s="31">
        <f>TRUNC(testdata[[#This Row],[SmPd]]+0.5,0)</f>
        <v>28</v>
      </c>
      <c r="AC194" s="14">
        <f ca="1">IF(testdata[[#This Row],[PdInt]]&lt;=0,0,AVERAGE(OFFSET(testdata[[#This Row],[price]],0,0,-testdata[[#This Row],[PdInt]],1)))</f>
        <v>238.37910714285718</v>
      </c>
      <c r="AD194" s="14">
        <f ca="1">IF(testdata[[#This Row],[i]]&lt;11,testdata[[#This Row],[price]],(4*testdata[[#This Row],[iTrend]]+3*AC193+2*AC192+AC191)/10)</f>
        <v>238.01903571428574</v>
      </c>
      <c r="AE194" s="14">
        <f>(4*testdata[[#This Row],[price]]+3*H193+2*H192+H191)/10</f>
        <v>243.14800000000005</v>
      </c>
      <c r="AF194" t="str">
        <f ca="1">IF(OR(ROUND(testdata[[#This Row],[Trendline]],4)&lt;&gt;Table3[[#This Row],[Trendline]],ROUND(testdata[[#This Row],[SmPrice]],4)&lt;&gt;Table3[[#This Row],[SmPrice]]),"ERR","")</f>
        <v/>
      </c>
      <c r="AG194" s="3">
        <v>43014</v>
      </c>
      <c r="AH194" s="14">
        <v>27.619199999999999</v>
      </c>
      <c r="AI194" s="34">
        <v>28</v>
      </c>
      <c r="AJ194" s="14">
        <v>238.37909999999999</v>
      </c>
      <c r="AK194" s="14">
        <v>238.01900000000001</v>
      </c>
      <c r="AL194" s="14">
        <v>243.148</v>
      </c>
      <c r="AN194" s="38">
        <f t="shared" si="7"/>
        <v>0</v>
      </c>
      <c r="AO194" s="38">
        <f t="shared" si="8"/>
        <v>0</v>
      </c>
      <c r="AQ194" s="37">
        <v>43014</v>
      </c>
      <c r="AR194">
        <v>28</v>
      </c>
      <c r="AS194">
        <v>238.019035714285</v>
      </c>
      <c r="AT194">
        <v>243.148</v>
      </c>
      <c r="AV194" s="37">
        <v>43014</v>
      </c>
      <c r="AW194">
        <v>28</v>
      </c>
      <c r="AX194">
        <v>238.019035714285</v>
      </c>
      <c r="AY194">
        <v>243.148</v>
      </c>
      <c r="BA194" s="38">
        <f>AX194-Table3[[#This Row],[Trendline]]</f>
        <v>3.5714284990717715E-5</v>
      </c>
      <c r="BB194" s="38">
        <f>AY194-Table3[[#This Row],[SmPrice]]</f>
        <v>0</v>
      </c>
    </row>
    <row r="195" spans="1:54" x14ac:dyDescent="0.35">
      <c r="A195" s="6">
        <v>193</v>
      </c>
      <c r="B195" s="3">
        <v>43017</v>
      </c>
      <c r="C195" s="2">
        <v>243.99</v>
      </c>
      <c r="D195" s="2">
        <v>244.06</v>
      </c>
      <c r="E195" s="2">
        <v>243.05</v>
      </c>
      <c r="F195" s="2">
        <v>243.34</v>
      </c>
      <c r="G195" s="1">
        <v>37363944</v>
      </c>
      <c r="H195" s="30">
        <f>(testdata[[#This Row],[high]]+testdata[[#This Row],[low]])/2</f>
        <v>243.55500000000001</v>
      </c>
      <c r="I195" s="23">
        <f>(4*testdata[[#This Row],[price]]+3*H194+2*H193+H192)/10</f>
        <v>243.42749999999995</v>
      </c>
      <c r="J195" s="9">
        <f>(0.0962*testdata[[#This Row],[smooth]]+0.5769*I193-0.5769*I191-0.0962*I189)*(0.075*$Z194+0.54)</f>
        <v>2.9196843499640655</v>
      </c>
      <c r="K195" s="14">
        <f t="shared" si="6"/>
        <v>2.6848744675553018</v>
      </c>
      <c r="L195" s="14">
        <f>(0.0962*testdata[[#This Row],[detrender]]+0.5769*J193-0.5769*J191-0.0962*J189)*(0.075*$Z194+0.54)</f>
        <v>2.7280510689409128</v>
      </c>
      <c r="M195" s="9">
        <f>(0.0962*testdata[[#This Row],[I1]]+0.5769*K193-0.5769*K191-0.0962*K189)*(0.075*$Z194+0.54)</f>
        <v>2.8717914183737068</v>
      </c>
      <c r="N195" s="9">
        <f>(0.0962*testdata[[#This Row],[Q1]]+0.5769*L193-0.5769*L191-0.0962*L189)*(0.075*$Z194+0.54)</f>
        <v>3.0920054536261041</v>
      </c>
      <c r="O195" s="9">
        <f>testdata[[#This Row],[I1]]-testdata[[#This Row],[JQ]]</f>
        <v>-0.40713098607080234</v>
      </c>
      <c r="P195" s="9">
        <f>testdata[[#This Row],[Q1]]+testdata[[#This Row],[jI]]</f>
        <v>5.5998424873146195</v>
      </c>
      <c r="Q195" s="9">
        <f>0.2*testdata[[#This Row],[I2]]+0.8*Q194</f>
        <v>-1.5821178769010389</v>
      </c>
      <c r="R195" s="9">
        <f>0.2*testdata[[#This Row],[Q2]]+0.8*R194</f>
        <v>1.7811514911728796</v>
      </c>
      <c r="S195" s="9">
        <f>testdata[[#This Row],[I2'']]*Q194+testdata[[#This Row],[Q2'']]*R194</f>
        <v>4.4399227616673667</v>
      </c>
      <c r="T195" s="9">
        <f>testdata[[#This Row],[I2'']]*R194-testdata[[#This Row],[Q2'']]*Q194</f>
        <v>2.0336122360169364</v>
      </c>
      <c r="U195" s="9">
        <f>0.2*testdata[[#This Row],[Re]]+0.8*U194</f>
        <v>4.5782884213168797</v>
      </c>
      <c r="V195" s="9">
        <f>0.2*testdata[[#This Row],[Im]]+0.8*V194</f>
        <v>1.5585697795214259</v>
      </c>
      <c r="W195" s="9">
        <f>IF(AND(testdata[[#This Row],[Re'']]&lt;&gt;0,testdata[[#This Row],[Im'']]&lt;&gt;0),2*PI()/ATAN(testdata[[#This Row],[Im'']]/testdata[[#This Row],[Re'']]),0)</f>
        <v>19.149013066080229</v>
      </c>
      <c r="X195" s="9">
        <f>IF(testdata[[#This Row],[pd-atan]]&gt;1.5*Z194,1.5*Z194,IF(testdata[[#This Row],[pd-atan]]&lt;0.67*Z194,0.67*Z194,testdata[[#This Row],[pd-atan]]))</f>
        <v>19.149013066080229</v>
      </c>
      <c r="Y195" s="9">
        <f>IF(testdata[[#This Row],[pd-limit1]]&lt;6,6,IF(testdata[[#This Row],[pd-limit1]]&gt;50,50,testdata[[#This Row],[pd-limit1]]))</f>
        <v>19.149013066080229</v>
      </c>
      <c r="Z195" s="14">
        <f>0.2*testdata[[#This Row],[pd-limit2]]+0.8*Z194</f>
        <v>24.904240329709534</v>
      </c>
      <c r="AA195" s="14">
        <f>0.33*testdata[[#This Row],[period]]+0.67*AA194</f>
        <v>26.72258681376298</v>
      </c>
      <c r="AB195" s="31">
        <f>TRUNC(testdata[[#This Row],[SmPd]]+0.5,0)</f>
        <v>27</v>
      </c>
      <c r="AC195" s="14">
        <f ca="1">IF(testdata[[#This Row],[PdInt]]&lt;=0,0,AVERAGE(OFFSET(testdata[[#This Row],[price]],0,0,-testdata[[#This Row],[PdInt]],1)))</f>
        <v>238.94166666666666</v>
      </c>
      <c r="AD195" s="14">
        <f ca="1">IF(testdata[[#This Row],[i]]&lt;11,testdata[[#This Row],[price]],(4*testdata[[#This Row],[iTrend]]+3*AC194+2*AC193+AC192)/10)</f>
        <v>238.45813095238094</v>
      </c>
      <c r="AE195" s="14">
        <f>(4*testdata[[#This Row],[price]]+3*H194+2*H193+H192)/10</f>
        <v>243.42749999999995</v>
      </c>
      <c r="AF195" t="str">
        <f ca="1">IF(OR(ROUND(testdata[[#This Row],[Trendline]],4)&lt;&gt;Table3[[#This Row],[Trendline]],ROUND(testdata[[#This Row],[SmPrice]],4)&lt;&gt;Table3[[#This Row],[SmPrice]]),"ERR","")</f>
        <v/>
      </c>
      <c r="AG195" s="3">
        <v>43017</v>
      </c>
      <c r="AH195" s="14">
        <v>26.723500000000001</v>
      </c>
      <c r="AI195" s="34">
        <v>27</v>
      </c>
      <c r="AJ195" s="14">
        <v>238.9417</v>
      </c>
      <c r="AK195" s="14">
        <v>238.4581</v>
      </c>
      <c r="AL195" s="14">
        <v>243.42750000000001</v>
      </c>
      <c r="AN195" s="38">
        <f t="shared" si="7"/>
        <v>0</v>
      </c>
      <c r="AO195" s="38">
        <f t="shared" si="8"/>
        <v>0</v>
      </c>
      <c r="AQ195" s="37">
        <v>43017</v>
      </c>
      <c r="AR195">
        <v>27</v>
      </c>
      <c r="AS195">
        <v>238.45813095238</v>
      </c>
      <c r="AT195">
        <v>243.42749999999899</v>
      </c>
      <c r="AV195" s="37">
        <v>43017</v>
      </c>
      <c r="AW195">
        <v>27</v>
      </c>
      <c r="AX195">
        <v>238.45813095238</v>
      </c>
      <c r="AY195">
        <v>243.42749999999899</v>
      </c>
      <c r="BA195" s="38">
        <f>AX195-Table3[[#This Row],[Trendline]]</f>
        <v>3.0952380001281199E-5</v>
      </c>
      <c r="BB195" s="38">
        <f>AY195-Table3[[#This Row],[SmPrice]]</f>
        <v>-1.0231815394945443E-12</v>
      </c>
    </row>
    <row r="196" spans="1:54" x14ac:dyDescent="0.35">
      <c r="A196" s="6">
        <v>194</v>
      </c>
      <c r="B196" s="3">
        <v>43018</v>
      </c>
      <c r="C196" s="2">
        <v>243.96</v>
      </c>
      <c r="D196" s="2">
        <v>244.4</v>
      </c>
      <c r="E196" s="2">
        <v>243.37</v>
      </c>
      <c r="F196" s="2">
        <v>243.98</v>
      </c>
      <c r="G196" s="1">
        <v>44934412</v>
      </c>
      <c r="H196" s="30">
        <f>(testdata[[#This Row],[high]]+testdata[[#This Row],[low]])/2</f>
        <v>243.88499999999999</v>
      </c>
      <c r="I196" s="23">
        <f>(4*testdata[[#This Row],[price]]+3*H195+2*H194+H193)/10</f>
        <v>243.68449999999999</v>
      </c>
      <c r="J196" s="9">
        <f>(0.0962*testdata[[#This Row],[smooth]]+0.5769*I194-0.5769*I192-0.0962*I190)*(0.075*$Z195+0.54)</f>
        <v>2.5448207032990768</v>
      </c>
      <c r="K196" s="14">
        <f t="shared" si="6"/>
        <v>3.2619657124657491</v>
      </c>
      <c r="L196" s="14">
        <f>(0.0962*testdata[[#This Row],[detrender]]+0.5769*J194-0.5769*J192-0.0962*J190)*(0.075*$Z195+0.54)</f>
        <v>0.9852356689086379</v>
      </c>
      <c r="M196" s="9">
        <f>(0.0962*testdata[[#This Row],[I1]]+0.5769*K194-0.5769*K192-0.0962*K190)*(0.075*$Z195+0.54)</f>
        <v>2.9703634139603232</v>
      </c>
      <c r="N196" s="9">
        <f>(0.0962*testdata[[#This Row],[Q1]]+0.5769*L194-0.5769*L192-0.0962*L190)*(0.075*$Z195+0.54)</f>
        <v>0.79538631374664359</v>
      </c>
      <c r="O196" s="9">
        <f>testdata[[#This Row],[I1]]-testdata[[#This Row],[JQ]]</f>
        <v>2.4665793987191056</v>
      </c>
      <c r="P196" s="9">
        <f>testdata[[#This Row],[Q1]]+testdata[[#This Row],[jI]]</f>
        <v>3.9555990828689609</v>
      </c>
      <c r="Q196" s="9">
        <f>0.2*testdata[[#This Row],[I2]]+0.8*Q195</f>
        <v>-0.77237842177701022</v>
      </c>
      <c r="R196" s="9">
        <f>0.2*testdata[[#This Row],[Q2]]+0.8*R195</f>
        <v>2.2160410095120961</v>
      </c>
      <c r="S196" s="9">
        <f>testdata[[#This Row],[I2'']]*Q195+testdata[[#This Row],[Q2'']]*R195</f>
        <v>5.169098457418742</v>
      </c>
      <c r="T196" s="9">
        <f>testdata[[#This Row],[I2'']]*R195-testdata[[#This Row],[Q2'']]*Q195</f>
        <v>2.1303151193970349</v>
      </c>
      <c r="U196" s="9">
        <f>0.2*testdata[[#This Row],[Re]]+0.8*U195</f>
        <v>4.6964504285372524</v>
      </c>
      <c r="V196" s="9">
        <f>0.2*testdata[[#This Row],[Im]]+0.8*V195</f>
        <v>1.6729188474965477</v>
      </c>
      <c r="W196" s="9">
        <f>IF(AND(testdata[[#This Row],[Re'']]&lt;&gt;0,testdata[[#This Row],[Im'']]&lt;&gt;0),2*PI()/ATAN(testdata[[#This Row],[Im'']]/testdata[[#This Row],[Re'']]),0)</f>
        <v>18.361382467977755</v>
      </c>
      <c r="X196" s="9">
        <f>IF(testdata[[#This Row],[pd-atan]]&gt;1.5*Z195,1.5*Z195,IF(testdata[[#This Row],[pd-atan]]&lt;0.67*Z195,0.67*Z195,testdata[[#This Row],[pd-atan]]))</f>
        <v>18.361382467977755</v>
      </c>
      <c r="Y196" s="9">
        <f>IF(testdata[[#This Row],[pd-limit1]]&lt;6,6,IF(testdata[[#This Row],[pd-limit1]]&gt;50,50,testdata[[#This Row],[pd-limit1]]))</f>
        <v>18.361382467977755</v>
      </c>
      <c r="Z196" s="14">
        <f>0.2*testdata[[#This Row],[pd-limit2]]+0.8*Z195</f>
        <v>23.595668757363178</v>
      </c>
      <c r="AA196" s="14">
        <f>0.33*testdata[[#This Row],[period]]+0.67*AA195</f>
        <v>25.690703855151046</v>
      </c>
      <c r="AB196" s="31">
        <f>TRUNC(testdata[[#This Row],[SmPd]]+0.5,0)</f>
        <v>26</v>
      </c>
      <c r="AC196" s="14">
        <f ca="1">IF(testdata[[#This Row],[PdInt]]&lt;=0,0,AVERAGE(OFFSET(testdata[[#This Row],[price]],0,0,-testdata[[#This Row],[PdInt]],1)))</f>
        <v>239.36211538461541</v>
      </c>
      <c r="AD196" s="14">
        <f ca="1">IF(testdata[[#This Row],[i]]&lt;11,testdata[[#This Row],[price]],(4*testdata[[#This Row],[iTrend]]+3*AC195+2*AC194+AC193)/10)</f>
        <v>238.90398901098905</v>
      </c>
      <c r="AE196" s="14">
        <f>(4*testdata[[#This Row],[price]]+3*H195+2*H194+H193)/10</f>
        <v>243.68449999999999</v>
      </c>
      <c r="AF196" t="str">
        <f ca="1">IF(OR(ROUND(testdata[[#This Row],[Trendline]],4)&lt;&gt;Table3[[#This Row],[Trendline]],ROUND(testdata[[#This Row],[SmPrice]],4)&lt;&gt;Table3[[#This Row],[SmPrice]]),"ERR","")</f>
        <v/>
      </c>
      <c r="AG196" s="3">
        <v>43018</v>
      </c>
      <c r="AH196" s="14">
        <v>25.691600000000001</v>
      </c>
      <c r="AI196" s="34">
        <v>26</v>
      </c>
      <c r="AJ196" s="14">
        <v>239.3621</v>
      </c>
      <c r="AK196" s="14">
        <v>238.904</v>
      </c>
      <c r="AL196" s="14">
        <v>243.68450000000001</v>
      </c>
      <c r="AN196" s="38">
        <f t="shared" si="7"/>
        <v>0</v>
      </c>
      <c r="AO196" s="38">
        <f t="shared" si="8"/>
        <v>0</v>
      </c>
      <c r="AQ196" s="37">
        <v>43018</v>
      </c>
      <c r="AR196">
        <v>26</v>
      </c>
      <c r="AS196">
        <v>238.90398901098899</v>
      </c>
      <c r="AT196">
        <v>243.68449999999899</v>
      </c>
      <c r="AV196" s="37">
        <v>43018</v>
      </c>
      <c r="AW196">
        <v>26</v>
      </c>
      <c r="AX196">
        <v>238.90398901098899</v>
      </c>
      <c r="AY196">
        <v>243.68449999999899</v>
      </c>
      <c r="BA196" s="38">
        <f>AX196-Table3[[#This Row],[Trendline]]</f>
        <v>-1.0989011002493498E-5</v>
      </c>
      <c r="BB196" s="38">
        <f>AY196-Table3[[#This Row],[SmPrice]]</f>
        <v>-1.0231815394945443E-12</v>
      </c>
    </row>
    <row r="197" spans="1:54" x14ac:dyDescent="0.35">
      <c r="A197" s="6">
        <v>195</v>
      </c>
      <c r="B197" s="3">
        <v>43019</v>
      </c>
      <c r="C197" s="2">
        <v>243.88</v>
      </c>
      <c r="D197" s="2">
        <v>244.37</v>
      </c>
      <c r="E197" s="2">
        <v>243.7</v>
      </c>
      <c r="F197" s="2">
        <v>244.37</v>
      </c>
      <c r="G197" s="1">
        <v>49752644</v>
      </c>
      <c r="H197" s="30">
        <f>(testdata[[#This Row],[high]]+testdata[[#This Row],[low]])/2</f>
        <v>244.035</v>
      </c>
      <c r="I197" s="23">
        <f>(4*testdata[[#This Row],[price]]+3*H196+2*H195+H194)/10</f>
        <v>243.85600000000005</v>
      </c>
      <c r="J197" s="9">
        <f>(0.0962*testdata[[#This Row],[smooth]]+0.5769*I195-0.5769*I193-0.0962*I191)*(0.075*$Z196+0.54)</f>
        <v>1.7034019423189621</v>
      </c>
      <c r="K197" s="14">
        <f t="shared" ref="K197:K260" si="9">J194</f>
        <v>3.1423146860609954</v>
      </c>
      <c r="L197" s="14">
        <f>(0.0962*testdata[[#This Row],[detrender]]+0.5769*J195-0.5769*J193-0.0962*J191)*(0.075*$Z196+0.54)</f>
        <v>-0.48048475005466462</v>
      </c>
      <c r="M197" s="9">
        <f>(0.0962*testdata[[#This Row],[I1]]+0.5769*K195-0.5769*K193-0.0962*K191)*(0.075*$Z196+0.54)</f>
        <v>3.0013966034089132</v>
      </c>
      <c r="N197" s="9">
        <f>(0.0962*testdata[[#This Row],[Q1]]+0.5769*L195-0.5769*L193-0.0962*L191)*(0.075*$Z196+0.54)</f>
        <v>-1.3321028127199139</v>
      </c>
      <c r="O197" s="9">
        <f>testdata[[#This Row],[I1]]-testdata[[#This Row],[JQ]]</f>
        <v>4.4744174987809089</v>
      </c>
      <c r="P197" s="9">
        <f>testdata[[#This Row],[Q1]]+testdata[[#This Row],[jI]]</f>
        <v>2.5209118533542485</v>
      </c>
      <c r="Q197" s="9">
        <f>0.2*testdata[[#This Row],[I2]]+0.8*Q196</f>
        <v>0.27698076233457369</v>
      </c>
      <c r="R197" s="9">
        <f>0.2*testdata[[#This Row],[Q2]]+0.8*R196</f>
        <v>2.2770151782805268</v>
      </c>
      <c r="S197" s="9">
        <f>testdata[[#This Row],[I2'']]*Q196+testdata[[#This Row],[Q2'']]*R196</f>
        <v>4.8320250502765729</v>
      </c>
      <c r="T197" s="9">
        <f>testdata[[#This Row],[I2'']]*R196-testdata[[#This Row],[Q2'']]*Q196</f>
        <v>2.3725181179419494</v>
      </c>
      <c r="U197" s="9">
        <f>0.2*testdata[[#This Row],[Re]]+0.8*U196</f>
        <v>4.7235653528851165</v>
      </c>
      <c r="V197" s="9">
        <f>0.2*testdata[[#This Row],[Im]]+0.8*V196</f>
        <v>1.8128387015856282</v>
      </c>
      <c r="W197" s="9">
        <f>IF(AND(testdata[[#This Row],[Re'']]&lt;&gt;0,testdata[[#This Row],[Im'']]&lt;&gt;0),2*PI()/ATAN(testdata[[#This Row],[Im'']]/testdata[[#This Row],[Re'']]),0)</f>
        <v>17.146035056273405</v>
      </c>
      <c r="X197" s="9">
        <f>IF(testdata[[#This Row],[pd-atan]]&gt;1.5*Z196,1.5*Z196,IF(testdata[[#This Row],[pd-atan]]&lt;0.67*Z196,0.67*Z196,testdata[[#This Row],[pd-atan]]))</f>
        <v>17.146035056273405</v>
      </c>
      <c r="Y197" s="9">
        <f>IF(testdata[[#This Row],[pd-limit1]]&lt;6,6,IF(testdata[[#This Row],[pd-limit1]]&gt;50,50,testdata[[#This Row],[pd-limit1]]))</f>
        <v>17.146035056273405</v>
      </c>
      <c r="Z197" s="14">
        <f>0.2*testdata[[#This Row],[pd-limit2]]+0.8*Z196</f>
        <v>22.305742017145224</v>
      </c>
      <c r="AA197" s="14">
        <f>0.33*testdata[[#This Row],[period]]+0.67*AA196</f>
        <v>24.573666448609124</v>
      </c>
      <c r="AB197" s="31">
        <f>TRUNC(testdata[[#This Row],[SmPd]]+0.5,0)</f>
        <v>25</v>
      </c>
      <c r="AC197" s="14">
        <f ca="1">IF(testdata[[#This Row],[PdInt]]&lt;=0,0,AVERAGE(OFFSET(testdata[[#This Row],[price]],0,0,-testdata[[#This Row],[PdInt]],1)))</f>
        <v>239.89540000000005</v>
      </c>
      <c r="AD197" s="14">
        <f ca="1">IF(testdata[[#This Row],[i]]&lt;11,testdata[[#This Row],[price]],(4*testdata[[#This Row],[iTrend]]+3*AC196+2*AC195+AC194)/10)</f>
        <v>239.39303866300369</v>
      </c>
      <c r="AE197" s="14">
        <f>(4*testdata[[#This Row],[price]]+3*H196+2*H195+H194)/10</f>
        <v>243.85600000000005</v>
      </c>
      <c r="AF197" t="str">
        <f ca="1">IF(OR(ROUND(testdata[[#This Row],[Trendline]],4)&lt;&gt;Table3[[#This Row],[Trendline]],ROUND(testdata[[#This Row],[SmPrice]],4)&lt;&gt;Table3[[#This Row],[SmPrice]]),"ERR","")</f>
        <v/>
      </c>
      <c r="AG197" s="3">
        <v>43019</v>
      </c>
      <c r="AH197" s="14">
        <v>24.574400000000001</v>
      </c>
      <c r="AI197" s="34">
        <v>25</v>
      </c>
      <c r="AJ197" s="14">
        <v>239.8954</v>
      </c>
      <c r="AK197" s="14">
        <v>239.393</v>
      </c>
      <c r="AL197" s="14">
        <v>243.85599999999999</v>
      </c>
      <c r="AN197" s="38">
        <f t="shared" si="7"/>
        <v>0</v>
      </c>
      <c r="AO197" s="38">
        <f t="shared" si="8"/>
        <v>0</v>
      </c>
      <c r="AQ197" s="37">
        <v>43019</v>
      </c>
      <c r="AR197">
        <v>25</v>
      </c>
      <c r="AS197">
        <v>239.39303866300301</v>
      </c>
      <c r="AT197">
        <v>243.85599999999999</v>
      </c>
      <c r="AV197" s="37">
        <v>43019</v>
      </c>
      <c r="AW197">
        <v>25</v>
      </c>
      <c r="AX197">
        <v>239.39303866300301</v>
      </c>
      <c r="AY197">
        <v>243.85599999999999</v>
      </c>
      <c r="BA197" s="38">
        <f>AX197-Table3[[#This Row],[Trendline]]</f>
        <v>3.8663003010697139E-5</v>
      </c>
      <c r="BB197" s="38">
        <f>AY197-Table3[[#This Row],[SmPrice]]</f>
        <v>0</v>
      </c>
    </row>
    <row r="198" spans="1:54" x14ac:dyDescent="0.35">
      <c r="A198" s="6">
        <v>196</v>
      </c>
      <c r="B198" s="3">
        <v>43020</v>
      </c>
      <c r="C198" s="2">
        <v>244.02</v>
      </c>
      <c r="D198" s="2">
        <v>244.41</v>
      </c>
      <c r="E198" s="2">
        <v>243.74</v>
      </c>
      <c r="F198" s="2">
        <v>244</v>
      </c>
      <c r="G198" s="1">
        <v>49116908</v>
      </c>
      <c r="H198" s="30">
        <f>(testdata[[#This Row],[high]]+testdata[[#This Row],[low]])/2</f>
        <v>244.07499999999999</v>
      </c>
      <c r="I198" s="23">
        <f>(4*testdata[[#This Row],[price]]+3*H197+2*H196+H195)/10</f>
        <v>243.97300000000001</v>
      </c>
      <c r="J198" s="9">
        <f>(0.0962*testdata[[#This Row],[smooth]]+0.5769*I196-0.5769*I194-0.0962*I192)*(0.075*$Z197+0.54)</f>
        <v>1.1351667042504343</v>
      </c>
      <c r="K198" s="14">
        <f t="shared" si="9"/>
        <v>2.9196843499640655</v>
      </c>
      <c r="L198" s="14">
        <f>(0.0962*testdata[[#This Row],[detrender]]+0.5769*J196-0.5769*J194-0.0962*J192)*(0.075*$Z197+0.54)</f>
        <v>-1.0926924114767893</v>
      </c>
      <c r="M198" s="9">
        <f>(0.0962*testdata[[#This Row],[I1]]+0.5769*K196-0.5769*K194-0.0962*K192)*(0.075*$Z197+0.54)</f>
        <v>2.3996976392851672</v>
      </c>
      <c r="N198" s="9">
        <f>(0.0962*testdata[[#This Row],[Q1]]+0.5769*L196-0.5769*L194-0.0962*L192)*(0.075*$Z197+0.54)</f>
        <v>-3.9759723442137034</v>
      </c>
      <c r="O198" s="9">
        <f>testdata[[#This Row],[I1]]-testdata[[#This Row],[JQ]]</f>
        <v>6.8956566941777684</v>
      </c>
      <c r="P198" s="9">
        <f>testdata[[#This Row],[Q1]]+testdata[[#This Row],[jI]]</f>
        <v>1.3070052278083779</v>
      </c>
      <c r="Q198" s="9">
        <f>0.2*testdata[[#This Row],[I2]]+0.8*Q197</f>
        <v>1.6007159487032128</v>
      </c>
      <c r="R198" s="9">
        <f>0.2*testdata[[#This Row],[Q2]]+0.8*R197</f>
        <v>2.0830131881860972</v>
      </c>
      <c r="S198" s="9">
        <f>testdata[[#This Row],[I2'']]*Q197+testdata[[#This Row],[Q2'']]*R197</f>
        <v>5.1864201698111803</v>
      </c>
      <c r="T198" s="9">
        <f>testdata[[#This Row],[I2'']]*R197-testdata[[#This Row],[Q2'']]*Q197</f>
        <v>3.0678999304961723</v>
      </c>
      <c r="U198" s="9">
        <f>0.2*testdata[[#This Row],[Re]]+0.8*U197</f>
        <v>4.8161363162703292</v>
      </c>
      <c r="V198" s="9">
        <f>0.2*testdata[[#This Row],[Im]]+0.8*V197</f>
        <v>2.0638509473677371</v>
      </c>
      <c r="W198" s="9">
        <f>IF(AND(testdata[[#This Row],[Re'']]&lt;&gt;0,testdata[[#This Row],[Im'']]&lt;&gt;0),2*PI()/ATAN(testdata[[#This Row],[Im'']]/testdata[[#This Row],[Re'']]),0)</f>
        <v>15.519579187020986</v>
      </c>
      <c r="X198" s="9">
        <f>IF(testdata[[#This Row],[pd-atan]]&gt;1.5*Z197,1.5*Z197,IF(testdata[[#This Row],[pd-atan]]&lt;0.67*Z197,0.67*Z197,testdata[[#This Row],[pd-atan]]))</f>
        <v>15.519579187020986</v>
      </c>
      <c r="Y198" s="9">
        <f>IF(testdata[[#This Row],[pd-limit1]]&lt;6,6,IF(testdata[[#This Row],[pd-limit1]]&gt;50,50,testdata[[#This Row],[pd-limit1]]))</f>
        <v>15.519579187020986</v>
      </c>
      <c r="Z198" s="14">
        <f>0.2*testdata[[#This Row],[pd-limit2]]+0.8*Z197</f>
        <v>20.94850945112038</v>
      </c>
      <c r="AA198" s="14">
        <f>0.33*testdata[[#This Row],[period]]+0.67*AA197</f>
        <v>23.37736463943784</v>
      </c>
      <c r="AB198" s="31">
        <f>TRUNC(testdata[[#This Row],[SmPd]]+0.5,0)</f>
        <v>23</v>
      </c>
      <c r="AC198" s="14">
        <f ca="1">IF(testdata[[#This Row],[PdInt]]&lt;=0,0,AVERAGE(OFFSET(testdata[[#This Row],[price]],0,0,-testdata[[#This Row],[PdInt]],1)))</f>
        <v>240.59869565217394</v>
      </c>
      <c r="AD198" s="14">
        <f ca="1">IF(testdata[[#This Row],[i]]&lt;11,testdata[[#This Row],[price]],(4*testdata[[#This Row],[iTrend]]+3*AC197+2*AC196+AC195)/10)</f>
        <v>239.97468800445932</v>
      </c>
      <c r="AE198" s="14">
        <f>(4*testdata[[#This Row],[price]]+3*H197+2*H196+H195)/10</f>
        <v>243.97300000000001</v>
      </c>
      <c r="AF198" t="str">
        <f ca="1">IF(OR(ROUND(testdata[[#This Row],[Trendline]],4)&lt;&gt;Table3[[#This Row],[Trendline]],ROUND(testdata[[#This Row],[SmPrice]],4)&lt;&gt;Table3[[#This Row],[SmPrice]]),"ERR","")</f>
        <v/>
      </c>
      <c r="AG198" s="3">
        <v>43020</v>
      </c>
      <c r="AH198" s="14">
        <v>23.378</v>
      </c>
      <c r="AI198" s="34">
        <v>23</v>
      </c>
      <c r="AJ198" s="14">
        <v>240.59870000000001</v>
      </c>
      <c r="AK198" s="14">
        <v>239.97470000000001</v>
      </c>
      <c r="AL198" s="14">
        <v>243.97300000000001</v>
      </c>
      <c r="AN198" s="38">
        <f t="shared" si="7"/>
        <v>0</v>
      </c>
      <c r="AO198" s="38">
        <f t="shared" si="8"/>
        <v>0</v>
      </c>
      <c r="AQ198" s="37">
        <v>43020</v>
      </c>
      <c r="AR198">
        <v>23</v>
      </c>
      <c r="AS198">
        <v>239.97468800445901</v>
      </c>
      <c r="AT198">
        <v>243.97300000000001</v>
      </c>
      <c r="AV198" s="37">
        <v>43020</v>
      </c>
      <c r="AW198">
        <v>23</v>
      </c>
      <c r="AX198">
        <v>239.97468800445901</v>
      </c>
      <c r="AY198">
        <v>243.97300000000001</v>
      </c>
      <c r="BA198" s="38">
        <f>AX198-Table3[[#This Row],[Trendline]]</f>
        <v>-1.1995541001397214E-5</v>
      </c>
      <c r="BB198" s="38">
        <f>AY198-Table3[[#This Row],[SmPrice]]</f>
        <v>0</v>
      </c>
    </row>
    <row r="199" spans="1:54" x14ac:dyDescent="0.35">
      <c r="A199" s="6">
        <v>197</v>
      </c>
      <c r="B199" s="3">
        <v>43021</v>
      </c>
      <c r="C199" s="2">
        <v>244.48</v>
      </c>
      <c r="D199" s="2">
        <v>244.61</v>
      </c>
      <c r="E199" s="2">
        <v>244</v>
      </c>
      <c r="F199" s="2">
        <v>244.3</v>
      </c>
      <c r="G199" s="1">
        <v>57189416</v>
      </c>
      <c r="H199" s="30">
        <f>(testdata[[#This Row],[high]]+testdata[[#This Row],[low]])/2</f>
        <v>244.30500000000001</v>
      </c>
      <c r="I199" s="23">
        <f>(4*testdata[[#This Row],[price]]+3*H198+2*H197+H196)/10</f>
        <v>244.13999999999996</v>
      </c>
      <c r="J199" s="9">
        <f>(0.0962*testdata[[#This Row],[smooth]]+0.5769*I197-0.5769*I195-0.0962*I193)*(0.075*$Z198+0.54)</f>
        <v>0.83626248392977987</v>
      </c>
      <c r="K199" s="14">
        <f t="shared" si="9"/>
        <v>2.5448207032990768</v>
      </c>
      <c r="L199" s="14">
        <f>(0.0962*testdata[[#This Row],[detrender]]+0.5769*J197-0.5769*J195-0.0962*J193)*(0.075*$Z198+0.54)</f>
        <v>-1.9739690548032298</v>
      </c>
      <c r="M199" s="9">
        <f>(0.0962*testdata[[#This Row],[I1]]+0.5769*K197-0.5769*K195-0.0962*K193)*(0.075*$Z198+0.54)</f>
        <v>0.86383964401710001</v>
      </c>
      <c r="N199" s="9">
        <f>(0.0962*testdata[[#This Row],[Q1]]+0.5769*L197-0.5769*L195-0.0962*L193)*(0.075*$Z198+0.54)</f>
        <v>-4.9832131684862579</v>
      </c>
      <c r="O199" s="9">
        <f>testdata[[#This Row],[I1]]-testdata[[#This Row],[JQ]]</f>
        <v>7.5280338717853343</v>
      </c>
      <c r="P199" s="9">
        <f>testdata[[#This Row],[Q1]]+testdata[[#This Row],[jI]]</f>
        <v>-1.1101294107861297</v>
      </c>
      <c r="Q199" s="9">
        <f>0.2*testdata[[#This Row],[I2]]+0.8*Q198</f>
        <v>2.7861795333196371</v>
      </c>
      <c r="R199" s="9">
        <f>0.2*testdata[[#This Row],[Q2]]+0.8*R198</f>
        <v>1.4443846683916517</v>
      </c>
      <c r="S199" s="9">
        <f>testdata[[#This Row],[I2'']]*Q198+testdata[[#This Row],[Q2'']]*R198</f>
        <v>7.4685543280088309</v>
      </c>
      <c r="T199" s="9">
        <f>testdata[[#This Row],[I2'']]*R198-testdata[[#This Row],[Q2'']]*Q198</f>
        <v>3.4915991378020714</v>
      </c>
      <c r="U199" s="9">
        <f>0.2*testdata[[#This Row],[Re]]+0.8*U198</f>
        <v>5.3466199186180301</v>
      </c>
      <c r="V199" s="9">
        <f>0.2*testdata[[#This Row],[Im]]+0.8*V198</f>
        <v>2.3494005854546041</v>
      </c>
      <c r="W199" s="9">
        <f>IF(AND(testdata[[#This Row],[Re'']]&lt;&gt;0,testdata[[#This Row],[Im'']]&lt;&gt;0),2*PI()/ATAN(testdata[[#This Row],[Im'']]/testdata[[#This Row],[Re'']]),0)</f>
        <v>15.176075968696546</v>
      </c>
      <c r="X199" s="9">
        <f>IF(testdata[[#This Row],[pd-atan]]&gt;1.5*Z198,1.5*Z198,IF(testdata[[#This Row],[pd-atan]]&lt;0.67*Z198,0.67*Z198,testdata[[#This Row],[pd-atan]]))</f>
        <v>15.176075968696546</v>
      </c>
      <c r="Y199" s="9">
        <f>IF(testdata[[#This Row],[pd-limit1]]&lt;6,6,IF(testdata[[#This Row],[pd-limit1]]&gt;50,50,testdata[[#This Row],[pd-limit1]]))</f>
        <v>15.176075968696546</v>
      </c>
      <c r="Z199" s="14">
        <f>0.2*testdata[[#This Row],[pd-limit2]]+0.8*Z198</f>
        <v>19.794022754635613</v>
      </c>
      <c r="AA199" s="14">
        <f>0.33*testdata[[#This Row],[period]]+0.67*AA198</f>
        <v>22.194861817453106</v>
      </c>
      <c r="AB199" s="31">
        <f>TRUNC(testdata[[#This Row],[SmPd]]+0.5,0)</f>
        <v>22</v>
      </c>
      <c r="AC199" s="14">
        <f ca="1">IF(testdata[[#This Row],[PdInt]]&lt;=0,0,AVERAGE(OFFSET(testdata[[#This Row],[price]],0,0,-testdata[[#This Row],[PdInt]],1)))</f>
        <v>240.9845454545455</v>
      </c>
      <c r="AD199" s="14">
        <f ca="1">IF(testdata[[#This Row],[i]]&lt;11,testdata[[#This Row],[price]],(4*testdata[[#This Row],[iTrend]]+3*AC198+2*AC197+AC196)/10)</f>
        <v>240.48871841593191</v>
      </c>
      <c r="AE199" s="14">
        <f>(4*testdata[[#This Row],[price]]+3*H198+2*H197+H196)/10</f>
        <v>244.13999999999996</v>
      </c>
      <c r="AF199" t="str">
        <f ca="1">IF(OR(ROUND(testdata[[#This Row],[Trendline]],4)&lt;&gt;Table3[[#This Row],[Trendline]],ROUND(testdata[[#This Row],[SmPrice]],4)&lt;&gt;Table3[[#This Row],[SmPrice]]),"ERR","")</f>
        <v/>
      </c>
      <c r="AG199" s="3">
        <v>43021</v>
      </c>
      <c r="AH199" s="14">
        <v>22.195399999999999</v>
      </c>
      <c r="AI199" s="34">
        <v>22</v>
      </c>
      <c r="AJ199" s="14">
        <v>240.9845</v>
      </c>
      <c r="AK199" s="14">
        <v>240.48869999999999</v>
      </c>
      <c r="AL199" s="14">
        <v>244.14</v>
      </c>
      <c r="AN199" s="38">
        <f t="shared" si="7"/>
        <v>0</v>
      </c>
      <c r="AO199" s="38">
        <f t="shared" si="8"/>
        <v>0</v>
      </c>
      <c r="AQ199" s="37">
        <v>43021</v>
      </c>
      <c r="AR199">
        <v>22</v>
      </c>
      <c r="AS199">
        <v>240.488718415931</v>
      </c>
      <c r="AT199">
        <v>244.13999999999899</v>
      </c>
      <c r="AV199" s="37">
        <v>43021</v>
      </c>
      <c r="AW199">
        <v>22</v>
      </c>
      <c r="AX199">
        <v>240.488718415931</v>
      </c>
      <c r="AY199">
        <v>244.13999999999899</v>
      </c>
      <c r="BA199" s="38">
        <f>AX199-Table3[[#This Row],[Trendline]]</f>
        <v>1.8415931009485575E-5</v>
      </c>
      <c r="BB199" s="38">
        <f>AY199-Table3[[#This Row],[SmPrice]]</f>
        <v>-9.9475983006414026E-13</v>
      </c>
    </row>
    <row r="200" spans="1:54" x14ac:dyDescent="0.35">
      <c r="A200" s="6">
        <v>198</v>
      </c>
      <c r="B200" s="3">
        <v>43024</v>
      </c>
      <c r="C200" s="2">
        <v>244.55</v>
      </c>
      <c r="D200" s="2">
        <v>244.84</v>
      </c>
      <c r="E200" s="2">
        <v>244.18</v>
      </c>
      <c r="F200" s="2">
        <v>244.63</v>
      </c>
      <c r="G200" s="1">
        <v>39887916</v>
      </c>
      <c r="H200" s="30">
        <f>(testdata[[#This Row],[high]]+testdata[[#This Row],[low]])/2</f>
        <v>244.51</v>
      </c>
      <c r="I200" s="23">
        <f>(4*testdata[[#This Row],[price]]+3*H199+2*H198+H197)/10</f>
        <v>244.31399999999999</v>
      </c>
      <c r="J200" s="9">
        <f>(0.0962*testdata[[#This Row],[smooth]]+0.5769*I198-0.5769*I196-0.0962*I194)*(0.075*$Z199+0.54)</f>
        <v>0.56404992453391822</v>
      </c>
      <c r="K200" s="14">
        <f t="shared" si="9"/>
        <v>1.7034019423189621</v>
      </c>
      <c r="L200" s="14">
        <f>(0.0962*testdata[[#This Row],[detrender]]+0.5769*J198-0.5769*J196-0.0962*J194)*(0.075*$Z199+0.54)</f>
        <v>-2.148572630606155</v>
      </c>
      <c r="M200" s="9">
        <f>(0.0962*testdata[[#This Row],[I1]]+0.5769*K198-0.5769*K196-0.0962*K194)*(0.075*$Z199+0.54)</f>
        <v>-0.42117014501040412</v>
      </c>
      <c r="N200" s="9">
        <f>(0.0962*testdata[[#This Row],[Q1]]+0.5769*L198-0.5769*L196-0.0962*L194)*(0.075*$Z199+0.54)</f>
        <v>-3.5085703528949539</v>
      </c>
      <c r="O200" s="9">
        <f>testdata[[#This Row],[I1]]-testdata[[#This Row],[JQ]]</f>
        <v>5.2119722952139158</v>
      </c>
      <c r="P200" s="9">
        <f>testdata[[#This Row],[Q1]]+testdata[[#This Row],[jI]]</f>
        <v>-2.5697427756165592</v>
      </c>
      <c r="Q200" s="9">
        <f>0.2*testdata[[#This Row],[I2]]+0.8*Q199</f>
        <v>3.2713380856984928</v>
      </c>
      <c r="R200" s="9">
        <f>0.2*testdata[[#This Row],[Q2]]+0.8*R199</f>
        <v>0.64155917959000952</v>
      </c>
      <c r="S200" s="9">
        <f>testdata[[#This Row],[I2'']]*Q199+testdata[[#This Row],[Q2'']]*R199</f>
        <v>10.041193463807918</v>
      </c>
      <c r="T200" s="9">
        <f>testdata[[#This Row],[I2'']]*R199-testdata[[#This Row],[Q2'']]*Q199</f>
        <v>2.9375715205215758</v>
      </c>
      <c r="U200" s="9">
        <f>0.2*testdata[[#This Row],[Re]]+0.8*U199</f>
        <v>6.2855346276560082</v>
      </c>
      <c r="V200" s="9">
        <f>0.2*testdata[[#This Row],[Im]]+0.8*V199</f>
        <v>2.4670347724679984</v>
      </c>
      <c r="W200" s="9">
        <f>IF(AND(testdata[[#This Row],[Re'']]&lt;&gt;0,testdata[[#This Row],[Im'']]&lt;&gt;0),2*PI()/ATAN(testdata[[#This Row],[Im'']]/testdata[[#This Row],[Re'']]),0)</f>
        <v>16.799106970568332</v>
      </c>
      <c r="X200" s="9">
        <f>IF(testdata[[#This Row],[pd-atan]]&gt;1.5*Z199,1.5*Z199,IF(testdata[[#This Row],[pd-atan]]&lt;0.67*Z199,0.67*Z199,testdata[[#This Row],[pd-atan]]))</f>
        <v>16.799106970568332</v>
      </c>
      <c r="Y200" s="9">
        <f>IF(testdata[[#This Row],[pd-limit1]]&lt;6,6,IF(testdata[[#This Row],[pd-limit1]]&gt;50,50,testdata[[#This Row],[pd-limit1]]))</f>
        <v>16.799106970568332</v>
      </c>
      <c r="Z200" s="14">
        <f>0.2*testdata[[#This Row],[pd-limit2]]+0.8*Z199</f>
        <v>19.195039597822159</v>
      </c>
      <c r="AA200" s="14">
        <f>0.33*testdata[[#This Row],[period]]+0.67*AA199</f>
        <v>21.204920484974892</v>
      </c>
      <c r="AB200" s="31">
        <f>TRUNC(testdata[[#This Row],[SmPd]]+0.5,0)</f>
        <v>21</v>
      </c>
      <c r="AC200" s="14">
        <f ca="1">IF(testdata[[#This Row],[PdInt]]&lt;=0,0,AVERAGE(OFFSET(testdata[[#This Row],[price]],0,0,-testdata[[#This Row],[PdInt]],1)))</f>
        <v>241.39523809523806</v>
      </c>
      <c r="AD200" s="14">
        <f ca="1">IF(testdata[[#This Row],[i]]&lt;11,testdata[[#This Row],[price]],(4*testdata[[#This Row],[iTrend]]+3*AC199+2*AC198+AC197)/10)</f>
        <v>240.96273800489365</v>
      </c>
      <c r="AE200" s="14">
        <f>(4*testdata[[#This Row],[price]]+3*H199+2*H198+H197)/10</f>
        <v>244.31399999999999</v>
      </c>
      <c r="AF200" t="str">
        <f ca="1">IF(OR(ROUND(testdata[[#This Row],[Trendline]],4)&lt;&gt;Table3[[#This Row],[Trendline]],ROUND(testdata[[#This Row],[SmPrice]],4)&lt;&gt;Table3[[#This Row],[SmPrice]]),"ERR","")</f>
        <v/>
      </c>
      <c r="AG200" s="3">
        <v>43024</v>
      </c>
      <c r="AH200" s="14">
        <v>21.205400000000001</v>
      </c>
      <c r="AI200" s="34">
        <v>21</v>
      </c>
      <c r="AJ200" s="14">
        <v>241.39519999999999</v>
      </c>
      <c r="AK200" s="14">
        <v>240.96270000000001</v>
      </c>
      <c r="AL200" s="14">
        <v>244.31399999999999</v>
      </c>
      <c r="AN200" s="38">
        <f t="shared" si="7"/>
        <v>0</v>
      </c>
      <c r="AO200" s="38">
        <f t="shared" si="8"/>
        <v>0</v>
      </c>
      <c r="AQ200" s="37">
        <v>43024</v>
      </c>
      <c r="AR200">
        <v>21</v>
      </c>
      <c r="AS200">
        <v>240.962738004893</v>
      </c>
      <c r="AT200">
        <v>244.31399999999999</v>
      </c>
      <c r="AV200" s="37">
        <v>43024</v>
      </c>
      <c r="AW200">
        <v>21</v>
      </c>
      <c r="AX200">
        <v>240.962738004893</v>
      </c>
      <c r="AY200">
        <v>244.31399999999999</v>
      </c>
      <c r="BA200" s="38">
        <f>AX200-Table3[[#This Row],[Trendline]]</f>
        <v>3.8004892985554761E-5</v>
      </c>
      <c r="BB200" s="38">
        <f>AY200-Table3[[#This Row],[SmPrice]]</f>
        <v>0</v>
      </c>
    </row>
    <row r="201" spans="1:54" x14ac:dyDescent="0.35">
      <c r="A201" s="6">
        <v>199</v>
      </c>
      <c r="B201" s="3">
        <v>43025</v>
      </c>
      <c r="C201" s="2">
        <v>244.57</v>
      </c>
      <c r="D201" s="2">
        <v>244.85</v>
      </c>
      <c r="E201" s="2">
        <v>244.33</v>
      </c>
      <c r="F201" s="2">
        <v>244.8</v>
      </c>
      <c r="G201" s="1">
        <v>32936836</v>
      </c>
      <c r="H201" s="30">
        <f>(testdata[[#This Row],[high]]+testdata[[#This Row],[low]])/2</f>
        <v>244.59</v>
      </c>
      <c r="I201" s="23">
        <f>(4*testdata[[#This Row],[price]]+3*H200+2*H199+H198)/10</f>
        <v>244.45749999999998</v>
      </c>
      <c r="J201" s="9">
        <f>(0.0962*testdata[[#This Row],[smooth]]+0.5769*I199-0.5769*I197-0.0962*I195)*(0.075*$Z200+0.54)</f>
        <v>0.52049487174600007</v>
      </c>
      <c r="K201" s="14">
        <f t="shared" si="9"/>
        <v>1.1351667042504343</v>
      </c>
      <c r="L201" s="14">
        <f>(0.0962*testdata[[#This Row],[detrender]]+0.5769*J199-0.5769*J197-0.0962*J195)*(0.075*$Z200+0.54)</f>
        <v>-1.4472164926418938</v>
      </c>
      <c r="M201" s="9">
        <f>(0.0962*testdata[[#This Row],[I1]]+0.5769*K199-0.5769*K197-0.0962*K195)*(0.075*$Z200+0.54)</f>
        <v>-0.97749310803335487</v>
      </c>
      <c r="N201" s="9">
        <f>(0.0962*testdata[[#This Row],[Q1]]+0.5769*L199-0.5769*L197-0.0962*L195)*(0.075*$Z200+0.54)</f>
        <v>-2.5007686651843017</v>
      </c>
      <c r="O201" s="9">
        <f>testdata[[#This Row],[I1]]-testdata[[#This Row],[JQ]]</f>
        <v>3.6359353694347361</v>
      </c>
      <c r="P201" s="9">
        <f>testdata[[#This Row],[Q1]]+testdata[[#This Row],[jI]]</f>
        <v>-2.4247096006752487</v>
      </c>
      <c r="Q201" s="9">
        <f>0.2*testdata[[#This Row],[I2]]+0.8*Q200</f>
        <v>3.3442575424457415</v>
      </c>
      <c r="R201" s="9">
        <f>0.2*testdata[[#This Row],[Q2]]+0.8*R200</f>
        <v>2.8305423536957863E-2</v>
      </c>
      <c r="S201" s="9">
        <f>testdata[[#This Row],[I2'']]*Q200+testdata[[#This Row],[Q2'']]*R200</f>
        <v>10.958356671289517</v>
      </c>
      <c r="T201" s="9">
        <f>testdata[[#This Row],[I2'']]*R200-testdata[[#This Row],[Q2'']]*Q200</f>
        <v>2.0529425152209146</v>
      </c>
      <c r="U201" s="9">
        <f>0.2*testdata[[#This Row],[Re]]+0.8*U200</f>
        <v>7.2200990363827104</v>
      </c>
      <c r="V201" s="9">
        <f>0.2*testdata[[#This Row],[Im]]+0.8*V200</f>
        <v>2.3842163210185818</v>
      </c>
      <c r="W201" s="9">
        <f>IF(AND(testdata[[#This Row],[Re'']]&lt;&gt;0,testdata[[#This Row],[Im'']]&lt;&gt;0),2*PI()/ATAN(testdata[[#This Row],[Im'']]/testdata[[#This Row],[Re'']]),0)</f>
        <v>19.699880894381678</v>
      </c>
      <c r="X201" s="9">
        <f>IF(testdata[[#This Row],[pd-atan]]&gt;1.5*Z200,1.5*Z200,IF(testdata[[#This Row],[pd-atan]]&lt;0.67*Z200,0.67*Z200,testdata[[#This Row],[pd-atan]]))</f>
        <v>19.699880894381678</v>
      </c>
      <c r="Y201" s="9">
        <f>IF(testdata[[#This Row],[pd-limit1]]&lt;6,6,IF(testdata[[#This Row],[pd-limit1]]&gt;50,50,testdata[[#This Row],[pd-limit1]]))</f>
        <v>19.699880894381678</v>
      </c>
      <c r="Z201" s="14">
        <f>0.2*testdata[[#This Row],[pd-limit2]]+0.8*Z200</f>
        <v>19.296007857134065</v>
      </c>
      <c r="AA201" s="14">
        <f>0.33*testdata[[#This Row],[period]]+0.67*AA200</f>
        <v>20.57497931778742</v>
      </c>
      <c r="AB201" s="31">
        <f>TRUNC(testdata[[#This Row],[SmPd]]+0.5,0)</f>
        <v>21</v>
      </c>
      <c r="AC201" s="14">
        <f ca="1">IF(testdata[[#This Row],[PdInt]]&lt;=0,0,AVERAGE(OFFSET(testdata[[#This Row],[price]],0,0,-testdata[[#This Row],[PdInt]],1)))</f>
        <v>241.64857142857142</v>
      </c>
      <c r="AD201" s="14">
        <f ca="1">IF(testdata[[#This Row],[i]]&lt;11,testdata[[#This Row],[price]],(4*testdata[[#This Row],[iTrend]]+3*AC200+2*AC199+AC198)/10)</f>
        <v>241.33477865612645</v>
      </c>
      <c r="AE201" s="14">
        <f>(4*testdata[[#This Row],[price]]+3*H200+2*H199+H198)/10</f>
        <v>244.45749999999998</v>
      </c>
      <c r="AF201" t="str">
        <f ca="1">IF(OR(ROUND(testdata[[#This Row],[Trendline]],4)&lt;&gt;Table3[[#This Row],[Trendline]],ROUND(testdata[[#This Row],[SmPrice]],4)&lt;&gt;Table3[[#This Row],[SmPrice]]),"ERR","")</f>
        <v/>
      </c>
      <c r="AG201" s="3">
        <v>43025</v>
      </c>
      <c r="AH201" s="14">
        <v>20.575299999999999</v>
      </c>
      <c r="AI201" s="34">
        <v>21</v>
      </c>
      <c r="AJ201" s="14">
        <v>241.64859999999999</v>
      </c>
      <c r="AK201" s="14">
        <v>241.3348</v>
      </c>
      <c r="AL201" s="14">
        <v>244.45750000000001</v>
      </c>
      <c r="AN201" s="38">
        <f t="shared" ref="AN201:AN264" si="10">AX201-AS201</f>
        <v>0</v>
      </c>
      <c r="AO201" s="38">
        <f t="shared" ref="AO201:AO264" si="11">AY201-AT201</f>
        <v>0</v>
      </c>
      <c r="AQ201" s="37">
        <v>43025</v>
      </c>
      <c r="AR201">
        <v>21</v>
      </c>
      <c r="AS201">
        <v>241.33477865612599</v>
      </c>
      <c r="AT201">
        <v>244.45749999999899</v>
      </c>
      <c r="AV201" s="37">
        <v>43025</v>
      </c>
      <c r="AW201">
        <v>21</v>
      </c>
      <c r="AX201">
        <v>241.33477865612599</v>
      </c>
      <c r="AY201">
        <v>244.45749999999899</v>
      </c>
      <c r="BA201" s="38">
        <f>AX201-Table3[[#This Row],[Trendline]]</f>
        <v>-2.1343874010426589E-5</v>
      </c>
      <c r="BB201" s="38">
        <f>AY201-Table3[[#This Row],[SmPrice]]</f>
        <v>-1.0231815394945443E-12</v>
      </c>
    </row>
    <row r="202" spans="1:54" x14ac:dyDescent="0.35">
      <c r="A202" s="6">
        <v>200</v>
      </c>
      <c r="B202" s="3">
        <v>43026</v>
      </c>
      <c r="C202" s="2">
        <v>245.21</v>
      </c>
      <c r="D202" s="2">
        <v>245.26</v>
      </c>
      <c r="E202" s="2">
        <v>244.83</v>
      </c>
      <c r="F202" s="2">
        <v>245.04</v>
      </c>
      <c r="G202" s="1">
        <v>42670820</v>
      </c>
      <c r="H202" s="30">
        <f>(testdata[[#This Row],[high]]+testdata[[#This Row],[low]])/2</f>
        <v>245.04500000000002</v>
      </c>
      <c r="I202" s="23">
        <f>(4*testdata[[#This Row],[price]]+3*H201+2*H200+H199)/10</f>
        <v>244.72750000000002</v>
      </c>
      <c r="J202" s="9">
        <f>(0.0962*testdata[[#This Row],[smooth]]+0.5769*I200-0.5769*I198-0.0962*I196)*(0.075*$Z201+0.54)</f>
        <v>0.59031681345273701</v>
      </c>
      <c r="K202" s="14">
        <f t="shared" si="9"/>
        <v>0.83626248392977987</v>
      </c>
      <c r="L202" s="14">
        <f>(0.0962*testdata[[#This Row],[detrender]]+0.5769*J200-0.5769*J198-0.0962*J196)*(0.075*$Z201+0.54)</f>
        <v>-1.0283773868300914</v>
      </c>
      <c r="M202" s="9">
        <f>(0.0962*testdata[[#This Row],[I1]]+0.5769*K200-0.5769*K198-0.0962*K196)*(0.075*$Z201+0.54)</f>
        <v>-1.8580841616721597</v>
      </c>
      <c r="N202" s="9">
        <f>(0.0962*testdata[[#This Row],[Q1]]+0.5769*L200-0.5769*L198-0.0962*L196)*(0.075*$Z201+0.54)</f>
        <v>-1.5954177818692221</v>
      </c>
      <c r="O202" s="9">
        <f>testdata[[#This Row],[I1]]-testdata[[#This Row],[JQ]]</f>
        <v>2.431680265799002</v>
      </c>
      <c r="P202" s="9">
        <f>testdata[[#This Row],[Q1]]+testdata[[#This Row],[jI]]</f>
        <v>-2.8864615485022513</v>
      </c>
      <c r="Q202" s="9">
        <f>0.2*testdata[[#This Row],[I2]]+0.8*Q201</f>
        <v>3.1617420871163935</v>
      </c>
      <c r="R202" s="9">
        <f>0.2*testdata[[#This Row],[Q2]]+0.8*R201</f>
        <v>-0.55464797087088402</v>
      </c>
      <c r="S202" s="9">
        <f>testdata[[#This Row],[I2'']]*Q201+testdata[[#This Row],[Q2'']]*R201</f>
        <v>10.557980276377725</v>
      </c>
      <c r="T202" s="9">
        <f>testdata[[#This Row],[I2'']]*R201-testdata[[#This Row],[Q2'']]*Q201</f>
        <v>1.9443801088776342</v>
      </c>
      <c r="U202" s="9">
        <f>0.2*testdata[[#This Row],[Re]]+0.8*U201</f>
        <v>7.8876752843817144</v>
      </c>
      <c r="V202" s="9">
        <f>0.2*testdata[[#This Row],[Im]]+0.8*V201</f>
        <v>2.2962490785903924</v>
      </c>
      <c r="W202" s="9">
        <f>IF(AND(testdata[[#This Row],[Re'']]&lt;&gt;0,testdata[[#This Row],[Im'']]&lt;&gt;0),2*PI()/ATAN(testdata[[#This Row],[Im'']]/testdata[[#This Row],[Re'']]),0)</f>
        <v>22.179422687417237</v>
      </c>
      <c r="X202" s="9">
        <f>IF(testdata[[#This Row],[pd-atan]]&gt;1.5*Z201,1.5*Z201,IF(testdata[[#This Row],[pd-atan]]&lt;0.67*Z201,0.67*Z201,testdata[[#This Row],[pd-atan]]))</f>
        <v>22.179422687417237</v>
      </c>
      <c r="Y202" s="9">
        <f>IF(testdata[[#This Row],[pd-limit1]]&lt;6,6,IF(testdata[[#This Row],[pd-limit1]]&gt;50,50,testdata[[#This Row],[pd-limit1]]))</f>
        <v>22.179422687417237</v>
      </c>
      <c r="Z202" s="14">
        <f>0.2*testdata[[#This Row],[pd-limit2]]+0.8*Z201</f>
        <v>19.872690823190702</v>
      </c>
      <c r="AA202" s="14">
        <f>0.33*testdata[[#This Row],[period]]+0.67*AA201</f>
        <v>20.343224114570504</v>
      </c>
      <c r="AB202" s="31">
        <f>TRUNC(testdata[[#This Row],[SmPd]]+0.5,0)</f>
        <v>20</v>
      </c>
      <c r="AC202" s="14">
        <f ca="1">IF(testdata[[#This Row],[PdInt]]&lt;=0,0,AVERAGE(OFFSET(testdata[[#This Row],[price]],0,0,-testdata[[#This Row],[PdInt]],1)))</f>
        <v>242.05700000000002</v>
      </c>
      <c r="AD202" s="14">
        <f ca="1">IF(testdata[[#This Row],[i]]&lt;11,testdata[[#This Row],[price]],(4*testdata[[#This Row],[iTrend]]+3*AC201+2*AC200+AC199)/10)</f>
        <v>241.69487359307362</v>
      </c>
      <c r="AE202" s="14">
        <f>(4*testdata[[#This Row],[price]]+3*H201+2*H200+H199)/10</f>
        <v>244.72750000000002</v>
      </c>
      <c r="AF202" t="str">
        <f ca="1">IF(OR(ROUND(testdata[[#This Row],[Trendline]],4)&lt;&gt;Table3[[#This Row],[Trendline]],ROUND(testdata[[#This Row],[SmPrice]],4)&lt;&gt;Table3[[#This Row],[SmPrice]]),"ERR","")</f>
        <v/>
      </c>
      <c r="AG202" s="3">
        <v>43026</v>
      </c>
      <c r="AH202" s="14">
        <v>20.343499999999999</v>
      </c>
      <c r="AI202" s="34">
        <v>20</v>
      </c>
      <c r="AJ202" s="14">
        <v>242.05699999999999</v>
      </c>
      <c r="AK202" s="14">
        <v>241.69489999999999</v>
      </c>
      <c r="AL202" s="14">
        <v>244.72749999999999</v>
      </c>
      <c r="AN202" s="38">
        <f t="shared" si="10"/>
        <v>0</v>
      </c>
      <c r="AO202" s="38">
        <f t="shared" si="11"/>
        <v>0</v>
      </c>
      <c r="AQ202" s="37">
        <v>43026</v>
      </c>
      <c r="AR202">
        <v>20</v>
      </c>
      <c r="AS202">
        <v>241.694873593073</v>
      </c>
      <c r="AT202">
        <v>244.727499999999</v>
      </c>
      <c r="AV202" s="37">
        <v>43026</v>
      </c>
      <c r="AW202">
        <v>20</v>
      </c>
      <c r="AX202">
        <v>241.694873593073</v>
      </c>
      <c r="AY202">
        <v>244.727499999999</v>
      </c>
      <c r="BA202" s="38">
        <f>AX202-Table3[[#This Row],[Trendline]]</f>
        <v>-2.6406926991739965E-5</v>
      </c>
      <c r="BB202" s="38">
        <f>AY202-Table3[[#This Row],[SmPrice]]</f>
        <v>-9.9475983006414026E-13</v>
      </c>
    </row>
    <row r="203" spans="1:54" x14ac:dyDescent="0.35">
      <c r="A203" s="6">
        <v>201</v>
      </c>
      <c r="B203" s="3">
        <v>43027</v>
      </c>
      <c r="C203" s="2">
        <v>244.18</v>
      </c>
      <c r="D203" s="2">
        <v>245.14</v>
      </c>
      <c r="E203" s="2">
        <v>243.72</v>
      </c>
      <c r="F203" s="2">
        <v>245.1</v>
      </c>
      <c r="G203" s="1">
        <v>64602432</v>
      </c>
      <c r="H203" s="30">
        <f>(testdata[[#This Row],[high]]+testdata[[#This Row],[low]])/2</f>
        <v>244.43</v>
      </c>
      <c r="I203" s="23">
        <f>(4*testdata[[#This Row],[price]]+3*H202+2*H201+H200)/10</f>
        <v>244.65450000000001</v>
      </c>
      <c r="J203" s="9">
        <f>(0.0962*testdata[[#This Row],[smooth]]+0.5769*I201-0.5769*I199-0.0962*I197)*(0.075*$Z202+0.54)</f>
        <v>0.52787980617112118</v>
      </c>
      <c r="K203" s="14">
        <f t="shared" si="9"/>
        <v>0.56404992453391822</v>
      </c>
      <c r="L203" s="14">
        <f>(0.0962*testdata[[#This Row],[detrender]]+0.5769*J201-0.5769*J199-0.0962*J197)*(0.075*$Z202+0.54)</f>
        <v>-0.59949407500457619</v>
      </c>
      <c r="M203" s="9">
        <f>(0.0962*testdata[[#This Row],[I1]]+0.5769*K201-0.5769*K199-0.0962*K197)*(0.075*$Z202+0.54)</f>
        <v>-2.1548341671150508</v>
      </c>
      <c r="N203" s="9">
        <f>(0.0962*testdata[[#This Row],[Q1]]+0.5769*L201-0.5769*L199-0.0962*L197)*(0.075*$Z202+0.54)</f>
        <v>0.59377488328385242</v>
      </c>
      <c r="O203" s="9">
        <f>testdata[[#This Row],[I1]]-testdata[[#This Row],[JQ]]</f>
        <v>-2.9724958749934194E-2</v>
      </c>
      <c r="P203" s="9">
        <f>testdata[[#This Row],[Q1]]+testdata[[#This Row],[jI]]</f>
        <v>-2.7543282421196271</v>
      </c>
      <c r="Q203" s="9">
        <f>0.2*testdata[[#This Row],[I2]]+0.8*Q202</f>
        <v>2.523448677943128</v>
      </c>
      <c r="R203" s="9">
        <f>0.2*testdata[[#This Row],[Q2]]+0.8*R202</f>
        <v>-0.99458402512063271</v>
      </c>
      <c r="S203" s="9">
        <f>testdata[[#This Row],[I2'']]*Q202+testdata[[#This Row],[Q2'']]*R202</f>
        <v>8.530137901124764</v>
      </c>
      <c r="T203" s="9">
        <f>testdata[[#This Row],[I2'']]*R202-testdata[[#This Row],[Q2'']]*Q202</f>
        <v>1.7449924825795622</v>
      </c>
      <c r="U203" s="9">
        <f>0.2*testdata[[#This Row],[Re]]+0.8*U202</f>
        <v>8.0161678077303247</v>
      </c>
      <c r="V203" s="9">
        <f>0.2*testdata[[#This Row],[Im]]+0.8*V202</f>
        <v>2.1859977593882265</v>
      </c>
      <c r="W203" s="9">
        <f>IF(AND(testdata[[#This Row],[Re'']]&lt;&gt;0,testdata[[#This Row],[Im'']]&lt;&gt;0),2*PI()/ATAN(testdata[[#This Row],[Im'']]/testdata[[#This Row],[Re'']]),0)</f>
        <v>23.601001873705673</v>
      </c>
      <c r="X203" s="9">
        <f>IF(testdata[[#This Row],[pd-atan]]&gt;1.5*Z202,1.5*Z202,IF(testdata[[#This Row],[pd-atan]]&lt;0.67*Z202,0.67*Z202,testdata[[#This Row],[pd-atan]]))</f>
        <v>23.601001873705673</v>
      </c>
      <c r="Y203" s="9">
        <f>IF(testdata[[#This Row],[pd-limit1]]&lt;6,6,IF(testdata[[#This Row],[pd-limit1]]&gt;50,50,testdata[[#This Row],[pd-limit1]]))</f>
        <v>23.601001873705673</v>
      </c>
      <c r="Z203" s="14">
        <f>0.2*testdata[[#This Row],[pd-limit2]]+0.8*Z202</f>
        <v>20.618353033293698</v>
      </c>
      <c r="AA203" s="14">
        <f>0.33*testdata[[#This Row],[period]]+0.67*AA202</f>
        <v>20.434016657749158</v>
      </c>
      <c r="AB203" s="31">
        <f>TRUNC(testdata[[#This Row],[SmPd]]+0.5,0)</f>
        <v>20</v>
      </c>
      <c r="AC203" s="14">
        <f ca="1">IF(testdata[[#This Row],[PdInt]]&lt;=0,0,AVERAGE(OFFSET(testdata[[#This Row],[price]],0,0,-testdata[[#This Row],[PdInt]],1)))</f>
        <v>242.32049999999998</v>
      </c>
      <c r="AD203" s="14">
        <f ca="1">IF(testdata[[#This Row],[i]]&lt;11,testdata[[#This Row],[price]],(4*testdata[[#This Row],[iTrend]]+3*AC202+2*AC201+AC200)/10)</f>
        <v>242.01453809523809</v>
      </c>
      <c r="AE203" s="14">
        <f>(4*testdata[[#This Row],[price]]+3*H202+2*H201+H200)/10</f>
        <v>244.65450000000001</v>
      </c>
      <c r="AF203" t="str">
        <f ca="1">IF(OR(ROUND(testdata[[#This Row],[Trendline]],4)&lt;&gt;Table3[[#This Row],[Trendline]],ROUND(testdata[[#This Row],[SmPrice]],4)&lt;&gt;Table3[[#This Row],[SmPrice]]),"ERR","")</f>
        <v/>
      </c>
      <c r="AG203" s="3">
        <v>43027</v>
      </c>
      <c r="AH203" s="14">
        <v>20.434200000000001</v>
      </c>
      <c r="AI203" s="34">
        <v>20</v>
      </c>
      <c r="AJ203" s="14">
        <v>242.32050000000001</v>
      </c>
      <c r="AK203" s="14">
        <v>242.0145</v>
      </c>
      <c r="AL203" s="14">
        <v>244.65450000000001</v>
      </c>
      <c r="AN203" s="38">
        <f t="shared" si="10"/>
        <v>0</v>
      </c>
      <c r="AO203" s="38">
        <f t="shared" si="11"/>
        <v>0</v>
      </c>
      <c r="AQ203" s="37">
        <v>43027</v>
      </c>
      <c r="AR203">
        <v>20</v>
      </c>
      <c r="AS203">
        <v>242.01453809523801</v>
      </c>
      <c r="AT203">
        <v>244.65450000000001</v>
      </c>
      <c r="AV203" s="37">
        <v>43027</v>
      </c>
      <c r="AW203">
        <v>20</v>
      </c>
      <c r="AX203">
        <v>242.01453809523801</v>
      </c>
      <c r="AY203">
        <v>244.65450000000001</v>
      </c>
      <c r="BA203" s="38">
        <f>AX203-Table3[[#This Row],[Trendline]]</f>
        <v>3.8095238011237598E-5</v>
      </c>
      <c r="BB203" s="38">
        <f>AY203-Table3[[#This Row],[SmPrice]]</f>
        <v>0</v>
      </c>
    </row>
    <row r="204" spans="1:54" x14ac:dyDescent="0.35">
      <c r="A204" s="6">
        <v>202</v>
      </c>
      <c r="B204" s="3">
        <v>43028</v>
      </c>
      <c r="C204" s="2">
        <v>245.98</v>
      </c>
      <c r="D204" s="2">
        <v>246.4</v>
      </c>
      <c r="E204" s="2">
        <v>245.09</v>
      </c>
      <c r="F204" s="2">
        <v>246.37</v>
      </c>
      <c r="G204" s="1">
        <v>93063952</v>
      </c>
      <c r="H204" s="30">
        <f>(testdata[[#This Row],[high]]+testdata[[#This Row],[low]])/2</f>
        <v>245.745</v>
      </c>
      <c r="I204" s="23">
        <f>(4*testdata[[#This Row],[price]]+3*H203+2*H202+H201)/10</f>
        <v>245.09500000000003</v>
      </c>
      <c r="J204" s="9">
        <f>(0.0962*testdata[[#This Row],[smooth]]+0.5769*I202-0.5769*I200-0.0962*I198)*(0.075*$Z203+0.54)</f>
        <v>0.72289721493615655</v>
      </c>
      <c r="K204" s="14">
        <f t="shared" si="9"/>
        <v>0.52049487174600007</v>
      </c>
      <c r="L204" s="14">
        <f>(0.0962*testdata[[#This Row],[detrender]]+0.5769*J202-0.5769*J200-0.0962*J198)*(0.075*$Z203+0.54)</f>
        <v>-5.113073789954508E-2</v>
      </c>
      <c r="M204" s="9">
        <f>(0.0962*testdata[[#This Row],[I1]]+0.5769*K202-0.5769*K200-0.0962*K198)*(0.075*$Z203+0.54)</f>
        <v>-1.525255499568906</v>
      </c>
      <c r="N204" s="9">
        <f>(0.0962*testdata[[#This Row],[Q1]]+0.5769*L202-0.5769*L200-0.0962*L198)*(0.075*$Z203+0.54)</f>
        <v>1.5573524984476175</v>
      </c>
      <c r="O204" s="9">
        <f>testdata[[#This Row],[I1]]-testdata[[#This Row],[JQ]]</f>
        <v>-1.0368576267016174</v>
      </c>
      <c r="P204" s="9">
        <f>testdata[[#This Row],[Q1]]+testdata[[#This Row],[jI]]</f>
        <v>-1.5763862374684512</v>
      </c>
      <c r="Q204" s="9">
        <f>0.2*testdata[[#This Row],[I2]]+0.8*Q203</f>
        <v>1.811387417014179</v>
      </c>
      <c r="R204" s="9">
        <f>0.2*testdata[[#This Row],[Q2]]+0.8*R203</f>
        <v>-1.1109444675901965</v>
      </c>
      <c r="S204" s="9">
        <f>testdata[[#This Row],[I2'']]*Q203+testdata[[#This Row],[Q2'']]*R203</f>
        <v>5.6758708029686034</v>
      </c>
      <c r="T204" s="9">
        <f>testdata[[#This Row],[I2'']]*R203-testdata[[#This Row],[Q2'']]*Q203</f>
        <v>1.0018343597418853</v>
      </c>
      <c r="U204" s="9">
        <f>0.2*testdata[[#This Row],[Re]]+0.8*U203</f>
        <v>7.5481084067779811</v>
      </c>
      <c r="V204" s="9">
        <f>0.2*testdata[[#This Row],[Im]]+0.8*V203</f>
        <v>1.9491650794589583</v>
      </c>
      <c r="W204" s="9">
        <f>IF(AND(testdata[[#This Row],[Re'']]&lt;&gt;0,testdata[[#This Row],[Im'']]&lt;&gt;0),2*PI()/ATAN(testdata[[#This Row],[Im'']]/testdata[[#This Row],[Re'']]),0)</f>
        <v>24.863072577447969</v>
      </c>
      <c r="X204" s="9">
        <f>IF(testdata[[#This Row],[pd-atan]]&gt;1.5*Z203,1.5*Z203,IF(testdata[[#This Row],[pd-atan]]&lt;0.67*Z203,0.67*Z203,testdata[[#This Row],[pd-atan]]))</f>
        <v>24.863072577447969</v>
      </c>
      <c r="Y204" s="9">
        <f>IF(testdata[[#This Row],[pd-limit1]]&lt;6,6,IF(testdata[[#This Row],[pd-limit1]]&gt;50,50,testdata[[#This Row],[pd-limit1]]))</f>
        <v>24.863072577447969</v>
      </c>
      <c r="Z204" s="14">
        <f>0.2*testdata[[#This Row],[pd-limit2]]+0.8*Z203</f>
        <v>21.467296942124555</v>
      </c>
      <c r="AA204" s="14">
        <f>0.33*testdata[[#This Row],[period]]+0.67*AA203</f>
        <v>20.77499915159304</v>
      </c>
      <c r="AB204" s="31">
        <f>TRUNC(testdata[[#This Row],[SmPd]]+0.5,0)</f>
        <v>21</v>
      </c>
      <c r="AC204" s="14">
        <f ca="1">IF(testdata[[#This Row],[PdInt]]&lt;=0,0,AVERAGE(OFFSET(testdata[[#This Row],[price]],0,0,-testdata[[#This Row],[PdInt]],1)))</f>
        <v>242.48357142857142</v>
      </c>
      <c r="AD204" s="14">
        <f ca="1">IF(testdata[[#This Row],[i]]&lt;11,testdata[[#This Row],[price]],(4*testdata[[#This Row],[iTrend]]+3*AC203+2*AC202+AC201)/10)</f>
        <v>242.26583571428569</v>
      </c>
      <c r="AE204" s="14">
        <f>(4*testdata[[#This Row],[price]]+3*H203+2*H202+H201)/10</f>
        <v>245.09500000000003</v>
      </c>
      <c r="AF204" t="str">
        <f ca="1">IF(OR(ROUND(testdata[[#This Row],[Trendline]],4)&lt;&gt;Table3[[#This Row],[Trendline]],ROUND(testdata[[#This Row],[SmPrice]],4)&lt;&gt;Table3[[#This Row],[SmPrice]]),"ERR","")</f>
        <v/>
      </c>
      <c r="AG204" s="3">
        <v>43028</v>
      </c>
      <c r="AH204" s="14">
        <v>20.775099999999998</v>
      </c>
      <c r="AI204" s="34">
        <v>21</v>
      </c>
      <c r="AJ204" s="14">
        <v>242.4836</v>
      </c>
      <c r="AK204" s="14">
        <v>242.26580000000001</v>
      </c>
      <c r="AL204" s="14">
        <v>245.095</v>
      </c>
      <c r="AN204" s="38">
        <f t="shared" si="10"/>
        <v>0</v>
      </c>
      <c r="AO204" s="38">
        <f t="shared" si="11"/>
        <v>0</v>
      </c>
      <c r="AQ204" s="37">
        <v>43028</v>
      </c>
      <c r="AR204">
        <v>21</v>
      </c>
      <c r="AS204">
        <v>242.265835714285</v>
      </c>
      <c r="AT204">
        <v>245.095</v>
      </c>
      <c r="AV204" s="37">
        <v>43028</v>
      </c>
      <c r="AW204">
        <v>21</v>
      </c>
      <c r="AX204">
        <v>242.265835714285</v>
      </c>
      <c r="AY204">
        <v>245.095</v>
      </c>
      <c r="BA204" s="38">
        <f>AX204-Table3[[#This Row],[Trendline]]</f>
        <v>3.5714284990717715E-5</v>
      </c>
      <c r="BB204" s="38">
        <f>AY204-Table3[[#This Row],[SmPrice]]</f>
        <v>0</v>
      </c>
    </row>
    <row r="205" spans="1:54" x14ac:dyDescent="0.35">
      <c r="A205" s="6">
        <v>203</v>
      </c>
      <c r="B205" s="3">
        <v>43031</v>
      </c>
      <c r="C205" s="2">
        <v>246.72</v>
      </c>
      <c r="D205" s="2">
        <v>246.75</v>
      </c>
      <c r="E205" s="2">
        <v>245.33</v>
      </c>
      <c r="F205" s="2">
        <v>245.41</v>
      </c>
      <c r="G205" s="1">
        <v>66701640</v>
      </c>
      <c r="H205" s="30">
        <f>(testdata[[#This Row],[high]]+testdata[[#This Row],[low]])/2</f>
        <v>246.04000000000002</v>
      </c>
      <c r="I205" s="23">
        <f>(4*testdata[[#This Row],[price]]+3*H204+2*H203+H202)/10</f>
        <v>245.53000000000003</v>
      </c>
      <c r="J205" s="9">
        <f>(0.0962*testdata[[#This Row],[smooth]]+0.5769*I203-0.5769*I201-0.0962*I199)*(0.075*$Z204+0.54)</f>
        <v>0.53185138821544808</v>
      </c>
      <c r="K205" s="14">
        <f t="shared" si="9"/>
        <v>0.59031681345273701</v>
      </c>
      <c r="L205" s="14">
        <f>(0.0962*testdata[[#This Row],[detrender]]+0.5769*J203-0.5769*J201-0.0962*J199)*(0.075*$Z204+0.54)</f>
        <v>-5.3802737186386958E-2</v>
      </c>
      <c r="M205" s="9">
        <f>(0.0962*testdata[[#This Row],[I1]]+0.5769*K203-0.5769*K201-0.0962*K199)*(0.075*$Z204+0.54)</f>
        <v>-1.1126506330985482</v>
      </c>
      <c r="N205" s="9">
        <f>(0.0962*testdata[[#This Row],[Q1]]+0.5769*L203-0.5769*L201-0.0962*L199)*(0.075*$Z204+0.54)</f>
        <v>1.4486396339552434</v>
      </c>
      <c r="O205" s="9">
        <f>testdata[[#This Row],[I1]]-testdata[[#This Row],[JQ]]</f>
        <v>-0.85832282050250641</v>
      </c>
      <c r="P205" s="9">
        <f>testdata[[#This Row],[Q1]]+testdata[[#This Row],[jI]]</f>
        <v>-1.1664533702849351</v>
      </c>
      <c r="Q205" s="9">
        <f>0.2*testdata[[#This Row],[I2]]+0.8*Q204</f>
        <v>1.2774453695108421</v>
      </c>
      <c r="R205" s="9">
        <f>0.2*testdata[[#This Row],[Q2]]+0.8*R204</f>
        <v>-1.1220462481291442</v>
      </c>
      <c r="S205" s="9">
        <f>testdata[[#This Row],[I2'']]*Q204+testdata[[#This Row],[Q2'']]*R204</f>
        <v>3.5604795399943772</v>
      </c>
      <c r="T205" s="9">
        <f>testdata[[#This Row],[I2'']]*R204-testdata[[#This Row],[Q2'']]*Q204</f>
        <v>0.61328958926231669</v>
      </c>
      <c r="U205" s="9">
        <f>0.2*testdata[[#This Row],[Re]]+0.8*U204</f>
        <v>6.7505826334212609</v>
      </c>
      <c r="V205" s="9">
        <f>0.2*testdata[[#This Row],[Im]]+0.8*V204</f>
        <v>1.6819899814196302</v>
      </c>
      <c r="W205" s="9">
        <f>IF(AND(testdata[[#This Row],[Re'']]&lt;&gt;0,testdata[[#This Row],[Im'']]&lt;&gt;0),2*PI()/ATAN(testdata[[#This Row],[Im'']]/testdata[[#This Row],[Re'']]),0)</f>
        <v>25.730724842582472</v>
      </c>
      <c r="X205" s="9">
        <f>IF(testdata[[#This Row],[pd-atan]]&gt;1.5*Z204,1.5*Z204,IF(testdata[[#This Row],[pd-atan]]&lt;0.67*Z204,0.67*Z204,testdata[[#This Row],[pd-atan]]))</f>
        <v>25.730724842582472</v>
      </c>
      <c r="Y205" s="9">
        <f>IF(testdata[[#This Row],[pd-limit1]]&lt;6,6,IF(testdata[[#This Row],[pd-limit1]]&gt;50,50,testdata[[#This Row],[pd-limit1]]))</f>
        <v>25.730724842582472</v>
      </c>
      <c r="Z205" s="14">
        <f>0.2*testdata[[#This Row],[pd-limit2]]+0.8*Z204</f>
        <v>22.31998252221614</v>
      </c>
      <c r="AA205" s="14">
        <f>0.33*testdata[[#This Row],[period]]+0.67*AA204</f>
        <v>21.284843663898663</v>
      </c>
      <c r="AB205" s="31">
        <f>TRUNC(testdata[[#This Row],[SmPd]]+0.5,0)</f>
        <v>21</v>
      </c>
      <c r="AC205" s="14">
        <f ca="1">IF(testdata[[#This Row],[PdInt]]&lt;=0,0,AVERAGE(OFFSET(testdata[[#This Row],[price]],0,0,-testdata[[#This Row],[PdInt]],1)))</f>
        <v>242.82309523809522</v>
      </c>
      <c r="AD205" s="14">
        <f ca="1">IF(testdata[[#This Row],[i]]&lt;11,testdata[[#This Row],[price]],(4*testdata[[#This Row],[iTrend]]+3*AC204+2*AC203+AC202)/10)</f>
        <v>242.54410952380948</v>
      </c>
      <c r="AE205" s="14">
        <f>(4*testdata[[#This Row],[price]]+3*H204+2*H203+H202)/10</f>
        <v>245.53000000000003</v>
      </c>
      <c r="AF205" t="str">
        <f ca="1">IF(OR(ROUND(testdata[[#This Row],[Trendline]],4)&lt;&gt;Table3[[#This Row],[Trendline]],ROUND(testdata[[#This Row],[SmPrice]],4)&lt;&gt;Table3[[#This Row],[SmPrice]]),"ERR","")</f>
        <v/>
      </c>
      <c r="AG205" s="3">
        <v>43031</v>
      </c>
      <c r="AH205" s="14">
        <v>21.2849</v>
      </c>
      <c r="AI205" s="34">
        <v>21</v>
      </c>
      <c r="AJ205" s="14">
        <v>242.82310000000001</v>
      </c>
      <c r="AK205" s="14">
        <v>242.54409999999999</v>
      </c>
      <c r="AL205" s="14">
        <v>245.53</v>
      </c>
      <c r="AN205" s="38">
        <f t="shared" si="10"/>
        <v>0</v>
      </c>
      <c r="AO205" s="38">
        <f t="shared" si="11"/>
        <v>0</v>
      </c>
      <c r="AQ205" s="37">
        <v>43031</v>
      </c>
      <c r="AR205">
        <v>21</v>
      </c>
      <c r="AS205">
        <v>242.544109523809</v>
      </c>
      <c r="AT205">
        <v>245.53</v>
      </c>
      <c r="AV205" s="37">
        <v>43031</v>
      </c>
      <c r="AW205">
        <v>21</v>
      </c>
      <c r="AX205">
        <v>242.544109523809</v>
      </c>
      <c r="AY205">
        <v>245.53</v>
      </c>
      <c r="BA205" s="38">
        <f>AX205-Table3[[#This Row],[Trendline]]</f>
        <v>9.5238090125349117E-6</v>
      </c>
      <c r="BB205" s="38">
        <f>AY205-Table3[[#This Row],[SmPrice]]</f>
        <v>0</v>
      </c>
    </row>
    <row r="206" spans="1:54" x14ac:dyDescent="0.35">
      <c r="A206" s="6">
        <v>204</v>
      </c>
      <c r="B206" s="3">
        <v>43032</v>
      </c>
      <c r="C206" s="2">
        <v>245.88</v>
      </c>
      <c r="D206" s="2">
        <v>246.1</v>
      </c>
      <c r="E206" s="2">
        <v>245.45</v>
      </c>
      <c r="F206" s="2">
        <v>245.84</v>
      </c>
      <c r="G206" s="1">
        <v>69853928</v>
      </c>
      <c r="H206" s="30">
        <f>(testdata[[#This Row],[high]]+testdata[[#This Row],[low]])/2</f>
        <v>245.77499999999998</v>
      </c>
      <c r="I206" s="23">
        <f>(4*testdata[[#This Row],[price]]+3*H205+2*H204+H203)/10</f>
        <v>245.714</v>
      </c>
      <c r="J206" s="9">
        <f>(0.0962*testdata[[#This Row],[smooth]]+0.5769*I204-0.5769*I202-0.0962*I200)*(0.075*$Z205+0.54)</f>
        <v>0.76757286604599639</v>
      </c>
      <c r="K206" s="14">
        <f t="shared" si="9"/>
        <v>0.52787980617112118</v>
      </c>
      <c r="L206" s="14">
        <f>(0.0962*testdata[[#This Row],[detrender]]+0.5769*J204-0.5769*J202-0.0962*J200)*(0.075*$Z205+0.54)</f>
        <v>0.21268676693994631</v>
      </c>
      <c r="M206" s="9">
        <f>(0.0962*testdata[[#This Row],[I1]]+0.5769*K204-0.5769*K202-0.0962*K200)*(0.075*$Z205+0.54)</f>
        <v>-0.65368657780953832</v>
      </c>
      <c r="N206" s="9">
        <f>(0.0962*testdata[[#This Row],[Q1]]+0.5769*L204-0.5769*L202-0.0962*L200)*(0.075*$Z205+0.54)</f>
        <v>1.7511107784541915</v>
      </c>
      <c r="O206" s="9">
        <f>testdata[[#This Row],[I1]]-testdata[[#This Row],[JQ]]</f>
        <v>-1.2232309722830703</v>
      </c>
      <c r="P206" s="9">
        <f>testdata[[#This Row],[Q1]]+testdata[[#This Row],[jI]]</f>
        <v>-0.440999810869592</v>
      </c>
      <c r="Q206" s="9">
        <f>0.2*testdata[[#This Row],[I2]]+0.8*Q205</f>
        <v>0.77731010115205956</v>
      </c>
      <c r="R206" s="9">
        <f>0.2*testdata[[#This Row],[Q2]]+0.8*R205</f>
        <v>-0.98583696067723392</v>
      </c>
      <c r="S206" s="9">
        <f>testdata[[#This Row],[I2'']]*Q205+testdata[[#This Row],[Q2'']]*R205</f>
        <v>2.0991258523856318</v>
      </c>
      <c r="T206" s="9">
        <f>testdata[[#This Row],[I2'']]*R205-testdata[[#This Row],[Q2'']]*Q205</f>
        <v>0.38717497787922051</v>
      </c>
      <c r="U206" s="9">
        <f>0.2*testdata[[#This Row],[Re]]+0.8*U205</f>
        <v>5.8202912772141353</v>
      </c>
      <c r="V206" s="9">
        <f>0.2*testdata[[#This Row],[Im]]+0.8*V205</f>
        <v>1.4230269807115485</v>
      </c>
      <c r="W206" s="9">
        <f>IF(AND(testdata[[#This Row],[Re'']]&lt;&gt;0,testdata[[#This Row],[Im'']]&lt;&gt;0),2*PI()/ATAN(testdata[[#This Row],[Im'']]/testdata[[#This Row],[Re'']]),0)</f>
        <v>26.202868382159267</v>
      </c>
      <c r="X206" s="9">
        <f>IF(testdata[[#This Row],[pd-atan]]&gt;1.5*Z205,1.5*Z205,IF(testdata[[#This Row],[pd-atan]]&lt;0.67*Z205,0.67*Z205,testdata[[#This Row],[pd-atan]]))</f>
        <v>26.202868382159267</v>
      </c>
      <c r="Y206" s="9">
        <f>IF(testdata[[#This Row],[pd-limit1]]&lt;6,6,IF(testdata[[#This Row],[pd-limit1]]&gt;50,50,testdata[[#This Row],[pd-limit1]]))</f>
        <v>26.202868382159267</v>
      </c>
      <c r="Z206" s="14">
        <f>0.2*testdata[[#This Row],[pd-limit2]]+0.8*Z205</f>
        <v>23.096559694204768</v>
      </c>
      <c r="AA206" s="14">
        <f>0.33*testdata[[#This Row],[period]]+0.67*AA205</f>
        <v>21.882709953899678</v>
      </c>
      <c r="AB206" s="31">
        <f>TRUNC(testdata[[#This Row],[SmPd]]+0.5,0)</f>
        <v>22</v>
      </c>
      <c r="AC206" s="14">
        <f ca="1">IF(testdata[[#This Row],[PdInt]]&lt;=0,0,AVERAGE(OFFSET(testdata[[#This Row],[price]],0,0,-testdata[[#This Row],[PdInt]],1)))</f>
        <v>242.95727272727271</v>
      </c>
      <c r="AD206" s="14">
        <f ca="1">IF(testdata[[#This Row],[i]]&lt;11,testdata[[#This Row],[price]],(4*testdata[[#This Row],[iTrend]]+3*AC205+2*AC204+AC203)/10)</f>
        <v>242.7586019480519</v>
      </c>
      <c r="AE206" s="14">
        <f>(4*testdata[[#This Row],[price]]+3*H205+2*H204+H203)/10</f>
        <v>245.714</v>
      </c>
      <c r="AF206" t="str">
        <f ca="1">IF(OR(ROUND(testdata[[#This Row],[Trendline]],4)&lt;&gt;Table3[[#This Row],[Trendline]],ROUND(testdata[[#This Row],[SmPrice]],4)&lt;&gt;Table3[[#This Row],[SmPrice]]),"ERR","")</f>
        <v/>
      </c>
      <c r="AG206" s="3">
        <v>43032</v>
      </c>
      <c r="AH206" s="14">
        <v>21.8827</v>
      </c>
      <c r="AI206" s="34">
        <v>22</v>
      </c>
      <c r="AJ206" s="14">
        <v>242.9573</v>
      </c>
      <c r="AK206" s="14">
        <v>242.7586</v>
      </c>
      <c r="AL206" s="14">
        <v>245.714</v>
      </c>
      <c r="AN206" s="38">
        <f t="shared" si="10"/>
        <v>0</v>
      </c>
      <c r="AO206" s="38">
        <f t="shared" si="11"/>
        <v>0</v>
      </c>
      <c r="AQ206" s="37">
        <v>43032</v>
      </c>
      <c r="AR206">
        <v>22</v>
      </c>
      <c r="AS206">
        <v>242.75860194805099</v>
      </c>
      <c r="AT206">
        <v>245.714</v>
      </c>
      <c r="AV206" s="37">
        <v>43032</v>
      </c>
      <c r="AW206">
        <v>22</v>
      </c>
      <c r="AX206">
        <v>242.75860194805099</v>
      </c>
      <c r="AY206">
        <v>245.714</v>
      </c>
      <c r="BA206" s="38">
        <f>AX206-Table3[[#This Row],[Trendline]]</f>
        <v>1.948050993405559E-6</v>
      </c>
      <c r="BB206" s="38">
        <f>AY206-Table3[[#This Row],[SmPrice]]</f>
        <v>0</v>
      </c>
    </row>
    <row r="207" spans="1:54" x14ac:dyDescent="0.35">
      <c r="A207" s="6">
        <v>205</v>
      </c>
      <c r="B207" s="3">
        <v>43033</v>
      </c>
      <c r="C207" s="2">
        <v>245.48</v>
      </c>
      <c r="D207" s="2">
        <v>245.6</v>
      </c>
      <c r="E207" s="2">
        <v>243.39</v>
      </c>
      <c r="F207" s="2">
        <v>244.63</v>
      </c>
      <c r="G207" s="1">
        <v>108236672</v>
      </c>
      <c r="H207" s="30">
        <f>(testdata[[#This Row],[high]]+testdata[[#This Row],[low]])/2</f>
        <v>244.495</v>
      </c>
      <c r="I207" s="23">
        <f>(4*testdata[[#This Row],[price]]+3*H206+2*H205+H204)/10</f>
        <v>245.31299999999996</v>
      </c>
      <c r="J207" s="9">
        <f>(0.0962*testdata[[#This Row],[smooth]]+0.5769*I205-0.5769*I203-0.0962*I201)*(0.075*$Z206+0.54)</f>
        <v>1.3346582448908924</v>
      </c>
      <c r="K207" s="14">
        <f t="shared" si="9"/>
        <v>0.72289721493615655</v>
      </c>
      <c r="L207" s="14">
        <f>(0.0962*testdata[[#This Row],[detrender]]+0.5769*J205-0.5769*J203-0.0962*J201)*(0.075*$Z206+0.54)</f>
        <v>0.18317388346013364</v>
      </c>
      <c r="M207" s="9">
        <f>(0.0962*testdata[[#This Row],[I1]]+0.5769*K205-0.5769*K203-0.0962*K201)*(0.075*$Z206+0.54)</f>
        <v>-5.5685735641082763E-2</v>
      </c>
      <c r="N207" s="9">
        <f>(0.0962*testdata[[#This Row],[Q1]]+0.5769*L205-0.5769*L203-0.0962*L201)*(0.075*$Z206+0.54)</f>
        <v>1.0717094883734981</v>
      </c>
      <c r="O207" s="9">
        <f>testdata[[#This Row],[I1]]-testdata[[#This Row],[JQ]]</f>
        <v>-0.34881227343734156</v>
      </c>
      <c r="P207" s="9">
        <f>testdata[[#This Row],[Q1]]+testdata[[#This Row],[jI]]</f>
        <v>0.12748814781905088</v>
      </c>
      <c r="Q207" s="9">
        <f>0.2*testdata[[#This Row],[I2]]+0.8*Q206</f>
        <v>0.55208562623417934</v>
      </c>
      <c r="R207" s="9">
        <f>0.2*testdata[[#This Row],[Q2]]+0.8*R206</f>
        <v>-0.76317193897797697</v>
      </c>
      <c r="S207" s="9">
        <f>testdata[[#This Row],[I2'']]*Q206+testdata[[#This Row],[Q2'']]*R206</f>
        <v>1.1815048387688885</v>
      </c>
      <c r="T207" s="9">
        <f>testdata[[#This Row],[I2'']]*R206-testdata[[#This Row],[Q2'']]*Q206</f>
        <v>4.8954841283094019E-2</v>
      </c>
      <c r="U207" s="9">
        <f>0.2*testdata[[#This Row],[Re]]+0.8*U206</f>
        <v>4.8925339895250861</v>
      </c>
      <c r="V207" s="9">
        <f>0.2*testdata[[#This Row],[Im]]+0.8*V206</f>
        <v>1.1482125528258578</v>
      </c>
      <c r="W207" s="9">
        <f>IF(AND(testdata[[#This Row],[Re'']]&lt;&gt;0,testdata[[#This Row],[Im'']]&lt;&gt;0),2*PI()/ATAN(testdata[[#This Row],[Im'']]/testdata[[#This Row],[Re'']]),0)</f>
        <v>27.2571627395448</v>
      </c>
      <c r="X207" s="9">
        <f>IF(testdata[[#This Row],[pd-atan]]&gt;1.5*Z206,1.5*Z206,IF(testdata[[#This Row],[pd-atan]]&lt;0.67*Z206,0.67*Z206,testdata[[#This Row],[pd-atan]]))</f>
        <v>27.2571627395448</v>
      </c>
      <c r="Y207" s="9">
        <f>IF(testdata[[#This Row],[pd-limit1]]&lt;6,6,IF(testdata[[#This Row],[pd-limit1]]&gt;50,50,testdata[[#This Row],[pd-limit1]]))</f>
        <v>27.2571627395448</v>
      </c>
      <c r="Z207" s="14">
        <f>0.2*testdata[[#This Row],[pd-limit2]]+0.8*Z206</f>
        <v>23.928680303272778</v>
      </c>
      <c r="AA207" s="14">
        <f>0.33*testdata[[#This Row],[period]]+0.67*AA206</f>
        <v>22.557880169192803</v>
      </c>
      <c r="AB207" s="31">
        <f>TRUNC(testdata[[#This Row],[SmPd]]+0.5,0)</f>
        <v>23</v>
      </c>
      <c r="AC207" s="14">
        <f ca="1">IF(testdata[[#This Row],[PdInt]]&lt;=0,0,AVERAGE(OFFSET(testdata[[#This Row],[price]],0,0,-testdata[[#This Row],[PdInt]],1)))</f>
        <v>243.02413043478259</v>
      </c>
      <c r="AD207" s="14">
        <f ca="1">IF(testdata[[#This Row],[i]]&lt;11,testdata[[#This Row],[price]],(4*testdata[[#This Row],[iTrend]]+3*AC206+2*AC205+AC204)/10)</f>
        <v>242.90981018257102</v>
      </c>
      <c r="AE207" s="14">
        <f>(4*testdata[[#This Row],[price]]+3*H206+2*H205+H204)/10</f>
        <v>245.31299999999996</v>
      </c>
      <c r="AF207" t="str">
        <f ca="1">IF(OR(ROUND(testdata[[#This Row],[Trendline]],4)&lt;&gt;Table3[[#This Row],[Trendline]],ROUND(testdata[[#This Row],[SmPrice]],4)&lt;&gt;Table3[[#This Row],[SmPrice]]),"ERR","")</f>
        <v/>
      </c>
      <c r="AG207" s="3">
        <v>43033</v>
      </c>
      <c r="AH207" s="14">
        <v>22.5578</v>
      </c>
      <c r="AI207" s="34">
        <v>23</v>
      </c>
      <c r="AJ207" s="14">
        <v>243.0241</v>
      </c>
      <c r="AK207" s="14">
        <v>242.90979999999999</v>
      </c>
      <c r="AL207" s="14">
        <v>245.31299999999999</v>
      </c>
      <c r="AN207" s="38">
        <f t="shared" si="10"/>
        <v>0</v>
      </c>
      <c r="AO207" s="38">
        <f t="shared" si="11"/>
        <v>0</v>
      </c>
      <c r="AQ207" s="37">
        <v>43033</v>
      </c>
      <c r="AR207">
        <v>23</v>
      </c>
      <c r="AS207">
        <v>242.90981018257099</v>
      </c>
      <c r="AT207">
        <v>245.31299999999999</v>
      </c>
      <c r="AV207" s="37">
        <v>43033</v>
      </c>
      <c r="AW207">
        <v>23</v>
      </c>
      <c r="AX207">
        <v>242.90981018257099</v>
      </c>
      <c r="AY207">
        <v>245.31299999999999</v>
      </c>
      <c r="BA207" s="38">
        <f>AX207-Table3[[#This Row],[Trendline]]</f>
        <v>1.0182571003269913E-5</v>
      </c>
      <c r="BB207" s="38">
        <f>AY207-Table3[[#This Row],[SmPrice]]</f>
        <v>0</v>
      </c>
    </row>
    <row r="208" spans="1:54" x14ac:dyDescent="0.35">
      <c r="A208" s="6">
        <v>206</v>
      </c>
      <c r="B208" s="3">
        <v>43034</v>
      </c>
      <c r="C208" s="2">
        <v>245.3</v>
      </c>
      <c r="D208" s="2">
        <v>245.59</v>
      </c>
      <c r="E208" s="2">
        <v>244.81</v>
      </c>
      <c r="F208" s="2">
        <v>244.94</v>
      </c>
      <c r="G208" s="1">
        <v>72840760</v>
      </c>
      <c r="H208" s="30">
        <f>(testdata[[#This Row],[high]]+testdata[[#This Row],[low]])/2</f>
        <v>245.2</v>
      </c>
      <c r="I208" s="23">
        <f>(4*testdata[[#This Row],[price]]+3*H207+2*H206+H205)/10</f>
        <v>245.1875</v>
      </c>
      <c r="J208" s="9">
        <f>(0.0962*testdata[[#This Row],[smooth]]+0.5769*I206-0.5769*I204-0.0962*I202)*(0.075*$Z207+0.54)</f>
        <v>0.93701942539706351</v>
      </c>
      <c r="K208" s="14">
        <f t="shared" si="9"/>
        <v>0.53185138821544808</v>
      </c>
      <c r="L208" s="14">
        <f>(0.0962*testdata[[#This Row],[detrender]]+0.5769*J206-0.5769*J204-0.0962*J202)*(0.075*$Z207+0.54)</f>
        <v>0.13803898352070418</v>
      </c>
      <c r="M208" s="9">
        <f>(0.0962*testdata[[#This Row],[I1]]+0.5769*K206-0.5769*K204-0.0962*K202)*(0.075*$Z207+0.54)</f>
        <v>-5.8422257553520276E-2</v>
      </c>
      <c r="N208" s="9">
        <f>(0.0962*testdata[[#This Row],[Q1]]+0.5769*L206-0.5769*L204-0.0962*L202)*(0.075*$Z207+0.54)</f>
        <v>0.6172947422870505</v>
      </c>
      <c r="O208" s="9">
        <f>testdata[[#This Row],[I1]]-testdata[[#This Row],[JQ]]</f>
        <v>-8.5443354071602418E-2</v>
      </c>
      <c r="P208" s="9">
        <f>testdata[[#This Row],[Q1]]+testdata[[#This Row],[jI]]</f>
        <v>7.9616725967183902E-2</v>
      </c>
      <c r="Q208" s="9">
        <f>0.2*testdata[[#This Row],[I2]]+0.8*Q207</f>
        <v>0.42457983017302303</v>
      </c>
      <c r="R208" s="9">
        <f>0.2*testdata[[#This Row],[Q2]]+0.8*R207</f>
        <v>-0.59461420598894488</v>
      </c>
      <c r="S208" s="9">
        <f>testdata[[#This Row],[I2'']]*Q207+testdata[[#This Row],[Q2'']]*R207</f>
        <v>0.68819729795590823</v>
      </c>
      <c r="T208" s="9">
        <f>testdata[[#This Row],[I2'']]*R207-testdata[[#This Row],[Q2'']]*Q207</f>
        <v>4.2505440370597669E-3</v>
      </c>
      <c r="U208" s="9">
        <f>0.2*testdata[[#This Row],[Re]]+0.8*U207</f>
        <v>4.0516666512112511</v>
      </c>
      <c r="V208" s="9">
        <f>0.2*testdata[[#This Row],[Im]]+0.8*V207</f>
        <v>0.91942015106809827</v>
      </c>
      <c r="W208" s="9">
        <f>IF(AND(testdata[[#This Row],[Re'']]&lt;&gt;0,testdata[[#This Row],[Im'']]&lt;&gt;0),2*PI()/ATAN(testdata[[#This Row],[Im'']]/testdata[[#This Row],[Re'']]),0)</f>
        <v>28.157420611921211</v>
      </c>
      <c r="X208" s="9">
        <f>IF(testdata[[#This Row],[pd-atan]]&gt;1.5*Z207,1.5*Z207,IF(testdata[[#This Row],[pd-atan]]&lt;0.67*Z207,0.67*Z207,testdata[[#This Row],[pd-atan]]))</f>
        <v>28.157420611921211</v>
      </c>
      <c r="Y208" s="9">
        <f>IF(testdata[[#This Row],[pd-limit1]]&lt;6,6,IF(testdata[[#This Row],[pd-limit1]]&gt;50,50,testdata[[#This Row],[pd-limit1]]))</f>
        <v>28.157420611921211</v>
      </c>
      <c r="Z208" s="14">
        <f>0.2*testdata[[#This Row],[pd-limit2]]+0.8*Z207</f>
        <v>24.774428365002468</v>
      </c>
      <c r="AA208" s="14">
        <f>0.33*testdata[[#This Row],[period]]+0.67*AA207</f>
        <v>23.289341073809993</v>
      </c>
      <c r="AB208" s="31">
        <f>TRUNC(testdata[[#This Row],[SmPd]]+0.5,0)</f>
        <v>23</v>
      </c>
      <c r="AC208" s="14">
        <f ca="1">IF(testdata[[#This Row],[PdInt]]&lt;=0,0,AVERAGE(OFFSET(testdata[[#This Row],[price]],0,0,-testdata[[#This Row],[PdInt]],1)))</f>
        <v>243.31869565217386</v>
      </c>
      <c r="AD208" s="14">
        <f ca="1">IF(testdata[[#This Row],[i]]&lt;11,testdata[[#This Row],[price]],(4*testdata[[#This Row],[iTrend]]+3*AC207+2*AC206+AC205)/10)</f>
        <v>243.10848146056841</v>
      </c>
      <c r="AE208" s="14">
        <f>(4*testdata[[#This Row],[price]]+3*H207+2*H206+H205)/10</f>
        <v>245.1875</v>
      </c>
      <c r="AF208" t="str">
        <f ca="1">IF(OR(ROUND(testdata[[#This Row],[Trendline]],4)&lt;&gt;Table3[[#This Row],[Trendline]],ROUND(testdata[[#This Row],[SmPrice]],4)&lt;&gt;Table3[[#This Row],[SmPrice]]),"ERR","")</f>
        <v/>
      </c>
      <c r="AG208" s="3">
        <v>43034</v>
      </c>
      <c r="AH208" s="14">
        <v>23.289200000000001</v>
      </c>
      <c r="AI208" s="34">
        <v>23</v>
      </c>
      <c r="AJ208" s="14">
        <v>243.31870000000001</v>
      </c>
      <c r="AK208" s="14">
        <v>243.10849999999999</v>
      </c>
      <c r="AL208" s="14">
        <v>245.1875</v>
      </c>
      <c r="AN208" s="38">
        <f t="shared" si="10"/>
        <v>0</v>
      </c>
      <c r="AO208" s="38">
        <f t="shared" si="11"/>
        <v>0</v>
      </c>
      <c r="AQ208" s="37">
        <v>43034</v>
      </c>
      <c r="AR208">
        <v>23</v>
      </c>
      <c r="AS208">
        <v>243.10848146056799</v>
      </c>
      <c r="AT208">
        <v>245.1875</v>
      </c>
      <c r="AV208" s="37">
        <v>43034</v>
      </c>
      <c r="AW208">
        <v>23</v>
      </c>
      <c r="AX208">
        <v>243.10848146056799</v>
      </c>
      <c r="AY208">
        <v>245.1875</v>
      </c>
      <c r="BA208" s="38">
        <f>AX208-Table3[[#This Row],[Trendline]]</f>
        <v>-1.8539432005582057E-5</v>
      </c>
      <c r="BB208" s="38">
        <f>AY208-Table3[[#This Row],[SmPrice]]</f>
        <v>0</v>
      </c>
    </row>
    <row r="209" spans="1:54" x14ac:dyDescent="0.35">
      <c r="A209" s="6">
        <v>207</v>
      </c>
      <c r="B209" s="3">
        <v>43035</v>
      </c>
      <c r="C209" s="2">
        <v>245.76</v>
      </c>
      <c r="D209" s="2">
        <v>247.12</v>
      </c>
      <c r="E209" s="2">
        <v>244.95</v>
      </c>
      <c r="F209" s="2">
        <v>246.94</v>
      </c>
      <c r="G209" s="1">
        <v>89292576</v>
      </c>
      <c r="H209" s="30">
        <f>(testdata[[#This Row],[high]]+testdata[[#This Row],[low]])/2</f>
        <v>246.035</v>
      </c>
      <c r="I209" s="23">
        <f>(4*testdata[[#This Row],[price]]+3*H208+2*H207+H206)/10</f>
        <v>245.45049999999998</v>
      </c>
      <c r="J209" s="9">
        <f>(0.0962*testdata[[#This Row],[smooth]]+0.5769*I207-0.5769*I205-0.0962*I203)*(0.075*$Z208+0.54)</f>
        <v>-0.11657580818431938</v>
      </c>
      <c r="K209" s="14">
        <f t="shared" si="9"/>
        <v>0.76757286604599639</v>
      </c>
      <c r="L209" s="14">
        <f>(0.0962*testdata[[#This Row],[detrender]]+0.5769*J207-0.5769*J205-0.0962*J203)*(0.075*$Z208+0.54)</f>
        <v>0.96197300873768976</v>
      </c>
      <c r="M209" s="9">
        <f>(0.0962*testdata[[#This Row],[I1]]+0.5769*K207-0.5769*K205-0.0962*K203)*(0.075*$Z208+0.54)</f>
        <v>0.23037065786158042</v>
      </c>
      <c r="N209" s="9">
        <f>(0.0962*testdata[[#This Row],[Q1]]+0.5769*L207-0.5769*L205-0.0962*L203)*(0.075*$Z208+0.54)</f>
        <v>0.68806958467762935</v>
      </c>
      <c r="O209" s="9">
        <f>testdata[[#This Row],[I1]]-testdata[[#This Row],[JQ]]</f>
        <v>7.950328136836704E-2</v>
      </c>
      <c r="P209" s="9">
        <f>testdata[[#This Row],[Q1]]+testdata[[#This Row],[jI]]</f>
        <v>1.1923436665992702</v>
      </c>
      <c r="Q209" s="9">
        <f>0.2*testdata[[#This Row],[I2]]+0.8*Q208</f>
        <v>0.35556452041209186</v>
      </c>
      <c r="R209" s="9">
        <f>0.2*testdata[[#This Row],[Q2]]+0.8*R208</f>
        <v>-0.23722263147130188</v>
      </c>
      <c r="S209" s="9">
        <f>testdata[[#This Row],[I2'']]*Q208+testdata[[#This Row],[Q2'']]*R208</f>
        <v>0.29202147034703463</v>
      </c>
      <c r="T209" s="9">
        <f>testdata[[#This Row],[I2'']]*R208-testdata[[#This Row],[Q2'']]*Q208</f>
        <v>-0.110703770399393</v>
      </c>
      <c r="U209" s="9">
        <f>0.2*testdata[[#This Row],[Re]]+0.8*U208</f>
        <v>3.2997376150384081</v>
      </c>
      <c r="V209" s="9">
        <f>0.2*testdata[[#This Row],[Im]]+0.8*V208</f>
        <v>0.71339536677460003</v>
      </c>
      <c r="W209" s="9">
        <f>IF(AND(testdata[[#This Row],[Re'']]&lt;&gt;0,testdata[[#This Row],[Im'']]&lt;&gt;0),2*PI()/ATAN(testdata[[#This Row],[Im'']]/testdata[[#This Row],[Re'']]),0)</f>
        <v>29.509527168745123</v>
      </c>
      <c r="X209" s="9">
        <f>IF(testdata[[#This Row],[pd-atan]]&gt;1.5*Z208,1.5*Z208,IF(testdata[[#This Row],[pd-atan]]&lt;0.67*Z208,0.67*Z208,testdata[[#This Row],[pd-atan]]))</f>
        <v>29.509527168745123</v>
      </c>
      <c r="Y209" s="9">
        <f>IF(testdata[[#This Row],[pd-limit1]]&lt;6,6,IF(testdata[[#This Row],[pd-limit1]]&gt;50,50,testdata[[#This Row],[pd-limit1]]))</f>
        <v>29.509527168745123</v>
      </c>
      <c r="Z209" s="14">
        <f>0.2*testdata[[#This Row],[pd-limit2]]+0.8*Z208</f>
        <v>25.721448125750999</v>
      </c>
      <c r="AA209" s="14">
        <f>0.33*testdata[[#This Row],[period]]+0.67*AA208</f>
        <v>24.091936400950527</v>
      </c>
      <c r="AB209" s="31">
        <f>TRUNC(testdata[[#This Row],[SmPd]]+0.5,0)</f>
        <v>24</v>
      </c>
      <c r="AC209" s="14">
        <f ca="1">IF(testdata[[#This Row],[PdInt]]&lt;=0,0,AVERAGE(OFFSET(testdata[[#This Row],[price]],0,0,-testdata[[#This Row],[PdInt]],1)))</f>
        <v>243.43187499999996</v>
      </c>
      <c r="AD209" s="14">
        <f ca="1">IF(testdata[[#This Row],[i]]&lt;11,testdata[[#This Row],[price]],(4*testdata[[#This Row],[iTrend]]+3*AC208+2*AC207+AC206)/10)</f>
        <v>243.26891205533593</v>
      </c>
      <c r="AE209" s="14">
        <f>(4*testdata[[#This Row],[price]]+3*H208+2*H207+H206)/10</f>
        <v>245.45049999999998</v>
      </c>
      <c r="AF209" t="str">
        <f ca="1">IF(OR(ROUND(testdata[[#This Row],[Trendline]],4)&lt;&gt;Table3[[#This Row],[Trendline]],ROUND(testdata[[#This Row],[SmPrice]],4)&lt;&gt;Table3[[#This Row],[SmPrice]]),"ERR","")</f>
        <v/>
      </c>
      <c r="AG209" s="3">
        <v>43035</v>
      </c>
      <c r="AH209" s="14">
        <v>24.091699999999999</v>
      </c>
      <c r="AI209" s="34">
        <v>24</v>
      </c>
      <c r="AJ209" s="14">
        <v>243.43190000000001</v>
      </c>
      <c r="AK209" s="14">
        <v>243.2689</v>
      </c>
      <c r="AL209" s="14">
        <v>245.45050000000001</v>
      </c>
      <c r="AN209" s="38">
        <f t="shared" si="10"/>
        <v>0</v>
      </c>
      <c r="AO209" s="38">
        <f t="shared" si="11"/>
        <v>0</v>
      </c>
      <c r="AQ209" s="37">
        <v>43035</v>
      </c>
      <c r="AR209">
        <v>24</v>
      </c>
      <c r="AS209">
        <v>243.26891205533499</v>
      </c>
      <c r="AT209">
        <v>245.45049999999901</v>
      </c>
      <c r="AV209" s="37">
        <v>43035</v>
      </c>
      <c r="AW209">
        <v>24</v>
      </c>
      <c r="AX209">
        <v>243.26891205533499</v>
      </c>
      <c r="AY209">
        <v>245.45049999999901</v>
      </c>
      <c r="BA209" s="38">
        <f>AX209-Table3[[#This Row],[Trendline]]</f>
        <v>1.205533499160083E-5</v>
      </c>
      <c r="BB209" s="38">
        <f>AY209-Table3[[#This Row],[SmPrice]]</f>
        <v>-9.9475983006414026E-13</v>
      </c>
    </row>
    <row r="210" spans="1:54" x14ac:dyDescent="0.35">
      <c r="A210" s="6">
        <v>208</v>
      </c>
      <c r="B210" s="3">
        <v>43038</v>
      </c>
      <c r="C210" s="2">
        <v>246.33</v>
      </c>
      <c r="D210" s="2">
        <v>246.84</v>
      </c>
      <c r="E210" s="2">
        <v>245.7</v>
      </c>
      <c r="F210" s="2">
        <v>246.02</v>
      </c>
      <c r="G210" s="1">
        <v>56652224</v>
      </c>
      <c r="H210" s="30">
        <f>(testdata[[#This Row],[high]]+testdata[[#This Row],[low]])/2</f>
        <v>246.26999999999998</v>
      </c>
      <c r="I210" s="23">
        <f>(4*testdata[[#This Row],[price]]+3*H209+2*H208+H207)/10</f>
        <v>245.80799999999999</v>
      </c>
      <c r="J210" s="9">
        <f>(0.0962*testdata[[#This Row],[smooth]]+0.5769*I208-0.5769*I206-0.0962*I204)*(0.075*$Z209+0.54)</f>
        <v>-0.58060409945914571</v>
      </c>
      <c r="K210" s="14">
        <f t="shared" si="9"/>
        <v>1.3346582448908924</v>
      </c>
      <c r="L210" s="14">
        <f>(0.0962*testdata[[#This Row],[detrender]]+0.5769*J208-0.5769*J206-0.0962*J204)*(0.075*$Z209+0.54)</f>
        <v>-6.8253831893043834E-2</v>
      </c>
      <c r="M210" s="9">
        <f>(0.0962*testdata[[#This Row],[I1]]+0.5769*K208-0.5769*K206-0.0962*K204)*(0.075*$Z209+0.54)</f>
        <v>0.19904403546778462</v>
      </c>
      <c r="N210" s="9">
        <f>(0.0962*testdata[[#This Row],[Q1]]+0.5769*L208-0.5769*L206-0.0962*L204)*(0.075*$Z209+0.54)</f>
        <v>-0.11039766785283035</v>
      </c>
      <c r="O210" s="9">
        <f>testdata[[#This Row],[I1]]-testdata[[#This Row],[JQ]]</f>
        <v>1.4450559127437228</v>
      </c>
      <c r="P210" s="9">
        <f>testdata[[#This Row],[Q1]]+testdata[[#This Row],[jI]]</f>
        <v>0.1307902035747408</v>
      </c>
      <c r="Q210" s="9">
        <f>0.2*testdata[[#This Row],[I2]]+0.8*Q209</f>
        <v>0.573462798878418</v>
      </c>
      <c r="R210" s="9">
        <f>0.2*testdata[[#This Row],[Q2]]+0.8*R209</f>
        <v>-0.16362006446209337</v>
      </c>
      <c r="S210" s="9">
        <f>testdata[[#This Row],[I2'']]*Q209+testdata[[#This Row],[Q2'']]*R209</f>
        <v>0.24271740731058242</v>
      </c>
      <c r="T210" s="9">
        <f>testdata[[#This Row],[I2'']]*R209-testdata[[#This Row],[Q2'']]*Q209</f>
        <v>-7.7860864450576481E-2</v>
      </c>
      <c r="U210" s="9">
        <f>0.2*testdata[[#This Row],[Re]]+0.8*U209</f>
        <v>2.6883335734928431</v>
      </c>
      <c r="V210" s="9">
        <f>0.2*testdata[[#This Row],[Im]]+0.8*V209</f>
        <v>0.55514412052956474</v>
      </c>
      <c r="W210" s="9">
        <f>IF(AND(testdata[[#This Row],[Re'']]&lt;&gt;0,testdata[[#This Row],[Im'']]&lt;&gt;0),2*PI()/ATAN(testdata[[#This Row],[Im'']]/testdata[[#This Row],[Re'']]),0)</f>
        <v>30.854553984249076</v>
      </c>
      <c r="X210" s="9">
        <f>IF(testdata[[#This Row],[pd-atan]]&gt;1.5*Z209,1.5*Z209,IF(testdata[[#This Row],[pd-atan]]&lt;0.67*Z209,0.67*Z209,testdata[[#This Row],[pd-atan]]))</f>
        <v>30.854553984249076</v>
      </c>
      <c r="Y210" s="9">
        <f>IF(testdata[[#This Row],[pd-limit1]]&lt;6,6,IF(testdata[[#This Row],[pd-limit1]]&gt;50,50,testdata[[#This Row],[pd-limit1]]))</f>
        <v>30.854553984249076</v>
      </c>
      <c r="Z210" s="14">
        <f>0.2*testdata[[#This Row],[pd-limit2]]+0.8*Z209</f>
        <v>26.74806929745062</v>
      </c>
      <c r="AA210" s="14">
        <f>0.33*testdata[[#This Row],[period]]+0.67*AA209</f>
        <v>24.968460256795559</v>
      </c>
      <c r="AB210" s="31">
        <f>TRUNC(testdata[[#This Row],[SmPd]]+0.5,0)</f>
        <v>25</v>
      </c>
      <c r="AC210" s="14">
        <f ca="1">IF(testdata[[#This Row],[PdInt]]&lt;=0,0,AVERAGE(OFFSET(testdata[[#This Row],[price]],0,0,-testdata[[#This Row],[PdInt]],1)))</f>
        <v>243.54539999999994</v>
      </c>
      <c r="AD210" s="14">
        <f ca="1">IF(testdata[[#This Row],[i]]&lt;11,testdata[[#This Row],[price]],(4*testdata[[#This Row],[iTrend]]+3*AC209+2*AC208+AC207)/10)</f>
        <v>243.41387467391297</v>
      </c>
      <c r="AE210" s="14">
        <f>(4*testdata[[#This Row],[price]]+3*H209+2*H208+H207)/10</f>
        <v>245.80799999999999</v>
      </c>
      <c r="AF210" t="str">
        <f ca="1">IF(OR(ROUND(testdata[[#This Row],[Trendline]],4)&lt;&gt;Table3[[#This Row],[Trendline]],ROUND(testdata[[#This Row],[SmPrice]],4)&lt;&gt;Table3[[#This Row],[SmPrice]]),"ERR","")</f>
        <v/>
      </c>
      <c r="AG210" s="3">
        <v>43038</v>
      </c>
      <c r="AH210" s="14">
        <v>24.9682</v>
      </c>
      <c r="AI210" s="34">
        <v>25</v>
      </c>
      <c r="AJ210" s="14">
        <v>243.5454</v>
      </c>
      <c r="AK210" s="14">
        <v>243.41390000000001</v>
      </c>
      <c r="AL210" s="14">
        <v>245.80799999999999</v>
      </c>
      <c r="AN210" s="38">
        <f t="shared" si="10"/>
        <v>0</v>
      </c>
      <c r="AO210" s="38">
        <f t="shared" si="11"/>
        <v>0</v>
      </c>
      <c r="AQ210" s="37">
        <v>43038</v>
      </c>
      <c r="AR210">
        <v>25</v>
      </c>
      <c r="AS210">
        <v>243.41387467391201</v>
      </c>
      <c r="AT210">
        <v>245.80799999999999</v>
      </c>
      <c r="AV210" s="37">
        <v>43038</v>
      </c>
      <c r="AW210">
        <v>25</v>
      </c>
      <c r="AX210">
        <v>243.41387467391201</v>
      </c>
      <c r="AY210">
        <v>245.80799999999999</v>
      </c>
      <c r="BA210" s="38">
        <f>AX210-Table3[[#This Row],[Trendline]]</f>
        <v>-2.5326088007204817E-5</v>
      </c>
      <c r="BB210" s="38">
        <f>AY210-Table3[[#This Row],[SmPrice]]</f>
        <v>0</v>
      </c>
    </row>
    <row r="211" spans="1:54" x14ac:dyDescent="0.35">
      <c r="A211" s="6">
        <v>209</v>
      </c>
      <c r="B211" s="3">
        <v>43039</v>
      </c>
      <c r="C211" s="2">
        <v>246.44</v>
      </c>
      <c r="D211" s="2">
        <v>246.69</v>
      </c>
      <c r="E211" s="2">
        <v>246.08</v>
      </c>
      <c r="F211" s="2">
        <v>246.41</v>
      </c>
      <c r="G211" s="1">
        <v>62933720</v>
      </c>
      <c r="H211" s="30">
        <f>(testdata[[#This Row],[high]]+testdata[[#This Row],[low]])/2</f>
        <v>246.38499999999999</v>
      </c>
      <c r="I211" s="23">
        <f>(4*testdata[[#This Row],[price]]+3*H210+2*H209+H208)/10</f>
        <v>246.16199999999998</v>
      </c>
      <c r="J211" s="9">
        <f>(0.0962*testdata[[#This Row],[smooth]]+0.5769*I209-0.5769*I207-0.0962*I205)*(0.075*$Z210+0.54)</f>
        <v>0.35676573437310044</v>
      </c>
      <c r="K211" s="14">
        <f t="shared" si="9"/>
        <v>0.93701942539706351</v>
      </c>
      <c r="L211" s="14">
        <f>(0.0962*testdata[[#This Row],[detrender]]+0.5769*J209-0.5769*J207-0.0962*J205)*(0.075*$Z210+0.54)</f>
        <v>-2.1745270252231905</v>
      </c>
      <c r="M211" s="9">
        <f>(0.0962*testdata[[#This Row],[I1]]+0.5769*K209-0.5769*K207-0.0962*K205)*(0.075*$Z210+0.54)</f>
        <v>0.15054145992234119</v>
      </c>
      <c r="N211" s="9">
        <f>(0.0962*testdata[[#This Row],[Q1]]+0.5769*L209-0.5769*L207-0.0962*L205)*(0.075*$Z210+0.54)</f>
        <v>0.62449732427302607</v>
      </c>
      <c r="O211" s="9">
        <f>testdata[[#This Row],[I1]]-testdata[[#This Row],[JQ]]</f>
        <v>0.31252210112403744</v>
      </c>
      <c r="P211" s="9">
        <f>testdata[[#This Row],[Q1]]+testdata[[#This Row],[jI]]</f>
        <v>-2.0239855653008494</v>
      </c>
      <c r="Q211" s="9">
        <f>0.2*testdata[[#This Row],[I2]]+0.8*Q210</f>
        <v>0.52127465932754191</v>
      </c>
      <c r="R211" s="9">
        <f>0.2*testdata[[#This Row],[Q2]]+0.8*R210</f>
        <v>-0.53569316462984462</v>
      </c>
      <c r="S211" s="9">
        <f>testdata[[#This Row],[I2'']]*Q210+testdata[[#This Row],[Q2'']]*R210</f>
        <v>0.38658177525100401</v>
      </c>
      <c r="T211" s="9">
        <f>testdata[[#This Row],[I2'']]*R210-testdata[[#This Row],[Q2'']]*Q210</f>
        <v>0.22190910816703968</v>
      </c>
      <c r="U211" s="9">
        <f>0.2*testdata[[#This Row],[Re]]+0.8*U210</f>
        <v>2.2279832138444755</v>
      </c>
      <c r="V211" s="9">
        <f>0.2*testdata[[#This Row],[Im]]+0.8*V210</f>
        <v>0.48849711805705975</v>
      </c>
      <c r="W211" s="9">
        <f>IF(AND(testdata[[#This Row],[Re'']]&lt;&gt;0,testdata[[#This Row],[Im'']]&lt;&gt;0),2*PI()/ATAN(testdata[[#This Row],[Im'']]/testdata[[#This Row],[Re'']]),0)</f>
        <v>29.110401734510678</v>
      </c>
      <c r="X211" s="9">
        <f>IF(testdata[[#This Row],[pd-atan]]&gt;1.5*Z210,1.5*Z210,IF(testdata[[#This Row],[pd-atan]]&lt;0.67*Z210,0.67*Z210,testdata[[#This Row],[pd-atan]]))</f>
        <v>29.110401734510678</v>
      </c>
      <c r="Y211" s="9">
        <f>IF(testdata[[#This Row],[pd-limit1]]&lt;6,6,IF(testdata[[#This Row],[pd-limit1]]&gt;50,50,testdata[[#This Row],[pd-limit1]]))</f>
        <v>29.110401734510678</v>
      </c>
      <c r="Z211" s="14">
        <f>0.2*testdata[[#This Row],[pd-limit2]]+0.8*Z210</f>
        <v>27.220535784862633</v>
      </c>
      <c r="AA211" s="14">
        <f>0.33*testdata[[#This Row],[period]]+0.67*AA210</f>
        <v>25.711645181057694</v>
      </c>
      <c r="AB211" s="31">
        <f>TRUNC(testdata[[#This Row],[SmPd]]+0.5,0)</f>
        <v>26</v>
      </c>
      <c r="AC211" s="14">
        <f ca="1">IF(testdata[[#This Row],[PdInt]]&lt;=0,0,AVERAGE(OFFSET(testdata[[#This Row],[price]],0,0,-testdata[[#This Row],[PdInt]],1)))</f>
        <v>243.65461538461534</v>
      </c>
      <c r="AD211" s="14">
        <f ca="1">IF(testdata[[#This Row],[i]]&lt;11,testdata[[#This Row],[price]],(4*testdata[[#This Row],[iTrend]]+3*AC210+2*AC209+AC208)/10)</f>
        <v>243.54371071906354</v>
      </c>
      <c r="AE211" s="14">
        <f>(4*testdata[[#This Row],[price]]+3*H210+2*H209+H208)/10</f>
        <v>246.16199999999998</v>
      </c>
      <c r="AF211" t="str">
        <f ca="1">IF(OR(ROUND(testdata[[#This Row],[Trendline]],4)&lt;&gt;Table3[[#This Row],[Trendline]],ROUND(testdata[[#This Row],[SmPrice]],4)&lt;&gt;Table3[[#This Row],[SmPrice]]),"ERR","")</f>
        <v/>
      </c>
      <c r="AG211" s="3">
        <v>43039</v>
      </c>
      <c r="AH211" s="14">
        <v>25.711300000000001</v>
      </c>
      <c r="AI211" s="34">
        <v>26</v>
      </c>
      <c r="AJ211" s="14">
        <v>243.65459999999999</v>
      </c>
      <c r="AK211" s="14">
        <v>243.5437</v>
      </c>
      <c r="AL211" s="14">
        <v>246.16200000000001</v>
      </c>
      <c r="AN211" s="38">
        <f t="shared" si="10"/>
        <v>0</v>
      </c>
      <c r="AO211" s="38">
        <f t="shared" si="11"/>
        <v>0</v>
      </c>
      <c r="AQ211" s="37">
        <v>43039</v>
      </c>
      <c r="AR211">
        <v>26</v>
      </c>
      <c r="AS211">
        <v>243.543710719063</v>
      </c>
      <c r="AT211">
        <v>246.16199999999901</v>
      </c>
      <c r="AV211" s="37">
        <v>43039</v>
      </c>
      <c r="AW211">
        <v>26</v>
      </c>
      <c r="AX211">
        <v>243.543710719063</v>
      </c>
      <c r="AY211">
        <v>246.16199999999901</v>
      </c>
      <c r="BA211" s="38">
        <f>AX211-Table3[[#This Row],[Trendline]]</f>
        <v>1.0719062998987283E-5</v>
      </c>
      <c r="BB211" s="38">
        <f>AY211-Table3[[#This Row],[SmPrice]]</f>
        <v>-9.9475983006414026E-13</v>
      </c>
    </row>
    <row r="212" spans="1:54" x14ac:dyDescent="0.35">
      <c r="A212" s="6">
        <v>210</v>
      </c>
      <c r="B212" s="3">
        <v>43040</v>
      </c>
      <c r="C212" s="2">
        <v>247.26</v>
      </c>
      <c r="D212" s="2">
        <v>247.63</v>
      </c>
      <c r="E212" s="2">
        <v>246.33</v>
      </c>
      <c r="F212" s="2">
        <v>246.73</v>
      </c>
      <c r="G212" s="1">
        <v>56565660</v>
      </c>
      <c r="H212" s="30">
        <f>(testdata[[#This Row],[high]]+testdata[[#This Row],[low]])/2</f>
        <v>246.98000000000002</v>
      </c>
      <c r="I212" s="23">
        <f>(4*testdata[[#This Row],[price]]+3*H211+2*H210+H209)/10</f>
        <v>246.56499999999997</v>
      </c>
      <c r="J212" s="9">
        <f>(0.0962*testdata[[#This Row],[smooth]]+0.5769*I210-0.5769*I208-0.0962*I206)*(0.075*$Z211+0.54)</f>
        <v>1.1354456601506595</v>
      </c>
      <c r="K212" s="14">
        <f t="shared" si="9"/>
        <v>-0.11657580818431938</v>
      </c>
      <c r="L212" s="14">
        <f>(0.0962*testdata[[#This Row],[detrender]]+0.5769*J210-0.5769*J208-0.0962*J206)*(0.075*$Z211+0.54)</f>
        <v>-2.1688232846862392</v>
      </c>
      <c r="M212" s="9">
        <f>(0.0962*testdata[[#This Row],[I1]]+0.5769*K210-0.5769*K208-0.0962*K206)*(0.075*$Z211+0.54)</f>
        <v>1.035565858858946</v>
      </c>
      <c r="N212" s="9">
        <f>(0.0962*testdata[[#This Row],[Q1]]+0.5769*L210-0.5769*L208-0.0962*L206)*(0.075*$Z211+0.54)</f>
        <v>-0.8986640636782538</v>
      </c>
      <c r="O212" s="9">
        <f>testdata[[#This Row],[I1]]-testdata[[#This Row],[JQ]]</f>
        <v>0.78208825549393446</v>
      </c>
      <c r="P212" s="9">
        <f>testdata[[#This Row],[Q1]]+testdata[[#This Row],[jI]]</f>
        <v>-1.1332574258272932</v>
      </c>
      <c r="Q212" s="9">
        <f>0.2*testdata[[#This Row],[I2]]+0.8*Q211</f>
        <v>0.57343737856082044</v>
      </c>
      <c r="R212" s="9">
        <f>0.2*testdata[[#This Row],[Q2]]+0.8*R211</f>
        <v>-0.65520601686933433</v>
      </c>
      <c r="S212" s="9">
        <f>testdata[[#This Row],[I2'']]*Q211+testdata[[#This Row],[Q2'']]*R211</f>
        <v>0.64990775881621943</v>
      </c>
      <c r="T212" s="9">
        <f>testdata[[#This Row],[I2'']]*R211-testdata[[#This Row],[Q2'']]*Q211</f>
        <v>3.4355809194629772E-2</v>
      </c>
      <c r="U212" s="9">
        <f>0.2*testdata[[#This Row],[Re]]+0.8*U211</f>
        <v>1.9123681228388243</v>
      </c>
      <c r="V212" s="9">
        <f>0.2*testdata[[#This Row],[Im]]+0.8*V211</f>
        <v>0.39766885628457377</v>
      </c>
      <c r="W212" s="9">
        <f>IF(AND(testdata[[#This Row],[Re'']]&lt;&gt;0,testdata[[#This Row],[Im'']]&lt;&gt;0),2*PI()/ATAN(testdata[[#This Row],[Im'']]/testdata[[#This Row],[Re'']]),0)</f>
        <v>30.646109152630125</v>
      </c>
      <c r="X212" s="9">
        <f>IF(testdata[[#This Row],[pd-atan]]&gt;1.5*Z211,1.5*Z211,IF(testdata[[#This Row],[pd-atan]]&lt;0.67*Z211,0.67*Z211,testdata[[#This Row],[pd-atan]]))</f>
        <v>30.646109152630125</v>
      </c>
      <c r="Y212" s="9">
        <f>IF(testdata[[#This Row],[pd-limit1]]&lt;6,6,IF(testdata[[#This Row],[pd-limit1]]&gt;50,50,testdata[[#This Row],[pd-limit1]]))</f>
        <v>30.646109152630125</v>
      </c>
      <c r="Z212" s="14">
        <f>0.2*testdata[[#This Row],[pd-limit2]]+0.8*Z211</f>
        <v>27.905650458416133</v>
      </c>
      <c r="AA212" s="14">
        <f>0.33*testdata[[#This Row],[period]]+0.67*AA211</f>
        <v>26.43566692258598</v>
      </c>
      <c r="AB212" s="31">
        <f>TRUNC(testdata[[#This Row],[SmPd]]+0.5,0)</f>
        <v>26</v>
      </c>
      <c r="AC212" s="14">
        <f ca="1">IF(testdata[[#This Row],[PdInt]]&lt;=0,0,AVERAGE(OFFSET(testdata[[#This Row],[price]],0,0,-testdata[[#This Row],[PdInt]],1)))</f>
        <v>243.96769230769223</v>
      </c>
      <c r="AD212" s="14">
        <f ca="1">IF(testdata[[#This Row],[i]]&lt;11,testdata[[#This Row],[price]],(4*testdata[[#This Row],[iTrend]]+3*AC211+2*AC210+AC209)/10)</f>
        <v>243.73572903846147</v>
      </c>
      <c r="AE212" s="14">
        <f>(4*testdata[[#This Row],[price]]+3*H211+2*H210+H209)/10</f>
        <v>246.56499999999997</v>
      </c>
      <c r="AF212" t="str">
        <f ca="1">IF(OR(ROUND(testdata[[#This Row],[Trendline]],4)&lt;&gt;Table3[[#This Row],[Trendline]],ROUND(testdata[[#This Row],[SmPrice]],4)&lt;&gt;Table3[[#This Row],[SmPrice]]),"ERR","")</f>
        <v/>
      </c>
      <c r="AG212" s="3">
        <v>43040</v>
      </c>
      <c r="AH212" s="14">
        <v>26.435300000000002</v>
      </c>
      <c r="AI212" s="34">
        <v>26</v>
      </c>
      <c r="AJ212" s="14">
        <v>243.96770000000001</v>
      </c>
      <c r="AK212" s="14">
        <v>243.73570000000001</v>
      </c>
      <c r="AL212" s="14">
        <v>246.565</v>
      </c>
      <c r="AN212" s="38">
        <f t="shared" si="10"/>
        <v>0</v>
      </c>
      <c r="AO212" s="38">
        <f t="shared" si="11"/>
        <v>0</v>
      </c>
      <c r="AQ212" s="37">
        <v>43040</v>
      </c>
      <c r="AR212">
        <v>26</v>
      </c>
      <c r="AS212">
        <v>243.73572903846099</v>
      </c>
      <c r="AT212">
        <v>246.564999999999</v>
      </c>
      <c r="AV212" s="37">
        <v>43040</v>
      </c>
      <c r="AW212">
        <v>26</v>
      </c>
      <c r="AX212">
        <v>243.73572903846099</v>
      </c>
      <c r="AY212">
        <v>246.564999999999</v>
      </c>
      <c r="BA212" s="38">
        <f>AX212-Table3[[#This Row],[Trendline]]</f>
        <v>2.9038460979791125E-5</v>
      </c>
      <c r="BB212" s="38">
        <f>AY212-Table3[[#This Row],[SmPrice]]</f>
        <v>-9.9475983006414026E-13</v>
      </c>
    </row>
    <row r="213" spans="1:54" x14ac:dyDescent="0.35">
      <c r="A213" s="6">
        <v>211</v>
      </c>
      <c r="B213" s="3">
        <v>43041</v>
      </c>
      <c r="C213" s="2">
        <v>246.66</v>
      </c>
      <c r="D213" s="2">
        <v>246.98</v>
      </c>
      <c r="E213" s="2">
        <v>245.49</v>
      </c>
      <c r="F213" s="2">
        <v>246.83</v>
      </c>
      <c r="G213" s="1">
        <v>58910404</v>
      </c>
      <c r="H213" s="30">
        <f>(testdata[[#This Row],[high]]+testdata[[#This Row],[low]])/2</f>
        <v>246.23500000000001</v>
      </c>
      <c r="I213" s="23">
        <f>(4*testdata[[#This Row],[price]]+3*H212+2*H211+H210)/10</f>
        <v>246.49200000000002</v>
      </c>
      <c r="J213" s="9">
        <f>(0.0962*testdata[[#This Row],[smooth]]+0.5769*I211-0.5769*I209-0.0962*I207)*(0.075*$Z212+0.54)</f>
        <v>1.3793470387952791</v>
      </c>
      <c r="K213" s="14">
        <f t="shared" si="9"/>
        <v>-0.58060409945914571</v>
      </c>
      <c r="L213" s="14">
        <f>(0.0962*testdata[[#This Row],[detrender]]+0.5769*J211-0.5769*J209-0.0962*J207)*(0.075*$Z212+0.54)</f>
        <v>0.73029353789403706</v>
      </c>
      <c r="M213" s="9">
        <f>(0.0962*testdata[[#This Row],[I1]]+0.5769*K211-0.5769*K209-0.0962*K207)*(0.075*$Z212+0.54)</f>
        <v>-7.2782192196778797E-2</v>
      </c>
      <c r="N213" s="9">
        <f>(0.0962*testdata[[#This Row],[Q1]]+0.5769*L211-0.5769*L209-0.0962*L207)*(0.075*$Z212+0.54)</f>
        <v>-4.6255572569508736</v>
      </c>
      <c r="O213" s="9">
        <f>testdata[[#This Row],[I1]]-testdata[[#This Row],[JQ]]</f>
        <v>4.0449531574917277</v>
      </c>
      <c r="P213" s="9">
        <f>testdata[[#This Row],[Q1]]+testdata[[#This Row],[jI]]</f>
        <v>0.65751134569725822</v>
      </c>
      <c r="Q213" s="9">
        <f>0.2*testdata[[#This Row],[I2]]+0.8*Q212</f>
        <v>1.2677405343470021</v>
      </c>
      <c r="R213" s="9">
        <f>0.2*testdata[[#This Row],[Q2]]+0.8*R212</f>
        <v>-0.39266254435601589</v>
      </c>
      <c r="S213" s="9">
        <f>testdata[[#This Row],[I2'']]*Q212+testdata[[#This Row],[Q2'']]*R212</f>
        <v>0.98424467037252206</v>
      </c>
      <c r="T213" s="9">
        <f>testdata[[#This Row],[I2'']]*R212-testdata[[#This Row],[Q2'']]*Q212</f>
        <v>-0.60546384583876511</v>
      </c>
      <c r="U213" s="9">
        <f>0.2*testdata[[#This Row],[Re]]+0.8*U212</f>
        <v>1.7267434323455642</v>
      </c>
      <c r="V213" s="9">
        <f>0.2*testdata[[#This Row],[Im]]+0.8*V212</f>
        <v>0.197042315859906</v>
      </c>
      <c r="W213" s="9">
        <f>IF(AND(testdata[[#This Row],[Re'']]&lt;&gt;0,testdata[[#This Row],[Im'']]&lt;&gt;0),2*PI()/ATAN(testdata[[#This Row],[Im'']]/testdata[[#This Row],[Re'']]),0)</f>
        <v>55.299689244023206</v>
      </c>
      <c r="X213" s="9">
        <f>IF(testdata[[#This Row],[pd-atan]]&gt;1.5*Z212,1.5*Z212,IF(testdata[[#This Row],[pd-atan]]&lt;0.67*Z212,0.67*Z212,testdata[[#This Row],[pd-atan]]))</f>
        <v>41.8584756876242</v>
      </c>
      <c r="Y213" s="9">
        <f>IF(testdata[[#This Row],[pd-limit1]]&lt;6,6,IF(testdata[[#This Row],[pd-limit1]]&gt;50,50,testdata[[#This Row],[pd-limit1]]))</f>
        <v>41.8584756876242</v>
      </c>
      <c r="Z213" s="14">
        <f>0.2*testdata[[#This Row],[pd-limit2]]+0.8*Z212</f>
        <v>30.696215504257751</v>
      </c>
      <c r="AA213" s="14">
        <f>0.33*testdata[[#This Row],[period]]+0.67*AA212</f>
        <v>27.841647954537663</v>
      </c>
      <c r="AB213" s="31">
        <f>TRUNC(testdata[[#This Row],[SmPd]]+0.5,0)</f>
        <v>28</v>
      </c>
      <c r="AC213" s="14">
        <f ca="1">IF(testdata[[#This Row],[PdInt]]&lt;=0,0,AVERAGE(OFFSET(testdata[[#This Row],[price]],0,0,-testdata[[#This Row],[PdInt]],1)))</f>
        <v>243.86553571428564</v>
      </c>
      <c r="AD213" s="14">
        <f ca="1">IF(testdata[[#This Row],[i]]&lt;11,testdata[[#This Row],[price]],(4*testdata[[#This Row],[iTrend]]+3*AC212+2*AC211+AC210)/10)</f>
        <v>243.82198505494497</v>
      </c>
      <c r="AE213" s="14">
        <f>(4*testdata[[#This Row],[price]]+3*H212+2*H211+H210)/10</f>
        <v>246.49200000000002</v>
      </c>
      <c r="AF213" t="str">
        <f ca="1">IF(OR(ROUND(testdata[[#This Row],[Trendline]],4)&lt;&gt;Table3[[#This Row],[Trendline]],ROUND(testdata[[#This Row],[SmPrice]],4)&lt;&gt;Table3[[#This Row],[SmPrice]]),"ERR","")</f>
        <v/>
      </c>
      <c r="AG213" s="3">
        <v>43041</v>
      </c>
      <c r="AH213" s="14">
        <v>27.8413</v>
      </c>
      <c r="AI213" s="34">
        <v>28</v>
      </c>
      <c r="AJ213" s="14">
        <v>243.8655</v>
      </c>
      <c r="AK213" s="14">
        <v>243.822</v>
      </c>
      <c r="AL213" s="14">
        <v>246.49199999999999</v>
      </c>
      <c r="AN213" s="38">
        <f t="shared" si="10"/>
        <v>0</v>
      </c>
      <c r="AO213" s="38">
        <f t="shared" si="11"/>
        <v>0</v>
      </c>
      <c r="AQ213" s="37">
        <v>43041</v>
      </c>
      <c r="AR213">
        <v>28</v>
      </c>
      <c r="AS213">
        <v>243.821985054945</v>
      </c>
      <c r="AT213">
        <v>246.49199999999999</v>
      </c>
      <c r="AV213" s="37">
        <v>43041</v>
      </c>
      <c r="AW213">
        <v>28</v>
      </c>
      <c r="AX213">
        <v>243.821985054945</v>
      </c>
      <c r="AY213">
        <v>246.49199999999999</v>
      </c>
      <c r="BA213" s="38">
        <f>AX213-Table3[[#This Row],[Trendline]]</f>
        <v>-1.4945054999770946E-5</v>
      </c>
      <c r="BB213" s="38">
        <f>AY213-Table3[[#This Row],[SmPrice]]</f>
        <v>0</v>
      </c>
    </row>
    <row r="214" spans="1:54" x14ac:dyDescent="0.35">
      <c r="A214" s="6">
        <v>212</v>
      </c>
      <c r="B214" s="3">
        <v>43042</v>
      </c>
      <c r="C214" s="2">
        <v>247</v>
      </c>
      <c r="D214" s="2">
        <v>247.7</v>
      </c>
      <c r="E214" s="2">
        <v>246.55</v>
      </c>
      <c r="F214" s="2">
        <v>247.65</v>
      </c>
      <c r="G214" s="1">
        <v>62187496</v>
      </c>
      <c r="H214" s="30">
        <f>(testdata[[#This Row],[high]]+testdata[[#This Row],[low]])/2</f>
        <v>247.125</v>
      </c>
      <c r="I214" s="23">
        <f>(4*testdata[[#This Row],[price]]+3*H213+2*H212+H211)/10</f>
        <v>246.75500000000002</v>
      </c>
      <c r="J214" s="9">
        <f>(0.0962*testdata[[#This Row],[smooth]]+0.5769*I212-0.5769*I210-0.0962*I208)*(0.075*$Z213+0.54)</f>
        <v>1.6698213227262135</v>
      </c>
      <c r="K214" s="14">
        <f t="shared" si="9"/>
        <v>0.35676573437310044</v>
      </c>
      <c r="L214" s="14">
        <f>(0.0962*testdata[[#This Row],[detrender]]+0.5769*J212-0.5769*J210-0.0962*J208)*(0.075*$Z213+0.54)</f>
        <v>3.014126609360404</v>
      </c>
      <c r="M214" s="9">
        <f>(0.0962*testdata[[#This Row],[I1]]+0.5769*K212-0.5769*K210-0.0962*K208)*(0.075*$Z213+0.54)</f>
        <v>-2.4274236053205827</v>
      </c>
      <c r="N214" s="9">
        <f>(0.0962*testdata[[#This Row],[Q1]]+0.5769*L212-0.5769*L210-0.0962*L208)*(0.075*$Z213+0.54)</f>
        <v>-2.6578668611320024</v>
      </c>
      <c r="O214" s="9">
        <f>testdata[[#This Row],[I1]]-testdata[[#This Row],[JQ]]</f>
        <v>3.0146325955051028</v>
      </c>
      <c r="P214" s="9">
        <f>testdata[[#This Row],[Q1]]+testdata[[#This Row],[jI]]</f>
        <v>0.58670300403982134</v>
      </c>
      <c r="Q214" s="9">
        <f>0.2*testdata[[#This Row],[I2]]+0.8*Q213</f>
        <v>1.6171189465786222</v>
      </c>
      <c r="R214" s="9">
        <f>0.2*testdata[[#This Row],[Q2]]+0.8*R213</f>
        <v>-0.19678943467684845</v>
      </c>
      <c r="S214" s="9">
        <f>testdata[[#This Row],[I2'']]*Q213+testdata[[#This Row],[Q2'']]*R213</f>
        <v>2.1273590775608371</v>
      </c>
      <c r="T214" s="9">
        <f>testdata[[#This Row],[I2'']]*R213-testdata[[#This Row],[Q2'']]*Q213</f>
        <v>-0.38550409701880961</v>
      </c>
      <c r="U214" s="9">
        <f>0.2*testdata[[#This Row],[Re]]+0.8*U213</f>
        <v>1.806866561388619</v>
      </c>
      <c r="V214" s="9">
        <f>0.2*testdata[[#This Row],[Im]]+0.8*V213</f>
        <v>8.0533033284162892E-2</v>
      </c>
      <c r="W214" s="9">
        <f>IF(AND(testdata[[#This Row],[Re'']]&lt;&gt;0,testdata[[#This Row],[Im'']]&lt;&gt;0),2*PI()/ATAN(testdata[[#This Row],[Im'']]/testdata[[#This Row],[Re'']]),0)</f>
        <v>141.06498431533288</v>
      </c>
      <c r="X214" s="9">
        <f>IF(testdata[[#This Row],[pd-atan]]&gt;1.5*Z213,1.5*Z213,IF(testdata[[#This Row],[pd-atan]]&lt;0.67*Z213,0.67*Z213,testdata[[#This Row],[pd-atan]]))</f>
        <v>46.044323256386626</v>
      </c>
      <c r="Y214" s="9">
        <f>IF(testdata[[#This Row],[pd-limit1]]&lt;6,6,IF(testdata[[#This Row],[pd-limit1]]&gt;50,50,testdata[[#This Row],[pd-limit1]]))</f>
        <v>46.044323256386626</v>
      </c>
      <c r="Z214" s="14">
        <f>0.2*testdata[[#This Row],[pd-limit2]]+0.8*Z213</f>
        <v>33.76583705468353</v>
      </c>
      <c r="AA214" s="14">
        <f>0.33*testdata[[#This Row],[period]]+0.67*AA213</f>
        <v>29.796630357585805</v>
      </c>
      <c r="AB214" s="31">
        <f>TRUNC(testdata[[#This Row],[SmPd]]+0.5,0)</f>
        <v>30</v>
      </c>
      <c r="AC214" s="14">
        <f ca="1">IF(testdata[[#This Row],[PdInt]]&lt;=0,0,AVERAGE(OFFSET(testdata[[#This Row],[price]],0,0,-testdata[[#This Row],[PdInt]],1)))</f>
        <v>243.79283333333331</v>
      </c>
      <c r="AD214" s="14">
        <f ca="1">IF(testdata[[#This Row],[i]]&lt;11,testdata[[#This Row],[price]],(4*testdata[[#This Row],[iTrend]]+3*AC213+2*AC212+AC211)/10)</f>
        <v>243.835794047619</v>
      </c>
      <c r="AE214" s="14">
        <f>(4*testdata[[#This Row],[price]]+3*H213+2*H212+H211)/10</f>
        <v>246.75500000000002</v>
      </c>
      <c r="AF214" t="str">
        <f ca="1">IF(OR(ROUND(testdata[[#This Row],[Trendline]],4)&lt;&gt;Table3[[#This Row],[Trendline]],ROUND(testdata[[#This Row],[SmPrice]],4)&lt;&gt;Table3[[#This Row],[SmPrice]]),"ERR","")</f>
        <v/>
      </c>
      <c r="AG214" s="3">
        <v>43042</v>
      </c>
      <c r="AH214" s="14">
        <v>29.796299999999999</v>
      </c>
      <c r="AI214" s="34">
        <v>30</v>
      </c>
      <c r="AJ214" s="14">
        <v>243.7928</v>
      </c>
      <c r="AK214" s="14">
        <v>243.83580000000001</v>
      </c>
      <c r="AL214" s="14">
        <v>246.755</v>
      </c>
      <c r="AN214" s="38">
        <f t="shared" si="10"/>
        <v>0</v>
      </c>
      <c r="AO214" s="38">
        <f t="shared" si="11"/>
        <v>0</v>
      </c>
      <c r="AQ214" s="37">
        <v>43042</v>
      </c>
      <c r="AR214">
        <v>30</v>
      </c>
      <c r="AS214">
        <v>243.835794047619</v>
      </c>
      <c r="AT214">
        <v>246.755</v>
      </c>
      <c r="AV214" s="37">
        <v>43042</v>
      </c>
      <c r="AW214">
        <v>30</v>
      </c>
      <c r="AX214">
        <v>243.835794047619</v>
      </c>
      <c r="AY214">
        <v>246.755</v>
      </c>
      <c r="BA214" s="38">
        <f>AX214-Table3[[#This Row],[Trendline]]</f>
        <v>-5.9523810023165424E-6</v>
      </c>
      <c r="BB214" s="38">
        <f>AY214-Table3[[#This Row],[SmPrice]]</f>
        <v>0</v>
      </c>
    </row>
    <row r="215" spans="1:54" x14ac:dyDescent="0.35">
      <c r="A215" s="6">
        <v>213</v>
      </c>
      <c r="B215" s="3">
        <v>43045</v>
      </c>
      <c r="C215" s="2">
        <v>247.51</v>
      </c>
      <c r="D215" s="2">
        <v>248.18</v>
      </c>
      <c r="E215" s="2">
        <v>247.43</v>
      </c>
      <c r="F215" s="2">
        <v>248.04</v>
      </c>
      <c r="G215" s="1">
        <v>51817160</v>
      </c>
      <c r="H215" s="30">
        <f>(testdata[[#This Row],[high]]+testdata[[#This Row],[low]])/2</f>
        <v>247.80500000000001</v>
      </c>
      <c r="I215" s="23">
        <f>(4*testdata[[#This Row],[price]]+3*H214+2*H213+H212)/10</f>
        <v>247.2045</v>
      </c>
      <c r="J215" s="9">
        <f>(0.0962*testdata[[#This Row],[smooth]]+0.5769*I213-0.5769*I211-0.0962*I209)*(0.075*$Z214+0.54)</f>
        <v>1.1033486612411911</v>
      </c>
      <c r="K215" s="14">
        <f t="shared" si="9"/>
        <v>1.1354456601506595</v>
      </c>
      <c r="L215" s="14">
        <f>(0.0962*testdata[[#This Row],[detrender]]+0.5769*J213-0.5769*J211-0.0962*J209)*(0.075*$Z214+0.54)</f>
        <v>2.1730857395152565</v>
      </c>
      <c r="M215" s="9">
        <f>(0.0962*testdata[[#This Row],[I1]]+0.5769*K213-0.5769*K211-0.0962*K209)*(0.075*$Z214+0.54)</f>
        <v>-2.5812399271231903</v>
      </c>
      <c r="N215" s="9">
        <f>(0.0962*testdata[[#This Row],[Q1]]+0.5769*L213-0.5769*L211-0.0962*L209)*(0.075*$Z214+0.54)</f>
        <v>5.5067303161691994</v>
      </c>
      <c r="O215" s="9">
        <f>testdata[[#This Row],[I1]]-testdata[[#This Row],[JQ]]</f>
        <v>-4.3712846560185401</v>
      </c>
      <c r="P215" s="9">
        <f>testdata[[#This Row],[Q1]]+testdata[[#This Row],[jI]]</f>
        <v>-0.40815418760793376</v>
      </c>
      <c r="Q215" s="9">
        <f>0.2*testdata[[#This Row],[I2]]+0.8*Q214</f>
        <v>0.41943822605918979</v>
      </c>
      <c r="R215" s="9">
        <f>0.2*testdata[[#This Row],[Q2]]+0.8*R214</f>
        <v>-0.23906238526306553</v>
      </c>
      <c r="S215" s="9">
        <f>testdata[[#This Row],[I2'']]*Q214+testdata[[#This Row],[Q2'']]*R214</f>
        <v>0.72532645392806061</v>
      </c>
      <c r="T215" s="9">
        <f>testdata[[#This Row],[I2'']]*R214-testdata[[#This Row],[Q2'']]*Q214</f>
        <v>0.30405130123513313</v>
      </c>
      <c r="U215" s="9">
        <f>0.2*testdata[[#This Row],[Re]]+0.8*U214</f>
        <v>1.5905585398965074</v>
      </c>
      <c r="V215" s="9">
        <f>0.2*testdata[[#This Row],[Im]]+0.8*V214</f>
        <v>0.12523668687435696</v>
      </c>
      <c r="W215" s="9">
        <f>IF(AND(testdata[[#This Row],[Re'']]&lt;&gt;0,testdata[[#This Row],[Im'']]&lt;&gt;0),2*PI()/ATAN(testdata[[#This Row],[Im'']]/testdata[[#This Row],[Re'']]),0)</f>
        <v>79.963728998044431</v>
      </c>
      <c r="X215" s="9">
        <f>IF(testdata[[#This Row],[pd-atan]]&gt;1.5*Z214,1.5*Z214,IF(testdata[[#This Row],[pd-atan]]&lt;0.67*Z214,0.67*Z214,testdata[[#This Row],[pd-atan]]))</f>
        <v>50.648755582025295</v>
      </c>
      <c r="Y215" s="9">
        <f>IF(testdata[[#This Row],[pd-limit1]]&lt;6,6,IF(testdata[[#This Row],[pd-limit1]]&gt;50,50,testdata[[#This Row],[pd-limit1]]))</f>
        <v>50</v>
      </c>
      <c r="Z215" s="14">
        <f>0.2*testdata[[#This Row],[pd-limit2]]+0.8*Z214</f>
        <v>37.012669643746825</v>
      </c>
      <c r="AA215" s="14">
        <f>0.33*testdata[[#This Row],[period]]+0.67*AA214</f>
        <v>32.177923322018941</v>
      </c>
      <c r="AB215" s="31">
        <f>TRUNC(testdata[[#This Row],[SmPd]]+0.5,0)</f>
        <v>32</v>
      </c>
      <c r="AC215" s="14">
        <f ca="1">IF(testdata[[#This Row],[PdInt]]&lt;=0,0,AVERAGE(OFFSET(testdata[[#This Row],[price]],0,0,-testdata[[#This Row],[PdInt]],1)))</f>
        <v>243.76562499999997</v>
      </c>
      <c r="AD215" s="14">
        <f ca="1">IF(testdata[[#This Row],[i]]&lt;11,testdata[[#This Row],[price]],(4*testdata[[#This Row],[iTrend]]+3*AC214+2*AC213+AC212)/10)</f>
        <v>243.81397637362633</v>
      </c>
      <c r="AE215" s="14">
        <f>(4*testdata[[#This Row],[price]]+3*H214+2*H213+H212)/10</f>
        <v>247.2045</v>
      </c>
      <c r="AF215" t="str">
        <f ca="1">IF(OR(ROUND(testdata[[#This Row],[Trendline]],4)&lt;&gt;Table3[[#This Row],[Trendline]],ROUND(testdata[[#This Row],[SmPrice]],4)&lt;&gt;Table3[[#This Row],[SmPrice]]),"ERR","")</f>
        <v/>
      </c>
      <c r="AG215" s="3">
        <v>43045</v>
      </c>
      <c r="AH215" s="14">
        <v>32.177599999999998</v>
      </c>
      <c r="AI215" s="34">
        <v>32</v>
      </c>
      <c r="AJ215" s="14">
        <v>243.76560000000001</v>
      </c>
      <c r="AK215" s="14">
        <v>243.81399999999999</v>
      </c>
      <c r="AL215" s="14">
        <v>247.2045</v>
      </c>
      <c r="AN215" s="38">
        <f t="shared" si="10"/>
        <v>0</v>
      </c>
      <c r="AO215" s="38">
        <f t="shared" si="11"/>
        <v>0</v>
      </c>
      <c r="AQ215" s="37">
        <v>43045</v>
      </c>
      <c r="AR215">
        <v>32</v>
      </c>
      <c r="AS215">
        <v>243.81397637362599</v>
      </c>
      <c r="AT215">
        <v>247.2045</v>
      </c>
      <c r="AV215" s="37">
        <v>43045</v>
      </c>
      <c r="AW215">
        <v>32</v>
      </c>
      <c r="AX215">
        <v>243.81397637362599</v>
      </c>
      <c r="AY215">
        <v>247.2045</v>
      </c>
      <c r="BA215" s="38">
        <f>AX215-Table3[[#This Row],[Trendline]]</f>
        <v>-2.3626374002105877E-5</v>
      </c>
      <c r="BB215" s="38">
        <f>AY215-Table3[[#This Row],[SmPrice]]</f>
        <v>0</v>
      </c>
    </row>
    <row r="216" spans="1:54" x14ac:dyDescent="0.35">
      <c r="A216" s="6">
        <v>214</v>
      </c>
      <c r="B216" s="3">
        <v>43046</v>
      </c>
      <c r="C216" s="2">
        <v>248.15</v>
      </c>
      <c r="D216" s="2">
        <v>248.52</v>
      </c>
      <c r="E216" s="2">
        <v>247.31</v>
      </c>
      <c r="F216" s="2">
        <v>247.86</v>
      </c>
      <c r="G216" s="1">
        <v>60008920</v>
      </c>
      <c r="H216" s="30">
        <f>(testdata[[#This Row],[high]]+testdata[[#This Row],[low]])/2</f>
        <v>247.91500000000002</v>
      </c>
      <c r="I216" s="23">
        <f>(4*testdata[[#This Row],[price]]+3*H215+2*H214+H213)/10</f>
        <v>247.55599999999998</v>
      </c>
      <c r="J216" s="9">
        <f>(0.0962*testdata[[#This Row],[smooth]]+0.5769*I214-0.5769*I212-0.0962*I210)*(0.075*$Z215+0.54)</f>
        <v>0.92106685119051857</v>
      </c>
      <c r="K216" s="14">
        <f t="shared" si="9"/>
        <v>1.3793470387952791</v>
      </c>
      <c r="L216" s="14">
        <f>(0.0962*testdata[[#This Row],[detrender]]+0.5769*J214-0.5769*J212-0.0962*J210)*(0.075*$Z215+0.54)</f>
        <v>1.5012701521632288</v>
      </c>
      <c r="M216" s="9">
        <f>(0.0962*testdata[[#This Row],[I1]]+0.5769*K214-0.5769*K212-0.0962*K210)*(0.075*$Z215+0.54)</f>
        <v>0.91974444319494075</v>
      </c>
      <c r="N216" s="9">
        <f>(0.0962*testdata[[#This Row],[Q1]]+0.5769*L214-0.5769*L212-0.0962*L210)*(0.075*$Z215+0.54)</f>
        <v>10.415505765518695</v>
      </c>
      <c r="O216" s="9">
        <f>testdata[[#This Row],[I1]]-testdata[[#This Row],[JQ]]</f>
        <v>-9.036158726723416</v>
      </c>
      <c r="P216" s="9">
        <f>testdata[[#This Row],[Q1]]+testdata[[#This Row],[jI]]</f>
        <v>2.4210145953581694</v>
      </c>
      <c r="Q216" s="9">
        <f>0.2*testdata[[#This Row],[I2]]+0.8*Q215</f>
        <v>-1.4716811644973316</v>
      </c>
      <c r="R216" s="9">
        <f>0.2*testdata[[#This Row],[Q2]]+0.8*R215</f>
        <v>0.29295301086118153</v>
      </c>
      <c r="S216" s="9">
        <f>testdata[[#This Row],[I2'']]*Q215+testdata[[#This Row],[Q2'']]*R215</f>
        <v>-0.68731338250795426</v>
      </c>
      <c r="T216" s="9">
        <f>testdata[[#This Row],[I2'']]*R215-testdata[[#This Row],[Q2'']]*Q215</f>
        <v>0.22894791833714545</v>
      </c>
      <c r="U216" s="9">
        <f>0.2*testdata[[#This Row],[Re]]+0.8*U215</f>
        <v>1.134984155415615</v>
      </c>
      <c r="V216" s="9">
        <f>0.2*testdata[[#This Row],[Im]]+0.8*V215</f>
        <v>0.14597893316691468</v>
      </c>
      <c r="W216" s="9">
        <f>IF(AND(testdata[[#This Row],[Re'']]&lt;&gt;0,testdata[[#This Row],[Im'']]&lt;&gt;0),2*PI()/ATAN(testdata[[#This Row],[Im'']]/testdata[[#This Row],[Re'']]),0)</f>
        <v>49.1198754730922</v>
      </c>
      <c r="X216" s="9">
        <f>IF(testdata[[#This Row],[pd-atan]]&gt;1.5*Z215,1.5*Z215,IF(testdata[[#This Row],[pd-atan]]&lt;0.67*Z215,0.67*Z215,testdata[[#This Row],[pd-atan]]))</f>
        <v>49.1198754730922</v>
      </c>
      <c r="Y216" s="9">
        <f>IF(testdata[[#This Row],[pd-limit1]]&lt;6,6,IF(testdata[[#This Row],[pd-limit1]]&gt;50,50,testdata[[#This Row],[pd-limit1]]))</f>
        <v>49.1198754730922</v>
      </c>
      <c r="Z216" s="14">
        <f>0.2*testdata[[#This Row],[pd-limit2]]+0.8*Z215</f>
        <v>39.434110809615902</v>
      </c>
      <c r="AA216" s="14">
        <f>0.33*testdata[[#This Row],[period]]+0.67*AA215</f>
        <v>34.572465192925939</v>
      </c>
      <c r="AB216" s="31">
        <f>TRUNC(testdata[[#This Row],[SmPd]]+0.5,0)</f>
        <v>35</v>
      </c>
      <c r="AC216" s="14">
        <f ca="1">IF(testdata[[#This Row],[PdInt]]&lt;=0,0,AVERAGE(OFFSET(testdata[[#This Row],[price]],0,0,-testdata[[#This Row],[PdInt]],1)))</f>
        <v>243.62014285714281</v>
      </c>
      <c r="AD216" s="14">
        <f ca="1">IF(testdata[[#This Row],[i]]&lt;11,testdata[[#This Row],[price]],(4*testdata[[#This Row],[iTrend]]+3*AC215+2*AC214+AC213)/10)</f>
        <v>243.72286488095239</v>
      </c>
      <c r="AE216" s="14">
        <f>(4*testdata[[#This Row],[price]]+3*H215+2*H214+H213)/10</f>
        <v>247.55599999999998</v>
      </c>
      <c r="AF216" t="str">
        <f ca="1">IF(OR(ROUND(testdata[[#This Row],[Trendline]],4)&lt;&gt;Table3[[#This Row],[Trendline]],ROUND(testdata[[#This Row],[SmPrice]],4)&lt;&gt;Table3[[#This Row],[SmPrice]]),"ERR","")</f>
        <v/>
      </c>
      <c r="AG216" s="3">
        <v>43046</v>
      </c>
      <c r="AH216" s="14">
        <v>34.571800000000003</v>
      </c>
      <c r="AI216" s="34">
        <v>35</v>
      </c>
      <c r="AJ216" s="14">
        <v>243.62010000000001</v>
      </c>
      <c r="AK216" s="14">
        <v>243.72290000000001</v>
      </c>
      <c r="AL216" s="14">
        <v>247.55600000000001</v>
      </c>
      <c r="AN216" s="38">
        <f t="shared" si="10"/>
        <v>0</v>
      </c>
      <c r="AO216" s="38">
        <f t="shared" si="11"/>
        <v>0</v>
      </c>
      <c r="AQ216" s="37">
        <v>43046</v>
      </c>
      <c r="AR216">
        <v>35</v>
      </c>
      <c r="AS216">
        <v>243.72286488095199</v>
      </c>
      <c r="AT216">
        <v>247.55599999999899</v>
      </c>
      <c r="AV216" s="37">
        <v>43046</v>
      </c>
      <c r="AW216">
        <v>35</v>
      </c>
      <c r="AX216">
        <v>243.72286488095199</v>
      </c>
      <c r="AY216">
        <v>247.55599999999899</v>
      </c>
      <c r="BA216" s="38">
        <f>AX216-Table3[[#This Row],[Trendline]]</f>
        <v>-3.5119048021670096E-5</v>
      </c>
      <c r="BB216" s="38">
        <f>AY216-Table3[[#This Row],[SmPrice]]</f>
        <v>-1.0231815394945443E-12</v>
      </c>
    </row>
    <row r="217" spans="1:54" x14ac:dyDescent="0.35">
      <c r="A217" s="6">
        <v>215</v>
      </c>
      <c r="B217" s="3">
        <v>43047</v>
      </c>
      <c r="C217" s="2">
        <v>247.67</v>
      </c>
      <c r="D217" s="2">
        <v>248.39</v>
      </c>
      <c r="E217" s="2">
        <v>247.37</v>
      </c>
      <c r="F217" s="2">
        <v>248.29</v>
      </c>
      <c r="G217" s="1">
        <v>52669760</v>
      </c>
      <c r="H217" s="30">
        <f>(testdata[[#This Row],[high]]+testdata[[#This Row],[low]])/2</f>
        <v>247.88</v>
      </c>
      <c r="I217" s="23">
        <f>(4*testdata[[#This Row],[price]]+3*H216+2*H215+H214)/10</f>
        <v>247.8</v>
      </c>
      <c r="J217" s="9">
        <f>(0.0962*testdata[[#This Row],[smooth]]+0.5769*I215-0.5769*I213-0.0962*I211)*(0.075*$Z216+0.54)</f>
        <v>1.9887705893335363</v>
      </c>
      <c r="K217" s="14">
        <f t="shared" si="9"/>
        <v>1.6698213227262135</v>
      </c>
      <c r="L217" s="14">
        <f>(0.0962*testdata[[#This Row],[detrender]]+0.5769*J215-0.5769*J213-0.0962*J211)*(0.075*$Z216+0.54)</f>
        <v>-7.7806575986018242E-3</v>
      </c>
      <c r="M217" s="9">
        <f>(0.0962*testdata[[#This Row],[I1]]+0.5769*K215-0.5769*K213-0.0962*K211)*(0.075*$Z216+0.54)</f>
        <v>3.7091068969494456</v>
      </c>
      <c r="N217" s="9">
        <f>(0.0962*testdata[[#This Row],[Q1]]+0.5769*L215-0.5769*L213-0.0962*L211)*(0.075*$Z216+0.54)</f>
        <v>3.6402160954169727</v>
      </c>
      <c r="O217" s="9">
        <f>testdata[[#This Row],[I1]]-testdata[[#This Row],[JQ]]</f>
        <v>-1.9703947726907591</v>
      </c>
      <c r="P217" s="9">
        <f>testdata[[#This Row],[Q1]]+testdata[[#This Row],[jI]]</f>
        <v>3.7013262393508439</v>
      </c>
      <c r="Q217" s="9">
        <f>0.2*testdata[[#This Row],[I2]]+0.8*Q216</f>
        <v>-1.571423886136017</v>
      </c>
      <c r="R217" s="9">
        <f>0.2*testdata[[#This Row],[Q2]]+0.8*R216</f>
        <v>0.97462765655911399</v>
      </c>
      <c r="S217" s="9">
        <f>testdata[[#This Row],[I2'']]*Q216+testdata[[#This Row],[Q2'']]*R216</f>
        <v>2.5981550411251457</v>
      </c>
      <c r="T217" s="9">
        <f>testdata[[#This Row],[I2'']]*R216-testdata[[#This Row],[Q2'']]*Q216</f>
        <v>0.97398780577349764</v>
      </c>
      <c r="U217" s="9">
        <f>0.2*testdata[[#This Row],[Re]]+0.8*U216</f>
        <v>1.4276183325575214</v>
      </c>
      <c r="V217" s="9">
        <f>0.2*testdata[[#This Row],[Im]]+0.8*V216</f>
        <v>0.31158070768823132</v>
      </c>
      <c r="W217" s="9">
        <f>IF(AND(testdata[[#This Row],[Re'']]&lt;&gt;0,testdata[[#This Row],[Im'']]&lt;&gt;0),2*PI()/ATAN(testdata[[#This Row],[Im'']]/testdata[[#This Row],[Re'']]),0)</f>
        <v>29.240098662883007</v>
      </c>
      <c r="X217" s="9">
        <f>IF(testdata[[#This Row],[pd-atan]]&gt;1.5*Z216,1.5*Z216,IF(testdata[[#This Row],[pd-atan]]&lt;0.67*Z216,0.67*Z216,testdata[[#This Row],[pd-atan]]))</f>
        <v>29.240098662883007</v>
      </c>
      <c r="Y217" s="9">
        <f>IF(testdata[[#This Row],[pd-limit1]]&lt;6,6,IF(testdata[[#This Row],[pd-limit1]]&gt;50,50,testdata[[#This Row],[pd-limit1]]))</f>
        <v>29.240098662883007</v>
      </c>
      <c r="Z217" s="14">
        <f>0.2*testdata[[#This Row],[pd-limit2]]+0.8*Z216</f>
        <v>37.395308380269327</v>
      </c>
      <c r="AA217" s="14">
        <f>0.33*testdata[[#This Row],[period]]+0.67*AA216</f>
        <v>35.504003444749259</v>
      </c>
      <c r="AB217" s="31">
        <f>TRUNC(testdata[[#This Row],[SmPd]]+0.5,0)</f>
        <v>36</v>
      </c>
      <c r="AC217" s="14">
        <f ca="1">IF(testdata[[#This Row],[PdInt]]&lt;=0,0,AVERAGE(OFFSET(testdata[[#This Row],[price]],0,0,-testdata[[#This Row],[PdInt]],1)))</f>
        <v>243.73847222222216</v>
      </c>
      <c r="AD217" s="14">
        <f ca="1">IF(testdata[[#This Row],[i]]&lt;11,testdata[[#This Row],[price]],(4*testdata[[#This Row],[iTrend]]+3*AC216+2*AC215+AC214)/10)</f>
        <v>243.71384007936504</v>
      </c>
      <c r="AE217" s="14">
        <f>(4*testdata[[#This Row],[price]]+3*H216+2*H215+H214)/10</f>
        <v>247.8</v>
      </c>
      <c r="AF217" t="str">
        <f ca="1">IF(OR(ROUND(testdata[[#This Row],[Trendline]],4)&lt;&gt;Table3[[#This Row],[Trendline]],ROUND(testdata[[#This Row],[SmPrice]],4)&lt;&gt;Table3[[#This Row],[SmPrice]]),"ERR","")</f>
        <v/>
      </c>
      <c r="AG217" s="3">
        <v>43047</v>
      </c>
      <c r="AH217" s="14">
        <v>35.503300000000003</v>
      </c>
      <c r="AI217" s="34">
        <v>36</v>
      </c>
      <c r="AJ217" s="14">
        <v>243.73849999999999</v>
      </c>
      <c r="AK217" s="14">
        <v>243.71379999999999</v>
      </c>
      <c r="AL217" s="14">
        <v>247.8</v>
      </c>
      <c r="AN217" s="38">
        <f t="shared" si="10"/>
        <v>0</v>
      </c>
      <c r="AO217" s="38">
        <f t="shared" si="11"/>
        <v>0</v>
      </c>
      <c r="AQ217" s="37">
        <v>43047</v>
      </c>
      <c r="AR217">
        <v>36</v>
      </c>
      <c r="AS217">
        <v>243.71384007936501</v>
      </c>
      <c r="AT217">
        <v>247.8</v>
      </c>
      <c r="AV217" s="37">
        <v>43047</v>
      </c>
      <c r="AW217">
        <v>36</v>
      </c>
      <c r="AX217">
        <v>243.71384007936501</v>
      </c>
      <c r="AY217">
        <v>247.8</v>
      </c>
      <c r="BA217" s="38">
        <f>AX217-Table3[[#This Row],[Trendline]]</f>
        <v>4.0079365021483682E-5</v>
      </c>
      <c r="BB217" s="38">
        <f>AY217-Table3[[#This Row],[SmPrice]]</f>
        <v>0</v>
      </c>
    </row>
    <row r="218" spans="1:54" x14ac:dyDescent="0.35">
      <c r="A218" s="6">
        <v>216</v>
      </c>
      <c r="B218" s="3">
        <v>43048</v>
      </c>
      <c r="C218" s="2">
        <v>246.96</v>
      </c>
      <c r="D218" s="2">
        <v>247.6</v>
      </c>
      <c r="E218" s="2">
        <v>245.65</v>
      </c>
      <c r="F218" s="2">
        <v>247.39</v>
      </c>
      <c r="G218" s="1">
        <v>99230672</v>
      </c>
      <c r="H218" s="30">
        <f>(testdata[[#This Row],[high]]+testdata[[#This Row],[low]])/2</f>
        <v>246.625</v>
      </c>
      <c r="I218" s="23">
        <f>(4*testdata[[#This Row],[price]]+3*H217+2*H216+H215)/10</f>
        <v>247.37749999999997</v>
      </c>
      <c r="J218" s="9">
        <f>(0.0962*testdata[[#This Row],[smooth]]+0.5769*I216-0.5769*I214-0.0962*I212)*(0.075*$Z217+0.54)</f>
        <v>1.8069775911254224</v>
      </c>
      <c r="K218" s="14">
        <f t="shared" si="9"/>
        <v>1.1033486612411911</v>
      </c>
      <c r="L218" s="14">
        <f>(0.0962*testdata[[#This Row],[detrender]]+0.5769*J216-0.5769*J214-0.0962*J212)*(0.075*$Z217+0.54)</f>
        <v>-1.2286734904207528</v>
      </c>
      <c r="M218" s="9">
        <f>(0.0962*testdata[[#This Row],[I1]]+0.5769*K216-0.5769*K214-0.0962*K212)*(0.075*$Z217+0.54)</f>
        <v>2.3656157339367501</v>
      </c>
      <c r="N218" s="9">
        <f>(0.0962*testdata[[#This Row],[Q1]]+0.5769*L216-0.5769*L214-0.0962*L212)*(0.075*$Z217+0.54)</f>
        <v>-2.6166001077559935</v>
      </c>
      <c r="O218" s="9">
        <f>testdata[[#This Row],[I1]]-testdata[[#This Row],[JQ]]</f>
        <v>3.7199487689971846</v>
      </c>
      <c r="P218" s="9">
        <f>testdata[[#This Row],[Q1]]+testdata[[#This Row],[jI]]</f>
        <v>1.1369422435159973</v>
      </c>
      <c r="Q218" s="9">
        <f>0.2*testdata[[#This Row],[I2]]+0.8*Q217</f>
        <v>-0.51314935510937676</v>
      </c>
      <c r="R218" s="9">
        <f>0.2*testdata[[#This Row],[Q2]]+0.8*R217</f>
        <v>1.0070905739504907</v>
      </c>
      <c r="S218" s="9">
        <f>testdata[[#This Row],[I2'']]*Q217+testdata[[#This Row],[Q2'']]*R217</f>
        <v>1.7879134798063077</v>
      </c>
      <c r="T218" s="9">
        <f>testdata[[#This Row],[I2'']]*R217-testdata[[#This Row],[Q2'']]*Q217</f>
        <v>1.0824366299731596</v>
      </c>
      <c r="U218" s="9">
        <f>0.2*testdata[[#This Row],[Re]]+0.8*U217</f>
        <v>1.4996773620072787</v>
      </c>
      <c r="V218" s="9">
        <f>0.2*testdata[[#This Row],[Im]]+0.8*V217</f>
        <v>0.46575189214521701</v>
      </c>
      <c r="W218" s="9">
        <f>IF(AND(testdata[[#This Row],[Re'']]&lt;&gt;0,testdata[[#This Row],[Im'']]&lt;&gt;0),2*PI()/ATAN(testdata[[#This Row],[Im'']]/testdata[[#This Row],[Re'']]),0)</f>
        <v>20.865784711347509</v>
      </c>
      <c r="X218" s="9">
        <f>IF(testdata[[#This Row],[pd-atan]]&gt;1.5*Z217,1.5*Z217,IF(testdata[[#This Row],[pd-atan]]&lt;0.67*Z217,0.67*Z217,testdata[[#This Row],[pd-atan]]))</f>
        <v>25.054856614780451</v>
      </c>
      <c r="Y218" s="9">
        <f>IF(testdata[[#This Row],[pd-limit1]]&lt;6,6,IF(testdata[[#This Row],[pd-limit1]]&gt;50,50,testdata[[#This Row],[pd-limit1]]))</f>
        <v>25.054856614780451</v>
      </c>
      <c r="Z218" s="14">
        <f>0.2*testdata[[#This Row],[pd-limit2]]+0.8*Z217</f>
        <v>34.927218027171556</v>
      </c>
      <c r="AA218" s="14">
        <f>0.33*testdata[[#This Row],[period]]+0.67*AA217</f>
        <v>35.31366425694862</v>
      </c>
      <c r="AB218" s="31">
        <f>TRUNC(testdata[[#This Row],[SmPd]]+0.5,0)</f>
        <v>35</v>
      </c>
      <c r="AC218" s="14">
        <f ca="1">IF(testdata[[#This Row],[PdInt]]&lt;=0,0,AVERAGE(OFFSET(testdata[[#This Row],[price]],0,0,-testdata[[#This Row],[PdInt]],1)))</f>
        <v>244.08342857142853</v>
      </c>
      <c r="AD218" s="14">
        <f ca="1">IF(testdata[[#This Row],[i]]&lt;11,testdata[[#This Row],[price]],(4*testdata[[#This Row],[iTrend]]+3*AC217+2*AC216+AC215)/10)</f>
        <v>243.85550416666661</v>
      </c>
      <c r="AE218" s="14">
        <f>(4*testdata[[#This Row],[price]]+3*H217+2*H216+H215)/10</f>
        <v>247.37749999999997</v>
      </c>
      <c r="AF218" t="str">
        <f ca="1">IF(OR(ROUND(testdata[[#This Row],[Trendline]],4)&lt;&gt;Table3[[#This Row],[Trendline]],ROUND(testdata[[#This Row],[SmPrice]],4)&lt;&gt;Table3[[#This Row],[SmPrice]]),"ERR","")</f>
        <v/>
      </c>
      <c r="AG218" s="3">
        <v>43048</v>
      </c>
      <c r="AH218" s="14">
        <v>35.312899999999999</v>
      </c>
      <c r="AI218" s="34">
        <v>35</v>
      </c>
      <c r="AJ218" s="14">
        <v>244.08340000000001</v>
      </c>
      <c r="AK218" s="14">
        <v>243.85550000000001</v>
      </c>
      <c r="AL218" s="14">
        <v>247.3775</v>
      </c>
      <c r="AN218" s="38">
        <f t="shared" si="10"/>
        <v>0</v>
      </c>
      <c r="AO218" s="38">
        <f t="shared" si="11"/>
        <v>0</v>
      </c>
      <c r="AQ218" s="37">
        <v>43048</v>
      </c>
      <c r="AR218">
        <v>35</v>
      </c>
      <c r="AS218">
        <v>243.85550416666601</v>
      </c>
      <c r="AT218">
        <v>247.377499999999</v>
      </c>
      <c r="AV218" s="37">
        <v>43048</v>
      </c>
      <c r="AW218">
        <v>35</v>
      </c>
      <c r="AX218">
        <v>243.85550416666601</v>
      </c>
      <c r="AY218">
        <v>247.377499999999</v>
      </c>
      <c r="BA218" s="38">
        <f>AX218-Table3[[#This Row],[Trendline]]</f>
        <v>4.1666660024475277E-6</v>
      </c>
      <c r="BB218" s="38">
        <f>AY218-Table3[[#This Row],[SmPrice]]</f>
        <v>-9.9475983006414026E-13</v>
      </c>
    </row>
    <row r="219" spans="1:54" x14ac:dyDescent="0.35">
      <c r="A219" s="6">
        <v>217</v>
      </c>
      <c r="B219" s="3">
        <v>43049</v>
      </c>
      <c r="C219" s="2">
        <v>246.96</v>
      </c>
      <c r="D219" s="2">
        <v>247.5</v>
      </c>
      <c r="E219" s="2">
        <v>246.62</v>
      </c>
      <c r="F219" s="2">
        <v>247.31</v>
      </c>
      <c r="G219" s="1">
        <v>62599644</v>
      </c>
      <c r="H219" s="30">
        <f>(testdata[[#This Row],[high]]+testdata[[#This Row],[low]])/2</f>
        <v>247.06</v>
      </c>
      <c r="I219" s="23">
        <f>(4*testdata[[#This Row],[price]]+3*H218+2*H217+H216)/10</f>
        <v>247.179</v>
      </c>
      <c r="J219" s="9">
        <f>(0.0962*testdata[[#This Row],[smooth]]+0.5769*I217-0.5769*I215-0.0962*I213)*(0.075*$Z218+0.54)</f>
        <v>1.2942535084988007</v>
      </c>
      <c r="K219" s="14">
        <f t="shared" si="9"/>
        <v>0.92106685119051857</v>
      </c>
      <c r="L219" s="14">
        <f>(0.0962*testdata[[#This Row],[detrender]]+0.5769*J217-0.5769*J215-0.0962*J213)*(0.075*$Z218+0.54)</f>
        <v>1.5880294412913702</v>
      </c>
      <c r="M219" s="9">
        <f>(0.0962*testdata[[#This Row],[I1]]+0.5769*K217-0.5769*K215-0.0962*K213)*(0.075*$Z218+0.54)</f>
        <v>1.4304572767822052</v>
      </c>
      <c r="N219" s="9">
        <f>(0.0962*testdata[[#This Row],[Q1]]+0.5769*L217-0.5769*L215-0.0962*L213)*(0.075*$Z218+0.54)</f>
        <v>-3.7144441134415933</v>
      </c>
      <c r="O219" s="9">
        <f>testdata[[#This Row],[I1]]-testdata[[#This Row],[JQ]]</f>
        <v>4.635510964632112</v>
      </c>
      <c r="P219" s="9">
        <f>testdata[[#This Row],[Q1]]+testdata[[#This Row],[jI]]</f>
        <v>3.0184867180735755</v>
      </c>
      <c r="Q219" s="9">
        <f>0.2*testdata[[#This Row],[I2]]+0.8*Q218</f>
        <v>0.51658270883892099</v>
      </c>
      <c r="R219" s="9">
        <f>0.2*testdata[[#This Row],[Q2]]+0.8*R218</f>
        <v>1.4093698027751078</v>
      </c>
      <c r="S219" s="9">
        <f>testdata[[#This Row],[I2'']]*Q218+testdata[[#This Row],[Q2'']]*R218</f>
        <v>1.154278959683926</v>
      </c>
      <c r="T219" s="9">
        <f>testdata[[#This Row],[I2'']]*R218-testdata[[#This Row],[Q2'']]*Q218</f>
        <v>1.2434627821421642</v>
      </c>
      <c r="U219" s="9">
        <f>0.2*testdata[[#This Row],[Re]]+0.8*U218</f>
        <v>1.4305976815426085</v>
      </c>
      <c r="V219" s="9">
        <f>0.2*testdata[[#This Row],[Im]]+0.8*V218</f>
        <v>0.62129407014460647</v>
      </c>
      <c r="W219" s="9">
        <f>IF(AND(testdata[[#This Row],[Re'']]&lt;&gt;0,testdata[[#This Row],[Im'']]&lt;&gt;0),2*PI()/ATAN(testdata[[#This Row],[Im'']]/testdata[[#This Row],[Re'']]),0)</f>
        <v>15.335582448115904</v>
      </c>
      <c r="X219" s="9">
        <f>IF(testdata[[#This Row],[pd-atan]]&gt;1.5*Z218,1.5*Z218,IF(testdata[[#This Row],[pd-atan]]&lt;0.67*Z218,0.67*Z218,testdata[[#This Row],[pd-atan]]))</f>
        <v>23.401236078204942</v>
      </c>
      <c r="Y219" s="9">
        <f>IF(testdata[[#This Row],[pd-limit1]]&lt;6,6,IF(testdata[[#This Row],[pd-limit1]]&gt;50,50,testdata[[#This Row],[pd-limit1]]))</f>
        <v>23.401236078204942</v>
      </c>
      <c r="Z219" s="14">
        <f>0.2*testdata[[#This Row],[pd-limit2]]+0.8*Z218</f>
        <v>32.622021637378232</v>
      </c>
      <c r="AA219" s="14">
        <f>0.33*testdata[[#This Row],[period]]+0.67*AA218</f>
        <v>34.425422192490394</v>
      </c>
      <c r="AB219" s="31">
        <f>TRUNC(testdata[[#This Row],[SmPd]]+0.5,0)</f>
        <v>34</v>
      </c>
      <c r="AC219" s="14">
        <f ca="1">IF(testdata[[#This Row],[PdInt]]&lt;=0,0,AVERAGE(OFFSET(testdata[[#This Row],[price]],0,0,-testdata[[#This Row],[PdInt]],1)))</f>
        <v>244.48955882352936</v>
      </c>
      <c r="AD219" s="14">
        <f ca="1">IF(testdata[[#This Row],[i]]&lt;11,testdata[[#This Row],[price]],(4*testdata[[#This Row],[iTrend]]+3*AC218+2*AC217+AC216)/10)</f>
        <v>244.130560830999</v>
      </c>
      <c r="AE219" s="14">
        <f>(4*testdata[[#This Row],[price]]+3*H218+2*H217+H216)/10</f>
        <v>247.179</v>
      </c>
      <c r="AF219" t="str">
        <f ca="1">IF(OR(ROUND(testdata[[#This Row],[Trendline]],4)&lt;&gt;Table3[[#This Row],[Trendline]],ROUND(testdata[[#This Row],[SmPrice]],4)&lt;&gt;Table3[[#This Row],[SmPrice]]),"ERR","")</f>
        <v/>
      </c>
      <c r="AG219" s="3">
        <v>43049</v>
      </c>
      <c r="AH219" s="14">
        <v>34.424599999999998</v>
      </c>
      <c r="AI219" s="34">
        <v>34</v>
      </c>
      <c r="AJ219" s="14">
        <v>244.4896</v>
      </c>
      <c r="AK219" s="14">
        <v>244.13059999999999</v>
      </c>
      <c r="AL219" s="14">
        <v>247.179</v>
      </c>
      <c r="AN219" s="38">
        <f t="shared" si="10"/>
        <v>0</v>
      </c>
      <c r="AO219" s="38">
        <f t="shared" si="11"/>
        <v>0</v>
      </c>
      <c r="AQ219" s="37">
        <v>43049</v>
      </c>
      <c r="AR219">
        <v>34</v>
      </c>
      <c r="AS219">
        <v>244.130560830999</v>
      </c>
      <c r="AT219">
        <v>247.179</v>
      </c>
      <c r="AV219" s="37">
        <v>43049</v>
      </c>
      <c r="AW219">
        <v>34</v>
      </c>
      <c r="AX219">
        <v>244.130560830999</v>
      </c>
      <c r="AY219">
        <v>247.179</v>
      </c>
      <c r="BA219" s="38">
        <f>AX219-Table3[[#This Row],[Trendline]]</f>
        <v>-3.9169000984884406E-5</v>
      </c>
      <c r="BB219" s="38">
        <f>AY219-Table3[[#This Row],[SmPrice]]</f>
        <v>0</v>
      </c>
    </row>
    <row r="220" spans="1:54" x14ac:dyDescent="0.35">
      <c r="A220" s="6">
        <v>218</v>
      </c>
      <c r="B220" s="3">
        <v>43052</v>
      </c>
      <c r="C220" s="2">
        <v>246.56</v>
      </c>
      <c r="D220" s="2">
        <v>247.79</v>
      </c>
      <c r="E220" s="2">
        <v>246.52</v>
      </c>
      <c r="F220" s="2">
        <v>247.54</v>
      </c>
      <c r="G220" s="1">
        <v>52418324</v>
      </c>
      <c r="H220" s="30">
        <f>(testdata[[#This Row],[high]]+testdata[[#This Row],[low]])/2</f>
        <v>247.155</v>
      </c>
      <c r="I220" s="23">
        <f>(4*testdata[[#This Row],[price]]+3*H219+2*H218+H217)/10</f>
        <v>247.09300000000002</v>
      </c>
      <c r="J220" s="9">
        <f>(0.0962*testdata[[#This Row],[smooth]]+0.5769*I218-0.5769*I216-0.0962*I214)*(0.075*$Z219+0.54)</f>
        <v>-0.21044260932686162</v>
      </c>
      <c r="K220" s="14">
        <f t="shared" si="9"/>
        <v>1.9887705893335363</v>
      </c>
      <c r="L220" s="14">
        <f>(0.0962*testdata[[#This Row],[detrender]]+0.5769*J218-0.5769*J216-0.0962*J214)*(0.075*$Z219+0.54)</f>
        <v>0.98619390578200372</v>
      </c>
      <c r="M220" s="9">
        <f>(0.0962*testdata[[#This Row],[I1]]+0.5769*K218-0.5769*K216-0.0962*K214)*(0.075*$Z219+0.54)</f>
        <v>-6.6440961318954585E-3</v>
      </c>
      <c r="N220" s="9">
        <f>(0.0962*testdata[[#This Row],[Q1]]+0.5769*L218-0.5769*L216-0.0962*L214)*(0.075*$Z219+0.54)</f>
        <v>-5.2863483247810699</v>
      </c>
      <c r="O220" s="9">
        <f>testdata[[#This Row],[I1]]-testdata[[#This Row],[JQ]]</f>
        <v>7.2751189141146062</v>
      </c>
      <c r="P220" s="9">
        <f>testdata[[#This Row],[Q1]]+testdata[[#This Row],[jI]]</f>
        <v>0.97954980965010829</v>
      </c>
      <c r="Q220" s="9">
        <f>0.2*testdata[[#This Row],[I2]]+0.8*Q219</f>
        <v>1.8682899498940582</v>
      </c>
      <c r="R220" s="9">
        <f>0.2*testdata[[#This Row],[Q2]]+0.8*R219</f>
        <v>1.323405804150108</v>
      </c>
      <c r="S220" s="9">
        <f>testdata[[#This Row],[I2'']]*Q219+testdata[[#This Row],[Q2'']]*R219</f>
        <v>2.8302944603992755</v>
      </c>
      <c r="T220" s="9">
        <f>testdata[[#This Row],[I2'']]*R219-testdata[[#This Row],[Q2'']]*Q219</f>
        <v>1.9494628830078913</v>
      </c>
      <c r="U220" s="9">
        <f>0.2*testdata[[#This Row],[Re]]+0.8*U219</f>
        <v>1.7105370373139421</v>
      </c>
      <c r="V220" s="9">
        <f>0.2*testdata[[#This Row],[Im]]+0.8*V219</f>
        <v>0.8869278327172635</v>
      </c>
      <c r="W220" s="9">
        <f>IF(AND(testdata[[#This Row],[Re'']]&lt;&gt;0,testdata[[#This Row],[Im'']]&lt;&gt;0),2*PI()/ATAN(testdata[[#This Row],[Im'']]/testdata[[#This Row],[Re'']]),0)</f>
        <v>13.135273450733431</v>
      </c>
      <c r="X220" s="9">
        <f>IF(testdata[[#This Row],[pd-atan]]&gt;1.5*Z219,1.5*Z219,IF(testdata[[#This Row],[pd-atan]]&lt;0.67*Z219,0.67*Z219,testdata[[#This Row],[pd-atan]]))</f>
        <v>21.856754497043418</v>
      </c>
      <c r="Y220" s="9">
        <f>IF(testdata[[#This Row],[pd-limit1]]&lt;6,6,IF(testdata[[#This Row],[pd-limit1]]&gt;50,50,testdata[[#This Row],[pd-limit1]]))</f>
        <v>21.856754497043418</v>
      </c>
      <c r="Z220" s="14">
        <f>0.2*testdata[[#This Row],[pd-limit2]]+0.8*Z219</f>
        <v>30.468968209311271</v>
      </c>
      <c r="AA220" s="14">
        <f>0.33*testdata[[#This Row],[period]]+0.67*AA219</f>
        <v>33.119792378041282</v>
      </c>
      <c r="AB220" s="31">
        <f>TRUNC(testdata[[#This Row],[SmPd]]+0.5,0)</f>
        <v>33</v>
      </c>
      <c r="AC220" s="14">
        <f ca="1">IF(testdata[[#This Row],[PdInt]]&lt;=0,0,AVERAGE(OFFSET(testdata[[#This Row],[price]],0,0,-testdata[[#This Row],[PdInt]],1)))</f>
        <v>244.90030303030298</v>
      </c>
      <c r="AD220" s="14">
        <f ca="1">IF(testdata[[#This Row],[i]]&lt;11,testdata[[#This Row],[price]],(4*testdata[[#This Row],[iTrend]]+3*AC219+2*AC218+AC217)/10)</f>
        <v>244.49752179568796</v>
      </c>
      <c r="AE220" s="14">
        <f>(4*testdata[[#This Row],[price]]+3*H219+2*H218+H217)/10</f>
        <v>247.09300000000002</v>
      </c>
      <c r="AF220" t="str">
        <f ca="1">IF(OR(ROUND(testdata[[#This Row],[Trendline]],4)&lt;&gt;Table3[[#This Row],[Trendline]],ROUND(testdata[[#This Row],[SmPrice]],4)&lt;&gt;Table3[[#This Row],[SmPrice]]),"ERR","")</f>
        <v/>
      </c>
      <c r="AG220" s="3">
        <v>43052</v>
      </c>
      <c r="AH220" s="14">
        <v>33.119</v>
      </c>
      <c r="AI220" s="34">
        <v>33</v>
      </c>
      <c r="AJ220" s="14">
        <v>244.90029999999999</v>
      </c>
      <c r="AK220" s="14">
        <v>244.4975</v>
      </c>
      <c r="AL220" s="14">
        <v>247.09299999999999</v>
      </c>
      <c r="AN220" s="38">
        <f t="shared" si="10"/>
        <v>0</v>
      </c>
      <c r="AO220" s="38">
        <f t="shared" si="11"/>
        <v>0</v>
      </c>
      <c r="AQ220" s="37">
        <v>43052</v>
      </c>
      <c r="AR220">
        <v>33</v>
      </c>
      <c r="AS220">
        <v>244.49752179568699</v>
      </c>
      <c r="AT220">
        <v>247.09299999999999</v>
      </c>
      <c r="AV220" s="37">
        <v>43052</v>
      </c>
      <c r="AW220">
        <v>33</v>
      </c>
      <c r="AX220">
        <v>244.49752179568699</v>
      </c>
      <c r="AY220">
        <v>247.09299999999999</v>
      </c>
      <c r="BA220" s="38">
        <f>AX220-Table3[[#This Row],[Trendline]]</f>
        <v>2.179568699034462E-5</v>
      </c>
      <c r="BB220" s="38">
        <f>AY220-Table3[[#This Row],[SmPrice]]</f>
        <v>0</v>
      </c>
    </row>
    <row r="221" spans="1:54" x14ac:dyDescent="0.35">
      <c r="A221" s="6">
        <v>219</v>
      </c>
      <c r="B221" s="3">
        <v>43053</v>
      </c>
      <c r="C221" s="2">
        <v>246.66</v>
      </c>
      <c r="D221" s="2">
        <v>247.08</v>
      </c>
      <c r="E221" s="2">
        <v>245.8</v>
      </c>
      <c r="F221" s="2">
        <v>246.96</v>
      </c>
      <c r="G221" s="1">
        <v>63988136</v>
      </c>
      <c r="H221" s="30">
        <f>(testdata[[#This Row],[high]]+testdata[[#This Row],[low]])/2</f>
        <v>246.44</v>
      </c>
      <c r="I221" s="23">
        <f>(4*testdata[[#This Row],[price]]+3*H220+2*H219+H218)/10</f>
        <v>246.79699999999997</v>
      </c>
      <c r="J221" s="9">
        <f>(0.0962*testdata[[#This Row],[smooth]]+0.5769*I219-0.5769*I217-0.0962*I215)*(0.075*$Z220+0.54)</f>
        <v>-1.1228829372140763</v>
      </c>
      <c r="K221" s="14">
        <f t="shared" si="9"/>
        <v>1.8069775911254224</v>
      </c>
      <c r="L221" s="14">
        <f>(0.0962*testdata[[#This Row],[detrender]]+0.5769*J219-0.5769*J217-0.0962*J215)*(0.075*$Z220+0.54)</f>
        <v>-1.7370019633425466</v>
      </c>
      <c r="M221" s="9">
        <f>(0.0962*testdata[[#This Row],[I1]]+0.5769*K219-0.5769*K217-0.0962*K215)*(0.075*$Z220+0.54)</f>
        <v>-1.0378415203595759</v>
      </c>
      <c r="N221" s="9">
        <f>(0.0962*testdata[[#This Row],[Q1]]+0.5769*L219-0.5769*L217-0.0962*L215)*(0.075*$Z220+0.54)</f>
        <v>1.5382285400081546</v>
      </c>
      <c r="O221" s="9">
        <f>testdata[[#This Row],[I1]]-testdata[[#This Row],[JQ]]</f>
        <v>0.26874905111726788</v>
      </c>
      <c r="P221" s="9">
        <f>testdata[[#This Row],[Q1]]+testdata[[#This Row],[jI]]</f>
        <v>-2.7748434837021225</v>
      </c>
      <c r="Q221" s="9">
        <f>0.2*testdata[[#This Row],[I2]]+0.8*Q220</f>
        <v>1.5483817701387002</v>
      </c>
      <c r="R221" s="9">
        <f>0.2*testdata[[#This Row],[Q2]]+0.8*R220</f>
        <v>0.50375594657966205</v>
      </c>
      <c r="S221" s="9">
        <f>testdata[[#This Row],[I2'']]*Q220+testdata[[#This Row],[Q2'']]*R220</f>
        <v>3.5594996433279618</v>
      </c>
      <c r="T221" s="9">
        <f>testdata[[#This Row],[I2'']]*R220-testdata[[#This Row],[Q2'']]*Q220</f>
        <v>1.1079752494476236</v>
      </c>
      <c r="U221" s="9">
        <f>0.2*testdata[[#This Row],[Re]]+0.8*U220</f>
        <v>2.0803295585167461</v>
      </c>
      <c r="V221" s="9">
        <f>0.2*testdata[[#This Row],[Im]]+0.8*V220</f>
        <v>0.93113731606333561</v>
      </c>
      <c r="W221" s="9">
        <f>IF(AND(testdata[[#This Row],[Re'']]&lt;&gt;0,testdata[[#This Row],[Im'']]&lt;&gt;0),2*PI()/ATAN(testdata[[#This Row],[Im'']]/testdata[[#This Row],[Re'']]),0)</f>
        <v>14.929785291646999</v>
      </c>
      <c r="X221" s="9">
        <f>IF(testdata[[#This Row],[pd-atan]]&gt;1.5*Z220,1.5*Z220,IF(testdata[[#This Row],[pd-atan]]&lt;0.67*Z220,0.67*Z220,testdata[[#This Row],[pd-atan]]))</f>
        <v>20.414208700238554</v>
      </c>
      <c r="Y221" s="9">
        <f>IF(testdata[[#This Row],[pd-limit1]]&lt;6,6,IF(testdata[[#This Row],[pd-limit1]]&gt;50,50,testdata[[#This Row],[pd-limit1]]))</f>
        <v>20.414208700238554</v>
      </c>
      <c r="Z221" s="14">
        <f>0.2*testdata[[#This Row],[pd-limit2]]+0.8*Z220</f>
        <v>28.458016307496731</v>
      </c>
      <c r="AA221" s="14">
        <f>0.33*testdata[[#This Row],[period]]+0.67*AA220</f>
        <v>31.581406274761584</v>
      </c>
      <c r="AB221" s="31">
        <f>TRUNC(testdata[[#This Row],[SmPd]]+0.5,0)</f>
        <v>32</v>
      </c>
      <c r="AC221" s="14">
        <f ca="1">IF(testdata[[#This Row],[PdInt]]&lt;=0,0,AVERAGE(OFFSET(testdata[[#This Row],[price]],0,0,-testdata[[#This Row],[PdInt]],1)))</f>
        <v>245.25968749999998</v>
      </c>
      <c r="AD221" s="14">
        <f ca="1">IF(testdata[[#This Row],[i]]&lt;11,testdata[[#This Row],[price]],(4*testdata[[#This Row],[iTrend]]+3*AC220+2*AC219+AC218)/10)</f>
        <v>244.8802205309396</v>
      </c>
      <c r="AE221" s="14">
        <f>(4*testdata[[#This Row],[price]]+3*H220+2*H219+H218)/10</f>
        <v>246.79699999999997</v>
      </c>
      <c r="AF221" t="str">
        <f ca="1">IF(OR(ROUND(testdata[[#This Row],[Trendline]],4)&lt;&gt;Table3[[#This Row],[Trendline]],ROUND(testdata[[#This Row],[SmPrice]],4)&lt;&gt;Table3[[#This Row],[SmPrice]]),"ERR","")</f>
        <v/>
      </c>
      <c r="AG221" s="3">
        <v>43053</v>
      </c>
      <c r="AH221" s="14">
        <v>31.5806</v>
      </c>
      <c r="AI221" s="34">
        <v>32</v>
      </c>
      <c r="AJ221" s="14">
        <v>245.25970000000001</v>
      </c>
      <c r="AK221" s="14">
        <v>244.8802</v>
      </c>
      <c r="AL221" s="14">
        <v>246.797</v>
      </c>
      <c r="AN221" s="38">
        <f t="shared" si="10"/>
        <v>0</v>
      </c>
      <c r="AO221" s="38">
        <f t="shared" si="11"/>
        <v>0</v>
      </c>
      <c r="AQ221" s="37">
        <v>43053</v>
      </c>
      <c r="AR221">
        <v>32</v>
      </c>
      <c r="AS221">
        <v>244.880220530939</v>
      </c>
      <c r="AT221">
        <v>246.796999999999</v>
      </c>
      <c r="AV221" s="37">
        <v>43053</v>
      </c>
      <c r="AW221">
        <v>32</v>
      </c>
      <c r="AX221">
        <v>244.880220530939</v>
      </c>
      <c r="AY221">
        <v>246.796999999999</v>
      </c>
      <c r="BA221" s="38">
        <f>AX221-Table3[[#This Row],[Trendline]]</f>
        <v>2.053093899689884E-5</v>
      </c>
      <c r="BB221" s="38">
        <f>AY221-Table3[[#This Row],[SmPrice]]</f>
        <v>-9.9475983006414026E-13</v>
      </c>
    </row>
    <row r="222" spans="1:54" x14ac:dyDescent="0.35">
      <c r="A222" s="6">
        <v>220</v>
      </c>
      <c r="B222" s="3">
        <v>43054</v>
      </c>
      <c r="C222" s="2">
        <v>245.9</v>
      </c>
      <c r="D222" s="2">
        <v>246.48</v>
      </c>
      <c r="E222" s="2">
        <v>244.95</v>
      </c>
      <c r="F222" s="2">
        <v>245.73</v>
      </c>
      <c r="G222" s="1">
        <v>84334432</v>
      </c>
      <c r="H222" s="30">
        <f>(testdata[[#This Row],[high]]+testdata[[#This Row],[low]])/2</f>
        <v>245.71499999999997</v>
      </c>
      <c r="I222" s="23">
        <f>(4*testdata[[#This Row],[price]]+3*H221+2*H220+H219)/10</f>
        <v>246.35499999999996</v>
      </c>
      <c r="J222" s="9">
        <f>(0.0962*testdata[[#This Row],[smooth]]+0.5769*I220-0.5769*I218-0.0962*I216)*(0.075*$Z221+0.54)</f>
        <v>-0.74792042903423039</v>
      </c>
      <c r="K222" s="14">
        <f t="shared" si="9"/>
        <v>1.2942535084988007</v>
      </c>
      <c r="L222" s="14">
        <f>(0.0962*testdata[[#This Row],[detrender]]+0.5769*J220-0.5769*J218-0.0962*J216)*(0.075*$Z221+0.54)</f>
        <v>-3.5419275814889479</v>
      </c>
      <c r="M222" s="9">
        <f>(0.0962*testdata[[#This Row],[I1]]+0.5769*K220-0.5769*K218-0.0962*K216)*(0.075*$Z221+0.54)</f>
        <v>1.3441661321625726</v>
      </c>
      <c r="N222" s="9">
        <f>(0.0962*testdata[[#This Row],[Q1]]+0.5769*L220-0.5769*L218-0.0962*L216)*(0.075*$Z221+0.54)</f>
        <v>2.1196944670407318</v>
      </c>
      <c r="O222" s="9">
        <f>testdata[[#This Row],[I1]]-testdata[[#This Row],[JQ]]</f>
        <v>-0.82544095854193111</v>
      </c>
      <c r="P222" s="9">
        <f>testdata[[#This Row],[Q1]]+testdata[[#This Row],[jI]]</f>
        <v>-2.1977614493263751</v>
      </c>
      <c r="Q222" s="9">
        <f>0.2*testdata[[#This Row],[I2]]+0.8*Q221</f>
        <v>1.0736172244025741</v>
      </c>
      <c r="R222" s="9">
        <f>0.2*testdata[[#This Row],[Q2]]+0.8*R221</f>
        <v>-3.6547532601545418E-2</v>
      </c>
      <c r="S222" s="9">
        <f>testdata[[#This Row],[I2'']]*Q221+testdata[[#This Row],[Q2'']]*R221</f>
        <v>1.6439583014910133</v>
      </c>
      <c r="T222" s="9">
        <f>testdata[[#This Row],[I2'']]*R221-testdata[[#This Row],[Q2'']]*Q221</f>
        <v>0.59743059436693102</v>
      </c>
      <c r="U222" s="9">
        <f>0.2*testdata[[#This Row],[Re]]+0.8*U221</f>
        <v>1.9930553071115995</v>
      </c>
      <c r="V222" s="9">
        <f>0.2*testdata[[#This Row],[Im]]+0.8*V221</f>
        <v>0.8643959717240548</v>
      </c>
      <c r="W222" s="9">
        <f>IF(AND(testdata[[#This Row],[Re'']]&lt;&gt;0,testdata[[#This Row],[Im'']]&lt;&gt;0),2*PI()/ATAN(testdata[[#This Row],[Im'']]/testdata[[#This Row],[Re'']]),0)</f>
        <v>15.354059216849468</v>
      </c>
      <c r="X222" s="9">
        <f>IF(testdata[[#This Row],[pd-atan]]&gt;1.5*Z221,1.5*Z221,IF(testdata[[#This Row],[pd-atan]]&lt;0.67*Z221,0.67*Z221,testdata[[#This Row],[pd-atan]]))</f>
        <v>19.066870926022812</v>
      </c>
      <c r="Y222" s="9">
        <f>IF(testdata[[#This Row],[pd-limit1]]&lt;6,6,IF(testdata[[#This Row],[pd-limit1]]&gt;50,50,testdata[[#This Row],[pd-limit1]]))</f>
        <v>19.066870926022812</v>
      </c>
      <c r="Z222" s="14">
        <f>0.2*testdata[[#This Row],[pd-limit2]]+0.8*Z221</f>
        <v>26.579787231201948</v>
      </c>
      <c r="AA222" s="14">
        <f>0.33*testdata[[#This Row],[period]]+0.67*AA221</f>
        <v>29.930871990386905</v>
      </c>
      <c r="AB222" s="31">
        <f>TRUNC(testdata[[#This Row],[SmPd]]+0.5,0)</f>
        <v>30</v>
      </c>
      <c r="AC222" s="14">
        <f ca="1">IF(testdata[[#This Row],[PdInt]]&lt;=0,0,AVERAGE(OFFSET(testdata[[#This Row],[price]],0,0,-testdata[[#This Row],[PdInt]],1)))</f>
        <v>245.60983333333334</v>
      </c>
      <c r="AD222" s="14">
        <f ca="1">IF(testdata[[#This Row],[i]]&lt;11,testdata[[#This Row],[price]],(4*testdata[[#This Row],[iTrend]]+3*AC221+2*AC220+AC219)/10)</f>
        <v>245.25085607174688</v>
      </c>
      <c r="AE222" s="14">
        <f>(4*testdata[[#This Row],[price]]+3*H221+2*H220+H219)/10</f>
        <v>246.35499999999996</v>
      </c>
      <c r="AF222" t="str">
        <f ca="1">IF(OR(ROUND(testdata[[#This Row],[Trendline]],4)&lt;&gt;Table3[[#This Row],[Trendline]],ROUND(testdata[[#This Row],[SmPrice]],4)&lt;&gt;Table3[[#This Row],[SmPrice]]),"ERR","")</f>
        <v/>
      </c>
      <c r="AG222" s="3">
        <v>43054</v>
      </c>
      <c r="AH222" s="14">
        <v>29.930099999999999</v>
      </c>
      <c r="AI222" s="34">
        <v>30</v>
      </c>
      <c r="AJ222" s="14">
        <v>245.60980000000001</v>
      </c>
      <c r="AK222" s="14">
        <v>245.2509</v>
      </c>
      <c r="AL222" s="14">
        <v>246.35499999999999</v>
      </c>
      <c r="AN222" s="38">
        <f t="shared" si="10"/>
        <v>0</v>
      </c>
      <c r="AO222" s="38">
        <f t="shared" si="11"/>
        <v>0</v>
      </c>
      <c r="AQ222" s="37">
        <v>43054</v>
      </c>
      <c r="AR222">
        <v>30</v>
      </c>
      <c r="AS222">
        <v>245.250856071746</v>
      </c>
      <c r="AT222">
        <v>246.354999999999</v>
      </c>
      <c r="AV222" s="37">
        <v>43054</v>
      </c>
      <c r="AW222">
        <v>30</v>
      </c>
      <c r="AX222">
        <v>245.250856071746</v>
      </c>
      <c r="AY222">
        <v>246.354999999999</v>
      </c>
      <c r="BA222" s="38">
        <f>AX222-Table3[[#This Row],[Trendline]]</f>
        <v>-4.392825400145739E-5</v>
      </c>
      <c r="BB222" s="38">
        <f>AY222-Table3[[#This Row],[SmPrice]]</f>
        <v>-9.9475983006414026E-13</v>
      </c>
    </row>
    <row r="223" spans="1:54" x14ac:dyDescent="0.35">
      <c r="A223" s="6">
        <v>221</v>
      </c>
      <c r="B223" s="3">
        <v>43055</v>
      </c>
      <c r="C223" s="2">
        <v>246.76</v>
      </c>
      <c r="D223" s="2">
        <v>248.22</v>
      </c>
      <c r="E223" s="2">
        <v>246.72</v>
      </c>
      <c r="F223" s="2">
        <v>247.82</v>
      </c>
      <c r="G223" s="1">
        <v>70731712</v>
      </c>
      <c r="H223" s="30">
        <f>(testdata[[#This Row],[high]]+testdata[[#This Row],[low]])/2</f>
        <v>247.47</v>
      </c>
      <c r="I223" s="23">
        <f>(4*testdata[[#This Row],[price]]+3*H222+2*H221+H220)/10</f>
        <v>246.70600000000005</v>
      </c>
      <c r="J223" s="9">
        <f>(0.0962*testdata[[#This Row],[smooth]]+0.5769*I221-0.5769*I219-0.0962*I217)*(0.075*$Z222+0.54)</f>
        <v>-0.82494952698918045</v>
      </c>
      <c r="K223" s="14">
        <f t="shared" si="9"/>
        <v>-0.21044260932686162</v>
      </c>
      <c r="L223" s="14">
        <f>(0.0962*testdata[[#This Row],[detrender]]+0.5769*J221-0.5769*J219-0.0962*J217)*(0.075*$Z222+0.54)</f>
        <v>-4.218569872631619</v>
      </c>
      <c r="M223" s="9">
        <f>(0.0962*testdata[[#This Row],[I1]]+0.5769*K221-0.5769*K219-0.0962*K217)*(0.075*$Z222+0.54)</f>
        <v>0.83655773705760472</v>
      </c>
      <c r="N223" s="9">
        <f>(0.0962*testdata[[#This Row],[Q1]]+0.5769*L221-0.5769*L219-0.0962*L217)*(0.075*$Z222+0.54)</f>
        <v>-5.8860144413843987</v>
      </c>
      <c r="O223" s="9">
        <f>testdata[[#This Row],[I1]]-testdata[[#This Row],[JQ]]</f>
        <v>5.6755718320575372</v>
      </c>
      <c r="P223" s="9">
        <f>testdata[[#This Row],[Q1]]+testdata[[#This Row],[jI]]</f>
        <v>-3.3820121355740143</v>
      </c>
      <c r="Q223" s="9">
        <f>0.2*testdata[[#This Row],[I2]]+0.8*Q222</f>
        <v>1.994008145933567</v>
      </c>
      <c r="R223" s="9">
        <f>0.2*testdata[[#This Row],[Q2]]+0.8*R222</f>
        <v>-0.7056404531960393</v>
      </c>
      <c r="S223" s="9">
        <f>testdata[[#This Row],[I2'']]*Q222+testdata[[#This Row],[Q2'']]*R222</f>
        <v>2.1665909085414707</v>
      </c>
      <c r="T223" s="9">
        <f>testdata[[#This Row],[I2'']]*R222-testdata[[#This Row],[Q2'']]*Q222</f>
        <v>0.68471166706525211</v>
      </c>
      <c r="U223" s="9">
        <f>0.2*testdata[[#This Row],[Re]]+0.8*U222</f>
        <v>2.0277624273975738</v>
      </c>
      <c r="V223" s="9">
        <f>0.2*testdata[[#This Row],[Im]]+0.8*V222</f>
        <v>0.82845911079229428</v>
      </c>
      <c r="W223" s="9">
        <f>IF(AND(testdata[[#This Row],[Re'']]&lt;&gt;0,testdata[[#This Row],[Im'']]&lt;&gt;0),2*PI()/ATAN(testdata[[#This Row],[Im'']]/testdata[[#This Row],[Re'']]),0)</f>
        <v>16.199523420807569</v>
      </c>
      <c r="X223" s="9">
        <f>IF(testdata[[#This Row],[pd-atan]]&gt;1.5*Z222,1.5*Z222,IF(testdata[[#This Row],[pd-atan]]&lt;0.67*Z222,0.67*Z222,testdata[[#This Row],[pd-atan]]))</f>
        <v>17.808457444905304</v>
      </c>
      <c r="Y223" s="9">
        <f>IF(testdata[[#This Row],[pd-limit1]]&lt;6,6,IF(testdata[[#This Row],[pd-limit1]]&gt;50,50,testdata[[#This Row],[pd-limit1]]))</f>
        <v>17.808457444905304</v>
      </c>
      <c r="Z223" s="14">
        <f>0.2*testdata[[#This Row],[pd-limit2]]+0.8*Z222</f>
        <v>24.82552127394262</v>
      </c>
      <c r="AA223" s="14">
        <f>0.33*testdata[[#This Row],[period]]+0.67*AA222</f>
        <v>28.246106253960292</v>
      </c>
      <c r="AB223" s="31">
        <f>TRUNC(testdata[[#This Row],[SmPd]]+0.5,0)</f>
        <v>28</v>
      </c>
      <c r="AC223" s="14">
        <f ca="1">IF(testdata[[#This Row],[PdInt]]&lt;=0,0,AVERAGE(OFFSET(testdata[[#This Row],[price]],0,0,-testdata[[#This Row],[PdInt]],1)))</f>
        <v>245.90089285714285</v>
      </c>
      <c r="AD223" s="14">
        <f ca="1">IF(testdata[[#This Row],[i]]&lt;11,testdata[[#This Row],[price]],(4*testdata[[#This Row],[iTrend]]+3*AC222+2*AC221+AC220)/10)</f>
        <v>245.58527494588742</v>
      </c>
      <c r="AE223" s="14">
        <f>(4*testdata[[#This Row],[price]]+3*H222+2*H221+H220)/10</f>
        <v>246.70600000000005</v>
      </c>
      <c r="AF223" t="str">
        <f ca="1">IF(OR(ROUND(testdata[[#This Row],[Trendline]],4)&lt;&gt;Table3[[#This Row],[Trendline]],ROUND(testdata[[#This Row],[SmPrice]],4)&lt;&gt;Table3[[#This Row],[SmPrice]]),"ERR","")</f>
        <v/>
      </c>
      <c r="AG223" s="3">
        <v>43055</v>
      </c>
      <c r="AH223" s="14">
        <v>28.2454</v>
      </c>
      <c r="AI223" s="34">
        <v>28</v>
      </c>
      <c r="AJ223" s="14">
        <v>245.90090000000001</v>
      </c>
      <c r="AK223" s="14">
        <v>245.58529999999999</v>
      </c>
      <c r="AL223" s="14">
        <v>246.70599999999999</v>
      </c>
      <c r="AN223" s="38">
        <f t="shared" si="10"/>
        <v>0</v>
      </c>
      <c r="AO223" s="38">
        <f t="shared" si="11"/>
        <v>0</v>
      </c>
      <c r="AQ223" s="37">
        <v>43055</v>
      </c>
      <c r="AR223">
        <v>28</v>
      </c>
      <c r="AS223">
        <v>245.58527494588699</v>
      </c>
      <c r="AT223">
        <v>246.70599999999999</v>
      </c>
      <c r="AV223" s="37">
        <v>43055</v>
      </c>
      <c r="AW223">
        <v>28</v>
      </c>
      <c r="AX223">
        <v>245.58527494588699</v>
      </c>
      <c r="AY223">
        <v>246.70599999999999</v>
      </c>
      <c r="BA223" s="38">
        <f>AX223-Table3[[#This Row],[Trendline]]</f>
        <v>-2.5054112995803735E-5</v>
      </c>
      <c r="BB223" s="38">
        <f>AY223-Table3[[#This Row],[SmPrice]]</f>
        <v>0</v>
      </c>
    </row>
    <row r="224" spans="1:54" x14ac:dyDescent="0.35">
      <c r="A224" s="6">
        <v>222</v>
      </c>
      <c r="B224" s="3">
        <v>43056</v>
      </c>
      <c r="C224" s="2">
        <v>247.43</v>
      </c>
      <c r="D224" s="2">
        <v>247.79</v>
      </c>
      <c r="E224" s="2">
        <v>247</v>
      </c>
      <c r="F224" s="2">
        <v>247.09</v>
      </c>
      <c r="G224" s="1">
        <v>79059392</v>
      </c>
      <c r="H224" s="30">
        <f>(testdata[[#This Row],[high]]+testdata[[#This Row],[low]])/2</f>
        <v>247.39499999999998</v>
      </c>
      <c r="I224" s="23">
        <f>(4*testdata[[#This Row],[price]]+3*H223+2*H222+H221)/10</f>
        <v>246.98599999999996</v>
      </c>
      <c r="J224" s="9">
        <f>(0.0962*testdata[[#This Row],[smooth]]+0.5769*I222-0.5769*I220-0.0962*I218)*(0.075*$Z223+0.54)</f>
        <v>-1.1130818196303609</v>
      </c>
      <c r="K224" s="14">
        <f t="shared" si="9"/>
        <v>-1.1228829372140763</v>
      </c>
      <c r="L224" s="14">
        <f>(0.0962*testdata[[#This Row],[detrender]]+0.5769*J222-0.5769*J220-0.0962*J218)*(0.075*$Z223+0.54)</f>
        <v>-1.4194848002764198</v>
      </c>
      <c r="M224" s="9">
        <f>(0.0962*testdata[[#This Row],[I1]]+0.5769*K222-0.5769*K220-0.0962*K218)*(0.075*$Z223+0.54)</f>
        <v>-1.4767697649907019</v>
      </c>
      <c r="N224" s="9">
        <f>(0.0962*testdata[[#This Row],[Q1]]+0.5769*L222-0.5769*L220-0.0962*L218)*(0.075*$Z223+0.54)</f>
        <v>-6.3185456775259601</v>
      </c>
      <c r="O224" s="9">
        <f>testdata[[#This Row],[I1]]-testdata[[#This Row],[JQ]]</f>
        <v>5.1956627403118834</v>
      </c>
      <c r="P224" s="9">
        <f>testdata[[#This Row],[Q1]]+testdata[[#This Row],[jI]]</f>
        <v>-2.8962545652671219</v>
      </c>
      <c r="Q224" s="9">
        <f>0.2*testdata[[#This Row],[I2]]+0.8*Q223</f>
        <v>2.6343390648092306</v>
      </c>
      <c r="R224" s="9">
        <f>0.2*testdata[[#This Row],[Q2]]+0.8*R223</f>
        <v>-1.1437632756102558</v>
      </c>
      <c r="S224" s="9">
        <f>testdata[[#This Row],[I2'']]*Q223+testdata[[#This Row],[Q2'']]*R223</f>
        <v>6.0599791905312284</v>
      </c>
      <c r="T224" s="9">
        <f>testdata[[#This Row],[I2'']]*R223-testdata[[#This Row],[Q2'']]*Q223</f>
        <v>0.42177707702249378</v>
      </c>
      <c r="U224" s="9">
        <f>0.2*testdata[[#This Row],[Re]]+0.8*U223</f>
        <v>2.8342057800243046</v>
      </c>
      <c r="V224" s="9">
        <f>0.2*testdata[[#This Row],[Im]]+0.8*V223</f>
        <v>0.74712270403833425</v>
      </c>
      <c r="W224" s="9">
        <f>IF(AND(testdata[[#This Row],[Re'']]&lt;&gt;0,testdata[[#This Row],[Im'']]&lt;&gt;0),2*PI()/ATAN(testdata[[#This Row],[Im'']]/testdata[[#This Row],[Re'']]),0)</f>
        <v>24.377455593657466</v>
      </c>
      <c r="X224" s="9">
        <f>IF(testdata[[#This Row],[pd-atan]]&gt;1.5*Z223,1.5*Z223,IF(testdata[[#This Row],[pd-atan]]&lt;0.67*Z223,0.67*Z223,testdata[[#This Row],[pd-atan]]))</f>
        <v>24.377455593657466</v>
      </c>
      <c r="Y224" s="9">
        <f>IF(testdata[[#This Row],[pd-limit1]]&lt;6,6,IF(testdata[[#This Row],[pd-limit1]]&gt;50,50,testdata[[#This Row],[pd-limit1]]))</f>
        <v>24.377455593657466</v>
      </c>
      <c r="Z224" s="14">
        <f>0.2*testdata[[#This Row],[pd-limit2]]+0.8*Z223</f>
        <v>24.735908137885591</v>
      </c>
      <c r="AA224" s="14">
        <f>0.33*testdata[[#This Row],[period]]+0.67*AA223</f>
        <v>27.087740875655641</v>
      </c>
      <c r="AB224" s="31">
        <f>TRUNC(testdata[[#This Row],[SmPd]]+0.5,0)</f>
        <v>27</v>
      </c>
      <c r="AC224" s="14">
        <f ca="1">IF(testdata[[#This Row],[PdInt]]&lt;=0,0,AVERAGE(OFFSET(testdata[[#This Row],[price]],0,0,-testdata[[#This Row],[PdInt]],1)))</f>
        <v>246.10000000000002</v>
      </c>
      <c r="AD224" s="14">
        <f ca="1">IF(testdata[[#This Row],[i]]&lt;11,testdata[[#This Row],[price]],(4*testdata[[#This Row],[iTrend]]+3*AC223+2*AC222+AC221)/10)</f>
        <v>245.85820327380952</v>
      </c>
      <c r="AE224" s="14">
        <f>(4*testdata[[#This Row],[price]]+3*H223+2*H222+H221)/10</f>
        <v>246.98599999999996</v>
      </c>
      <c r="AF224" t="str">
        <f ca="1">IF(OR(ROUND(testdata[[#This Row],[Trendline]],4)&lt;&gt;Table3[[#This Row],[Trendline]],ROUND(testdata[[#This Row],[SmPrice]],4)&lt;&gt;Table3[[#This Row],[SmPrice]]),"ERR","")</f>
        <v/>
      </c>
      <c r="AG224" s="3">
        <v>43056</v>
      </c>
      <c r="AH224" s="14">
        <v>27.0871</v>
      </c>
      <c r="AI224" s="34">
        <v>27</v>
      </c>
      <c r="AJ224" s="14">
        <v>246.1</v>
      </c>
      <c r="AK224" s="14">
        <v>245.85820000000001</v>
      </c>
      <c r="AL224" s="14">
        <v>246.98599999999999</v>
      </c>
      <c r="AN224" s="38">
        <f t="shared" si="10"/>
        <v>0</v>
      </c>
      <c r="AO224" s="38">
        <f t="shared" si="11"/>
        <v>0</v>
      </c>
      <c r="AQ224" s="37">
        <v>43056</v>
      </c>
      <c r="AR224">
        <v>27</v>
      </c>
      <c r="AS224">
        <v>245.85820327380901</v>
      </c>
      <c r="AT224">
        <v>246.98599999999999</v>
      </c>
      <c r="AV224" s="37">
        <v>43056</v>
      </c>
      <c r="AW224">
        <v>27</v>
      </c>
      <c r="AX224">
        <v>245.85820327380901</v>
      </c>
      <c r="AY224">
        <v>246.98599999999999</v>
      </c>
      <c r="BA224" s="38">
        <f>AX224-Table3[[#This Row],[Trendline]]</f>
        <v>3.2738089998929354E-6</v>
      </c>
      <c r="BB224" s="38">
        <f>AY224-Table3[[#This Row],[SmPrice]]</f>
        <v>0</v>
      </c>
    </row>
    <row r="225" spans="1:54" x14ac:dyDescent="0.35">
      <c r="A225" s="6">
        <v>223</v>
      </c>
      <c r="B225" s="3">
        <v>43059</v>
      </c>
      <c r="C225" s="2">
        <v>247.36</v>
      </c>
      <c r="D225" s="2">
        <v>247.73</v>
      </c>
      <c r="E225" s="2">
        <v>247.09</v>
      </c>
      <c r="F225" s="2">
        <v>247.51</v>
      </c>
      <c r="G225" s="1">
        <v>50171324</v>
      </c>
      <c r="H225" s="30">
        <f>(testdata[[#This Row],[high]]+testdata[[#This Row],[low]])/2</f>
        <v>247.41</v>
      </c>
      <c r="I225" s="23">
        <f>(4*testdata[[#This Row],[price]]+3*H224+2*H223+H222)/10</f>
        <v>247.24799999999999</v>
      </c>
      <c r="J225" s="9">
        <f>(0.0962*testdata[[#This Row],[smooth]]+0.5769*I223-0.5769*I221-0.0962*I219)*(0.075*$Z224+0.54)</f>
        <v>-0.10984379555948892</v>
      </c>
      <c r="K225" s="14">
        <f t="shared" si="9"/>
        <v>-0.74792042903423039</v>
      </c>
      <c r="L225" s="14">
        <f>(0.0962*testdata[[#This Row],[detrender]]+0.5769*J223-0.5769*J221-0.0962*J219)*(0.075*$Z224+0.54)</f>
        <v>8.8151785941801841E-2</v>
      </c>
      <c r="M225" s="9">
        <f>(0.0962*testdata[[#This Row],[I1]]+0.5769*K223-0.5769*K221-0.0962*K219)*(0.075*$Z224+0.54)</f>
        <v>-3.1722088210973518</v>
      </c>
      <c r="N225" s="9">
        <f>(0.0962*testdata[[#This Row],[Q1]]+0.5769*L223-0.5769*L221-0.0962*L219)*(0.075*$Z224+0.54)</f>
        <v>-3.7745962172715481</v>
      </c>
      <c r="O225" s="9">
        <f>testdata[[#This Row],[I1]]-testdata[[#This Row],[JQ]]</f>
        <v>3.0266757882373176</v>
      </c>
      <c r="P225" s="9">
        <f>testdata[[#This Row],[Q1]]+testdata[[#This Row],[jI]]</f>
        <v>-3.0840570351555501</v>
      </c>
      <c r="Q225" s="9">
        <f>0.2*testdata[[#This Row],[I2]]+0.8*Q224</f>
        <v>2.7128064094948483</v>
      </c>
      <c r="R225" s="9">
        <f>0.2*testdata[[#This Row],[Q2]]+0.8*R224</f>
        <v>-1.5318220275193148</v>
      </c>
      <c r="S225" s="9">
        <f>testdata[[#This Row],[I2'']]*Q224+testdata[[#This Row],[Q2'']]*R224</f>
        <v>8.8984936796445808</v>
      </c>
      <c r="T225" s="9">
        <f>testdata[[#This Row],[I2'']]*R224-testdata[[#This Row],[Q2'']]*Q224</f>
        <v>0.93253026240908632</v>
      </c>
      <c r="U225" s="9">
        <f>0.2*testdata[[#This Row],[Re]]+0.8*U224</f>
        <v>4.0470633599483605</v>
      </c>
      <c r="V225" s="9">
        <f>0.2*testdata[[#This Row],[Im]]+0.8*V224</f>
        <v>0.78420421571248466</v>
      </c>
      <c r="W225" s="9">
        <f>IF(AND(testdata[[#This Row],[Re'']]&lt;&gt;0,testdata[[#This Row],[Im'']]&lt;&gt;0),2*PI()/ATAN(testdata[[#This Row],[Im'']]/testdata[[#This Row],[Re'']]),0)</f>
        <v>32.827647948516429</v>
      </c>
      <c r="X225" s="9">
        <f>IF(testdata[[#This Row],[pd-atan]]&gt;1.5*Z224,1.5*Z224,IF(testdata[[#This Row],[pd-atan]]&lt;0.67*Z224,0.67*Z224,testdata[[#This Row],[pd-atan]]))</f>
        <v>32.827647948516429</v>
      </c>
      <c r="Y225" s="9">
        <f>IF(testdata[[#This Row],[pd-limit1]]&lt;6,6,IF(testdata[[#This Row],[pd-limit1]]&gt;50,50,testdata[[#This Row],[pd-limit1]]))</f>
        <v>32.827647948516429</v>
      </c>
      <c r="Z225" s="14">
        <f>0.2*testdata[[#This Row],[pd-limit2]]+0.8*Z224</f>
        <v>26.35425610001176</v>
      </c>
      <c r="AA225" s="14">
        <f>0.33*testdata[[#This Row],[period]]+0.67*AA224</f>
        <v>26.84569089969316</v>
      </c>
      <c r="AB225" s="31">
        <f>TRUNC(testdata[[#This Row],[SmPd]]+0.5,0)</f>
        <v>27</v>
      </c>
      <c r="AC225" s="14">
        <f ca="1">IF(testdata[[#This Row],[PdInt]]&lt;=0,0,AVERAGE(OFFSET(testdata[[#This Row],[price]],0,0,-testdata[[#This Row],[PdInt]],1)))</f>
        <v>246.22351851851852</v>
      </c>
      <c r="AD225" s="14">
        <f ca="1">IF(testdata[[#This Row],[i]]&lt;11,testdata[[#This Row],[price]],(4*testdata[[#This Row],[iTrend]]+3*AC224+2*AC223+AC222)/10)</f>
        <v>246.06056931216935</v>
      </c>
      <c r="AE225" s="14">
        <f>(4*testdata[[#This Row],[price]]+3*H224+2*H223+H222)/10</f>
        <v>247.24799999999999</v>
      </c>
      <c r="AF225" t="str">
        <f ca="1">IF(OR(ROUND(testdata[[#This Row],[Trendline]],4)&lt;&gt;Table3[[#This Row],[Trendline]],ROUND(testdata[[#This Row],[SmPrice]],4)&lt;&gt;Table3[[#This Row],[SmPrice]]),"ERR","")</f>
        <v/>
      </c>
      <c r="AG225" s="3">
        <v>43059</v>
      </c>
      <c r="AH225" s="14">
        <v>26.845099999999999</v>
      </c>
      <c r="AI225" s="34">
        <v>27</v>
      </c>
      <c r="AJ225" s="14">
        <v>246.2235</v>
      </c>
      <c r="AK225" s="14">
        <v>246.06059999999999</v>
      </c>
      <c r="AL225" s="14">
        <v>247.24799999999999</v>
      </c>
      <c r="AN225" s="38">
        <f t="shared" si="10"/>
        <v>0</v>
      </c>
      <c r="AO225" s="38">
        <f t="shared" si="11"/>
        <v>0</v>
      </c>
      <c r="AQ225" s="37">
        <v>43059</v>
      </c>
      <c r="AR225">
        <v>27</v>
      </c>
      <c r="AS225">
        <v>246.06056931216901</v>
      </c>
      <c r="AT225">
        <v>247.24799999999999</v>
      </c>
      <c r="AV225" s="37">
        <v>43059</v>
      </c>
      <c r="AW225">
        <v>27</v>
      </c>
      <c r="AX225">
        <v>246.06056931216901</v>
      </c>
      <c r="AY225">
        <v>247.24799999999999</v>
      </c>
      <c r="BA225" s="38">
        <f>AX225-Table3[[#This Row],[Trendline]]</f>
        <v>-3.0687830985698383E-5</v>
      </c>
      <c r="BB225" s="38">
        <f>AY225-Table3[[#This Row],[SmPrice]]</f>
        <v>0</v>
      </c>
    </row>
    <row r="226" spans="1:54" x14ac:dyDescent="0.35">
      <c r="A226" s="6">
        <v>224</v>
      </c>
      <c r="B226" s="3">
        <v>43060</v>
      </c>
      <c r="C226" s="2">
        <v>248.35</v>
      </c>
      <c r="D226" s="2">
        <v>249.33</v>
      </c>
      <c r="E226" s="2">
        <v>247.47</v>
      </c>
      <c r="F226" s="2">
        <v>249.13</v>
      </c>
      <c r="G226" s="1">
        <v>72192504</v>
      </c>
      <c r="H226" s="30">
        <f>(testdata[[#This Row],[high]]+testdata[[#This Row],[low]])/2</f>
        <v>248.4</v>
      </c>
      <c r="I226" s="23">
        <f>(4*testdata[[#This Row],[price]]+3*H225+2*H224+H223)/10</f>
        <v>247.80899999999997</v>
      </c>
      <c r="J226" s="9">
        <f>(0.0962*testdata[[#This Row],[smooth]]+0.5769*I224-0.5769*I222-0.0962*I220)*(0.075*$Z225+0.54)</f>
        <v>1.0894306112917127</v>
      </c>
      <c r="K226" s="14">
        <f t="shared" si="9"/>
        <v>-0.82494952698918045</v>
      </c>
      <c r="L226" s="14">
        <f>(0.0962*testdata[[#This Row],[detrender]]+0.5769*J224-0.5769*J222-0.0962*J220)*(0.075*$Z225+0.54)</f>
        <v>-0.21545305888559618</v>
      </c>
      <c r="M226" s="9">
        <f>(0.0962*testdata[[#This Row],[I1]]+0.5769*K224-0.5769*K222-0.0962*K220)*(0.075*$Z225+0.54)</f>
        <v>-4.1904045432034733</v>
      </c>
      <c r="N226" s="9">
        <f>(0.0962*testdata[[#This Row],[Q1]]+0.5769*L224-0.5769*L222-0.0962*L220)*(0.075*$Z225+0.54)</f>
        <v>2.790469586404539</v>
      </c>
      <c r="O226" s="9">
        <f>testdata[[#This Row],[I1]]-testdata[[#This Row],[JQ]]</f>
        <v>-3.6154191133937195</v>
      </c>
      <c r="P226" s="9">
        <f>testdata[[#This Row],[Q1]]+testdata[[#This Row],[jI]]</f>
        <v>-4.4058576020890694</v>
      </c>
      <c r="Q226" s="9">
        <f>0.2*testdata[[#This Row],[I2]]+0.8*Q225</f>
        <v>1.4471613049171348</v>
      </c>
      <c r="R226" s="9">
        <f>0.2*testdata[[#This Row],[Q2]]+0.8*R225</f>
        <v>-2.1066291424332659</v>
      </c>
      <c r="S226" s="9">
        <f>testdata[[#This Row],[I2'']]*Q225+testdata[[#This Row],[Q2'']]*R225</f>
        <v>7.1528493877455332</v>
      </c>
      <c r="T226" s="9">
        <f>testdata[[#This Row],[I2'']]*R225-testdata[[#This Row],[Q2'']]*Q225</f>
        <v>3.4980834757759371</v>
      </c>
      <c r="U226" s="9">
        <f>0.2*testdata[[#This Row],[Re]]+0.8*U225</f>
        <v>4.6682205655077951</v>
      </c>
      <c r="V226" s="9">
        <f>0.2*testdata[[#This Row],[Im]]+0.8*V225</f>
        <v>1.3269800677251751</v>
      </c>
      <c r="W226" s="9">
        <f>IF(AND(testdata[[#This Row],[Re'']]&lt;&gt;0,testdata[[#This Row],[Im'']]&lt;&gt;0),2*PI()/ATAN(testdata[[#This Row],[Im'']]/testdata[[#This Row],[Re'']]),0)</f>
        <v>22.686831481167577</v>
      </c>
      <c r="X226" s="9">
        <f>IF(testdata[[#This Row],[pd-atan]]&gt;1.5*Z225,1.5*Z225,IF(testdata[[#This Row],[pd-atan]]&lt;0.67*Z225,0.67*Z225,testdata[[#This Row],[pd-atan]]))</f>
        <v>22.686831481167577</v>
      </c>
      <c r="Y226" s="9">
        <f>IF(testdata[[#This Row],[pd-limit1]]&lt;6,6,IF(testdata[[#This Row],[pd-limit1]]&gt;50,50,testdata[[#This Row],[pd-limit1]]))</f>
        <v>22.686831481167577</v>
      </c>
      <c r="Z226" s="14">
        <f>0.2*testdata[[#This Row],[pd-limit2]]+0.8*Z225</f>
        <v>25.620771176242926</v>
      </c>
      <c r="AA226" s="14">
        <f>0.33*testdata[[#This Row],[period]]+0.67*AA225</f>
        <v>26.441467390954585</v>
      </c>
      <c r="AB226" s="31">
        <f>TRUNC(testdata[[#This Row],[SmPd]]+0.5,0)</f>
        <v>26</v>
      </c>
      <c r="AC226" s="14">
        <f ca="1">IF(testdata[[#This Row],[PdInt]]&lt;=0,0,AVERAGE(OFFSET(testdata[[#This Row],[price]],0,0,-testdata[[#This Row],[PdInt]],1)))</f>
        <v>246.44692307692304</v>
      </c>
      <c r="AD226" s="14">
        <f ca="1">IF(testdata[[#This Row],[i]]&lt;11,testdata[[#This Row],[price]],(4*testdata[[#This Row],[iTrend]]+3*AC225+2*AC224+AC223)/10)</f>
        <v>246.2559140720391</v>
      </c>
      <c r="AE226" s="14">
        <f>(4*testdata[[#This Row],[price]]+3*H225+2*H224+H223)/10</f>
        <v>247.80899999999997</v>
      </c>
      <c r="AF226" t="str">
        <f ca="1">IF(OR(ROUND(testdata[[#This Row],[Trendline]],4)&lt;&gt;Table3[[#This Row],[Trendline]],ROUND(testdata[[#This Row],[SmPrice]],4)&lt;&gt;Table3[[#This Row],[SmPrice]]),"ERR","")</f>
        <v/>
      </c>
      <c r="AG226" s="3">
        <v>43060</v>
      </c>
      <c r="AH226" s="14">
        <v>26.440899999999999</v>
      </c>
      <c r="AI226" s="34">
        <v>26</v>
      </c>
      <c r="AJ226" s="14">
        <v>246.4469</v>
      </c>
      <c r="AK226" s="14">
        <v>246.2559</v>
      </c>
      <c r="AL226" s="14">
        <v>247.809</v>
      </c>
      <c r="AN226" s="38">
        <f t="shared" si="10"/>
        <v>0</v>
      </c>
      <c r="AO226" s="38">
        <f t="shared" si="11"/>
        <v>0</v>
      </c>
      <c r="AQ226" s="37">
        <v>43060</v>
      </c>
      <c r="AR226">
        <v>26</v>
      </c>
      <c r="AS226">
        <v>246.25591407203899</v>
      </c>
      <c r="AT226">
        <v>247.808999999999</v>
      </c>
      <c r="AV226" s="37">
        <v>43060</v>
      </c>
      <c r="AW226">
        <v>26</v>
      </c>
      <c r="AX226">
        <v>246.25591407203899</v>
      </c>
      <c r="AY226">
        <v>247.808999999999</v>
      </c>
      <c r="BA226" s="38">
        <f>AX226-Table3[[#This Row],[Trendline]]</f>
        <v>1.4072038993617753E-5</v>
      </c>
      <c r="BB226" s="38">
        <f>AY226-Table3[[#This Row],[SmPrice]]</f>
        <v>-9.9475983006414026E-13</v>
      </c>
    </row>
    <row r="227" spans="1:54" x14ac:dyDescent="0.35">
      <c r="A227" s="6">
        <v>225</v>
      </c>
      <c r="B227" s="3">
        <v>43061</v>
      </c>
      <c r="C227" s="2">
        <v>249.14</v>
      </c>
      <c r="D227" s="2">
        <v>249.28</v>
      </c>
      <c r="E227" s="2">
        <v>248.73</v>
      </c>
      <c r="F227" s="2">
        <v>248.91</v>
      </c>
      <c r="G227" s="1">
        <v>46996584</v>
      </c>
      <c r="H227" s="30">
        <f>(testdata[[#This Row],[high]]+testdata[[#This Row],[low]])/2</f>
        <v>249.005</v>
      </c>
      <c r="I227" s="23">
        <f>(4*testdata[[#This Row],[price]]+3*H226+2*H225+H224)/10</f>
        <v>248.34350000000001</v>
      </c>
      <c r="J227" s="9">
        <f>(0.0962*testdata[[#This Row],[smooth]]+0.5769*I225-0.5769*I223-0.0962*I221)*(0.075*$Z226+0.54)</f>
        <v>1.1358934952750606</v>
      </c>
      <c r="K227" s="14">
        <f t="shared" si="9"/>
        <v>-1.1130818196303609</v>
      </c>
      <c r="L227" s="14">
        <f>(0.0962*testdata[[#This Row],[detrender]]+0.5769*J225-0.5769*J223-0.0962*J221)*(0.075*$Z226+0.54)</f>
        <v>1.5503846085346575</v>
      </c>
      <c r="M227" s="9">
        <f>(0.0962*testdata[[#This Row],[I1]]+0.5769*K225-0.5769*K223-0.0962*K221)*(0.075*$Z226+0.54)</f>
        <v>-1.454733099252745</v>
      </c>
      <c r="N227" s="9">
        <f>(0.0962*testdata[[#This Row],[Q1]]+0.5769*L225-0.5769*L223-0.0962*L221)*(0.075*$Z226+0.54)</f>
        <v>6.8943171945143931</v>
      </c>
      <c r="O227" s="9">
        <f>testdata[[#This Row],[I1]]-testdata[[#This Row],[JQ]]</f>
        <v>-8.0073990141447542</v>
      </c>
      <c r="P227" s="9">
        <f>testdata[[#This Row],[Q1]]+testdata[[#This Row],[jI]]</f>
        <v>9.5651509281912572E-2</v>
      </c>
      <c r="Q227" s="9">
        <f>0.2*testdata[[#This Row],[I2]]+0.8*Q226</f>
        <v>-0.44375075889524318</v>
      </c>
      <c r="R227" s="9">
        <f>0.2*testdata[[#This Row],[Q2]]+0.8*R226</f>
        <v>-1.6661730120902305</v>
      </c>
      <c r="S227" s="9">
        <f>testdata[[#This Row],[I2'']]*Q226+testdata[[#This Row],[Q2'']]*R226</f>
        <v>2.8678296963042849</v>
      </c>
      <c r="T227" s="9">
        <f>testdata[[#This Row],[I2'']]*R226-testdata[[#This Row],[Q2'']]*Q226</f>
        <v>3.3460393910598079</v>
      </c>
      <c r="U227" s="9">
        <f>0.2*testdata[[#This Row],[Re]]+0.8*U226</f>
        <v>4.3081423916670936</v>
      </c>
      <c r="V227" s="9">
        <f>0.2*testdata[[#This Row],[Im]]+0.8*V226</f>
        <v>1.7307919323921017</v>
      </c>
      <c r="W227" s="9">
        <f>IF(AND(testdata[[#This Row],[Re'']]&lt;&gt;0,testdata[[#This Row],[Im'']]&lt;&gt;0),2*PI()/ATAN(testdata[[#This Row],[Im'']]/testdata[[#This Row],[Re'']]),0)</f>
        <v>16.447559321829043</v>
      </c>
      <c r="X227" s="9">
        <f>IF(testdata[[#This Row],[pd-atan]]&gt;1.5*Z226,1.5*Z226,IF(testdata[[#This Row],[pd-atan]]&lt;0.67*Z226,0.67*Z226,testdata[[#This Row],[pd-atan]]))</f>
        <v>17.16591668808276</v>
      </c>
      <c r="Y227" s="9">
        <f>IF(testdata[[#This Row],[pd-limit1]]&lt;6,6,IF(testdata[[#This Row],[pd-limit1]]&gt;50,50,testdata[[#This Row],[pd-limit1]]))</f>
        <v>17.16591668808276</v>
      </c>
      <c r="Z227" s="14">
        <f>0.2*testdata[[#This Row],[pd-limit2]]+0.8*Z226</f>
        <v>23.929800278610895</v>
      </c>
      <c r="AA227" s="14">
        <f>0.33*testdata[[#This Row],[period]]+0.67*AA226</f>
        <v>25.612617243881168</v>
      </c>
      <c r="AB227" s="31">
        <f>TRUNC(testdata[[#This Row],[SmPd]]+0.5,0)</f>
        <v>26</v>
      </c>
      <c r="AC227" s="14">
        <f ca="1">IF(testdata[[#This Row],[PdInt]]&lt;=0,0,AVERAGE(OFFSET(testdata[[#This Row],[price]],0,0,-testdata[[#This Row],[PdInt]],1)))</f>
        <v>246.6167307692308</v>
      </c>
      <c r="AD227" s="14">
        <f ca="1">IF(testdata[[#This Row],[i]]&lt;11,testdata[[#This Row],[price]],(4*testdata[[#This Row],[iTrend]]+3*AC226+2*AC225+AC224)/10)</f>
        <v>246.43547293447295</v>
      </c>
      <c r="AE227" s="14">
        <f>(4*testdata[[#This Row],[price]]+3*H226+2*H225+H224)/10</f>
        <v>248.34350000000001</v>
      </c>
      <c r="AF227" t="str">
        <f ca="1">IF(OR(ROUND(testdata[[#This Row],[Trendline]],4)&lt;&gt;Table3[[#This Row],[Trendline]],ROUND(testdata[[#This Row],[SmPrice]],4)&lt;&gt;Table3[[#This Row],[SmPrice]]),"ERR","")</f>
        <v/>
      </c>
      <c r="AG227" s="3">
        <v>43061</v>
      </c>
      <c r="AH227" s="14">
        <v>25.612100000000002</v>
      </c>
      <c r="AI227" s="34">
        <v>26</v>
      </c>
      <c r="AJ227" s="14">
        <v>246.61670000000001</v>
      </c>
      <c r="AK227" s="14">
        <v>246.43549999999999</v>
      </c>
      <c r="AL227" s="14">
        <v>248.34350000000001</v>
      </c>
      <c r="AN227" s="38">
        <f t="shared" si="10"/>
        <v>0</v>
      </c>
      <c r="AO227" s="38">
        <f t="shared" si="11"/>
        <v>0</v>
      </c>
      <c r="AQ227" s="37">
        <v>43061</v>
      </c>
      <c r="AR227">
        <v>26</v>
      </c>
      <c r="AS227">
        <v>246.43547293447199</v>
      </c>
      <c r="AT227">
        <v>248.34350000000001</v>
      </c>
      <c r="AV227" s="37">
        <v>43061</v>
      </c>
      <c r="AW227">
        <v>26</v>
      </c>
      <c r="AX227">
        <v>246.43547293447199</v>
      </c>
      <c r="AY227">
        <v>248.34350000000001</v>
      </c>
      <c r="BA227" s="38">
        <f>AX227-Table3[[#This Row],[Trendline]]</f>
        <v>-2.7065528001912753E-5</v>
      </c>
      <c r="BB227" s="38">
        <f>AY227-Table3[[#This Row],[SmPrice]]</f>
        <v>0</v>
      </c>
    </row>
    <row r="228" spans="1:54" x14ac:dyDescent="0.35">
      <c r="A228" s="6">
        <v>226</v>
      </c>
      <c r="B228" s="3">
        <v>43063</v>
      </c>
      <c r="C228" s="2">
        <v>249.45</v>
      </c>
      <c r="D228" s="2">
        <v>249.6</v>
      </c>
      <c r="E228" s="2">
        <v>249.29</v>
      </c>
      <c r="F228" s="2">
        <v>249.48</v>
      </c>
      <c r="G228" s="1">
        <v>29070892</v>
      </c>
      <c r="H228" s="30">
        <f>(testdata[[#This Row],[high]]+testdata[[#This Row],[low]])/2</f>
        <v>249.44499999999999</v>
      </c>
      <c r="I228" s="23">
        <f>(4*testdata[[#This Row],[price]]+3*H227+2*H226+H225)/10</f>
        <v>248.90050000000002</v>
      </c>
      <c r="J228" s="9">
        <f>(0.0962*testdata[[#This Row],[smooth]]+0.5769*I226-0.5769*I224-0.0962*I222)*(0.075*$Z227+0.54)</f>
        <v>1.6802289466010327</v>
      </c>
      <c r="K228" s="14">
        <f t="shared" si="9"/>
        <v>-0.10984379555948892</v>
      </c>
      <c r="L228" s="14">
        <f>(0.0962*testdata[[#This Row],[detrender]]+0.5769*J226-0.5769*J224-0.0962*J222)*(0.075*$Z227+0.54)</f>
        <v>3.5119490225905041</v>
      </c>
      <c r="M228" s="9">
        <f>(0.0962*testdata[[#This Row],[I1]]+0.5769*K226-0.5769*K224-0.0962*K222)*(0.075*$Z227+0.54)</f>
        <v>8.5926709167721022E-2</v>
      </c>
      <c r="N228" s="9">
        <f>(0.0962*testdata[[#This Row],[Q1]]+0.5769*L226-0.5769*L224-0.0962*L222)*(0.075*$Z227+0.54)</f>
        <v>3.2060320772011481</v>
      </c>
      <c r="O228" s="9">
        <f>testdata[[#This Row],[I1]]-testdata[[#This Row],[JQ]]</f>
        <v>-3.3158758727606372</v>
      </c>
      <c r="P228" s="9">
        <f>testdata[[#This Row],[Q1]]+testdata[[#This Row],[jI]]</f>
        <v>3.5978757317582253</v>
      </c>
      <c r="Q228" s="9">
        <f>0.2*testdata[[#This Row],[I2]]+0.8*Q227</f>
        <v>-1.0181757816683221</v>
      </c>
      <c r="R228" s="9">
        <f>0.2*testdata[[#This Row],[Q2]]+0.8*R227</f>
        <v>-0.61336326332053948</v>
      </c>
      <c r="S228" s="9">
        <f>testdata[[#This Row],[I2'']]*Q227+testdata[[#This Row],[Q2'']]*R227</f>
        <v>1.4737855917563518</v>
      </c>
      <c r="T228" s="9">
        <f>testdata[[#This Row],[I2'']]*R227-testdata[[#This Row],[Q2'']]*Q227</f>
        <v>1.4242765954026808</v>
      </c>
      <c r="U228" s="9">
        <f>0.2*testdata[[#This Row],[Re]]+0.8*U227</f>
        <v>3.7412710316849451</v>
      </c>
      <c r="V228" s="9">
        <f>0.2*testdata[[#This Row],[Im]]+0.8*V227</f>
        <v>1.6694888649942174</v>
      </c>
      <c r="W228" s="9">
        <f>IF(AND(testdata[[#This Row],[Re'']]&lt;&gt;0,testdata[[#This Row],[Im'']]&lt;&gt;0),2*PI()/ATAN(testdata[[#This Row],[Im'']]/testdata[[#This Row],[Re'']]),0)</f>
        <v>14.969974842610675</v>
      </c>
      <c r="X228" s="9">
        <f>IF(testdata[[#This Row],[pd-atan]]&gt;1.5*Z227,1.5*Z227,IF(testdata[[#This Row],[pd-atan]]&lt;0.67*Z227,0.67*Z227,testdata[[#This Row],[pd-atan]]))</f>
        <v>16.032966186669299</v>
      </c>
      <c r="Y228" s="9">
        <f>IF(testdata[[#This Row],[pd-limit1]]&lt;6,6,IF(testdata[[#This Row],[pd-limit1]]&gt;50,50,testdata[[#This Row],[pd-limit1]]))</f>
        <v>16.032966186669299</v>
      </c>
      <c r="Z228" s="14">
        <f>0.2*testdata[[#This Row],[pd-limit2]]+0.8*Z227</f>
        <v>22.350433460222575</v>
      </c>
      <c r="AA228" s="14">
        <f>0.33*testdata[[#This Row],[period]]+0.67*AA227</f>
        <v>24.536096595273833</v>
      </c>
      <c r="AB228" s="31">
        <f>TRUNC(testdata[[#This Row],[SmPd]]+0.5,0)</f>
        <v>25</v>
      </c>
      <c r="AC228" s="14">
        <f ca="1">IF(testdata[[#This Row],[PdInt]]&lt;=0,0,AVERAGE(OFFSET(testdata[[#This Row],[price]],0,0,-testdata[[#This Row],[PdInt]],1)))</f>
        <v>246.8802</v>
      </c>
      <c r="AD228" s="14">
        <f ca="1">IF(testdata[[#This Row],[i]]&lt;11,testdata[[#This Row],[price]],(4*testdata[[#This Row],[iTrend]]+3*AC227+2*AC226+AC225)/10)</f>
        <v>246.64883569800571</v>
      </c>
      <c r="AE228" s="14">
        <f>(4*testdata[[#This Row],[price]]+3*H227+2*H226+H225)/10</f>
        <v>248.90050000000002</v>
      </c>
      <c r="AF228" t="str">
        <f ca="1">IF(OR(ROUND(testdata[[#This Row],[Trendline]],4)&lt;&gt;Table3[[#This Row],[Trendline]],ROUND(testdata[[#This Row],[SmPrice]],4)&lt;&gt;Table3[[#This Row],[SmPrice]]),"ERR","")</f>
        <v/>
      </c>
      <c r="AG228" s="3">
        <v>43063</v>
      </c>
      <c r="AH228" s="14">
        <v>24.535599999999999</v>
      </c>
      <c r="AI228" s="34">
        <v>25</v>
      </c>
      <c r="AJ228" s="14">
        <v>246.8802</v>
      </c>
      <c r="AK228" s="14">
        <v>246.64879999999999</v>
      </c>
      <c r="AL228" s="14">
        <v>248.90049999999999</v>
      </c>
      <c r="AN228" s="38">
        <f t="shared" si="10"/>
        <v>0</v>
      </c>
      <c r="AO228" s="38">
        <f t="shared" si="11"/>
        <v>0</v>
      </c>
      <c r="AQ228" s="37">
        <v>43063</v>
      </c>
      <c r="AR228">
        <v>25</v>
      </c>
      <c r="AS228">
        <v>246.648835698005</v>
      </c>
      <c r="AT228">
        <v>248.90049999999999</v>
      </c>
      <c r="AV228" s="37">
        <v>43063</v>
      </c>
      <c r="AW228">
        <v>25</v>
      </c>
      <c r="AX228">
        <v>246.648835698005</v>
      </c>
      <c r="AY228">
        <v>248.90049999999999</v>
      </c>
      <c r="BA228" s="38">
        <f>AX228-Table3[[#This Row],[Trendline]]</f>
        <v>3.569800500713427E-5</v>
      </c>
      <c r="BB228" s="38">
        <f>AY228-Table3[[#This Row],[SmPrice]]</f>
        <v>0</v>
      </c>
    </row>
    <row r="229" spans="1:54" x14ac:dyDescent="0.35">
      <c r="A229" s="6">
        <v>227</v>
      </c>
      <c r="B229" s="3">
        <v>43066</v>
      </c>
      <c r="C229" s="2">
        <v>249.53</v>
      </c>
      <c r="D229" s="2">
        <v>249.86</v>
      </c>
      <c r="E229" s="2">
        <v>249.14</v>
      </c>
      <c r="F229" s="2">
        <v>249.36</v>
      </c>
      <c r="G229" s="1">
        <v>54553804</v>
      </c>
      <c r="H229" s="30">
        <f>(testdata[[#This Row],[high]]+testdata[[#This Row],[low]])/2</f>
        <v>249.5</v>
      </c>
      <c r="I229" s="23">
        <f>(4*testdata[[#This Row],[price]]+3*H228+2*H227+H226)/10</f>
        <v>249.27450000000005</v>
      </c>
      <c r="J229" s="9">
        <f>(0.0962*testdata[[#This Row],[smooth]]+0.5769*I227-0.5769*I225-0.0962*I223)*(0.075*$Z228+0.54)</f>
        <v>1.9482977178971381</v>
      </c>
      <c r="K229" s="14">
        <f t="shared" si="9"/>
        <v>1.0894306112917127</v>
      </c>
      <c r="L229" s="14">
        <f>(0.0962*testdata[[#This Row],[detrender]]+0.5769*J227-0.5769*J225-0.0962*J223)*(0.075*$Z228+0.54)</f>
        <v>2.1840405369704503</v>
      </c>
      <c r="M229" s="9">
        <f>(0.0962*testdata[[#This Row],[I1]]+0.5769*K227-0.5769*K225-0.0962*K223)*(0.075*$Z228+0.54)</f>
        <v>-0.18974437285760587</v>
      </c>
      <c r="N229" s="9">
        <f>(0.0962*testdata[[#This Row],[Q1]]+0.5769*L227-0.5769*L225-0.0962*L223)*(0.075*$Z228+0.54)</f>
        <v>3.2346493333836368</v>
      </c>
      <c r="O229" s="9">
        <f>testdata[[#This Row],[I1]]-testdata[[#This Row],[JQ]]</f>
        <v>-2.1452187220919239</v>
      </c>
      <c r="P229" s="9">
        <f>testdata[[#This Row],[Q1]]+testdata[[#This Row],[jI]]</f>
        <v>1.9942961641128445</v>
      </c>
      <c r="Q229" s="9">
        <f>0.2*testdata[[#This Row],[I2]]+0.8*Q228</f>
        <v>-1.2435843697530427</v>
      </c>
      <c r="R229" s="9">
        <f>0.2*testdata[[#This Row],[Q2]]+0.8*R228</f>
        <v>-9.1831377833862693E-2</v>
      </c>
      <c r="S229" s="9">
        <f>testdata[[#This Row],[I2'']]*Q228+testdata[[#This Row],[Q2'']]*R228</f>
        <v>1.3225134813272115</v>
      </c>
      <c r="T229" s="9">
        <f>testdata[[#This Row],[I2'']]*R228-testdata[[#This Row],[Q2'']]*Q228</f>
        <v>0.66926848233847047</v>
      </c>
      <c r="U229" s="9">
        <f>0.2*testdata[[#This Row],[Re]]+0.8*U228</f>
        <v>3.2575195216133985</v>
      </c>
      <c r="V229" s="9">
        <f>0.2*testdata[[#This Row],[Im]]+0.8*V228</f>
        <v>1.4694447884630681</v>
      </c>
      <c r="W229" s="9">
        <f>IF(AND(testdata[[#This Row],[Re'']]&lt;&gt;0,testdata[[#This Row],[Im'']]&lt;&gt;0),2*PI()/ATAN(testdata[[#This Row],[Im'']]/testdata[[#This Row],[Re'']]),0)</f>
        <v>14.827134004558436</v>
      </c>
      <c r="X229" s="9">
        <f>IF(testdata[[#This Row],[pd-atan]]&gt;1.5*Z228,1.5*Z228,IF(testdata[[#This Row],[pd-atan]]&lt;0.67*Z228,0.67*Z228,testdata[[#This Row],[pd-atan]]))</f>
        <v>14.974790418349126</v>
      </c>
      <c r="Y229" s="9">
        <f>IF(testdata[[#This Row],[pd-limit1]]&lt;6,6,IF(testdata[[#This Row],[pd-limit1]]&gt;50,50,testdata[[#This Row],[pd-limit1]]))</f>
        <v>14.974790418349126</v>
      </c>
      <c r="Z229" s="14">
        <f>0.2*testdata[[#This Row],[pd-limit2]]+0.8*Z228</f>
        <v>20.875304851847886</v>
      </c>
      <c r="AA229" s="14">
        <f>0.33*testdata[[#This Row],[period]]+0.67*AA228</f>
        <v>23.328035319943272</v>
      </c>
      <c r="AB229" s="31">
        <f>TRUNC(testdata[[#This Row],[SmPd]]+0.5,0)</f>
        <v>23</v>
      </c>
      <c r="AC229" s="14">
        <f ca="1">IF(testdata[[#This Row],[PdInt]]&lt;=0,0,AVERAGE(OFFSET(testdata[[#This Row],[price]],0,0,-testdata[[#This Row],[PdInt]],1)))</f>
        <v>247.12804347826082</v>
      </c>
      <c r="AD229" s="14">
        <f ca="1">IF(testdata[[#This Row],[i]]&lt;11,testdata[[#This Row],[price]],(4*testdata[[#This Row],[iTrend]]+3*AC228+2*AC227+AC226)/10)</f>
        <v>246.88331585284283</v>
      </c>
      <c r="AE229" s="14">
        <f>(4*testdata[[#This Row],[price]]+3*H228+2*H227+H226)/10</f>
        <v>249.27450000000005</v>
      </c>
      <c r="AF229" t="str">
        <f ca="1">IF(OR(ROUND(testdata[[#This Row],[Trendline]],4)&lt;&gt;Table3[[#This Row],[Trendline]],ROUND(testdata[[#This Row],[SmPrice]],4)&lt;&gt;Table3[[#This Row],[SmPrice]]),"ERR","")</f>
        <v/>
      </c>
      <c r="AG229" s="3">
        <v>43066</v>
      </c>
      <c r="AH229" s="14">
        <v>23.3276</v>
      </c>
      <c r="AI229" s="34">
        <v>23</v>
      </c>
      <c r="AJ229" s="14">
        <v>247.12799999999999</v>
      </c>
      <c r="AK229" s="14">
        <v>246.88329999999999</v>
      </c>
      <c r="AL229" s="14">
        <v>249.27449999999999</v>
      </c>
      <c r="AN229" s="38">
        <f t="shared" si="10"/>
        <v>0</v>
      </c>
      <c r="AO229" s="38">
        <f t="shared" si="11"/>
        <v>0</v>
      </c>
      <c r="AQ229" s="37">
        <v>43066</v>
      </c>
      <c r="AR229">
        <v>23</v>
      </c>
      <c r="AS229">
        <v>246.883315852842</v>
      </c>
      <c r="AT229">
        <v>249.27449999999999</v>
      </c>
      <c r="AV229" s="37">
        <v>43066</v>
      </c>
      <c r="AW229">
        <v>23</v>
      </c>
      <c r="AX229">
        <v>246.883315852842</v>
      </c>
      <c r="AY229">
        <v>249.27449999999999</v>
      </c>
      <c r="BA229" s="38">
        <f>AX229-Table3[[#This Row],[Trendline]]</f>
        <v>1.5852842011554458E-5</v>
      </c>
      <c r="BB229" s="38">
        <f>AY229-Table3[[#This Row],[SmPrice]]</f>
        <v>0</v>
      </c>
    </row>
    <row r="230" spans="1:54" x14ac:dyDescent="0.35">
      <c r="A230" s="6">
        <v>228</v>
      </c>
      <c r="B230" s="3">
        <v>43067</v>
      </c>
      <c r="C230" s="2">
        <v>249.87</v>
      </c>
      <c r="D230" s="2">
        <v>251.92</v>
      </c>
      <c r="E230" s="2">
        <v>249.77</v>
      </c>
      <c r="F230" s="2">
        <v>251.89</v>
      </c>
      <c r="G230" s="1">
        <v>103286312</v>
      </c>
      <c r="H230" s="30">
        <f>(testdata[[#This Row],[high]]+testdata[[#This Row],[low]])/2</f>
        <v>250.845</v>
      </c>
      <c r="I230" s="23">
        <f>(4*testdata[[#This Row],[price]]+3*H229+2*H228+H227)/10</f>
        <v>249.97750000000002</v>
      </c>
      <c r="J230" s="9">
        <f>(0.0962*testdata[[#This Row],[smooth]]+0.5769*I228-0.5769*I226-0.0962*I224)*(0.075*$Z229+0.54)</f>
        <v>1.931865903057272</v>
      </c>
      <c r="K230" s="14">
        <f t="shared" si="9"/>
        <v>1.1358934952750606</v>
      </c>
      <c r="L230" s="14">
        <f>(0.0962*testdata[[#This Row],[detrender]]+0.5769*J228-0.5769*J226-0.0962*J224)*(0.075*$Z229+0.54)</f>
        <v>1.3344659791565023</v>
      </c>
      <c r="M230" s="9">
        <f>(0.0962*testdata[[#This Row],[I1]]+0.5769*K228-0.5769*K226-0.0962*K224)*(0.075*$Z229+0.54)</f>
        <v>1.3262187012147486</v>
      </c>
      <c r="N230" s="9">
        <f>(0.0962*testdata[[#This Row],[Q1]]+0.5769*L228-0.5769*L226-0.0962*L224)*(0.075*$Z229+0.54)</f>
        <v>5.0857045909069791</v>
      </c>
      <c r="O230" s="9">
        <f>testdata[[#This Row],[I1]]-testdata[[#This Row],[JQ]]</f>
        <v>-3.9498110956319188</v>
      </c>
      <c r="P230" s="9">
        <f>testdata[[#This Row],[Q1]]+testdata[[#This Row],[jI]]</f>
        <v>2.6606846803712507</v>
      </c>
      <c r="Q230" s="9">
        <f>0.2*testdata[[#This Row],[I2]]+0.8*Q229</f>
        <v>-1.7848297149288179</v>
      </c>
      <c r="R230" s="9">
        <f>0.2*testdata[[#This Row],[Q2]]+0.8*R229</f>
        <v>0.45867183380716003</v>
      </c>
      <c r="S230" s="9">
        <f>testdata[[#This Row],[I2'']]*Q229+testdata[[#This Row],[Q2'']]*R229</f>
        <v>2.1774658696841609</v>
      </c>
      <c r="T230" s="9">
        <f>testdata[[#This Row],[I2'']]*R229-testdata[[#This Row],[Q2'']]*Q229</f>
        <v>0.73430049528928309</v>
      </c>
      <c r="U230" s="9">
        <f>0.2*testdata[[#This Row],[Re]]+0.8*U229</f>
        <v>3.0415087912275514</v>
      </c>
      <c r="V230" s="9">
        <f>0.2*testdata[[#This Row],[Im]]+0.8*V229</f>
        <v>1.3224159298283111</v>
      </c>
      <c r="W230" s="9">
        <f>IF(AND(testdata[[#This Row],[Re'']]&lt;&gt;0,testdata[[#This Row],[Im'']]&lt;&gt;0),2*PI()/ATAN(testdata[[#This Row],[Im'']]/testdata[[#This Row],[Re'']]),0)</f>
        <v>15.319869125677315</v>
      </c>
      <c r="X230" s="9">
        <f>IF(testdata[[#This Row],[pd-atan]]&gt;1.5*Z229,1.5*Z229,IF(testdata[[#This Row],[pd-atan]]&lt;0.67*Z229,0.67*Z229,testdata[[#This Row],[pd-atan]]))</f>
        <v>15.319869125677315</v>
      </c>
      <c r="Y230" s="9">
        <f>IF(testdata[[#This Row],[pd-limit1]]&lt;6,6,IF(testdata[[#This Row],[pd-limit1]]&gt;50,50,testdata[[#This Row],[pd-limit1]]))</f>
        <v>15.319869125677315</v>
      </c>
      <c r="Z230" s="14">
        <f>0.2*testdata[[#This Row],[pd-limit2]]+0.8*Z229</f>
        <v>19.764217706613774</v>
      </c>
      <c r="AA230" s="14">
        <f>0.33*testdata[[#This Row],[period]]+0.67*AA229</f>
        <v>22.151975507544538</v>
      </c>
      <c r="AB230" s="31">
        <f>TRUNC(testdata[[#This Row],[SmPd]]+0.5,0)</f>
        <v>22</v>
      </c>
      <c r="AC230" s="14">
        <f ca="1">IF(testdata[[#This Row],[PdInt]]&lt;=0,0,AVERAGE(OFFSET(testdata[[#This Row],[price]],0,0,-testdata[[#This Row],[PdInt]],1)))</f>
        <v>247.50431818181821</v>
      </c>
      <c r="AD230" s="14">
        <f ca="1">IF(testdata[[#This Row],[i]]&lt;11,testdata[[#This Row],[price]],(4*testdata[[#This Row],[iTrend]]+3*AC229+2*AC228+AC227)/10)</f>
        <v>247.17785339312863</v>
      </c>
      <c r="AE230" s="14">
        <f>(4*testdata[[#This Row],[price]]+3*H229+2*H228+H227)/10</f>
        <v>249.97750000000002</v>
      </c>
      <c r="AF230" t="str">
        <f ca="1">IF(OR(ROUND(testdata[[#This Row],[Trendline]],4)&lt;&gt;Table3[[#This Row],[Trendline]],ROUND(testdata[[#This Row],[SmPrice]],4)&lt;&gt;Table3[[#This Row],[SmPrice]]),"ERR","")</f>
        <v/>
      </c>
      <c r="AG230" s="3">
        <v>43067</v>
      </c>
      <c r="AH230" s="14">
        <v>22.151599999999998</v>
      </c>
      <c r="AI230" s="34">
        <v>22</v>
      </c>
      <c r="AJ230" s="14">
        <v>247.5043</v>
      </c>
      <c r="AK230" s="14">
        <v>247.17789999999999</v>
      </c>
      <c r="AL230" s="14">
        <v>249.97749999999999</v>
      </c>
      <c r="AN230" s="38">
        <f t="shared" si="10"/>
        <v>0</v>
      </c>
      <c r="AO230" s="38">
        <f t="shared" si="11"/>
        <v>0</v>
      </c>
      <c r="AQ230" s="37">
        <v>43067</v>
      </c>
      <c r="AR230">
        <v>22</v>
      </c>
      <c r="AS230">
        <v>247.177853393128</v>
      </c>
      <c r="AT230">
        <v>249.97749999999999</v>
      </c>
      <c r="AV230" s="37">
        <v>43067</v>
      </c>
      <c r="AW230">
        <v>22</v>
      </c>
      <c r="AX230">
        <v>247.177853393128</v>
      </c>
      <c r="AY230">
        <v>249.97749999999999</v>
      </c>
      <c r="BA230" s="38">
        <f>AX230-Table3[[#This Row],[Trendline]]</f>
        <v>-4.6606871990206855E-5</v>
      </c>
      <c r="BB230" s="38">
        <f>AY230-Table3[[#This Row],[SmPrice]]</f>
        <v>0</v>
      </c>
    </row>
    <row r="231" spans="1:54" x14ac:dyDescent="0.35">
      <c r="A231" s="6">
        <v>229</v>
      </c>
      <c r="B231" s="3">
        <v>43068</v>
      </c>
      <c r="C231" s="2">
        <v>252.03</v>
      </c>
      <c r="D231" s="2">
        <v>252.62</v>
      </c>
      <c r="E231" s="2">
        <v>251.25</v>
      </c>
      <c r="F231" s="2">
        <v>251.74</v>
      </c>
      <c r="G231" s="1">
        <v>80891176</v>
      </c>
      <c r="H231" s="30">
        <f>(testdata[[#This Row],[high]]+testdata[[#This Row],[low]])/2</f>
        <v>251.935</v>
      </c>
      <c r="I231" s="23">
        <f>(4*testdata[[#This Row],[price]]+3*H230+2*H229+H228)/10</f>
        <v>250.87200000000001</v>
      </c>
      <c r="J231" s="9">
        <f>(0.0962*testdata[[#This Row],[smooth]]+0.5769*I229-0.5769*I227-0.0962*I225)*(0.075*$Z230+0.54)</f>
        <v>1.791211478286787</v>
      </c>
      <c r="K231" s="14">
        <f t="shared" si="9"/>
        <v>1.6802289466010327</v>
      </c>
      <c r="L231" s="14">
        <f>(0.0962*testdata[[#This Row],[detrender]]+0.5769*J229-0.5769*J227-0.0962*J225)*(0.075*$Z230+0.54)</f>
        <v>1.3176553979261254</v>
      </c>
      <c r="M231" s="9">
        <f>(0.0962*testdata[[#This Row],[I1]]+0.5769*K229-0.5769*K227-0.0962*K225)*(0.075*$Z230+0.54)</f>
        <v>3.0420033913524831</v>
      </c>
      <c r="N231" s="9">
        <f>(0.0962*testdata[[#This Row],[Q1]]+0.5769*L229-0.5769*L227-0.0962*L225)*(0.075*$Z230+0.54)</f>
        <v>0.97846611128309224</v>
      </c>
      <c r="O231" s="9">
        <f>testdata[[#This Row],[I1]]-testdata[[#This Row],[JQ]]</f>
        <v>0.70176283531794048</v>
      </c>
      <c r="P231" s="9">
        <f>testdata[[#This Row],[Q1]]+testdata[[#This Row],[jI]]</f>
        <v>4.3596587892786083</v>
      </c>
      <c r="Q231" s="9">
        <f>0.2*testdata[[#This Row],[I2]]+0.8*Q230</f>
        <v>-1.2875112048794664</v>
      </c>
      <c r="R231" s="9">
        <f>0.2*testdata[[#This Row],[Q2]]+0.8*R230</f>
        <v>1.2388692249014497</v>
      </c>
      <c r="S231" s="9">
        <f>testdata[[#This Row],[I2'']]*Q230+testdata[[#This Row],[Q2'']]*R230</f>
        <v>2.8662226760054801</v>
      </c>
      <c r="T231" s="9">
        <f>testdata[[#This Row],[I2'']]*R230-testdata[[#This Row],[Q2'']]*Q230</f>
        <v>1.620625480125609</v>
      </c>
      <c r="U231" s="9">
        <f>0.2*testdata[[#This Row],[Re]]+0.8*U230</f>
        <v>3.0064515681831376</v>
      </c>
      <c r="V231" s="9">
        <f>0.2*testdata[[#This Row],[Im]]+0.8*V230</f>
        <v>1.3820578398877708</v>
      </c>
      <c r="W231" s="9">
        <f>IF(AND(testdata[[#This Row],[Re'']]&lt;&gt;0,testdata[[#This Row],[Im'']]&lt;&gt;0),2*PI()/ATAN(testdata[[#This Row],[Im'']]/testdata[[#This Row],[Re'']]),0)</f>
        <v>14.581914166397455</v>
      </c>
      <c r="X231" s="9">
        <f>IF(testdata[[#This Row],[pd-atan]]&gt;1.5*Z230,1.5*Z230,IF(testdata[[#This Row],[pd-atan]]&lt;0.67*Z230,0.67*Z230,testdata[[#This Row],[pd-atan]]))</f>
        <v>14.581914166397455</v>
      </c>
      <c r="Y231" s="9">
        <f>IF(testdata[[#This Row],[pd-limit1]]&lt;6,6,IF(testdata[[#This Row],[pd-limit1]]&gt;50,50,testdata[[#This Row],[pd-limit1]]))</f>
        <v>14.581914166397455</v>
      </c>
      <c r="Z231" s="14">
        <f>0.2*testdata[[#This Row],[pd-limit2]]+0.8*Z230</f>
        <v>18.727756998570513</v>
      </c>
      <c r="AA231" s="14">
        <f>0.33*testdata[[#This Row],[period]]+0.67*AA230</f>
        <v>21.021983399583114</v>
      </c>
      <c r="AB231" s="31">
        <f>TRUNC(testdata[[#This Row],[SmPd]]+0.5,0)</f>
        <v>21</v>
      </c>
      <c r="AC231" s="14">
        <f ca="1">IF(testdata[[#This Row],[PdInt]]&lt;=0,0,AVERAGE(OFFSET(testdata[[#This Row],[price]],0,0,-testdata[[#This Row],[PdInt]],1)))</f>
        <v>247.84404761904764</v>
      </c>
      <c r="AD231" s="14">
        <f ca="1">IF(testdata[[#This Row],[i]]&lt;11,testdata[[#This Row],[price]],(4*testdata[[#This Row],[iTrend]]+3*AC230+2*AC229+AC228)/10)</f>
        <v>247.50254319781669</v>
      </c>
      <c r="AE231" s="14">
        <f>(4*testdata[[#This Row],[price]]+3*H230+2*H229+H228)/10</f>
        <v>250.87200000000001</v>
      </c>
      <c r="AF231" t="str">
        <f ca="1">IF(OR(ROUND(testdata[[#This Row],[Trendline]],4)&lt;&gt;Table3[[#This Row],[Trendline]],ROUND(testdata[[#This Row],[SmPrice]],4)&lt;&gt;Table3[[#This Row],[SmPrice]]),"ERR","")</f>
        <v/>
      </c>
      <c r="AG231" s="3">
        <v>43068</v>
      </c>
      <c r="AH231" s="14">
        <v>21.021599999999999</v>
      </c>
      <c r="AI231" s="34">
        <v>21</v>
      </c>
      <c r="AJ231" s="14">
        <v>247.84399999999999</v>
      </c>
      <c r="AK231" s="14">
        <v>247.5025</v>
      </c>
      <c r="AL231" s="14">
        <v>250.87200000000001</v>
      </c>
      <c r="AN231" s="38">
        <f t="shared" si="10"/>
        <v>0</v>
      </c>
      <c r="AO231" s="38">
        <f t="shared" si="11"/>
        <v>0</v>
      </c>
      <c r="AQ231" s="37">
        <v>43068</v>
      </c>
      <c r="AR231">
        <v>21</v>
      </c>
      <c r="AS231">
        <v>247.50254319781601</v>
      </c>
      <c r="AT231">
        <v>250.87200000000001</v>
      </c>
      <c r="AV231" s="37">
        <v>43068</v>
      </c>
      <c r="AW231">
        <v>21</v>
      </c>
      <c r="AX231">
        <v>247.50254319781601</v>
      </c>
      <c r="AY231">
        <v>250.87200000000001</v>
      </c>
      <c r="BA231" s="38">
        <f>AX231-Table3[[#This Row],[Trendline]]</f>
        <v>4.3197816012252588E-5</v>
      </c>
      <c r="BB231" s="38">
        <f>AY231-Table3[[#This Row],[SmPrice]]</f>
        <v>0</v>
      </c>
    </row>
    <row r="232" spans="1:54" x14ac:dyDescent="0.35">
      <c r="A232" s="6">
        <v>230</v>
      </c>
      <c r="B232" s="3">
        <v>43069</v>
      </c>
      <c r="C232" s="2">
        <v>252.74</v>
      </c>
      <c r="D232" s="2">
        <v>254.94</v>
      </c>
      <c r="E232" s="2">
        <v>252.66</v>
      </c>
      <c r="F232" s="2">
        <v>253.94</v>
      </c>
      <c r="G232" s="1">
        <v>133469840</v>
      </c>
      <c r="H232" s="30">
        <f>(testdata[[#This Row],[high]]+testdata[[#This Row],[low]])/2</f>
        <v>253.8</v>
      </c>
      <c r="I232" s="23">
        <f>(4*testdata[[#This Row],[price]]+3*H231+2*H230+H229)/10</f>
        <v>252.21950000000001</v>
      </c>
      <c r="J232" s="9">
        <f>(0.0962*testdata[[#This Row],[smooth]]+0.5769*I230-0.5769*I228-0.0962*I226)*(0.075*$Z231+0.54)</f>
        <v>2.0332768720601306</v>
      </c>
      <c r="K232" s="14">
        <f t="shared" si="9"/>
        <v>1.9482977178971381</v>
      </c>
      <c r="L232" s="14">
        <f>(0.0962*testdata[[#This Row],[detrender]]+0.5769*J230-0.5769*J228-0.0962*J226)*(0.075*$Z231+0.54)</f>
        <v>0.45885784807663715</v>
      </c>
      <c r="M232" s="9">
        <f>(0.0962*testdata[[#This Row],[I1]]+0.5769*K230-0.5769*K228-0.0962*K226)*(0.075*$Z231+0.54)</f>
        <v>1.9162924426750783</v>
      </c>
      <c r="N232" s="9">
        <f>(0.0962*testdata[[#This Row],[Q1]]+0.5769*L230-0.5769*L228-0.0962*L226)*(0.075*$Z231+0.54)</f>
        <v>-2.3166216073356525</v>
      </c>
      <c r="O232" s="9">
        <f>testdata[[#This Row],[I1]]-testdata[[#This Row],[JQ]]</f>
        <v>4.2649193252327908</v>
      </c>
      <c r="P232" s="9">
        <f>testdata[[#This Row],[Q1]]+testdata[[#This Row],[jI]]</f>
        <v>2.3751502907517152</v>
      </c>
      <c r="Q232" s="9">
        <f>0.2*testdata[[#This Row],[I2]]+0.8*Q231</f>
        <v>-0.17702509885701501</v>
      </c>
      <c r="R232" s="9">
        <f>0.2*testdata[[#This Row],[Q2]]+0.8*R231</f>
        <v>1.466125438071503</v>
      </c>
      <c r="S232" s="9">
        <f>testdata[[#This Row],[I2'']]*Q231+testdata[[#This Row],[Q2'']]*R231</f>
        <v>2.0442594833952432</v>
      </c>
      <c r="T232" s="9">
        <f>testdata[[#This Row],[I2'']]*R231-testdata[[#This Row],[Q2'']]*Q231</f>
        <v>1.6683419822667835</v>
      </c>
      <c r="U232" s="9">
        <f>0.2*testdata[[#This Row],[Re]]+0.8*U231</f>
        <v>2.8140131512255588</v>
      </c>
      <c r="V232" s="9">
        <f>0.2*testdata[[#This Row],[Im]]+0.8*V231</f>
        <v>1.4393146683635734</v>
      </c>
      <c r="W232" s="9">
        <f>IF(AND(testdata[[#This Row],[Re'']]&lt;&gt;0,testdata[[#This Row],[Im'']]&lt;&gt;0),2*PI()/ATAN(testdata[[#This Row],[Im'']]/testdata[[#This Row],[Re'']]),0)</f>
        <v>13.289582190760274</v>
      </c>
      <c r="X232" s="9">
        <f>IF(testdata[[#This Row],[pd-atan]]&gt;1.5*Z231,1.5*Z231,IF(testdata[[#This Row],[pd-atan]]&lt;0.67*Z231,0.67*Z231,testdata[[#This Row],[pd-atan]]))</f>
        <v>13.289582190760274</v>
      </c>
      <c r="Y232" s="9">
        <f>IF(testdata[[#This Row],[pd-limit1]]&lt;6,6,IF(testdata[[#This Row],[pd-limit1]]&gt;50,50,testdata[[#This Row],[pd-limit1]]))</f>
        <v>13.289582190760274</v>
      </c>
      <c r="Z232" s="14">
        <f>0.2*testdata[[#This Row],[pd-limit2]]+0.8*Z231</f>
        <v>17.640122037008467</v>
      </c>
      <c r="AA232" s="14">
        <f>0.33*testdata[[#This Row],[period]]+0.67*AA231</f>
        <v>19.905969149933483</v>
      </c>
      <c r="AB232" s="31">
        <f>TRUNC(testdata[[#This Row],[SmPd]]+0.5,0)</f>
        <v>20</v>
      </c>
      <c r="AC232" s="14">
        <f ca="1">IF(testdata[[#This Row],[PdInt]]&lt;=0,0,AVERAGE(OFFSET(testdata[[#This Row],[price]],0,0,-testdata[[#This Row],[PdInt]],1)))</f>
        <v>248.25800000000004</v>
      </c>
      <c r="AD232" s="14">
        <f ca="1">IF(testdata[[#This Row],[i]]&lt;11,testdata[[#This Row],[price]],(4*testdata[[#This Row],[iTrend]]+3*AC231+2*AC230+AC229)/10)</f>
        <v>247.870082269904</v>
      </c>
      <c r="AE232" s="14">
        <f>(4*testdata[[#This Row],[price]]+3*H231+2*H230+H229)/10</f>
        <v>252.21950000000001</v>
      </c>
      <c r="AF232" t="str">
        <f ca="1">IF(OR(ROUND(testdata[[#This Row],[Trendline]],4)&lt;&gt;Table3[[#This Row],[Trendline]],ROUND(testdata[[#This Row],[SmPrice]],4)&lt;&gt;Table3[[#This Row],[SmPrice]]),"ERR","")</f>
        <v/>
      </c>
      <c r="AG232" s="3">
        <v>43069</v>
      </c>
      <c r="AH232" s="14">
        <v>19.9056</v>
      </c>
      <c r="AI232" s="34">
        <v>20</v>
      </c>
      <c r="AJ232" s="14">
        <v>248.25800000000001</v>
      </c>
      <c r="AK232" s="14">
        <v>247.87010000000001</v>
      </c>
      <c r="AL232" s="14">
        <v>252.21950000000001</v>
      </c>
      <c r="AN232" s="38">
        <f t="shared" si="10"/>
        <v>0</v>
      </c>
      <c r="AO232" s="38">
        <f t="shared" si="11"/>
        <v>0</v>
      </c>
      <c r="AQ232" s="37">
        <v>43069</v>
      </c>
      <c r="AR232">
        <v>20</v>
      </c>
      <c r="AS232">
        <v>247.870082269904</v>
      </c>
      <c r="AT232">
        <v>252.21950000000001</v>
      </c>
      <c r="AV232" s="37">
        <v>43069</v>
      </c>
      <c r="AW232">
        <v>20</v>
      </c>
      <c r="AX232">
        <v>247.870082269904</v>
      </c>
      <c r="AY232">
        <v>252.21950000000001</v>
      </c>
      <c r="BA232" s="38">
        <f>AX232-Table3[[#This Row],[Trendline]]</f>
        <v>-1.7730096004697771E-5</v>
      </c>
      <c r="BB232" s="38">
        <f>AY232-Table3[[#This Row],[SmPrice]]</f>
        <v>0</v>
      </c>
    </row>
    <row r="233" spans="1:54" x14ac:dyDescent="0.35">
      <c r="A233" s="6">
        <v>231</v>
      </c>
      <c r="B233" s="3">
        <v>43070</v>
      </c>
      <c r="C233" s="2">
        <v>253.7</v>
      </c>
      <c r="D233" s="2">
        <v>254.23</v>
      </c>
      <c r="E233" s="2">
        <v>249.87</v>
      </c>
      <c r="F233" s="2">
        <v>253.41</v>
      </c>
      <c r="G233" s="1">
        <v>171557392</v>
      </c>
      <c r="H233" s="30">
        <f>(testdata[[#This Row],[high]]+testdata[[#This Row],[low]])/2</f>
        <v>252.05</v>
      </c>
      <c r="I233" s="23">
        <f>(4*testdata[[#This Row],[price]]+3*H232+2*H231+H230)/10</f>
        <v>252.4315</v>
      </c>
      <c r="J233" s="9">
        <f>(0.0962*testdata[[#This Row],[smooth]]+0.5769*I231-0.5769*I229-0.0962*I227)*(0.075*$Z232+0.54)</f>
        <v>2.449602455699166</v>
      </c>
      <c r="K233" s="14">
        <f t="shared" si="9"/>
        <v>1.931865903057272</v>
      </c>
      <c r="L233" s="14">
        <f>(0.0962*testdata[[#This Row],[detrender]]+0.5769*J231-0.5769*J229-0.0962*J227)*(0.075*$Z232+0.54)</f>
        <v>6.6613290187998414E-2</v>
      </c>
      <c r="M233" s="9">
        <f>(0.0962*testdata[[#This Row],[I1]]+0.5769*K231-0.5769*K229-0.0962*K227)*(0.075*$Z232+0.54)</f>
        <v>1.1806923540601104</v>
      </c>
      <c r="N233" s="9">
        <f>(0.0962*testdata[[#This Row],[Q1]]+0.5769*L231-0.5769*L229-0.0962*L227)*(0.075*$Z232+0.54)</f>
        <v>-1.1970884311607592</v>
      </c>
      <c r="O233" s="9">
        <f>testdata[[#This Row],[I1]]-testdata[[#This Row],[JQ]]</f>
        <v>3.1289543342180313</v>
      </c>
      <c r="P233" s="9">
        <f>testdata[[#This Row],[Q1]]+testdata[[#This Row],[jI]]</f>
        <v>1.2473056442481087</v>
      </c>
      <c r="Q233" s="9">
        <f>0.2*testdata[[#This Row],[I2]]+0.8*Q232</f>
        <v>0.48417078775799427</v>
      </c>
      <c r="R233" s="9">
        <f>0.2*testdata[[#This Row],[Q2]]+0.8*R232</f>
        <v>1.4223614793068242</v>
      </c>
      <c r="S233" s="9">
        <f>testdata[[#This Row],[I2'']]*Q232+testdata[[#This Row],[Q2'']]*R232</f>
        <v>1.9996499653782109</v>
      </c>
      <c r="T233" s="9">
        <f>testdata[[#This Row],[I2'']]*R232-testdata[[#This Row],[Q2'']]*Q232</f>
        <v>0.96164878978781476</v>
      </c>
      <c r="U233" s="9">
        <f>0.2*testdata[[#This Row],[Re]]+0.8*U232</f>
        <v>2.6511405140560895</v>
      </c>
      <c r="V233" s="9">
        <f>0.2*testdata[[#This Row],[Im]]+0.8*V232</f>
        <v>1.3437814926484217</v>
      </c>
      <c r="W233" s="9">
        <f>IF(AND(testdata[[#This Row],[Re'']]&lt;&gt;0,testdata[[#This Row],[Im'']]&lt;&gt;0),2*PI()/ATAN(testdata[[#This Row],[Im'']]/testdata[[#This Row],[Re'']]),0)</f>
        <v>13.393332204259869</v>
      </c>
      <c r="X233" s="9">
        <f>IF(testdata[[#This Row],[pd-atan]]&gt;1.5*Z232,1.5*Z232,IF(testdata[[#This Row],[pd-atan]]&lt;0.67*Z232,0.67*Z232,testdata[[#This Row],[pd-atan]]))</f>
        <v>13.393332204259869</v>
      </c>
      <c r="Y233" s="9">
        <f>IF(testdata[[#This Row],[pd-limit1]]&lt;6,6,IF(testdata[[#This Row],[pd-limit1]]&gt;50,50,testdata[[#This Row],[pd-limit1]]))</f>
        <v>13.393332204259869</v>
      </c>
      <c r="Z233" s="14">
        <f>0.2*testdata[[#This Row],[pd-limit2]]+0.8*Z232</f>
        <v>16.790764070458749</v>
      </c>
      <c r="AA233" s="14">
        <f>0.33*testdata[[#This Row],[period]]+0.67*AA232</f>
        <v>18.877951473706823</v>
      </c>
      <c r="AB233" s="31">
        <f>TRUNC(testdata[[#This Row],[SmPd]]+0.5,0)</f>
        <v>19</v>
      </c>
      <c r="AC233" s="14">
        <f ca="1">IF(testdata[[#This Row],[PdInt]]&lt;=0,0,AVERAGE(OFFSET(testdata[[#This Row],[price]],0,0,-testdata[[#This Row],[PdInt]],1)))</f>
        <v>248.62368421052633</v>
      </c>
      <c r="AD233" s="14">
        <f ca="1">IF(testdata[[#This Row],[i]]&lt;11,testdata[[#This Row],[price]],(4*testdata[[#This Row],[iTrend]]+3*AC232+2*AC231+AC230)/10)</f>
        <v>248.24611502620192</v>
      </c>
      <c r="AE233" s="14">
        <f>(4*testdata[[#This Row],[price]]+3*H232+2*H231+H230)/10</f>
        <v>252.4315</v>
      </c>
      <c r="AF233" t="str">
        <f ca="1">IF(OR(ROUND(testdata[[#This Row],[Trendline]],4)&lt;&gt;Table3[[#This Row],[Trendline]],ROUND(testdata[[#This Row],[SmPrice]],4)&lt;&gt;Table3[[#This Row],[SmPrice]]),"ERR","")</f>
        <v/>
      </c>
      <c r="AG233" s="3">
        <v>43070</v>
      </c>
      <c r="AH233" s="14">
        <v>18.877700000000001</v>
      </c>
      <c r="AI233" s="34">
        <v>19</v>
      </c>
      <c r="AJ233" s="14">
        <v>248.62370000000001</v>
      </c>
      <c r="AK233" s="14">
        <v>248.24610000000001</v>
      </c>
      <c r="AL233" s="14">
        <v>252.4315</v>
      </c>
      <c r="AN233" s="38">
        <f t="shared" si="10"/>
        <v>0</v>
      </c>
      <c r="AO233" s="38">
        <f t="shared" si="11"/>
        <v>0</v>
      </c>
      <c r="AQ233" s="37">
        <v>43070</v>
      </c>
      <c r="AR233">
        <v>19</v>
      </c>
      <c r="AS233">
        <v>248.24611502620101</v>
      </c>
      <c r="AT233">
        <v>252.4315</v>
      </c>
      <c r="AV233" s="37">
        <v>43070</v>
      </c>
      <c r="AW233">
        <v>19</v>
      </c>
      <c r="AX233">
        <v>248.24611502620101</v>
      </c>
      <c r="AY233">
        <v>252.4315</v>
      </c>
      <c r="BA233" s="38">
        <f>AX233-Table3[[#This Row],[Trendline]]</f>
        <v>1.5026200998136119E-5</v>
      </c>
      <c r="BB233" s="38">
        <f>AY233-Table3[[#This Row],[SmPrice]]</f>
        <v>0</v>
      </c>
    </row>
    <row r="234" spans="1:54" x14ac:dyDescent="0.35">
      <c r="A234" s="6">
        <v>232</v>
      </c>
      <c r="B234" s="3">
        <v>43073</v>
      </c>
      <c r="C234" s="2">
        <v>255.19</v>
      </c>
      <c r="D234" s="2">
        <v>255.65</v>
      </c>
      <c r="E234" s="2">
        <v>253.05</v>
      </c>
      <c r="F234" s="2">
        <v>253.11</v>
      </c>
      <c r="G234" s="1">
        <v>98140184</v>
      </c>
      <c r="H234" s="30">
        <f>(testdata[[#This Row],[high]]+testdata[[#This Row],[low]])/2</f>
        <v>254.35000000000002</v>
      </c>
      <c r="I234" s="23">
        <f>(4*testdata[[#This Row],[price]]+3*H233+2*H232+H231)/10</f>
        <v>253.30850000000001</v>
      </c>
      <c r="J234" s="9">
        <f>(0.0962*testdata[[#This Row],[smooth]]+0.5769*I232-0.5769*I230-0.0962*I228)*(0.075*$Z233+0.54)</f>
        <v>3.0902372449493716</v>
      </c>
      <c r="K234" s="14">
        <f t="shared" si="9"/>
        <v>1.791211478286787</v>
      </c>
      <c r="L234" s="14">
        <f>(0.0962*testdata[[#This Row],[detrender]]+0.5769*J232-0.5769*J230-0.0962*J228)*(0.075*$Z233+0.54)</f>
        <v>0.34932973092101416</v>
      </c>
      <c r="M234" s="9">
        <f>(0.0962*testdata[[#This Row],[I1]]+0.5769*K232-0.5769*K230-0.0962*K228)*(0.075*$Z233+0.54)</f>
        <v>1.1723521936280186</v>
      </c>
      <c r="N234" s="9">
        <f>(0.0962*testdata[[#This Row],[Q1]]+0.5769*L232-0.5769*L230-0.0962*L228)*(0.075*$Z233+0.54)</f>
        <v>-1.4563274971747111</v>
      </c>
      <c r="O234" s="9">
        <f>testdata[[#This Row],[I1]]-testdata[[#This Row],[JQ]]</f>
        <v>3.2475389754614978</v>
      </c>
      <c r="P234" s="9">
        <f>testdata[[#This Row],[Q1]]+testdata[[#This Row],[jI]]</f>
        <v>1.5216819245490327</v>
      </c>
      <c r="Q234" s="9">
        <f>0.2*testdata[[#This Row],[I2]]+0.8*Q233</f>
        <v>1.036844425298695</v>
      </c>
      <c r="R234" s="9">
        <f>0.2*testdata[[#This Row],[Q2]]+0.8*R233</f>
        <v>1.4422255683552661</v>
      </c>
      <c r="S234" s="9">
        <f>testdata[[#This Row],[I2'']]*Q233+testdata[[#This Row],[Q2'']]*R233</f>
        <v>2.5533758750792752</v>
      </c>
      <c r="T234" s="9">
        <f>testdata[[#This Row],[I2'']]*R233-testdata[[#This Row],[Q2'']]*Q233</f>
        <v>0.77648408102359567</v>
      </c>
      <c r="U234" s="9">
        <f>0.2*testdata[[#This Row],[Re]]+0.8*U233</f>
        <v>2.6315875862607268</v>
      </c>
      <c r="V234" s="9">
        <f>0.2*testdata[[#This Row],[Im]]+0.8*V233</f>
        <v>1.2303220103234564</v>
      </c>
      <c r="W234" s="9">
        <f>IF(AND(testdata[[#This Row],[Re'']]&lt;&gt;0,testdata[[#This Row],[Im'']]&lt;&gt;0),2*PI()/ATAN(testdata[[#This Row],[Im'']]/testdata[[#This Row],[Re'']]),0)</f>
        <v>14.36720358208864</v>
      </c>
      <c r="X234" s="9">
        <f>IF(testdata[[#This Row],[pd-atan]]&gt;1.5*Z233,1.5*Z233,IF(testdata[[#This Row],[pd-atan]]&lt;0.67*Z233,0.67*Z233,testdata[[#This Row],[pd-atan]]))</f>
        <v>14.36720358208864</v>
      </c>
      <c r="Y234" s="9">
        <f>IF(testdata[[#This Row],[pd-limit1]]&lt;6,6,IF(testdata[[#This Row],[pd-limit1]]&gt;50,50,testdata[[#This Row],[pd-limit1]]))</f>
        <v>14.36720358208864</v>
      </c>
      <c r="Z234" s="14">
        <f>0.2*testdata[[#This Row],[pd-limit2]]+0.8*Z233</f>
        <v>16.306051972784729</v>
      </c>
      <c r="AA234" s="14">
        <f>0.33*testdata[[#This Row],[period]]+0.67*AA233</f>
        <v>18.029224638402532</v>
      </c>
      <c r="AB234" s="31">
        <f>TRUNC(testdata[[#This Row],[SmPd]]+0.5,0)</f>
        <v>18</v>
      </c>
      <c r="AC234" s="14">
        <f ca="1">IF(testdata[[#This Row],[PdInt]]&lt;=0,0,AVERAGE(OFFSET(testdata[[#This Row],[price]],0,0,-testdata[[#This Row],[PdInt]],1)))</f>
        <v>249.0266666666667</v>
      </c>
      <c r="AD234" s="14">
        <f ca="1">IF(testdata[[#This Row],[i]]&lt;11,testdata[[#This Row],[price]],(4*testdata[[#This Row],[iTrend]]+3*AC233+2*AC232+AC231)/10)</f>
        <v>248.63377669172937</v>
      </c>
      <c r="AE234" s="14">
        <f>(4*testdata[[#This Row],[price]]+3*H233+2*H232+H231)/10</f>
        <v>253.30850000000001</v>
      </c>
      <c r="AF234" t="str">
        <f ca="1">IF(OR(ROUND(testdata[[#This Row],[Trendline]],4)&lt;&gt;Table3[[#This Row],[Trendline]],ROUND(testdata[[#This Row],[SmPrice]],4)&lt;&gt;Table3[[#This Row],[SmPrice]]),"ERR","")</f>
        <v/>
      </c>
      <c r="AG234" s="3">
        <v>43073</v>
      </c>
      <c r="AH234" s="14">
        <v>18.029</v>
      </c>
      <c r="AI234" s="34">
        <v>18</v>
      </c>
      <c r="AJ234" s="14">
        <v>249.02670000000001</v>
      </c>
      <c r="AK234" s="14">
        <v>248.63380000000001</v>
      </c>
      <c r="AL234" s="14">
        <v>253.30850000000001</v>
      </c>
      <c r="AN234" s="38">
        <f t="shared" si="10"/>
        <v>0</v>
      </c>
      <c r="AO234" s="38">
        <f t="shared" si="11"/>
        <v>0</v>
      </c>
      <c r="AQ234" s="37">
        <v>43073</v>
      </c>
      <c r="AR234">
        <v>18</v>
      </c>
      <c r="AS234">
        <v>248.633776691729</v>
      </c>
      <c r="AT234">
        <v>253.30850000000001</v>
      </c>
      <c r="AV234" s="37">
        <v>43073</v>
      </c>
      <c r="AW234">
        <v>18</v>
      </c>
      <c r="AX234">
        <v>248.633776691729</v>
      </c>
      <c r="AY234">
        <v>253.30850000000001</v>
      </c>
      <c r="BA234" s="38">
        <f>AX234-Table3[[#This Row],[Trendline]]</f>
        <v>-2.33082710110466E-5</v>
      </c>
      <c r="BB234" s="38">
        <f>AY234-Table3[[#This Row],[SmPrice]]</f>
        <v>0</v>
      </c>
    </row>
    <row r="235" spans="1:54" x14ac:dyDescent="0.35">
      <c r="A235" s="6">
        <v>233</v>
      </c>
      <c r="B235" s="3">
        <v>43074</v>
      </c>
      <c r="C235" s="2">
        <v>253.38</v>
      </c>
      <c r="D235" s="2">
        <v>254.07</v>
      </c>
      <c r="E235" s="2">
        <v>252.05</v>
      </c>
      <c r="F235" s="2">
        <v>252.2</v>
      </c>
      <c r="G235" s="1">
        <v>81394656</v>
      </c>
      <c r="H235" s="30">
        <f>(testdata[[#This Row],[high]]+testdata[[#This Row],[low]])/2</f>
        <v>253.06</v>
      </c>
      <c r="I235" s="23">
        <f>(4*testdata[[#This Row],[price]]+3*H234+2*H233+H232)/10</f>
        <v>253.31900000000002</v>
      </c>
      <c r="J235" s="9">
        <f>(0.0962*testdata[[#This Row],[smooth]]+0.5769*I233-0.5769*I231-0.0962*I229)*(0.075*$Z234+0.54)</f>
        <v>2.272018207047124</v>
      </c>
      <c r="K235" s="14">
        <f t="shared" si="9"/>
        <v>2.0332768720601306</v>
      </c>
      <c r="L235" s="14">
        <f>(0.0962*testdata[[#This Row],[detrender]]+0.5769*J233-0.5769*J231-0.0962*J229)*(0.075*$Z234+0.54)</f>
        <v>0.72451704857828958</v>
      </c>
      <c r="M235" s="9">
        <f>(0.0962*testdata[[#This Row],[I1]]+0.5769*K233-0.5769*K231-0.0962*K229)*(0.075*$Z234+0.54)</f>
        <v>0.41599959555330057</v>
      </c>
      <c r="N235" s="9">
        <f>(0.0962*testdata[[#This Row],[Q1]]+0.5769*L233-0.5769*L231-0.0962*L229)*(0.075*$Z234+0.54)</f>
        <v>-1.5198995896993832</v>
      </c>
      <c r="O235" s="9">
        <f>testdata[[#This Row],[I1]]-testdata[[#This Row],[JQ]]</f>
        <v>3.5531764617595138</v>
      </c>
      <c r="P235" s="9">
        <f>testdata[[#This Row],[Q1]]+testdata[[#This Row],[jI]]</f>
        <v>1.1405166441315902</v>
      </c>
      <c r="Q235" s="9">
        <f>0.2*testdata[[#This Row],[I2]]+0.8*Q234</f>
        <v>1.5401108325908588</v>
      </c>
      <c r="R235" s="9">
        <f>0.2*testdata[[#This Row],[Q2]]+0.8*R234</f>
        <v>1.3818837835105311</v>
      </c>
      <c r="S235" s="9">
        <f>testdata[[#This Row],[I2'']]*Q234+testdata[[#This Row],[Q2'']]*R234</f>
        <v>3.5898434561883645</v>
      </c>
      <c r="T235" s="9">
        <f>testdata[[#This Row],[I2'']]*R234-testdata[[#This Row],[Q2'']]*Q234</f>
        <v>0.78838872351989031</v>
      </c>
      <c r="U235" s="9">
        <f>0.2*testdata[[#This Row],[Re]]+0.8*U234</f>
        <v>2.8232387602462543</v>
      </c>
      <c r="V235" s="9">
        <f>0.2*testdata[[#This Row],[Im]]+0.8*V234</f>
        <v>1.1419353529627432</v>
      </c>
      <c r="W235" s="9">
        <f>IF(AND(testdata[[#This Row],[Re'']]&lt;&gt;0,testdata[[#This Row],[Im'']]&lt;&gt;0),2*PI()/ATAN(testdata[[#This Row],[Im'']]/testdata[[#This Row],[Re'']]),0)</f>
        <v>16.347138196680184</v>
      </c>
      <c r="X235" s="9">
        <f>IF(testdata[[#This Row],[pd-atan]]&gt;1.5*Z234,1.5*Z234,IF(testdata[[#This Row],[pd-atan]]&lt;0.67*Z234,0.67*Z234,testdata[[#This Row],[pd-atan]]))</f>
        <v>16.347138196680184</v>
      </c>
      <c r="Y235" s="9">
        <f>IF(testdata[[#This Row],[pd-limit1]]&lt;6,6,IF(testdata[[#This Row],[pd-limit1]]&gt;50,50,testdata[[#This Row],[pd-limit1]]))</f>
        <v>16.347138196680184</v>
      </c>
      <c r="Z235" s="14">
        <f>0.2*testdata[[#This Row],[pd-limit2]]+0.8*Z234</f>
        <v>16.314269217563819</v>
      </c>
      <c r="AA235" s="14">
        <f>0.33*testdata[[#This Row],[period]]+0.67*AA234</f>
        <v>17.463289349525759</v>
      </c>
      <c r="AB235" s="31">
        <f>TRUNC(testdata[[#This Row],[SmPd]]+0.5,0)</f>
        <v>17</v>
      </c>
      <c r="AC235" s="14">
        <f ca="1">IF(testdata[[#This Row],[PdInt]]&lt;=0,0,AVERAGE(OFFSET(testdata[[#This Row],[price]],0,0,-testdata[[#This Row],[PdInt]],1)))</f>
        <v>249.47264705882358</v>
      </c>
      <c r="AD235" s="14">
        <f ca="1">IF(testdata[[#This Row],[i]]&lt;11,testdata[[#This Row],[price]],(4*testdata[[#This Row],[iTrend]]+3*AC234+2*AC233+AC232)/10)</f>
        <v>249.0475956656347</v>
      </c>
      <c r="AE235" s="14">
        <f>(4*testdata[[#This Row],[price]]+3*H234+2*H233+H232)/10</f>
        <v>253.31900000000002</v>
      </c>
      <c r="AF235" t="str">
        <f ca="1">IF(OR(ROUND(testdata[[#This Row],[Trendline]],4)&lt;&gt;Table3[[#This Row],[Trendline]],ROUND(testdata[[#This Row],[SmPrice]],4)&lt;&gt;Table3[[#This Row],[SmPrice]]),"ERR","")</f>
        <v/>
      </c>
      <c r="AG235" s="3">
        <v>43074</v>
      </c>
      <c r="AH235" s="14">
        <v>17.463100000000001</v>
      </c>
      <c r="AI235" s="34">
        <v>17</v>
      </c>
      <c r="AJ235" s="14">
        <v>249.4726</v>
      </c>
      <c r="AK235" s="14">
        <v>249.04759999999999</v>
      </c>
      <c r="AL235" s="14">
        <v>253.31899999999999</v>
      </c>
      <c r="AN235" s="38">
        <f t="shared" si="10"/>
        <v>0</v>
      </c>
      <c r="AO235" s="38">
        <f t="shared" si="11"/>
        <v>0</v>
      </c>
      <c r="AQ235" s="37">
        <v>43074</v>
      </c>
      <c r="AR235">
        <v>17</v>
      </c>
      <c r="AS235">
        <v>249.04759566563399</v>
      </c>
      <c r="AT235">
        <v>253.31899999999999</v>
      </c>
      <c r="AV235" s="37">
        <v>43074</v>
      </c>
      <c r="AW235">
        <v>17</v>
      </c>
      <c r="AX235">
        <v>249.04759566563399</v>
      </c>
      <c r="AY235">
        <v>253.31899999999999</v>
      </c>
      <c r="BA235" s="38">
        <f>AX235-Table3[[#This Row],[Trendline]]</f>
        <v>-4.3343659967831627E-6</v>
      </c>
      <c r="BB235" s="38">
        <f>AY235-Table3[[#This Row],[SmPrice]]</f>
        <v>0</v>
      </c>
    </row>
    <row r="236" spans="1:54" x14ac:dyDescent="0.35">
      <c r="A236" s="6">
        <v>234</v>
      </c>
      <c r="B236" s="3">
        <v>43075</v>
      </c>
      <c r="C236" s="2">
        <v>251.89</v>
      </c>
      <c r="D236" s="2">
        <v>252.71</v>
      </c>
      <c r="E236" s="2">
        <v>251.74</v>
      </c>
      <c r="F236" s="2">
        <v>252.24</v>
      </c>
      <c r="G236" s="1">
        <v>79207304</v>
      </c>
      <c r="H236" s="30">
        <f>(testdata[[#This Row],[high]]+testdata[[#This Row],[low]])/2</f>
        <v>252.22500000000002</v>
      </c>
      <c r="I236" s="23">
        <f>(4*testdata[[#This Row],[price]]+3*H235+2*H234+H233)/10</f>
        <v>252.88300000000004</v>
      </c>
      <c r="J236" s="9">
        <f>(0.0962*testdata[[#This Row],[smooth]]+0.5769*I234-0.5769*I232-0.0962*I230)*(0.075*$Z235+0.54)</f>
        <v>1.6008864845928634</v>
      </c>
      <c r="K236" s="14">
        <f t="shared" si="9"/>
        <v>2.449602455699166</v>
      </c>
      <c r="L236" s="14">
        <f>(0.0962*testdata[[#This Row],[detrender]]+0.5769*J234-0.5769*J232-0.0962*J230)*(0.075*$Z235+0.54)</f>
        <v>1.0192028712999923</v>
      </c>
      <c r="M236" s="9">
        <f>(0.0962*testdata[[#This Row],[I1]]+0.5769*K234-0.5769*K232-0.0962*K230)*(0.075*$Z235+0.54)</f>
        <v>6.3057775505878169E-2</v>
      </c>
      <c r="N236" s="9">
        <f>(0.0962*testdata[[#This Row],[Q1]]+0.5769*L234-0.5769*L232-0.0962*L230)*(0.075*$Z235+0.54)</f>
        <v>-0.1649204106356055</v>
      </c>
      <c r="O236" s="9">
        <f>testdata[[#This Row],[I1]]-testdata[[#This Row],[JQ]]</f>
        <v>2.6145228663347715</v>
      </c>
      <c r="P236" s="9">
        <f>testdata[[#This Row],[Q1]]+testdata[[#This Row],[jI]]</f>
        <v>1.0822606468058704</v>
      </c>
      <c r="Q236" s="9">
        <f>0.2*testdata[[#This Row],[I2]]+0.8*Q235</f>
        <v>1.7549932393396412</v>
      </c>
      <c r="R236" s="9">
        <f>0.2*testdata[[#This Row],[Q2]]+0.8*R235</f>
        <v>1.3219591561695989</v>
      </c>
      <c r="S236" s="9">
        <f>testdata[[#This Row],[I2'']]*Q235+testdata[[#This Row],[Q2'']]*R235</f>
        <v>4.5296780194047379</v>
      </c>
      <c r="T236" s="9">
        <f>testdata[[#This Row],[I2'']]*R235-testdata[[#This Row],[Q2'']]*Q235</f>
        <v>0.38923308095459674</v>
      </c>
      <c r="U236" s="9">
        <f>0.2*testdata[[#This Row],[Re]]+0.8*U235</f>
        <v>3.1645266120779514</v>
      </c>
      <c r="V236" s="9">
        <f>0.2*testdata[[#This Row],[Im]]+0.8*V235</f>
        <v>0.99139489856111396</v>
      </c>
      <c r="W236" s="9">
        <f>IF(AND(testdata[[#This Row],[Re'']]&lt;&gt;0,testdata[[#This Row],[Im'']]&lt;&gt;0),2*PI()/ATAN(testdata[[#This Row],[Im'']]/testdata[[#This Row],[Re'']]),0)</f>
        <v>20.695687690178925</v>
      </c>
      <c r="X236" s="9">
        <f>IF(testdata[[#This Row],[pd-atan]]&gt;1.5*Z235,1.5*Z235,IF(testdata[[#This Row],[pd-atan]]&lt;0.67*Z235,0.67*Z235,testdata[[#This Row],[pd-atan]]))</f>
        <v>20.695687690178925</v>
      </c>
      <c r="Y236" s="9">
        <f>IF(testdata[[#This Row],[pd-limit1]]&lt;6,6,IF(testdata[[#This Row],[pd-limit1]]&gt;50,50,testdata[[#This Row],[pd-limit1]]))</f>
        <v>20.695687690178925</v>
      </c>
      <c r="Z236" s="14">
        <f>0.2*testdata[[#This Row],[pd-limit2]]+0.8*Z235</f>
        <v>17.19055291208684</v>
      </c>
      <c r="AA236" s="14">
        <f>0.33*testdata[[#This Row],[period]]+0.67*AA235</f>
        <v>17.373286325170916</v>
      </c>
      <c r="AB236" s="31">
        <f>TRUNC(testdata[[#This Row],[SmPd]]+0.5,0)</f>
        <v>17</v>
      </c>
      <c r="AC236" s="14">
        <f ca="1">IF(testdata[[#This Row],[PdInt]]&lt;=0,0,AVERAGE(OFFSET(testdata[[#This Row],[price]],0,0,-testdata[[#This Row],[PdInt]],1)))</f>
        <v>249.77647058823533</v>
      </c>
      <c r="AD236" s="14">
        <f ca="1">IF(testdata[[#This Row],[i]]&lt;11,testdata[[#This Row],[price]],(4*testdata[[#This Row],[iTrend]]+3*AC235+2*AC234+AC233)/10)</f>
        <v>249.4200841073272</v>
      </c>
      <c r="AE236" s="14">
        <f>(4*testdata[[#This Row],[price]]+3*H235+2*H234+H233)/10</f>
        <v>252.88300000000004</v>
      </c>
      <c r="AF236" t="str">
        <f ca="1">IF(OR(ROUND(testdata[[#This Row],[Trendline]],4)&lt;&gt;Table3[[#This Row],[Trendline]],ROUND(testdata[[#This Row],[SmPrice]],4)&lt;&gt;Table3[[#This Row],[SmPrice]]),"ERR","")</f>
        <v/>
      </c>
      <c r="AG236" s="3">
        <v>43075</v>
      </c>
      <c r="AH236" s="14">
        <v>17.373100000000001</v>
      </c>
      <c r="AI236" s="34">
        <v>17</v>
      </c>
      <c r="AJ236" s="14">
        <v>249.7765</v>
      </c>
      <c r="AK236" s="14">
        <v>249.42009999999999</v>
      </c>
      <c r="AL236" s="14">
        <v>252.88300000000001</v>
      </c>
      <c r="AN236" s="38">
        <f t="shared" si="10"/>
        <v>0</v>
      </c>
      <c r="AO236" s="38">
        <f t="shared" si="11"/>
        <v>0</v>
      </c>
      <c r="AQ236" s="37">
        <v>43075</v>
      </c>
      <c r="AR236">
        <v>17</v>
      </c>
      <c r="AS236">
        <v>249.420084107327</v>
      </c>
      <c r="AT236">
        <v>252.88299999999899</v>
      </c>
      <c r="AV236" s="37">
        <v>43075</v>
      </c>
      <c r="AW236">
        <v>17</v>
      </c>
      <c r="AX236">
        <v>249.420084107327</v>
      </c>
      <c r="AY236">
        <v>252.88299999999899</v>
      </c>
      <c r="BA236" s="38">
        <f>AX236-Table3[[#This Row],[Trendline]]</f>
        <v>-1.589267299095809E-5</v>
      </c>
      <c r="BB236" s="38">
        <f>AY236-Table3[[#This Row],[SmPrice]]</f>
        <v>-1.0231815394945443E-12</v>
      </c>
    </row>
    <row r="237" spans="1:54" x14ac:dyDescent="0.35">
      <c r="A237" s="6">
        <v>235</v>
      </c>
      <c r="B237" s="3">
        <v>43076</v>
      </c>
      <c r="C237" s="2">
        <v>252.1</v>
      </c>
      <c r="D237" s="2">
        <v>253.38</v>
      </c>
      <c r="E237" s="2">
        <v>251.96</v>
      </c>
      <c r="F237" s="2">
        <v>253.04</v>
      </c>
      <c r="G237" s="1">
        <v>80584848</v>
      </c>
      <c r="H237" s="30">
        <f>(testdata[[#This Row],[high]]+testdata[[#This Row],[low]])/2</f>
        <v>252.67000000000002</v>
      </c>
      <c r="I237" s="23">
        <f>(4*testdata[[#This Row],[price]]+3*H236+2*H235+H234)/10</f>
        <v>252.78249999999997</v>
      </c>
      <c r="J237" s="9">
        <f>(0.0962*testdata[[#This Row],[smooth]]+0.5769*I235-0.5769*I233-0.0962*I231)*(0.075*$Z236+0.54)</f>
        <v>1.2728006071173912</v>
      </c>
      <c r="K237" s="14">
        <f t="shared" si="9"/>
        <v>3.0902372449493716</v>
      </c>
      <c r="L237" s="14">
        <f>(0.0962*testdata[[#This Row],[detrender]]+0.5769*J235-0.5769*J233-0.0962*J231)*(0.075*$Z236+0.54)</f>
        <v>-0.27863672313949034</v>
      </c>
      <c r="M237" s="9">
        <f>(0.0962*testdata[[#This Row],[I1]]+0.5769*K235-0.5769*K233-0.0962*K231)*(0.075*$Z236+0.54)</f>
        <v>0.35515105983163164</v>
      </c>
      <c r="N237" s="9">
        <f>(0.0962*testdata[[#This Row],[Q1]]+0.5769*L235-0.5769*L233-0.0962*L231)*(0.075*$Z236+0.54)</f>
        <v>0.41338580344443415</v>
      </c>
      <c r="O237" s="9">
        <f>testdata[[#This Row],[I1]]-testdata[[#This Row],[JQ]]</f>
        <v>2.6768514415049376</v>
      </c>
      <c r="P237" s="9">
        <f>testdata[[#This Row],[Q1]]+testdata[[#This Row],[jI]]</f>
        <v>7.6514336692141305E-2</v>
      </c>
      <c r="Q237" s="9">
        <f>0.2*testdata[[#This Row],[I2]]+0.8*Q236</f>
        <v>1.9393648797727008</v>
      </c>
      <c r="R237" s="9">
        <f>0.2*testdata[[#This Row],[Q2]]+0.8*R236</f>
        <v>1.0728701922741075</v>
      </c>
      <c r="S237" s="9">
        <f>testdata[[#This Row],[I2'']]*Q236+testdata[[#This Row],[Q2'']]*R236</f>
        <v>4.8218628266720209</v>
      </c>
      <c r="T237" s="9">
        <f>testdata[[#This Row],[I2'']]*R236-testdata[[#This Row],[Q2'']]*Q236</f>
        <v>0.68088122583919541</v>
      </c>
      <c r="U237" s="9">
        <f>0.2*testdata[[#This Row],[Re]]+0.8*U236</f>
        <v>3.4959938549967653</v>
      </c>
      <c r="V237" s="9">
        <f>0.2*testdata[[#This Row],[Im]]+0.8*V236</f>
        <v>0.92929216401673032</v>
      </c>
      <c r="W237" s="9">
        <f>IF(AND(testdata[[#This Row],[Re'']]&lt;&gt;0,testdata[[#This Row],[Im'']]&lt;&gt;0),2*PI()/ATAN(testdata[[#This Row],[Im'']]/testdata[[#This Row],[Re'']]),0)</f>
        <v>24.183926805703845</v>
      </c>
      <c r="X237" s="9">
        <f>IF(testdata[[#This Row],[pd-atan]]&gt;1.5*Z236,1.5*Z236,IF(testdata[[#This Row],[pd-atan]]&lt;0.67*Z236,0.67*Z236,testdata[[#This Row],[pd-atan]]))</f>
        <v>24.183926805703845</v>
      </c>
      <c r="Y237" s="9">
        <f>IF(testdata[[#This Row],[pd-limit1]]&lt;6,6,IF(testdata[[#This Row],[pd-limit1]]&gt;50,50,testdata[[#This Row],[pd-limit1]]))</f>
        <v>24.183926805703845</v>
      </c>
      <c r="Z237" s="14">
        <f>0.2*testdata[[#This Row],[pd-limit2]]+0.8*Z236</f>
        <v>18.58922769081024</v>
      </c>
      <c r="AA237" s="14">
        <f>0.33*testdata[[#This Row],[period]]+0.67*AA236</f>
        <v>17.774546975831896</v>
      </c>
      <c r="AB237" s="31">
        <f>TRUNC(testdata[[#This Row],[SmPd]]+0.5,0)</f>
        <v>18</v>
      </c>
      <c r="AC237" s="14">
        <f ca="1">IF(testdata[[#This Row],[PdInt]]&lt;=0,0,AVERAGE(OFFSET(testdata[[#This Row],[price]],0,0,-testdata[[#This Row],[PdInt]],1)))</f>
        <v>249.93722222222226</v>
      </c>
      <c r="AD237" s="14">
        <f ca="1">IF(testdata[[#This Row],[i]]&lt;11,testdata[[#This Row],[price]],(4*testdata[[#This Row],[iTrend]]+3*AC236+2*AC235+AC234)/10)</f>
        <v>249.70502614379089</v>
      </c>
      <c r="AE237" s="14">
        <f>(4*testdata[[#This Row],[price]]+3*H236+2*H235+H234)/10</f>
        <v>252.78249999999997</v>
      </c>
      <c r="AF237" t="str">
        <f ca="1">IF(OR(ROUND(testdata[[#This Row],[Trendline]],4)&lt;&gt;Table3[[#This Row],[Trendline]],ROUND(testdata[[#This Row],[SmPrice]],4)&lt;&gt;Table3[[#This Row],[SmPrice]]),"ERR","")</f>
        <v/>
      </c>
      <c r="AG237" s="3">
        <v>43076</v>
      </c>
      <c r="AH237" s="14">
        <v>17.7745</v>
      </c>
      <c r="AI237" s="34">
        <v>18</v>
      </c>
      <c r="AJ237" s="14">
        <v>249.93719999999999</v>
      </c>
      <c r="AK237" s="14">
        <v>249.70500000000001</v>
      </c>
      <c r="AL237" s="14">
        <v>252.7825</v>
      </c>
      <c r="AN237" s="38">
        <f t="shared" si="10"/>
        <v>0</v>
      </c>
      <c r="AO237" s="38">
        <f t="shared" si="11"/>
        <v>0</v>
      </c>
      <c r="AQ237" s="37">
        <v>43076</v>
      </c>
      <c r="AR237">
        <v>18</v>
      </c>
      <c r="AS237">
        <v>249.70502614379001</v>
      </c>
      <c r="AT237">
        <v>252.782499999999</v>
      </c>
      <c r="AV237" s="37">
        <v>43076</v>
      </c>
      <c r="AW237">
        <v>18</v>
      </c>
      <c r="AX237">
        <v>249.70502614379001</v>
      </c>
      <c r="AY237">
        <v>252.782499999999</v>
      </c>
      <c r="BA237" s="38">
        <f>AX237-Table3[[#This Row],[Trendline]]</f>
        <v>2.6143789995103361E-5</v>
      </c>
      <c r="BB237" s="38">
        <f>AY237-Table3[[#This Row],[SmPrice]]</f>
        <v>-9.9475983006414026E-13</v>
      </c>
    </row>
    <row r="238" spans="1:54" x14ac:dyDescent="0.35">
      <c r="A238" s="6">
        <v>236</v>
      </c>
      <c r="B238" s="3">
        <v>43077</v>
      </c>
      <c r="C238" s="2">
        <v>253.92</v>
      </c>
      <c r="D238" s="2">
        <v>254.43</v>
      </c>
      <c r="E238" s="2">
        <v>253</v>
      </c>
      <c r="F238" s="2">
        <v>254.42</v>
      </c>
      <c r="G238" s="1">
        <v>79901608</v>
      </c>
      <c r="H238" s="30">
        <f>(testdata[[#This Row],[high]]+testdata[[#This Row],[low]])/2</f>
        <v>253.715</v>
      </c>
      <c r="I238" s="23">
        <f>(4*testdata[[#This Row],[price]]+3*H237+2*H236+H235)/10</f>
        <v>253.03799999999995</v>
      </c>
      <c r="J238" s="9">
        <f>(0.0962*testdata[[#This Row],[smooth]]+0.5769*I236-0.5769*I234-0.0962*I232)*(0.075*$Z237+0.54)</f>
        <v>-0.32249026270671716</v>
      </c>
      <c r="K238" s="14">
        <f t="shared" si="9"/>
        <v>2.272018207047124</v>
      </c>
      <c r="L238" s="14">
        <f>(0.0962*testdata[[#This Row],[detrender]]+0.5769*J236-0.5769*J234-0.0962*J232)*(0.075*$Z237+0.54)</f>
        <v>-2.10020620439946</v>
      </c>
      <c r="M238" s="9">
        <f>(0.0962*testdata[[#This Row],[I1]]+0.5769*K236-0.5769*K234-0.0962*K232)*(0.075*$Z237+0.54)</f>
        <v>0.79489040325838178</v>
      </c>
      <c r="N238" s="9">
        <f>(0.0962*testdata[[#This Row],[Q1]]+0.5769*L236-0.5769*L234-0.0962*L232)*(0.075*$Z237+0.54)</f>
        <v>0.27130496958748546</v>
      </c>
      <c r="O238" s="9">
        <f>testdata[[#This Row],[I1]]-testdata[[#This Row],[JQ]]</f>
        <v>2.0007132374596384</v>
      </c>
      <c r="P238" s="9">
        <f>testdata[[#This Row],[Q1]]+testdata[[#This Row],[jI]]</f>
        <v>-1.3053158011410781</v>
      </c>
      <c r="Q238" s="9">
        <f>0.2*testdata[[#This Row],[I2]]+0.8*Q237</f>
        <v>1.9516345513100883</v>
      </c>
      <c r="R238" s="9">
        <f>0.2*testdata[[#This Row],[Q2]]+0.8*R237</f>
        <v>0.5972329935910704</v>
      </c>
      <c r="S238" s="9">
        <f>testdata[[#This Row],[I2'']]*Q237+testdata[[#This Row],[Q2'']]*R237</f>
        <v>4.4256849836282308</v>
      </c>
      <c r="T238" s="9">
        <f>testdata[[#This Row],[I2'']]*R237-testdata[[#This Row],[Q2'']]*Q237</f>
        <v>0.93559784350080943</v>
      </c>
      <c r="U238" s="9">
        <f>0.2*testdata[[#This Row],[Re]]+0.8*U237</f>
        <v>3.6819320807230587</v>
      </c>
      <c r="V238" s="9">
        <f>0.2*testdata[[#This Row],[Im]]+0.8*V237</f>
        <v>0.93055329991354618</v>
      </c>
      <c r="W238" s="9">
        <f>IF(AND(testdata[[#This Row],[Re'']]&lt;&gt;0,testdata[[#This Row],[Im'']]&lt;&gt;0),2*PI()/ATAN(testdata[[#This Row],[Im'']]/testdata[[#This Row],[Re'']]),0)</f>
        <v>25.381359815680014</v>
      </c>
      <c r="X238" s="9">
        <f>IF(testdata[[#This Row],[pd-atan]]&gt;1.5*Z237,1.5*Z237,IF(testdata[[#This Row],[pd-atan]]&lt;0.67*Z237,0.67*Z237,testdata[[#This Row],[pd-atan]]))</f>
        <v>25.381359815680014</v>
      </c>
      <c r="Y238" s="9">
        <f>IF(testdata[[#This Row],[pd-limit1]]&lt;6,6,IF(testdata[[#This Row],[pd-limit1]]&gt;50,50,testdata[[#This Row],[pd-limit1]]))</f>
        <v>25.381359815680014</v>
      </c>
      <c r="Z238" s="14">
        <f>0.2*testdata[[#This Row],[pd-limit2]]+0.8*Z237</f>
        <v>19.947654115784196</v>
      </c>
      <c r="AA238" s="14">
        <f>0.33*testdata[[#This Row],[period]]+0.67*AA237</f>
        <v>18.491672332016154</v>
      </c>
      <c r="AB238" s="31">
        <f>TRUNC(testdata[[#This Row],[SmPd]]+0.5,0)</f>
        <v>18</v>
      </c>
      <c r="AC238" s="14">
        <f ca="1">IF(testdata[[#This Row],[PdInt]]&lt;=0,0,AVERAGE(OFFSET(testdata[[#This Row],[price]],0,0,-testdata[[#This Row],[PdInt]],1)))</f>
        <v>250.30166666666662</v>
      </c>
      <c r="AD238" s="14">
        <f ca="1">IF(testdata[[#This Row],[i]]&lt;11,testdata[[#This Row],[price]],(4*testdata[[#This Row],[iTrend]]+3*AC237+2*AC236+AC235)/10)</f>
        <v>250.00439215686274</v>
      </c>
      <c r="AE238" s="14">
        <f>(4*testdata[[#This Row],[price]]+3*H237+2*H236+H235)/10</f>
        <v>253.03799999999995</v>
      </c>
      <c r="AF238" t="str">
        <f ca="1">IF(OR(ROUND(testdata[[#This Row],[Trendline]],4)&lt;&gt;Table3[[#This Row],[Trendline]],ROUND(testdata[[#This Row],[SmPrice]],4)&lt;&gt;Table3[[#This Row],[SmPrice]]),"ERR","")</f>
        <v/>
      </c>
      <c r="AG238" s="3">
        <v>43077</v>
      </c>
      <c r="AH238" s="14">
        <v>18.491700000000002</v>
      </c>
      <c r="AI238" s="34">
        <v>18</v>
      </c>
      <c r="AJ238" s="14">
        <v>250.30170000000001</v>
      </c>
      <c r="AK238" s="14">
        <v>250.0044</v>
      </c>
      <c r="AL238" s="14">
        <v>253.03800000000001</v>
      </c>
      <c r="AN238" s="38">
        <f t="shared" si="10"/>
        <v>0</v>
      </c>
      <c r="AO238" s="38">
        <f t="shared" si="11"/>
        <v>0</v>
      </c>
      <c r="AQ238" s="37">
        <v>43077</v>
      </c>
      <c r="AR238">
        <v>18</v>
      </c>
      <c r="AS238">
        <v>250.004392156862</v>
      </c>
      <c r="AT238">
        <v>253.03799999999899</v>
      </c>
      <c r="AV238" s="37">
        <v>43077</v>
      </c>
      <c r="AW238">
        <v>18</v>
      </c>
      <c r="AX238">
        <v>250.004392156862</v>
      </c>
      <c r="AY238">
        <v>253.03799999999899</v>
      </c>
      <c r="BA238" s="38">
        <f>AX238-Table3[[#This Row],[Trendline]]</f>
        <v>-7.8431380075016932E-6</v>
      </c>
      <c r="BB238" s="38">
        <f>AY238-Table3[[#This Row],[SmPrice]]</f>
        <v>-1.0231815394945443E-12</v>
      </c>
    </row>
    <row r="239" spans="1:54" x14ac:dyDescent="0.35">
      <c r="A239" s="6">
        <v>237</v>
      </c>
      <c r="B239" s="3">
        <v>43080</v>
      </c>
      <c r="C239" s="2">
        <v>254.49</v>
      </c>
      <c r="D239" s="2">
        <v>255.25</v>
      </c>
      <c r="E239" s="2">
        <v>254.39</v>
      </c>
      <c r="F239" s="2">
        <v>255.19</v>
      </c>
      <c r="G239" s="1">
        <v>86699232</v>
      </c>
      <c r="H239" s="30">
        <f>(testdata[[#This Row],[high]]+testdata[[#This Row],[low]])/2</f>
        <v>254.82</v>
      </c>
      <c r="I239" s="23">
        <f>(4*testdata[[#This Row],[price]]+3*H238+2*H237+H236)/10</f>
        <v>253.79899999999998</v>
      </c>
      <c r="J239" s="9">
        <f>(0.0962*testdata[[#This Row],[smooth]]+0.5769*I237-0.5769*I235-0.0962*I233)*(0.075*$Z238+0.54)</f>
        <v>-0.36232619959092321</v>
      </c>
      <c r="K239" s="14">
        <f t="shared" si="9"/>
        <v>1.6008864845928634</v>
      </c>
      <c r="L239" s="14">
        <f>(0.0962*testdata[[#This Row],[detrender]]+0.5769*J237-0.5769*J235-0.0962*J233)*(0.075*$Z238+0.54)</f>
        <v>-1.7244654866573219</v>
      </c>
      <c r="M239" s="9">
        <f>(0.0962*testdata[[#This Row],[I1]]+0.5769*K237-0.5769*K235-0.0962*K233)*(0.075*$Z238+0.54)</f>
        <v>1.1766883660241145</v>
      </c>
      <c r="N239" s="9">
        <f>(0.0962*testdata[[#This Row],[Q1]]+0.5769*L237-0.5769*L235-0.0962*L233)*(0.075*$Z238+0.54)</f>
        <v>-1.5291347609263197</v>
      </c>
      <c r="O239" s="9">
        <f>testdata[[#This Row],[I1]]-testdata[[#This Row],[JQ]]</f>
        <v>3.1300212455191829</v>
      </c>
      <c r="P239" s="9">
        <f>testdata[[#This Row],[Q1]]+testdata[[#This Row],[jI]]</f>
        <v>-0.54777712063320738</v>
      </c>
      <c r="Q239" s="9">
        <f>0.2*testdata[[#This Row],[I2]]+0.8*Q238</f>
        <v>2.1873118901519075</v>
      </c>
      <c r="R239" s="9">
        <f>0.2*testdata[[#This Row],[Q2]]+0.8*R238</f>
        <v>0.36823097074621486</v>
      </c>
      <c r="S239" s="9">
        <f>testdata[[#This Row],[I2'']]*Q238+testdata[[#This Row],[Q2'']]*R238</f>
        <v>4.4887531443035469</v>
      </c>
      <c r="T239" s="9">
        <f>testdata[[#This Row],[I2'']]*R238-testdata[[#This Row],[Q2'']]*Q238</f>
        <v>0.58768254270199893</v>
      </c>
      <c r="U239" s="9">
        <f>0.2*testdata[[#This Row],[Re]]+0.8*U238</f>
        <v>3.8432962934391566</v>
      </c>
      <c r="V239" s="9">
        <f>0.2*testdata[[#This Row],[Im]]+0.8*V238</f>
        <v>0.8619791484712368</v>
      </c>
      <c r="W239" s="9">
        <f>IF(AND(testdata[[#This Row],[Re'']]&lt;&gt;0,testdata[[#This Row],[Im'']]&lt;&gt;0),2*PI()/ATAN(testdata[[#This Row],[Im'']]/testdata[[#This Row],[Re'']]),0)</f>
        <v>28.478357762683981</v>
      </c>
      <c r="X239" s="9">
        <f>IF(testdata[[#This Row],[pd-atan]]&gt;1.5*Z238,1.5*Z238,IF(testdata[[#This Row],[pd-atan]]&lt;0.67*Z238,0.67*Z238,testdata[[#This Row],[pd-atan]]))</f>
        <v>28.478357762683981</v>
      </c>
      <c r="Y239" s="9">
        <f>IF(testdata[[#This Row],[pd-limit1]]&lt;6,6,IF(testdata[[#This Row],[pd-limit1]]&gt;50,50,testdata[[#This Row],[pd-limit1]]))</f>
        <v>28.478357762683981</v>
      </c>
      <c r="Z239" s="14">
        <f>0.2*testdata[[#This Row],[pd-limit2]]+0.8*Z238</f>
        <v>21.653794845164153</v>
      </c>
      <c r="AA239" s="14">
        <f>0.33*testdata[[#This Row],[period]]+0.67*AA238</f>
        <v>19.535172761354993</v>
      </c>
      <c r="AB239" s="31">
        <f>TRUNC(testdata[[#This Row],[SmPd]]+0.5,0)</f>
        <v>20</v>
      </c>
      <c r="AC239" s="14">
        <f ca="1">IF(testdata[[#This Row],[PdInt]]&lt;=0,0,AVERAGE(OFFSET(testdata[[#This Row],[price]],0,0,-testdata[[#This Row],[PdInt]],1)))</f>
        <v>250.37025000000003</v>
      </c>
      <c r="AD239" s="14">
        <f ca="1">IF(testdata[[#This Row],[i]]&lt;11,testdata[[#This Row],[price]],(4*testdata[[#This Row],[iTrend]]+3*AC238+2*AC237+AC236)/10)</f>
        <v>250.203691503268</v>
      </c>
      <c r="AE239" s="14">
        <f>(4*testdata[[#This Row],[price]]+3*H238+2*H237+H236)/10</f>
        <v>253.79899999999998</v>
      </c>
      <c r="AF239" t="str">
        <f ca="1">IF(OR(ROUND(testdata[[#This Row],[Trendline]],4)&lt;&gt;Table3[[#This Row],[Trendline]],ROUND(testdata[[#This Row],[SmPrice]],4)&lt;&gt;Table3[[#This Row],[SmPrice]]),"ERR","")</f>
        <v/>
      </c>
      <c r="AG239" s="3">
        <v>43080</v>
      </c>
      <c r="AH239" s="14">
        <v>19.5352</v>
      </c>
      <c r="AI239" s="34">
        <v>20</v>
      </c>
      <c r="AJ239" s="14">
        <v>250.37029999999999</v>
      </c>
      <c r="AK239" s="14">
        <v>250.2037</v>
      </c>
      <c r="AL239" s="14">
        <v>253.79900000000001</v>
      </c>
      <c r="AN239" s="38">
        <f t="shared" si="10"/>
        <v>0</v>
      </c>
      <c r="AO239" s="38">
        <f t="shared" si="11"/>
        <v>0</v>
      </c>
      <c r="AQ239" s="37">
        <v>43080</v>
      </c>
      <c r="AR239">
        <v>20</v>
      </c>
      <c r="AS239">
        <v>250.203691503268</v>
      </c>
      <c r="AT239">
        <v>253.79899999999901</v>
      </c>
      <c r="AV239" s="37">
        <v>43080</v>
      </c>
      <c r="AW239">
        <v>20</v>
      </c>
      <c r="AX239">
        <v>250.203691503268</v>
      </c>
      <c r="AY239">
        <v>253.79899999999901</v>
      </c>
      <c r="BA239" s="38">
        <f>AX239-Table3[[#This Row],[Trendline]]</f>
        <v>-8.4967319935458363E-6</v>
      </c>
      <c r="BB239" s="38">
        <f>AY239-Table3[[#This Row],[SmPrice]]</f>
        <v>-9.9475983006414026E-13</v>
      </c>
    </row>
    <row r="240" spans="1:54" x14ac:dyDescent="0.35">
      <c r="A240" s="6">
        <v>238</v>
      </c>
      <c r="B240" s="3">
        <v>43081</v>
      </c>
      <c r="C240" s="2">
        <v>255.43</v>
      </c>
      <c r="D240" s="2">
        <v>256.14999999999998</v>
      </c>
      <c r="E240" s="2">
        <v>255.22</v>
      </c>
      <c r="F240" s="2">
        <v>255.64</v>
      </c>
      <c r="G240" s="1">
        <v>88909792</v>
      </c>
      <c r="H240" s="30">
        <f>(testdata[[#This Row],[high]]+testdata[[#This Row],[low]])/2</f>
        <v>255.685</v>
      </c>
      <c r="I240" s="23">
        <f>(4*testdata[[#This Row],[price]]+3*H239+2*H238+H237)/10</f>
        <v>254.73000000000002</v>
      </c>
      <c r="J240" s="9">
        <f>(0.0962*testdata[[#This Row],[smooth]]+0.5769*I238-0.5769*I236-0.0962*I234)*(0.075*$Z239+0.54)</f>
        <v>0.48943494763354883</v>
      </c>
      <c r="K240" s="14">
        <f t="shared" si="9"/>
        <v>1.2728006071173912</v>
      </c>
      <c r="L240" s="14">
        <f>(0.0962*testdata[[#This Row],[detrender]]+0.5769*J238-0.5769*J236-0.0962*J234)*(0.075*$Z239+0.54)</f>
        <v>-2.9426396092365348</v>
      </c>
      <c r="M240" s="9">
        <f>(0.0962*testdata[[#This Row],[I1]]+0.5769*K238-0.5769*K236-0.0962*K234)*(0.075*$Z239+0.54)</f>
        <v>-0.32962462453286734</v>
      </c>
      <c r="N240" s="9">
        <f>(0.0962*testdata[[#This Row],[Q1]]+0.5769*L238-0.5769*L236-0.0962*L234)*(0.075*$Z239+0.54)</f>
        <v>-4.5796913696111128</v>
      </c>
      <c r="O240" s="9">
        <f>testdata[[#This Row],[I1]]-testdata[[#This Row],[JQ]]</f>
        <v>5.852491976728504</v>
      </c>
      <c r="P240" s="9">
        <f>testdata[[#This Row],[Q1]]+testdata[[#This Row],[jI]]</f>
        <v>-3.2722642337694019</v>
      </c>
      <c r="Q240" s="9">
        <f>0.2*testdata[[#This Row],[I2]]+0.8*Q239</f>
        <v>2.9203479074672272</v>
      </c>
      <c r="R240" s="9">
        <f>0.2*testdata[[#This Row],[Q2]]+0.8*R239</f>
        <v>-0.35986807015690847</v>
      </c>
      <c r="S240" s="9">
        <f>testdata[[#This Row],[I2'']]*Q239+testdata[[#This Row],[Q2'']]*R239</f>
        <v>6.2551971325688625</v>
      </c>
      <c r="T240" s="9">
        <f>testdata[[#This Row],[I2'']]*R239-testdata[[#This Row],[Q2'']]*Q239</f>
        <v>1.862506253623561</v>
      </c>
      <c r="U240" s="9">
        <f>0.2*testdata[[#This Row],[Re]]+0.8*U239</f>
        <v>4.3256764612650977</v>
      </c>
      <c r="V240" s="9">
        <f>0.2*testdata[[#This Row],[Im]]+0.8*V239</f>
        <v>1.0620845695017018</v>
      </c>
      <c r="W240" s="9">
        <f>IF(AND(testdata[[#This Row],[Re'']]&lt;&gt;0,testdata[[#This Row],[Im'']]&lt;&gt;0),2*PI()/ATAN(testdata[[#This Row],[Im'']]/testdata[[#This Row],[Re'']]),0)</f>
        <v>26.096487926052241</v>
      </c>
      <c r="X240" s="9">
        <f>IF(testdata[[#This Row],[pd-atan]]&gt;1.5*Z239,1.5*Z239,IF(testdata[[#This Row],[pd-atan]]&lt;0.67*Z239,0.67*Z239,testdata[[#This Row],[pd-atan]]))</f>
        <v>26.096487926052241</v>
      </c>
      <c r="Y240" s="9">
        <f>IF(testdata[[#This Row],[pd-limit1]]&lt;6,6,IF(testdata[[#This Row],[pd-limit1]]&gt;50,50,testdata[[#This Row],[pd-limit1]]))</f>
        <v>26.096487926052241</v>
      </c>
      <c r="Z240" s="14">
        <f>0.2*testdata[[#This Row],[pd-limit2]]+0.8*Z239</f>
        <v>22.542333461341773</v>
      </c>
      <c r="AA240" s="14">
        <f>0.33*testdata[[#This Row],[period]]+0.67*AA239</f>
        <v>20.52753579235063</v>
      </c>
      <c r="AB240" s="31">
        <f>TRUNC(testdata[[#This Row],[SmPd]]+0.5,0)</f>
        <v>21</v>
      </c>
      <c r="AC240" s="14">
        <f ca="1">IF(testdata[[#This Row],[PdInt]]&lt;=0,0,AVERAGE(OFFSET(testdata[[#This Row],[price]],0,0,-testdata[[#This Row],[PdInt]],1)))</f>
        <v>250.62333333333339</v>
      </c>
      <c r="AD240" s="14">
        <f ca="1">IF(testdata[[#This Row],[i]]&lt;11,testdata[[#This Row],[price]],(4*testdata[[#This Row],[iTrend]]+3*AC239+2*AC238+AC237)/10)</f>
        <v>250.41446388888895</v>
      </c>
      <c r="AE240" s="14">
        <f>(4*testdata[[#This Row],[price]]+3*H239+2*H238+H237)/10</f>
        <v>254.73000000000002</v>
      </c>
      <c r="AF240" t="str">
        <f ca="1">IF(OR(ROUND(testdata[[#This Row],[Trendline]],4)&lt;&gt;Table3[[#This Row],[Trendline]],ROUND(testdata[[#This Row],[SmPrice]],4)&lt;&gt;Table3[[#This Row],[SmPrice]]),"ERR","")</f>
        <v/>
      </c>
      <c r="AG240" s="3">
        <v>43081</v>
      </c>
      <c r="AH240" s="14">
        <v>20.5276</v>
      </c>
      <c r="AI240" s="34">
        <v>21</v>
      </c>
      <c r="AJ240" s="14">
        <v>250.6233</v>
      </c>
      <c r="AK240" s="14">
        <v>250.4145</v>
      </c>
      <c r="AL240" s="14">
        <v>254.73</v>
      </c>
      <c r="AN240" s="38">
        <f t="shared" si="10"/>
        <v>0</v>
      </c>
      <c r="AO240" s="38">
        <f t="shared" si="11"/>
        <v>0</v>
      </c>
      <c r="AQ240" s="37">
        <v>43081</v>
      </c>
      <c r="AR240">
        <v>21</v>
      </c>
      <c r="AS240">
        <v>250.41446388888801</v>
      </c>
      <c r="AT240">
        <v>254.73</v>
      </c>
      <c r="AV240" s="37">
        <v>43081</v>
      </c>
      <c r="AW240">
        <v>21</v>
      </c>
      <c r="AX240">
        <v>250.41446388888801</v>
      </c>
      <c r="AY240">
        <v>254.73</v>
      </c>
      <c r="BA240" s="38">
        <f>AX240-Table3[[#This Row],[Trendline]]</f>
        <v>-3.6111111995751344E-5</v>
      </c>
      <c r="BB240" s="38">
        <f>AY240-Table3[[#This Row],[SmPrice]]</f>
        <v>0</v>
      </c>
    </row>
    <row r="241" spans="1:54" x14ac:dyDescent="0.35">
      <c r="A241" s="6">
        <v>239</v>
      </c>
      <c r="B241" s="3">
        <v>43082</v>
      </c>
      <c r="C241" s="2">
        <v>255.9</v>
      </c>
      <c r="D241" s="2">
        <v>256.38</v>
      </c>
      <c r="E241" s="2">
        <v>255.51</v>
      </c>
      <c r="F241" s="2">
        <v>255.61</v>
      </c>
      <c r="G241" s="1">
        <v>107391488</v>
      </c>
      <c r="H241" s="30">
        <f>(testdata[[#This Row],[high]]+testdata[[#This Row],[low]])/2</f>
        <v>255.94499999999999</v>
      </c>
      <c r="I241" s="23">
        <f>(4*testdata[[#This Row],[price]]+3*H240+2*H239+H238)/10</f>
        <v>255.41900000000001</v>
      </c>
      <c r="J241" s="9">
        <f>(0.0962*testdata[[#This Row],[smooth]]+0.5769*I239-0.5769*I237-0.0962*I235)*(0.075*$Z240+0.54)</f>
        <v>1.7587508392932667</v>
      </c>
      <c r="K241" s="14">
        <f t="shared" si="9"/>
        <v>-0.32249026270671716</v>
      </c>
      <c r="L241" s="14">
        <f>(0.0962*testdata[[#This Row],[detrender]]+0.5769*J239-0.5769*J237-0.0962*J235)*(0.075*$Z240+0.54)</f>
        <v>-2.2143486447053968</v>
      </c>
      <c r="M241" s="9">
        <f>(0.0962*testdata[[#This Row],[I1]]+0.5769*K239-0.5769*K237-0.0962*K235)*(0.075*$Z240+0.54)</f>
        <v>-2.422136638511533</v>
      </c>
      <c r="N241" s="9">
        <f>(0.0962*testdata[[#This Row],[Q1]]+0.5769*L239-0.5769*L237-0.0962*L235)*(0.075*$Z240+0.54)</f>
        <v>-2.491256872739319</v>
      </c>
      <c r="O241" s="9">
        <f>testdata[[#This Row],[I1]]-testdata[[#This Row],[JQ]]</f>
        <v>2.168766610032602</v>
      </c>
      <c r="P241" s="9">
        <f>testdata[[#This Row],[Q1]]+testdata[[#This Row],[jI]]</f>
        <v>-4.6364852832169294</v>
      </c>
      <c r="Q241" s="9">
        <f>0.2*testdata[[#This Row],[I2]]+0.8*Q240</f>
        <v>2.7700316479803022</v>
      </c>
      <c r="R241" s="9">
        <f>0.2*testdata[[#This Row],[Q2]]+0.8*R240</f>
        <v>-1.2151915127689126</v>
      </c>
      <c r="S241" s="9">
        <f>testdata[[#This Row],[I2'']]*Q240+testdata[[#This Row],[Q2'']]*R240</f>
        <v>8.5267647513684732</v>
      </c>
      <c r="T241" s="9">
        <f>testdata[[#This Row],[I2'']]*R240-testdata[[#This Row],[Q2'']]*Q240</f>
        <v>2.551936048054396</v>
      </c>
      <c r="U241" s="9">
        <f>0.2*testdata[[#This Row],[Re]]+0.8*U240</f>
        <v>5.165894119285773</v>
      </c>
      <c r="V241" s="9">
        <f>0.2*testdata[[#This Row],[Im]]+0.8*V240</f>
        <v>1.3600548652122408</v>
      </c>
      <c r="W241" s="9">
        <f>IF(AND(testdata[[#This Row],[Re'']]&lt;&gt;0,testdata[[#This Row],[Im'']]&lt;&gt;0),2*PI()/ATAN(testdata[[#This Row],[Im'']]/testdata[[#This Row],[Re'']]),0)</f>
        <v>24.406977956119217</v>
      </c>
      <c r="X241" s="9">
        <f>IF(testdata[[#This Row],[pd-atan]]&gt;1.5*Z240,1.5*Z240,IF(testdata[[#This Row],[pd-atan]]&lt;0.67*Z240,0.67*Z240,testdata[[#This Row],[pd-atan]]))</f>
        <v>24.406977956119217</v>
      </c>
      <c r="Y241" s="9">
        <f>IF(testdata[[#This Row],[pd-limit1]]&lt;6,6,IF(testdata[[#This Row],[pd-limit1]]&gt;50,50,testdata[[#This Row],[pd-limit1]]))</f>
        <v>24.406977956119217</v>
      </c>
      <c r="Z241" s="14">
        <f>0.2*testdata[[#This Row],[pd-limit2]]+0.8*Z240</f>
        <v>22.915262360297262</v>
      </c>
      <c r="AA241" s="14">
        <f>0.33*testdata[[#This Row],[period]]+0.67*AA240</f>
        <v>21.31548555977302</v>
      </c>
      <c r="AB241" s="31">
        <f>TRUNC(testdata[[#This Row],[SmPd]]+0.5,0)</f>
        <v>21</v>
      </c>
      <c r="AC241" s="14">
        <f ca="1">IF(testdata[[#This Row],[PdInt]]&lt;=0,0,AVERAGE(OFFSET(testdata[[#This Row],[price]],0,0,-testdata[[#This Row],[PdInt]],1)))</f>
        <v>251.04190476190473</v>
      </c>
      <c r="AD241" s="14">
        <f ca="1">IF(testdata[[#This Row],[i]]&lt;11,testdata[[#This Row],[price]],(4*testdata[[#This Row],[iTrend]]+3*AC240+2*AC239+AC238)/10)</f>
        <v>250.70797857142855</v>
      </c>
      <c r="AE241" s="14">
        <f>(4*testdata[[#This Row],[price]]+3*H240+2*H239+H238)/10</f>
        <v>255.41900000000001</v>
      </c>
      <c r="AF241" t="str">
        <f ca="1">IF(OR(ROUND(testdata[[#This Row],[Trendline]],4)&lt;&gt;Table3[[#This Row],[Trendline]],ROUND(testdata[[#This Row],[SmPrice]],4)&lt;&gt;Table3[[#This Row],[SmPrice]]),"ERR","")</f>
        <v/>
      </c>
      <c r="AG241" s="3">
        <v>43082</v>
      </c>
      <c r="AH241" s="14">
        <v>21.3156</v>
      </c>
      <c r="AI241" s="34">
        <v>21</v>
      </c>
      <c r="AJ241" s="14">
        <v>251.0419</v>
      </c>
      <c r="AK241" s="14">
        <v>250.708</v>
      </c>
      <c r="AL241" s="14">
        <v>255.41900000000001</v>
      </c>
      <c r="AN241" s="38">
        <f t="shared" si="10"/>
        <v>0</v>
      </c>
      <c r="AO241" s="38">
        <f t="shared" si="11"/>
        <v>0</v>
      </c>
      <c r="AQ241" s="37">
        <v>43082</v>
      </c>
      <c r="AR241">
        <v>21</v>
      </c>
      <c r="AS241">
        <v>250.70797857142799</v>
      </c>
      <c r="AT241">
        <v>255.41900000000001</v>
      </c>
      <c r="AV241" s="37">
        <v>43082</v>
      </c>
      <c r="AW241">
        <v>21</v>
      </c>
      <c r="AX241">
        <v>250.70797857142799</v>
      </c>
      <c r="AY241">
        <v>255.41900000000001</v>
      </c>
      <c r="BA241" s="38">
        <f>AX241-Table3[[#This Row],[Trendline]]</f>
        <v>-2.1428572011927827E-5</v>
      </c>
      <c r="BB241" s="38">
        <f>AY241-Table3[[#This Row],[SmPrice]]</f>
        <v>0</v>
      </c>
    </row>
    <row r="242" spans="1:54" x14ac:dyDescent="0.35">
      <c r="A242" s="6">
        <v>240</v>
      </c>
      <c r="B242" s="3">
        <v>43083</v>
      </c>
      <c r="C242" s="2">
        <v>255.93</v>
      </c>
      <c r="D242" s="2">
        <v>256.06</v>
      </c>
      <c r="E242" s="2">
        <v>254.51</v>
      </c>
      <c r="F242" s="2">
        <v>254.56</v>
      </c>
      <c r="G242" s="1">
        <v>105055176</v>
      </c>
      <c r="H242" s="30">
        <f>(testdata[[#This Row],[high]]+testdata[[#This Row],[low]])/2</f>
        <v>255.285</v>
      </c>
      <c r="I242" s="23">
        <f>(4*testdata[[#This Row],[price]]+3*H241+2*H240+H239)/10</f>
        <v>255.51650000000001</v>
      </c>
      <c r="J242" s="9">
        <f>(0.0962*testdata[[#This Row],[smooth]]+0.5769*I240-0.5769*I238-0.0962*I236)*(0.075*$Z241+0.54)</f>
        <v>2.7769076380001909</v>
      </c>
      <c r="K242" s="14">
        <f t="shared" si="9"/>
        <v>-0.36232619959092321</v>
      </c>
      <c r="L242" s="14">
        <f>(0.0962*testdata[[#This Row],[detrender]]+0.5769*J240-0.5769*J238-0.0962*J236)*(0.075*$Z241+0.54)</f>
        <v>1.313476163808484</v>
      </c>
      <c r="M242" s="9">
        <f>(0.0962*testdata[[#This Row],[I1]]+0.5769*K240-0.5769*K238-0.0962*K236)*(0.075*$Z241+0.54)</f>
        <v>-1.9129730451283526</v>
      </c>
      <c r="N242" s="9">
        <f>(0.0962*testdata[[#This Row],[Q1]]+0.5769*L240-0.5769*L238-0.0962*L236)*(0.075*$Z241+0.54)</f>
        <v>-1.033760754777995</v>
      </c>
      <c r="O242" s="9">
        <f>testdata[[#This Row],[I1]]-testdata[[#This Row],[JQ]]</f>
        <v>0.67143455518707174</v>
      </c>
      <c r="P242" s="9">
        <f>testdata[[#This Row],[Q1]]+testdata[[#This Row],[jI]]</f>
        <v>-0.59949688131986867</v>
      </c>
      <c r="Q242" s="9">
        <f>0.2*testdata[[#This Row],[I2]]+0.8*Q241</f>
        <v>2.3503122294216561</v>
      </c>
      <c r="R242" s="9">
        <f>0.2*testdata[[#This Row],[Q2]]+0.8*R241</f>
        <v>-1.0920525864791037</v>
      </c>
      <c r="S242" s="9">
        <f>testdata[[#This Row],[I2'']]*Q241+testdata[[#This Row],[Q2'']]*R241</f>
        <v>7.8374922927198742</v>
      </c>
      <c r="T242" s="9">
        <f>testdata[[#This Row],[I2'']]*R241-testdata[[#This Row],[Q2'']]*Q241</f>
        <v>0.16894075225568583</v>
      </c>
      <c r="U242" s="9">
        <f>0.2*testdata[[#This Row],[Re]]+0.8*U241</f>
        <v>5.7002137539725934</v>
      </c>
      <c r="V242" s="9">
        <f>0.2*testdata[[#This Row],[Im]]+0.8*V241</f>
        <v>1.1218320426209301</v>
      </c>
      <c r="W242" s="9">
        <f>IF(AND(testdata[[#This Row],[Re'']]&lt;&gt;0,testdata[[#This Row],[Im'']]&lt;&gt;0),2*PI()/ATAN(testdata[[#This Row],[Im'']]/testdata[[#This Row],[Re'']]),0)</f>
        <v>32.333916415311258</v>
      </c>
      <c r="X242" s="9">
        <f>IF(testdata[[#This Row],[pd-atan]]&gt;1.5*Z241,1.5*Z241,IF(testdata[[#This Row],[pd-atan]]&lt;0.67*Z241,0.67*Z241,testdata[[#This Row],[pd-atan]]))</f>
        <v>32.333916415311258</v>
      </c>
      <c r="Y242" s="9">
        <f>IF(testdata[[#This Row],[pd-limit1]]&lt;6,6,IF(testdata[[#This Row],[pd-limit1]]&gt;50,50,testdata[[#This Row],[pd-limit1]]))</f>
        <v>32.333916415311258</v>
      </c>
      <c r="Z242" s="14">
        <f>0.2*testdata[[#This Row],[pd-limit2]]+0.8*Z241</f>
        <v>24.798993171300062</v>
      </c>
      <c r="AA242" s="14">
        <f>0.33*testdata[[#This Row],[period]]+0.67*AA241</f>
        <v>22.465043071576943</v>
      </c>
      <c r="AB242" s="31">
        <f>TRUNC(testdata[[#This Row],[SmPd]]+0.5,0)</f>
        <v>22</v>
      </c>
      <c r="AC242" s="14">
        <f ca="1">IF(testdata[[#This Row],[PdInt]]&lt;=0,0,AVERAGE(OFFSET(testdata[[#This Row],[price]],0,0,-testdata[[#This Row],[PdInt]],1)))</f>
        <v>251.23477272727268</v>
      </c>
      <c r="AD242" s="14">
        <f ca="1">IF(testdata[[#This Row],[i]]&lt;11,testdata[[#This Row],[price]],(4*testdata[[#This Row],[iTrend]]+3*AC241+2*AC240+AC239)/10)</f>
        <v>250.96817218614714</v>
      </c>
      <c r="AE242" s="14">
        <f>(4*testdata[[#This Row],[price]]+3*H241+2*H240+H239)/10</f>
        <v>255.51650000000001</v>
      </c>
      <c r="AF242" t="str">
        <f ca="1">IF(OR(ROUND(testdata[[#This Row],[Trendline]],4)&lt;&gt;Table3[[#This Row],[Trendline]],ROUND(testdata[[#This Row],[SmPrice]],4)&lt;&gt;Table3[[#This Row],[SmPrice]]),"ERR","")</f>
        <v/>
      </c>
      <c r="AG242" s="3">
        <v>43083</v>
      </c>
      <c r="AH242" s="14">
        <v>22.465199999999999</v>
      </c>
      <c r="AI242" s="34">
        <v>22</v>
      </c>
      <c r="AJ242" s="14">
        <v>251.23480000000001</v>
      </c>
      <c r="AK242" s="14">
        <v>250.9682</v>
      </c>
      <c r="AL242" s="14">
        <v>255.51650000000001</v>
      </c>
      <c r="AN242" s="38">
        <f t="shared" si="10"/>
        <v>0</v>
      </c>
      <c r="AO242" s="38">
        <f t="shared" si="11"/>
        <v>0</v>
      </c>
      <c r="AQ242" s="37">
        <v>43083</v>
      </c>
      <c r="AR242">
        <v>22</v>
      </c>
      <c r="AS242">
        <v>250.968172186147</v>
      </c>
      <c r="AT242">
        <v>255.51650000000001</v>
      </c>
      <c r="AV242" s="37">
        <v>43083</v>
      </c>
      <c r="AW242">
        <v>22</v>
      </c>
      <c r="AX242">
        <v>250.968172186147</v>
      </c>
      <c r="AY242">
        <v>255.51650000000001</v>
      </c>
      <c r="BA242" s="38">
        <f>AX242-Table3[[#This Row],[Trendline]]</f>
        <v>-2.7813852994995614E-5</v>
      </c>
      <c r="BB242" s="38">
        <f>AY242-Table3[[#This Row],[SmPrice]]</f>
        <v>0</v>
      </c>
    </row>
    <row r="243" spans="1:54" x14ac:dyDescent="0.35">
      <c r="A243" s="6">
        <v>241</v>
      </c>
      <c r="B243" s="3">
        <v>43084</v>
      </c>
      <c r="C243" s="2">
        <v>255.66</v>
      </c>
      <c r="D243" s="2">
        <v>257.19</v>
      </c>
      <c r="E243" s="2">
        <v>255.6</v>
      </c>
      <c r="F243" s="2">
        <v>256.68</v>
      </c>
      <c r="G243" s="1">
        <v>150146832</v>
      </c>
      <c r="H243" s="30">
        <f>(testdata[[#This Row],[high]]+testdata[[#This Row],[low]])/2</f>
        <v>256.39499999999998</v>
      </c>
      <c r="I243" s="23">
        <f>(4*testdata[[#This Row],[price]]+3*H242+2*H241+H240)/10</f>
        <v>255.90099999999998</v>
      </c>
      <c r="J243" s="9">
        <f>(0.0962*testdata[[#This Row],[smooth]]+0.5769*I241-0.5769*I239-0.0962*I237)*(0.075*$Z242+0.54)</f>
        <v>2.9628932543805164</v>
      </c>
      <c r="K243" s="14">
        <f t="shared" si="9"/>
        <v>0.48943494763354883</v>
      </c>
      <c r="L243" s="14">
        <f>(0.0962*testdata[[#This Row],[detrender]]+0.5769*J241-0.5769*J239-0.0962*J237)*(0.075*$Z242+0.54)</f>
        <v>3.326862337674017</v>
      </c>
      <c r="M243" s="9">
        <f>(0.0962*testdata[[#This Row],[I1]]+0.5769*K241-0.5769*K239-0.0962*K237)*(0.075*$Z242+0.54)</f>
        <v>-3.263401062731901</v>
      </c>
      <c r="N243" s="9">
        <f>(0.0962*testdata[[#This Row],[Q1]]+0.5769*L241-0.5769*L239-0.0962*L237)*(0.075*$Z242+0.54)</f>
        <v>0.15416014729906846</v>
      </c>
      <c r="O243" s="9">
        <f>testdata[[#This Row],[I1]]-testdata[[#This Row],[JQ]]</f>
        <v>0.33527480033448037</v>
      </c>
      <c r="P243" s="9">
        <f>testdata[[#This Row],[Q1]]+testdata[[#This Row],[jI]]</f>
        <v>6.3461274942115953E-2</v>
      </c>
      <c r="Q243" s="9">
        <f>0.2*testdata[[#This Row],[I2]]+0.8*Q242</f>
        <v>1.947304743604221</v>
      </c>
      <c r="R243" s="9">
        <f>0.2*testdata[[#This Row],[Q2]]+0.8*R242</f>
        <v>-0.86094981419485983</v>
      </c>
      <c r="S243" s="9">
        <f>testdata[[#This Row],[I2'']]*Q242+testdata[[#This Row],[Q2'']]*R242</f>
        <v>5.5169766247240037</v>
      </c>
      <c r="T243" s="9">
        <f>testdata[[#This Row],[I2'']]*R242-testdata[[#This Row],[Q2'']]*Q242</f>
        <v>-0.10305830469553623</v>
      </c>
      <c r="U243" s="9">
        <f>0.2*testdata[[#This Row],[Re]]+0.8*U242</f>
        <v>5.6635663281228759</v>
      </c>
      <c r="V243" s="9">
        <f>0.2*testdata[[#This Row],[Im]]+0.8*V242</f>
        <v>0.8768539731576368</v>
      </c>
      <c r="W243" s="9">
        <f>IF(AND(testdata[[#This Row],[Re'']]&lt;&gt;0,testdata[[#This Row],[Im'']]&lt;&gt;0),2*PI()/ATAN(testdata[[#This Row],[Im'']]/testdata[[#This Row],[Re'']]),0)</f>
        <v>40.905068756832854</v>
      </c>
      <c r="X243" s="9">
        <f>IF(testdata[[#This Row],[pd-atan]]&gt;1.5*Z242,1.5*Z242,IF(testdata[[#This Row],[pd-atan]]&lt;0.67*Z242,0.67*Z242,testdata[[#This Row],[pd-atan]]))</f>
        <v>37.198489756950096</v>
      </c>
      <c r="Y243" s="9">
        <f>IF(testdata[[#This Row],[pd-limit1]]&lt;6,6,IF(testdata[[#This Row],[pd-limit1]]&gt;50,50,testdata[[#This Row],[pd-limit1]]))</f>
        <v>37.198489756950096</v>
      </c>
      <c r="Z243" s="14">
        <f>0.2*testdata[[#This Row],[pd-limit2]]+0.8*Z242</f>
        <v>27.278892488430071</v>
      </c>
      <c r="AA243" s="14">
        <f>0.33*testdata[[#This Row],[period]]+0.67*AA242</f>
        <v>24.053613379138476</v>
      </c>
      <c r="AB243" s="31">
        <f>TRUNC(testdata[[#This Row],[SmPd]]+0.5,0)</f>
        <v>24</v>
      </c>
      <c r="AC243" s="14">
        <f ca="1">IF(testdata[[#This Row],[PdInt]]&lt;=0,0,AVERAGE(OFFSET(testdata[[#This Row],[price]],0,0,-testdata[[#This Row],[PdInt]],1)))</f>
        <v>251.27979166666668</v>
      </c>
      <c r="AD243" s="14">
        <f ca="1">IF(testdata[[#This Row],[i]]&lt;11,testdata[[#This Row],[price]],(4*testdata[[#This Row],[iTrend]]+3*AC242+2*AC241+AC240)/10)</f>
        <v>251.1530627705628</v>
      </c>
      <c r="AE243" s="14">
        <f>(4*testdata[[#This Row],[price]]+3*H242+2*H241+H240)/10</f>
        <v>255.90099999999998</v>
      </c>
      <c r="AF243" t="str">
        <f ca="1">IF(OR(ROUND(testdata[[#This Row],[Trendline]],4)&lt;&gt;Table3[[#This Row],[Trendline]],ROUND(testdata[[#This Row],[SmPrice]],4)&lt;&gt;Table3[[#This Row],[SmPrice]]),"ERR","")</f>
        <v/>
      </c>
      <c r="AG243" s="3">
        <v>43084</v>
      </c>
      <c r="AH243" s="14">
        <v>24.053799999999999</v>
      </c>
      <c r="AI243" s="34">
        <v>24</v>
      </c>
      <c r="AJ243" s="14">
        <v>251.27979999999999</v>
      </c>
      <c r="AK243" s="14">
        <v>251.15309999999999</v>
      </c>
      <c r="AL243" s="14">
        <v>255.90100000000001</v>
      </c>
      <c r="AN243" s="38">
        <f t="shared" si="10"/>
        <v>0</v>
      </c>
      <c r="AO243" s="38">
        <f t="shared" si="11"/>
        <v>0</v>
      </c>
      <c r="AQ243" s="37">
        <v>43084</v>
      </c>
      <c r="AR243">
        <v>24</v>
      </c>
      <c r="AS243">
        <v>251.153062770562</v>
      </c>
      <c r="AT243">
        <v>255.90099999999899</v>
      </c>
      <c r="AV243" s="37">
        <v>43084</v>
      </c>
      <c r="AW243">
        <v>24</v>
      </c>
      <c r="AX243">
        <v>251.153062770562</v>
      </c>
      <c r="AY243">
        <v>255.90099999999899</v>
      </c>
      <c r="BA243" s="38">
        <f>AX243-Table3[[#This Row],[Trendline]]</f>
        <v>-3.722943799289169E-5</v>
      </c>
      <c r="BB243" s="38">
        <f>AY243-Table3[[#This Row],[SmPrice]]</f>
        <v>-1.0231815394945443E-12</v>
      </c>
    </row>
    <row r="244" spans="1:54" x14ac:dyDescent="0.35">
      <c r="A244" s="6">
        <v>242</v>
      </c>
      <c r="B244" s="3">
        <v>43087</v>
      </c>
      <c r="C244" s="2">
        <v>258.20999999999998</v>
      </c>
      <c r="D244" s="2">
        <v>258.7</v>
      </c>
      <c r="E244" s="2">
        <v>258.10000000000002</v>
      </c>
      <c r="F244" s="2">
        <v>258.31</v>
      </c>
      <c r="G244" s="1">
        <v>86856320</v>
      </c>
      <c r="H244" s="30">
        <f>(testdata[[#This Row],[high]]+testdata[[#This Row],[low]])/2</f>
        <v>258.39999999999998</v>
      </c>
      <c r="I244" s="23">
        <f>(4*testdata[[#This Row],[price]]+3*H243+2*H242+H241)/10</f>
        <v>256.93</v>
      </c>
      <c r="J244" s="9">
        <f>(0.0962*testdata[[#This Row],[smooth]]+0.5769*I242-0.5769*I240-0.0962*I238)*(0.075*$Z243+0.54)</f>
        <v>2.1415070702157593</v>
      </c>
      <c r="K244" s="14">
        <f t="shared" si="9"/>
        <v>1.7587508392932667</v>
      </c>
      <c r="L244" s="14">
        <f>(0.0962*testdata[[#This Row],[detrender]]+0.5769*J242-0.5769*J240-0.0962*J238)*(0.075*$Z243+0.54)</f>
        <v>4.0254439835151485</v>
      </c>
      <c r="M244" s="9">
        <f>(0.0962*testdata[[#This Row],[I1]]+0.5769*K242-0.5769*K240-0.0962*K238)*(0.075*$Z243+0.54)</f>
        <v>-2.5669905473937855</v>
      </c>
      <c r="N244" s="9">
        <f>(0.0962*testdata[[#This Row],[Q1]]+0.5769*L242-0.5769*L240-0.0962*L238)*(0.075*$Z243+0.54)</f>
        <v>7.8731880491834554</v>
      </c>
      <c r="O244" s="9">
        <f>testdata[[#This Row],[I1]]-testdata[[#This Row],[JQ]]</f>
        <v>-6.1144372098901885</v>
      </c>
      <c r="P244" s="9">
        <f>testdata[[#This Row],[Q1]]+testdata[[#This Row],[jI]]</f>
        <v>1.458453436121363</v>
      </c>
      <c r="Q244" s="9">
        <f>0.2*testdata[[#This Row],[I2]]+0.8*Q243</f>
        <v>0.33495635290533921</v>
      </c>
      <c r="R244" s="9">
        <f>0.2*testdata[[#This Row],[Q2]]+0.8*R243</f>
        <v>-0.3970691641316153</v>
      </c>
      <c r="S244" s="9">
        <f>testdata[[#This Row],[I2'']]*Q243+testdata[[#This Row],[Q2'']]*R243</f>
        <v>0.99411871799455898</v>
      </c>
      <c r="T244" s="9">
        <f>testdata[[#This Row],[I2'']]*R243-testdata[[#This Row],[Q2'']]*Q243</f>
        <v>0.48483405705521787</v>
      </c>
      <c r="U244" s="9">
        <f>0.2*testdata[[#This Row],[Re]]+0.8*U243</f>
        <v>4.7296768060972134</v>
      </c>
      <c r="V244" s="9">
        <f>0.2*testdata[[#This Row],[Im]]+0.8*V243</f>
        <v>0.7984499899371531</v>
      </c>
      <c r="W244" s="9">
        <f>IF(AND(testdata[[#This Row],[Re'']]&lt;&gt;0,testdata[[#This Row],[Im'']]&lt;&gt;0),2*PI()/ATAN(testdata[[#This Row],[Im'']]/testdata[[#This Row],[Re'']]),0)</f>
        <v>37.569828764246203</v>
      </c>
      <c r="X244" s="9">
        <f>IF(testdata[[#This Row],[pd-atan]]&gt;1.5*Z243,1.5*Z243,IF(testdata[[#This Row],[pd-atan]]&lt;0.67*Z243,0.67*Z243,testdata[[#This Row],[pd-atan]]))</f>
        <v>37.569828764246203</v>
      </c>
      <c r="Y244" s="9">
        <f>IF(testdata[[#This Row],[pd-limit1]]&lt;6,6,IF(testdata[[#This Row],[pd-limit1]]&gt;50,50,testdata[[#This Row],[pd-limit1]]))</f>
        <v>37.569828764246203</v>
      </c>
      <c r="Z244" s="14">
        <f>0.2*testdata[[#This Row],[pd-limit2]]+0.8*Z243</f>
        <v>29.3370797435933</v>
      </c>
      <c r="AA244" s="14">
        <f>0.33*testdata[[#This Row],[period]]+0.67*AA243</f>
        <v>25.79715727940857</v>
      </c>
      <c r="AB244" s="31">
        <f>TRUNC(testdata[[#This Row],[SmPd]]+0.5,0)</f>
        <v>26</v>
      </c>
      <c r="AC244" s="14">
        <f ca="1">IF(testdata[[#This Row],[PdInt]]&lt;=0,0,AVERAGE(OFFSET(testdata[[#This Row],[price]],0,0,-testdata[[#This Row],[PdInt]],1)))</f>
        <v>251.3913461538462</v>
      </c>
      <c r="AD244" s="14">
        <f ca="1">IF(testdata[[#This Row],[i]]&lt;11,testdata[[#This Row],[price]],(4*testdata[[#This Row],[iTrend]]+3*AC243+2*AC242+AC241)/10)</f>
        <v>251.29162098318352</v>
      </c>
      <c r="AE244" s="14">
        <f>(4*testdata[[#This Row],[price]]+3*H243+2*H242+H241)/10</f>
        <v>256.93</v>
      </c>
      <c r="AF244" t="str">
        <f ca="1">IF(OR(ROUND(testdata[[#This Row],[Trendline]],4)&lt;&gt;Table3[[#This Row],[Trendline]],ROUND(testdata[[#This Row],[SmPrice]],4)&lt;&gt;Table3[[#This Row],[SmPrice]]),"ERR","")</f>
        <v/>
      </c>
      <c r="AG244" s="3">
        <v>43087</v>
      </c>
      <c r="AH244" s="14">
        <v>25.7974</v>
      </c>
      <c r="AI244" s="34">
        <v>26</v>
      </c>
      <c r="AJ244" s="14">
        <v>251.3913</v>
      </c>
      <c r="AK244" s="14">
        <v>251.29159999999999</v>
      </c>
      <c r="AL244" s="14">
        <v>256.93</v>
      </c>
      <c r="AN244" s="38">
        <f t="shared" si="10"/>
        <v>0</v>
      </c>
      <c r="AO244" s="38">
        <f t="shared" si="11"/>
        <v>0</v>
      </c>
      <c r="AQ244" s="37">
        <v>43087</v>
      </c>
      <c r="AR244">
        <v>26</v>
      </c>
      <c r="AS244">
        <v>251.29162098318301</v>
      </c>
      <c r="AT244">
        <v>256.93</v>
      </c>
      <c r="AV244" s="37">
        <v>43087</v>
      </c>
      <c r="AW244">
        <v>26</v>
      </c>
      <c r="AX244">
        <v>251.29162098318301</v>
      </c>
      <c r="AY244">
        <v>256.93</v>
      </c>
      <c r="BA244" s="38">
        <f>AX244-Table3[[#This Row],[Trendline]]</f>
        <v>2.0983183020462093E-5</v>
      </c>
      <c r="BB244" s="38">
        <f>AY244-Table3[[#This Row],[SmPrice]]</f>
        <v>0</v>
      </c>
    </row>
    <row r="245" spans="1:54" x14ac:dyDescent="0.35">
      <c r="A245" s="6">
        <v>243</v>
      </c>
      <c r="B245" s="3">
        <v>43088</v>
      </c>
      <c r="C245" s="2">
        <v>258.58</v>
      </c>
      <c r="D245" s="2">
        <v>258.63</v>
      </c>
      <c r="E245" s="2">
        <v>257.24</v>
      </c>
      <c r="F245" s="2">
        <v>257.32</v>
      </c>
      <c r="G245" s="1">
        <v>85536976</v>
      </c>
      <c r="H245" s="30">
        <f>(testdata[[#This Row],[high]]+testdata[[#This Row],[low]])/2</f>
        <v>257.935</v>
      </c>
      <c r="I245" s="23">
        <f>(4*testdata[[#This Row],[price]]+3*H244+2*H243+H242)/10</f>
        <v>257.50149999999996</v>
      </c>
      <c r="J245" s="9">
        <f>(0.0962*testdata[[#This Row],[smooth]]+0.5769*I243-0.5769*I241-0.0962*I239)*(0.075*$Z244+0.54)</f>
        <v>1.7380130730133496</v>
      </c>
      <c r="K245" s="14">
        <f t="shared" si="9"/>
        <v>2.7769076380001909</v>
      </c>
      <c r="L245" s="14">
        <f>(0.0962*testdata[[#This Row],[detrender]]+0.5769*J243-0.5769*J241-0.0962*J239)*(0.075*$Z244+0.54)</f>
        <v>2.4572713303193368</v>
      </c>
      <c r="M245" s="9">
        <f>(0.0962*testdata[[#This Row],[I1]]+0.5769*K243-0.5769*K241-0.0962*K239)*(0.075*$Z244+0.54)</f>
        <v>1.5935635148790346</v>
      </c>
      <c r="N245" s="9">
        <f>(0.0962*testdata[[#This Row],[Q1]]+0.5769*L243-0.5769*L241-0.0962*L239)*(0.075*$Z244+0.54)</f>
        <v>9.8622923431785559</v>
      </c>
      <c r="O245" s="9">
        <f>testdata[[#This Row],[I1]]-testdata[[#This Row],[JQ]]</f>
        <v>-7.0853847051783649</v>
      </c>
      <c r="P245" s="9">
        <f>testdata[[#This Row],[Q1]]+testdata[[#This Row],[jI]]</f>
        <v>4.0508348451983718</v>
      </c>
      <c r="Q245" s="9">
        <f>0.2*testdata[[#This Row],[I2]]+0.8*Q244</f>
        <v>-1.1491118587114018</v>
      </c>
      <c r="R245" s="9">
        <f>0.2*testdata[[#This Row],[Q2]]+0.8*R244</f>
        <v>0.49251163773438217</v>
      </c>
      <c r="S245" s="9">
        <f>testdata[[#This Row],[I2'']]*Q244+testdata[[#This Row],[Q2'']]*R244</f>
        <v>-0.58046350159453064</v>
      </c>
      <c r="T245" s="9">
        <f>testdata[[#This Row],[I2'']]*R244-testdata[[#This Row],[Q2'']]*Q244</f>
        <v>0.29130698329331883</v>
      </c>
      <c r="U245" s="9">
        <f>0.2*testdata[[#This Row],[Re]]+0.8*U244</f>
        <v>3.667648744558865</v>
      </c>
      <c r="V245" s="9">
        <f>0.2*testdata[[#This Row],[Im]]+0.8*V244</f>
        <v>0.69702138860838636</v>
      </c>
      <c r="W245" s="9">
        <f>IF(AND(testdata[[#This Row],[Re'']]&lt;&gt;0,testdata[[#This Row],[Im'']]&lt;&gt;0),2*PI()/ATAN(testdata[[#This Row],[Im'']]/testdata[[#This Row],[Re'']]),0)</f>
        <v>33.45568813659667</v>
      </c>
      <c r="X245" s="9">
        <f>IF(testdata[[#This Row],[pd-atan]]&gt;1.5*Z244,1.5*Z244,IF(testdata[[#This Row],[pd-atan]]&lt;0.67*Z244,0.67*Z244,testdata[[#This Row],[pd-atan]]))</f>
        <v>33.45568813659667</v>
      </c>
      <c r="Y245" s="9">
        <f>IF(testdata[[#This Row],[pd-limit1]]&lt;6,6,IF(testdata[[#This Row],[pd-limit1]]&gt;50,50,testdata[[#This Row],[pd-limit1]]))</f>
        <v>33.45568813659667</v>
      </c>
      <c r="Z245" s="14">
        <f>0.2*testdata[[#This Row],[pd-limit2]]+0.8*Z244</f>
        <v>30.160801422193977</v>
      </c>
      <c r="AA245" s="14">
        <f>0.33*testdata[[#This Row],[period]]+0.67*AA244</f>
        <v>27.237159846527753</v>
      </c>
      <c r="AB245" s="31">
        <f>TRUNC(testdata[[#This Row],[SmPd]]+0.5,0)</f>
        <v>27</v>
      </c>
      <c r="AC245" s="14">
        <f ca="1">IF(testdata[[#This Row],[PdInt]]&lt;=0,0,AVERAGE(OFFSET(testdata[[#This Row],[price]],0,0,-testdata[[#This Row],[PdInt]],1)))</f>
        <v>251.63370370370376</v>
      </c>
      <c r="AD245" s="14">
        <f ca="1">IF(testdata[[#This Row],[i]]&lt;11,testdata[[#This Row],[price]],(4*testdata[[#This Row],[iTrend]]+3*AC244+2*AC243+AC242)/10)</f>
        <v>251.45032093369596</v>
      </c>
      <c r="AE245" s="14">
        <f>(4*testdata[[#This Row],[price]]+3*H244+2*H243+H242)/10</f>
        <v>257.50149999999996</v>
      </c>
      <c r="AF245" t="str">
        <f ca="1">IF(OR(ROUND(testdata[[#This Row],[Trendline]],4)&lt;&gt;Table3[[#This Row],[Trendline]],ROUND(testdata[[#This Row],[SmPrice]],4)&lt;&gt;Table3[[#This Row],[SmPrice]]),"ERR","")</f>
        <v/>
      </c>
      <c r="AG245" s="3">
        <v>43088</v>
      </c>
      <c r="AH245" s="14">
        <v>27.237400000000001</v>
      </c>
      <c r="AI245" s="34">
        <v>27</v>
      </c>
      <c r="AJ245" s="14">
        <v>251.6337</v>
      </c>
      <c r="AK245" s="14">
        <v>251.4503</v>
      </c>
      <c r="AL245" s="14">
        <v>257.50150000000002</v>
      </c>
      <c r="AN245" s="38">
        <f t="shared" si="10"/>
        <v>0</v>
      </c>
      <c r="AO245" s="38">
        <f t="shared" si="11"/>
        <v>0</v>
      </c>
      <c r="AQ245" s="37">
        <v>43088</v>
      </c>
      <c r="AR245">
        <v>27</v>
      </c>
      <c r="AS245">
        <v>251.450320933695</v>
      </c>
      <c r="AT245">
        <v>257.501499999999</v>
      </c>
      <c r="AV245" s="37">
        <v>43088</v>
      </c>
      <c r="AW245">
        <v>27</v>
      </c>
      <c r="AX245">
        <v>251.450320933695</v>
      </c>
      <c r="AY245">
        <v>257.501499999999</v>
      </c>
      <c r="BA245" s="38">
        <f>AX245-Table3[[#This Row],[Trendline]]</f>
        <v>2.0933694997893326E-5</v>
      </c>
      <c r="BB245" s="38">
        <f>AY245-Table3[[#This Row],[SmPrice]]</f>
        <v>-1.0231815394945443E-12</v>
      </c>
    </row>
    <row r="246" spans="1:54" x14ac:dyDescent="0.35">
      <c r="A246" s="6">
        <v>244</v>
      </c>
      <c r="B246" s="3">
        <v>43089</v>
      </c>
      <c r="C246" s="2">
        <v>258.38</v>
      </c>
      <c r="D246" s="2">
        <v>258.44</v>
      </c>
      <c r="E246" s="2">
        <v>256.86</v>
      </c>
      <c r="F246" s="2">
        <v>257.18</v>
      </c>
      <c r="G246" s="1">
        <v>79690000</v>
      </c>
      <c r="H246" s="30">
        <f>(testdata[[#This Row],[high]]+testdata[[#This Row],[low]])/2</f>
        <v>257.64999999999998</v>
      </c>
      <c r="I246" s="23">
        <f>(4*testdata[[#This Row],[price]]+3*H245+2*H244+H243)/10</f>
        <v>257.76</v>
      </c>
      <c r="J246" s="9">
        <f>(0.0962*testdata[[#This Row],[smooth]]+0.5769*I244-0.5769*I242-0.0962*I240)*(0.075*$Z245+0.54)</f>
        <v>3.1016960224196728</v>
      </c>
      <c r="K246" s="14">
        <f t="shared" si="9"/>
        <v>2.9628932543805164</v>
      </c>
      <c r="L246" s="14">
        <f>(0.0962*testdata[[#This Row],[detrender]]+0.5769*J244-0.5769*J242-0.0962*J240)*(0.075*$Z245+0.54)</f>
        <v>-0.32297405627229159</v>
      </c>
      <c r="M246" s="9">
        <f>(0.0962*testdata[[#This Row],[I1]]+0.5769*K244-0.5769*K242-0.0962*K240)*(0.075*$Z245+0.54)</f>
        <v>3.884317312467652</v>
      </c>
      <c r="N246" s="9">
        <f>(0.0962*testdata[[#This Row],[Q1]]+0.5769*L244-0.5769*L242-0.0962*L240)*(0.075*$Z245+0.54)</f>
        <v>5.0900712505225325</v>
      </c>
      <c r="O246" s="9">
        <f>testdata[[#This Row],[I1]]-testdata[[#This Row],[JQ]]</f>
        <v>-2.1271779961420161</v>
      </c>
      <c r="P246" s="9">
        <f>testdata[[#This Row],[Q1]]+testdata[[#This Row],[jI]]</f>
        <v>3.5613432561953604</v>
      </c>
      <c r="Q246" s="9">
        <f>0.2*testdata[[#This Row],[I2]]+0.8*Q245</f>
        <v>-1.3447250861975246</v>
      </c>
      <c r="R246" s="9">
        <f>0.2*testdata[[#This Row],[Q2]]+0.8*R245</f>
        <v>1.1062779614265779</v>
      </c>
      <c r="S246" s="9">
        <f>testdata[[#This Row],[I2'']]*Q245+testdata[[#This Row],[Q2'']]*R245</f>
        <v>2.0900943138279451</v>
      </c>
      <c r="T246" s="9">
        <f>testdata[[#This Row],[I2'']]*R245-testdata[[#This Row],[Q2'']]*Q245</f>
        <v>0.60894437000070434</v>
      </c>
      <c r="U246" s="9">
        <f>0.2*testdata[[#This Row],[Re]]+0.8*U245</f>
        <v>3.3521378584126813</v>
      </c>
      <c r="V246" s="9">
        <f>0.2*testdata[[#This Row],[Im]]+0.8*V245</f>
        <v>0.67940598488684989</v>
      </c>
      <c r="W246" s="9">
        <f>IF(AND(testdata[[#This Row],[Re'']]&lt;&gt;0,testdata[[#This Row],[Im'']]&lt;&gt;0),2*PI()/ATAN(testdata[[#This Row],[Im'']]/testdata[[#This Row],[Re'']]),0)</f>
        <v>31.42069832559914</v>
      </c>
      <c r="X246" s="9">
        <f>IF(testdata[[#This Row],[pd-atan]]&gt;1.5*Z245,1.5*Z245,IF(testdata[[#This Row],[pd-atan]]&lt;0.67*Z245,0.67*Z245,testdata[[#This Row],[pd-atan]]))</f>
        <v>31.42069832559914</v>
      </c>
      <c r="Y246" s="9">
        <f>IF(testdata[[#This Row],[pd-limit1]]&lt;6,6,IF(testdata[[#This Row],[pd-limit1]]&gt;50,50,testdata[[#This Row],[pd-limit1]]))</f>
        <v>31.42069832559914</v>
      </c>
      <c r="Z246" s="14">
        <f>0.2*testdata[[#This Row],[pd-limit2]]+0.8*Z245</f>
        <v>30.412780802875009</v>
      </c>
      <c r="AA246" s="14">
        <f>0.33*testdata[[#This Row],[period]]+0.67*AA245</f>
        <v>28.285114762122348</v>
      </c>
      <c r="AB246" s="31">
        <f>TRUNC(testdata[[#This Row],[SmPd]]+0.5,0)</f>
        <v>28</v>
      </c>
      <c r="AC246" s="14">
        <f ca="1">IF(testdata[[#This Row],[PdInt]]&lt;=0,0,AVERAGE(OFFSET(testdata[[#This Row],[price]],0,0,-testdata[[#This Row],[PdInt]],1)))</f>
        <v>251.84857142857146</v>
      </c>
      <c r="AD246" s="14">
        <f ca="1">IF(testdata[[#This Row],[i]]&lt;11,testdata[[#This Row],[price]],(4*testdata[[#This Row],[iTrend]]+3*AC245+2*AC244+AC243)/10)</f>
        <v>251.63578807997564</v>
      </c>
      <c r="AE246" s="14">
        <f>(4*testdata[[#This Row],[price]]+3*H245+2*H244+H243)/10</f>
        <v>257.76</v>
      </c>
      <c r="AF246" t="str">
        <f ca="1">IF(OR(ROUND(testdata[[#This Row],[Trendline]],4)&lt;&gt;Table3[[#This Row],[Trendline]],ROUND(testdata[[#This Row],[SmPrice]],4)&lt;&gt;Table3[[#This Row],[SmPrice]]),"ERR","")</f>
        <v/>
      </c>
      <c r="AG246" s="3">
        <v>43089</v>
      </c>
      <c r="AH246" s="14">
        <v>28.285399999999999</v>
      </c>
      <c r="AI246" s="34">
        <v>28</v>
      </c>
      <c r="AJ246" s="14">
        <v>251.8486</v>
      </c>
      <c r="AK246" s="14">
        <v>251.63579999999999</v>
      </c>
      <c r="AL246" s="14">
        <v>257.76</v>
      </c>
      <c r="AN246" s="38">
        <f t="shared" si="10"/>
        <v>0</v>
      </c>
      <c r="AO246" s="38">
        <f t="shared" si="11"/>
        <v>0</v>
      </c>
      <c r="AQ246" s="37">
        <v>43089</v>
      </c>
      <c r="AR246">
        <v>28</v>
      </c>
      <c r="AS246">
        <v>251.63578807997499</v>
      </c>
      <c r="AT246">
        <v>257.76</v>
      </c>
      <c r="AV246" s="37">
        <v>43089</v>
      </c>
      <c r="AW246">
        <v>28</v>
      </c>
      <c r="AX246">
        <v>251.63578807997499</v>
      </c>
      <c r="AY246">
        <v>257.76</v>
      </c>
      <c r="BA246" s="38">
        <f>AX246-Table3[[#This Row],[Trendline]]</f>
        <v>-1.1920025002609691E-5</v>
      </c>
      <c r="BB246" s="38">
        <f>AY246-Table3[[#This Row],[SmPrice]]</f>
        <v>0</v>
      </c>
    </row>
    <row r="247" spans="1:54" x14ac:dyDescent="0.35">
      <c r="A247" s="6">
        <v>245</v>
      </c>
      <c r="B247" s="3">
        <v>43090</v>
      </c>
      <c r="C247" s="2">
        <v>257.87</v>
      </c>
      <c r="D247" s="2">
        <v>258.49</v>
      </c>
      <c r="E247" s="2">
        <v>257.44</v>
      </c>
      <c r="F247" s="2">
        <v>257.70999999999998</v>
      </c>
      <c r="G247" s="1">
        <v>69598728</v>
      </c>
      <c r="H247" s="30">
        <f>(testdata[[#This Row],[high]]+testdata[[#This Row],[low]])/2</f>
        <v>257.96500000000003</v>
      </c>
      <c r="I247" s="23">
        <f>(4*testdata[[#This Row],[price]]+3*H246+2*H245+H244)/10</f>
        <v>257.90800000000002</v>
      </c>
      <c r="J247" s="9">
        <f>(0.0962*testdata[[#This Row],[smooth]]+0.5769*I245-0.5769*I243-0.0962*I241)*(0.075*$Z246+0.54)</f>
        <v>3.2801266903015462</v>
      </c>
      <c r="K247" s="14">
        <f t="shared" si="9"/>
        <v>2.1415070702157593</v>
      </c>
      <c r="L247" s="14">
        <f>(0.0962*testdata[[#This Row],[detrender]]+0.5769*J245-0.5769*J243-0.0962*J241)*(0.075*$Z246+0.54)</f>
        <v>-1.5805182549945704</v>
      </c>
      <c r="M247" s="9">
        <f>(0.0962*testdata[[#This Row],[I1]]+0.5769*K245-0.5769*K243-0.0962*K241)*(0.075*$Z246+0.54)</f>
        <v>4.3913284696431196</v>
      </c>
      <c r="N247" s="9">
        <f>(0.0962*testdata[[#This Row],[Q1]]+0.5769*L245-0.5769*L243-0.0962*L241)*(0.075*$Z246+0.54)</f>
        <v>-1.2431754739643406</v>
      </c>
      <c r="O247" s="9">
        <f>testdata[[#This Row],[I1]]-testdata[[#This Row],[JQ]]</f>
        <v>3.3846825441800998</v>
      </c>
      <c r="P247" s="9">
        <f>testdata[[#This Row],[Q1]]+testdata[[#This Row],[jI]]</f>
        <v>2.8108102146485492</v>
      </c>
      <c r="Q247" s="9">
        <f>0.2*testdata[[#This Row],[I2]]+0.8*Q246</f>
        <v>-0.39884356012199973</v>
      </c>
      <c r="R247" s="9">
        <f>0.2*testdata[[#This Row],[Q2]]+0.8*R246</f>
        <v>1.447184412070972</v>
      </c>
      <c r="S247" s="9">
        <f>testdata[[#This Row],[I2'']]*Q246+testdata[[#This Row],[Q2'']]*R246</f>
        <v>2.1373231619585793</v>
      </c>
      <c r="T247" s="9">
        <f>testdata[[#This Row],[I2'']]*R246-testdata[[#This Row],[Q2'']]*Q246</f>
        <v>1.5048333426459672</v>
      </c>
      <c r="U247" s="9">
        <f>0.2*testdata[[#This Row],[Re]]+0.8*U246</f>
        <v>3.1091749191218612</v>
      </c>
      <c r="V247" s="9">
        <f>0.2*testdata[[#This Row],[Im]]+0.8*V246</f>
        <v>0.8444914564386734</v>
      </c>
      <c r="W247" s="9">
        <f>IF(AND(testdata[[#This Row],[Re'']]&lt;&gt;0,testdata[[#This Row],[Im'']]&lt;&gt;0),2*PI()/ATAN(testdata[[#This Row],[Im'']]/testdata[[#This Row],[Re'']]),0)</f>
        <v>23.690969076749226</v>
      </c>
      <c r="X247" s="9">
        <f>IF(testdata[[#This Row],[pd-atan]]&gt;1.5*Z246,1.5*Z246,IF(testdata[[#This Row],[pd-atan]]&lt;0.67*Z246,0.67*Z246,testdata[[#This Row],[pd-atan]]))</f>
        <v>23.690969076749226</v>
      </c>
      <c r="Y247" s="9">
        <f>IF(testdata[[#This Row],[pd-limit1]]&lt;6,6,IF(testdata[[#This Row],[pd-limit1]]&gt;50,50,testdata[[#This Row],[pd-limit1]]))</f>
        <v>23.690969076749226</v>
      </c>
      <c r="Z247" s="14">
        <f>0.2*testdata[[#This Row],[pd-limit2]]+0.8*Z246</f>
        <v>29.068418457649855</v>
      </c>
      <c r="AA247" s="14">
        <f>0.33*testdata[[#This Row],[period]]+0.67*AA246</f>
        <v>28.543604981646428</v>
      </c>
      <c r="AB247" s="31">
        <f>TRUNC(testdata[[#This Row],[SmPd]]+0.5,0)</f>
        <v>29</v>
      </c>
      <c r="AC247" s="14">
        <f ca="1">IF(testdata[[#This Row],[PdInt]]&lt;=0,0,AVERAGE(OFFSET(testdata[[#This Row],[price]],0,0,-testdata[[#This Row],[PdInt]],1)))</f>
        <v>252.05948275862073</v>
      </c>
      <c r="AD247" s="14">
        <f ca="1">IF(testdata[[#This Row],[i]]&lt;11,testdata[[#This Row],[price]],(4*testdata[[#This Row],[iTrend]]+3*AC246+2*AC245+AC244)/10)</f>
        <v>251.8442398881451</v>
      </c>
      <c r="AE247" s="14">
        <f>(4*testdata[[#This Row],[price]]+3*H246+2*H245+H244)/10</f>
        <v>257.90800000000002</v>
      </c>
      <c r="AF247" t="str">
        <f ca="1">IF(OR(ROUND(testdata[[#This Row],[Trendline]],4)&lt;&gt;Table3[[#This Row],[Trendline]],ROUND(testdata[[#This Row],[SmPrice]],4)&lt;&gt;Table3[[#This Row],[SmPrice]]),"ERR","")</f>
        <v/>
      </c>
      <c r="AG247" s="3">
        <v>43090</v>
      </c>
      <c r="AH247" s="14">
        <v>28.543900000000001</v>
      </c>
      <c r="AI247" s="34">
        <v>29</v>
      </c>
      <c r="AJ247" s="14">
        <v>252.05950000000001</v>
      </c>
      <c r="AK247" s="14">
        <v>251.8442</v>
      </c>
      <c r="AL247" s="14">
        <v>257.90800000000002</v>
      </c>
      <c r="AN247" s="38">
        <f t="shared" si="10"/>
        <v>0</v>
      </c>
      <c r="AO247" s="38">
        <f t="shared" si="11"/>
        <v>0</v>
      </c>
      <c r="AQ247" s="37">
        <v>43090</v>
      </c>
      <c r="AR247">
        <v>29</v>
      </c>
      <c r="AS247">
        <v>251.84423988814501</v>
      </c>
      <c r="AT247">
        <v>257.90800000000002</v>
      </c>
      <c r="AV247" s="37">
        <v>43090</v>
      </c>
      <c r="AW247">
        <v>29</v>
      </c>
      <c r="AX247">
        <v>251.84423988814501</v>
      </c>
      <c r="AY247">
        <v>257.90800000000002</v>
      </c>
      <c r="BA247" s="38">
        <f>AX247-Table3[[#This Row],[Trendline]]</f>
        <v>3.9888145010991138E-5</v>
      </c>
      <c r="BB247" s="38">
        <f>AY247-Table3[[#This Row],[SmPrice]]</f>
        <v>0</v>
      </c>
    </row>
    <row r="248" spans="1:54" x14ac:dyDescent="0.35">
      <c r="A248" s="6">
        <v>246</v>
      </c>
      <c r="B248" s="3">
        <v>43091</v>
      </c>
      <c r="C248" s="2">
        <v>257.73</v>
      </c>
      <c r="D248" s="2">
        <v>257.77</v>
      </c>
      <c r="E248" s="2">
        <v>257.06</v>
      </c>
      <c r="F248" s="2">
        <v>257.64999999999998</v>
      </c>
      <c r="G248" s="1">
        <v>81734768</v>
      </c>
      <c r="H248" s="30">
        <f>(testdata[[#This Row],[high]]+testdata[[#This Row],[low]])/2</f>
        <v>257.41499999999996</v>
      </c>
      <c r="I248" s="23">
        <f>(4*testdata[[#This Row],[price]]+3*H247+2*H246+H245)/10</f>
        <v>257.67899999999997</v>
      </c>
      <c r="J248" s="9">
        <f>(0.0962*testdata[[#This Row],[smooth]]+0.5769*I246-0.5769*I244-0.0962*I242)*(0.075*$Z247+0.54)</f>
        <v>1.8683480825708936</v>
      </c>
      <c r="K248" s="14">
        <f t="shared" si="9"/>
        <v>1.7380130730133496</v>
      </c>
      <c r="L248" s="14">
        <f>(0.0962*testdata[[#This Row],[detrender]]+0.5769*J246-0.5769*J244-0.0962*J242)*(0.075*$Z247+0.54)</f>
        <v>1.2690217449130763</v>
      </c>
      <c r="M248" s="9">
        <f>(0.0962*testdata[[#This Row],[I1]]+0.5769*K246-0.5769*K244-0.0962*K242)*(0.075*$Z247+0.54)</f>
        <v>2.4392027358901029</v>
      </c>
      <c r="N248" s="9">
        <f>(0.0962*testdata[[#This Row],[Q1]]+0.5769*L246-0.5769*L244-0.0962*L242)*(0.075*$Z247+0.54)</f>
        <v>-6.835360712615608</v>
      </c>
      <c r="O248" s="9">
        <f>testdata[[#This Row],[I1]]-testdata[[#This Row],[JQ]]</f>
        <v>8.5733737856289576</v>
      </c>
      <c r="P248" s="9">
        <f>testdata[[#This Row],[Q1]]+testdata[[#This Row],[jI]]</f>
        <v>3.708224480803179</v>
      </c>
      <c r="Q248" s="9">
        <f>0.2*testdata[[#This Row],[I2]]+0.8*Q247</f>
        <v>1.3955999090281919</v>
      </c>
      <c r="R248" s="9">
        <f>0.2*testdata[[#This Row],[Q2]]+0.8*R247</f>
        <v>1.8993924258174135</v>
      </c>
      <c r="S248" s="9">
        <f>testdata[[#This Row],[I2'']]*Q247+testdata[[#This Row],[Q2'']]*R247</f>
        <v>2.1921450748258877</v>
      </c>
      <c r="T248" s="9">
        <f>testdata[[#This Row],[I2'']]*R247-testdata[[#This Row],[Q2'']]*Q247</f>
        <v>2.7772508710150445</v>
      </c>
      <c r="U248" s="9">
        <f>0.2*testdata[[#This Row],[Re]]+0.8*U247</f>
        <v>2.9257689502626669</v>
      </c>
      <c r="V248" s="9">
        <f>0.2*testdata[[#This Row],[Im]]+0.8*V247</f>
        <v>1.2310433393539477</v>
      </c>
      <c r="W248" s="9">
        <f>IF(AND(testdata[[#This Row],[Re'']]&lt;&gt;0,testdata[[#This Row],[Im'']]&lt;&gt;0),2*PI()/ATAN(testdata[[#This Row],[Im'']]/testdata[[#This Row],[Re'']]),0)</f>
        <v>15.776079468025397</v>
      </c>
      <c r="X248" s="9">
        <f>IF(testdata[[#This Row],[pd-atan]]&gt;1.5*Z247,1.5*Z247,IF(testdata[[#This Row],[pd-atan]]&lt;0.67*Z247,0.67*Z247,testdata[[#This Row],[pd-atan]]))</f>
        <v>19.475840366625405</v>
      </c>
      <c r="Y248" s="9">
        <f>IF(testdata[[#This Row],[pd-limit1]]&lt;6,6,IF(testdata[[#This Row],[pd-limit1]]&gt;50,50,testdata[[#This Row],[pd-limit1]]))</f>
        <v>19.475840366625405</v>
      </c>
      <c r="Z248" s="14">
        <f>0.2*testdata[[#This Row],[pd-limit2]]+0.8*Z247</f>
        <v>27.149902839444966</v>
      </c>
      <c r="AA248" s="14">
        <f>0.33*testdata[[#This Row],[period]]+0.67*AA247</f>
        <v>28.083683274719949</v>
      </c>
      <c r="AB248" s="31">
        <f>TRUNC(testdata[[#This Row],[SmPd]]+0.5,0)</f>
        <v>28</v>
      </c>
      <c r="AC248" s="14">
        <f ca="1">IF(testdata[[#This Row],[PdInt]]&lt;=0,0,AVERAGE(OFFSET(testdata[[#This Row],[price]],0,0,-testdata[[#This Row],[PdInt]],1)))</f>
        <v>252.60446428571427</v>
      </c>
      <c r="AD248" s="14">
        <f ca="1">IF(testdata[[#This Row],[i]]&lt;11,testdata[[#This Row],[price]],(4*testdata[[#This Row],[iTrend]]+3*AC247+2*AC246+AC245)/10)</f>
        <v>252.19271519795657</v>
      </c>
      <c r="AE248" s="14">
        <f>(4*testdata[[#This Row],[price]]+3*H247+2*H246+H245)/10</f>
        <v>257.67899999999997</v>
      </c>
      <c r="AF248" t="str">
        <f ca="1">IF(OR(ROUND(testdata[[#This Row],[Trendline]],4)&lt;&gt;Table3[[#This Row],[Trendline]],ROUND(testdata[[#This Row],[SmPrice]],4)&lt;&gt;Table3[[#This Row],[SmPrice]]),"ERR","")</f>
        <v/>
      </c>
      <c r="AG248" s="3">
        <v>43091</v>
      </c>
      <c r="AH248" s="14">
        <v>28.084</v>
      </c>
      <c r="AI248" s="34">
        <v>28</v>
      </c>
      <c r="AJ248" s="14">
        <v>252.6045</v>
      </c>
      <c r="AK248" s="14">
        <v>252.1927</v>
      </c>
      <c r="AL248" s="14">
        <v>257.67899999999997</v>
      </c>
      <c r="AN248" s="38">
        <f t="shared" si="10"/>
        <v>0</v>
      </c>
      <c r="AO248" s="38">
        <f t="shared" si="11"/>
        <v>0</v>
      </c>
      <c r="AQ248" s="37">
        <v>43091</v>
      </c>
      <c r="AR248">
        <v>28</v>
      </c>
      <c r="AS248">
        <v>252.19271519795601</v>
      </c>
      <c r="AT248">
        <v>257.67899999999997</v>
      </c>
      <c r="AV248" s="37">
        <v>43091</v>
      </c>
      <c r="AW248">
        <v>28</v>
      </c>
      <c r="AX248">
        <v>252.19271519795601</v>
      </c>
      <c r="AY248">
        <v>257.67899999999997</v>
      </c>
      <c r="BA248" s="38">
        <f>AX248-Table3[[#This Row],[Trendline]]</f>
        <v>1.5197956003021318E-5</v>
      </c>
      <c r="BB248" s="38">
        <f>AY248-Table3[[#This Row],[SmPrice]]</f>
        <v>0</v>
      </c>
    </row>
    <row r="249" spans="1:54" x14ac:dyDescent="0.35">
      <c r="A249" s="6">
        <v>247</v>
      </c>
      <c r="B249" s="3">
        <v>43095</v>
      </c>
      <c r="C249" s="2">
        <v>257.2</v>
      </c>
      <c r="D249" s="2">
        <v>257.58</v>
      </c>
      <c r="E249" s="2">
        <v>257.04000000000002</v>
      </c>
      <c r="F249" s="2">
        <v>257.33999999999997</v>
      </c>
      <c r="G249" s="1">
        <v>46976656</v>
      </c>
      <c r="H249" s="30">
        <f>(testdata[[#This Row],[high]]+testdata[[#This Row],[low]])/2</f>
        <v>257.31</v>
      </c>
      <c r="I249" s="23">
        <f>(4*testdata[[#This Row],[price]]+3*H248+2*H247+H246)/10</f>
        <v>257.50650000000002</v>
      </c>
      <c r="J249" s="9">
        <f>(0.0962*testdata[[#This Row],[smooth]]+0.5769*I247-0.5769*I245-0.0962*I243)*(0.075*$Z248+0.54)</f>
        <v>1.0020526605775022</v>
      </c>
      <c r="K249" s="14">
        <f t="shared" si="9"/>
        <v>3.1016960224196728</v>
      </c>
      <c r="L249" s="14">
        <f>(0.0962*testdata[[#This Row],[detrender]]+0.5769*J247-0.5769*J245-0.0962*J243)*(0.075*$Z248+0.54)</f>
        <v>1.8059782950697383</v>
      </c>
      <c r="M249" s="9">
        <f>(0.0962*testdata[[#This Row],[I1]]+0.5769*K247-0.5769*K245-0.0962*K243)*(0.075*$Z248+0.54)</f>
        <v>-0.2969456497264602</v>
      </c>
      <c r="N249" s="9">
        <f>(0.0962*testdata[[#This Row],[Q1]]+0.5769*L247-0.5769*L245-0.0962*L243)*(0.075*$Z248+0.54)</f>
        <v>-6.3780294776353212</v>
      </c>
      <c r="O249" s="9">
        <f>testdata[[#This Row],[I1]]-testdata[[#This Row],[JQ]]</f>
        <v>9.4797255000549931</v>
      </c>
      <c r="P249" s="9">
        <f>testdata[[#This Row],[Q1]]+testdata[[#This Row],[jI]]</f>
        <v>1.5090326453432781</v>
      </c>
      <c r="Q249" s="9">
        <f>0.2*testdata[[#This Row],[I2]]+0.8*Q248</f>
        <v>3.0124250272335527</v>
      </c>
      <c r="R249" s="9">
        <f>0.2*testdata[[#This Row],[Q2]]+0.8*R248</f>
        <v>1.8213204697225864</v>
      </c>
      <c r="S249" s="9">
        <f>testdata[[#This Row],[I2'']]*Q248+testdata[[#This Row],[Q2'']]*R248</f>
        <v>7.6635423991386897</v>
      </c>
      <c r="T249" s="9">
        <f>testdata[[#This Row],[I2'']]*R248-testdata[[#This Row],[Q2'']]*Q248</f>
        <v>3.1799425982142</v>
      </c>
      <c r="U249" s="9">
        <f>0.2*testdata[[#This Row],[Re]]+0.8*U248</f>
        <v>3.8733236400378717</v>
      </c>
      <c r="V249" s="9">
        <f>0.2*testdata[[#This Row],[Im]]+0.8*V248</f>
        <v>1.6208231911259983</v>
      </c>
      <c r="W249" s="9">
        <f>IF(AND(testdata[[#This Row],[Re'']]&lt;&gt;0,testdata[[#This Row],[Im'']]&lt;&gt;0),2*PI()/ATAN(testdata[[#This Row],[Im'']]/testdata[[#This Row],[Re'']]),0)</f>
        <v>15.853959381428357</v>
      </c>
      <c r="X249" s="9">
        <f>IF(testdata[[#This Row],[pd-atan]]&gt;1.5*Z248,1.5*Z248,IF(testdata[[#This Row],[pd-atan]]&lt;0.67*Z248,0.67*Z248,testdata[[#This Row],[pd-atan]]))</f>
        <v>18.190434902428127</v>
      </c>
      <c r="Y249" s="9">
        <f>IF(testdata[[#This Row],[pd-limit1]]&lt;6,6,IF(testdata[[#This Row],[pd-limit1]]&gt;50,50,testdata[[#This Row],[pd-limit1]]))</f>
        <v>18.190434902428127</v>
      </c>
      <c r="Z249" s="14">
        <f>0.2*testdata[[#This Row],[pd-limit2]]+0.8*Z248</f>
        <v>25.358009252041597</v>
      </c>
      <c r="AA249" s="14">
        <f>0.33*testdata[[#This Row],[period]]+0.67*AA248</f>
        <v>27.184210847236095</v>
      </c>
      <c r="AB249" s="31">
        <f>TRUNC(testdata[[#This Row],[SmPd]]+0.5,0)</f>
        <v>27</v>
      </c>
      <c r="AC249" s="14">
        <f ca="1">IF(testdata[[#This Row],[PdInt]]&lt;=0,0,AVERAGE(OFFSET(testdata[[#This Row],[price]],0,0,-testdata[[#This Row],[PdInt]],1)))</f>
        <v>253.26222222222225</v>
      </c>
      <c r="AD249" s="14">
        <f ca="1">IF(testdata[[#This Row],[i]]&lt;11,testdata[[#This Row],[price]],(4*testdata[[#This Row],[iTrend]]+3*AC248+2*AC247+AC246)/10)</f>
        <v>252.68298186918452</v>
      </c>
      <c r="AE249" s="14">
        <f>(4*testdata[[#This Row],[price]]+3*H248+2*H247+H246)/10</f>
        <v>257.50650000000002</v>
      </c>
      <c r="AF249" t="str">
        <f ca="1">IF(OR(ROUND(testdata[[#This Row],[Trendline]],4)&lt;&gt;Table3[[#This Row],[Trendline]],ROUND(testdata[[#This Row],[SmPrice]],4)&lt;&gt;Table3[[#This Row],[SmPrice]]),"ERR","")</f>
        <v/>
      </c>
      <c r="AG249" s="3">
        <v>43095</v>
      </c>
      <c r="AH249" s="14">
        <v>27.1845</v>
      </c>
      <c r="AI249" s="34">
        <v>27</v>
      </c>
      <c r="AJ249" s="14">
        <v>253.26220000000001</v>
      </c>
      <c r="AK249" s="14">
        <v>252.68299999999999</v>
      </c>
      <c r="AL249" s="14">
        <v>257.50650000000002</v>
      </c>
      <c r="AN249" s="38">
        <f t="shared" si="10"/>
        <v>0</v>
      </c>
      <c r="AO249" s="38">
        <f t="shared" si="11"/>
        <v>0</v>
      </c>
      <c r="AQ249" s="37">
        <v>43095</v>
      </c>
      <c r="AR249">
        <v>27</v>
      </c>
      <c r="AS249">
        <v>252.682981869184</v>
      </c>
      <c r="AT249">
        <v>257.50650000000002</v>
      </c>
      <c r="AV249" s="37">
        <v>43095</v>
      </c>
      <c r="AW249">
        <v>27</v>
      </c>
      <c r="AX249">
        <v>252.682981869184</v>
      </c>
      <c r="AY249">
        <v>257.50650000000002</v>
      </c>
      <c r="BA249" s="38">
        <f>AX249-Table3[[#This Row],[Trendline]]</f>
        <v>-1.8130815988115501E-5</v>
      </c>
      <c r="BB249" s="38">
        <f>AY249-Table3[[#This Row],[SmPrice]]</f>
        <v>0</v>
      </c>
    </row>
    <row r="250" spans="1:54" x14ac:dyDescent="0.35">
      <c r="A250" s="6">
        <v>248</v>
      </c>
      <c r="B250" s="3">
        <v>43096</v>
      </c>
      <c r="C250" s="2">
        <v>257.52</v>
      </c>
      <c r="D250" s="2">
        <v>257.86</v>
      </c>
      <c r="E250" s="2">
        <v>257.16000000000003</v>
      </c>
      <c r="F250" s="2">
        <v>257.45999999999998</v>
      </c>
      <c r="G250" s="1">
        <v>59962032</v>
      </c>
      <c r="H250" s="30">
        <f>(testdata[[#This Row],[high]]+testdata[[#This Row],[low]])/2</f>
        <v>257.51</v>
      </c>
      <c r="I250" s="23">
        <f>(4*testdata[[#This Row],[price]]+3*H249+2*H248+H247)/10</f>
        <v>257.47650000000004</v>
      </c>
      <c r="J250" s="9">
        <f>(0.0962*testdata[[#This Row],[smooth]]+0.5769*I248-0.5769*I246-0.0962*I244)*(0.075*$Z249+0.54)</f>
        <v>1.4271152195458168E-2</v>
      </c>
      <c r="K250" s="14">
        <f t="shared" si="9"/>
        <v>3.2801266903015462</v>
      </c>
      <c r="L250" s="14">
        <f>(0.0962*testdata[[#This Row],[detrender]]+0.5769*J248-0.5769*J246-0.0962*J244)*(0.075*$Z249+0.54)</f>
        <v>-2.2371223222126546</v>
      </c>
      <c r="M250" s="9">
        <f>(0.0962*testdata[[#This Row],[I1]]+0.5769*K248-0.5769*K246-0.0962*K244)*(0.075*$Z249+0.54)</f>
        <v>-1.368112829488016</v>
      </c>
      <c r="N250" s="9">
        <f>(0.0962*testdata[[#This Row],[Q1]]+0.5769*L248-0.5769*L246-0.0962*L244)*(0.075*$Z249+0.54)</f>
        <v>0.77153568950787033</v>
      </c>
      <c r="O250" s="9">
        <f>testdata[[#This Row],[I1]]-testdata[[#This Row],[JQ]]</f>
        <v>2.5085910007936758</v>
      </c>
      <c r="P250" s="9">
        <f>testdata[[#This Row],[Q1]]+testdata[[#This Row],[jI]]</f>
        <v>-3.6052351517006707</v>
      </c>
      <c r="Q250" s="9">
        <f>0.2*testdata[[#This Row],[I2]]+0.8*Q249</f>
        <v>2.9116582219455776</v>
      </c>
      <c r="R250" s="9">
        <f>0.2*testdata[[#This Row],[Q2]]+0.8*R249</f>
        <v>0.73600934543793506</v>
      </c>
      <c r="S250" s="9">
        <f>testdata[[#This Row],[I2'']]*Q249+testdata[[#This Row],[Q2'']]*R249</f>
        <v>10.111660985292438</v>
      </c>
      <c r="T250" s="9">
        <f>testdata[[#This Row],[I2'']]*R249-testdata[[#This Row],[Q2'']]*Q249</f>
        <v>3.0858897479905294</v>
      </c>
      <c r="U250" s="9">
        <f>0.2*testdata[[#This Row],[Re]]+0.8*U249</f>
        <v>5.1209911090887852</v>
      </c>
      <c r="V250" s="9">
        <f>0.2*testdata[[#This Row],[Im]]+0.8*V249</f>
        <v>1.9138365024989046</v>
      </c>
      <c r="W250" s="9">
        <f>IF(AND(testdata[[#This Row],[Re'']]&lt;&gt;0,testdata[[#This Row],[Im'']]&lt;&gt;0),2*PI()/ATAN(testdata[[#This Row],[Im'']]/testdata[[#This Row],[Re'']]),0)</f>
        <v>17.567904411832771</v>
      </c>
      <c r="X250" s="9">
        <f>IF(testdata[[#This Row],[pd-atan]]&gt;1.5*Z249,1.5*Z249,IF(testdata[[#This Row],[pd-atan]]&lt;0.67*Z249,0.67*Z249,testdata[[#This Row],[pd-atan]]))</f>
        <v>17.567904411832771</v>
      </c>
      <c r="Y250" s="9">
        <f>IF(testdata[[#This Row],[pd-limit1]]&lt;6,6,IF(testdata[[#This Row],[pd-limit1]]&gt;50,50,testdata[[#This Row],[pd-limit1]]))</f>
        <v>17.567904411832771</v>
      </c>
      <c r="Z250" s="14">
        <f>0.2*testdata[[#This Row],[pd-limit2]]+0.8*Z249</f>
        <v>23.799988283999834</v>
      </c>
      <c r="AA250" s="14">
        <f>0.33*testdata[[#This Row],[period]]+0.67*AA249</f>
        <v>26.067417401368129</v>
      </c>
      <c r="AB250" s="31">
        <f>TRUNC(testdata[[#This Row],[SmPd]]+0.5,0)</f>
        <v>26</v>
      </c>
      <c r="AC250" s="14">
        <f ca="1">IF(testdata[[#This Row],[PdInt]]&lt;=0,0,AVERAGE(OFFSET(testdata[[#This Row],[price]],0,0,-testdata[[#This Row],[PdInt]],1)))</f>
        <v>253.87403846153845</v>
      </c>
      <c r="AD250" s="14">
        <f ca="1">IF(testdata[[#This Row],[i]]&lt;11,testdata[[#This Row],[price]],(4*testdata[[#This Row],[iTrend]]+3*AC249+2*AC248+AC247)/10)</f>
        <v>253.25512318428696</v>
      </c>
      <c r="AE250" s="14">
        <f>(4*testdata[[#This Row],[price]]+3*H249+2*H248+H247)/10</f>
        <v>257.47650000000004</v>
      </c>
      <c r="AF250" t="str">
        <f ca="1">IF(OR(ROUND(testdata[[#This Row],[Trendline]],4)&lt;&gt;Table3[[#This Row],[Trendline]],ROUND(testdata[[#This Row],[SmPrice]],4)&lt;&gt;Table3[[#This Row],[SmPrice]]),"ERR","")</f>
        <v/>
      </c>
      <c r="AG250" s="3">
        <v>43096</v>
      </c>
      <c r="AH250" s="14">
        <v>26.067699999999999</v>
      </c>
      <c r="AI250" s="34">
        <v>26</v>
      </c>
      <c r="AJ250" s="14">
        <v>253.874</v>
      </c>
      <c r="AK250" s="14">
        <v>253.2551</v>
      </c>
      <c r="AL250" s="14">
        <v>257.47649999999999</v>
      </c>
      <c r="AN250" s="38">
        <f t="shared" si="10"/>
        <v>0</v>
      </c>
      <c r="AO250" s="38">
        <f t="shared" si="11"/>
        <v>0</v>
      </c>
      <c r="AQ250" s="37">
        <v>43096</v>
      </c>
      <c r="AR250">
        <v>26</v>
      </c>
      <c r="AS250">
        <v>253.25512318428599</v>
      </c>
      <c r="AT250">
        <v>257.47649999999999</v>
      </c>
      <c r="AV250" s="37">
        <v>43096</v>
      </c>
      <c r="AW250">
        <v>26</v>
      </c>
      <c r="AX250">
        <v>253.25512318428599</v>
      </c>
      <c r="AY250">
        <v>257.47649999999999</v>
      </c>
      <c r="BA250" s="38">
        <f>AX250-Table3[[#This Row],[Trendline]]</f>
        <v>2.3184285993238518E-5</v>
      </c>
      <c r="BB250" s="38">
        <f>AY250-Table3[[#This Row],[SmPrice]]</f>
        <v>0</v>
      </c>
    </row>
    <row r="251" spans="1:54" x14ac:dyDescent="0.35">
      <c r="A251" s="6">
        <v>249</v>
      </c>
      <c r="B251" s="3">
        <v>43097</v>
      </c>
      <c r="C251" s="2">
        <v>258.01</v>
      </c>
      <c r="D251" s="2">
        <v>258.04000000000002</v>
      </c>
      <c r="E251" s="2">
        <v>257.58999999999997</v>
      </c>
      <c r="F251" s="2">
        <v>257.99</v>
      </c>
      <c r="G251" s="1">
        <v>46843448</v>
      </c>
      <c r="H251" s="30">
        <f>(testdata[[#This Row],[high]]+testdata[[#This Row],[low]])/2</f>
        <v>257.815</v>
      </c>
      <c r="I251" s="23">
        <f>(4*testdata[[#This Row],[price]]+3*H250+2*H249+H248)/10</f>
        <v>257.58249999999998</v>
      </c>
      <c r="J251" s="9">
        <f>(0.0962*testdata[[#This Row],[smooth]]+0.5769*I249-0.5769*I247-0.0962*I245)*(0.075*$Z250+0.54)</f>
        <v>-0.52041187706779379</v>
      </c>
      <c r="K251" s="14">
        <f t="shared" si="9"/>
        <v>1.8683480825708936</v>
      </c>
      <c r="L251" s="14">
        <f>(0.0962*testdata[[#This Row],[detrender]]+0.5769*J249-0.5769*J247-0.0962*J245)*(0.075*$Z250+0.54)</f>
        <v>-3.5606928812608216</v>
      </c>
      <c r="M251" s="9">
        <f>(0.0962*testdata[[#This Row],[I1]]+0.5769*K249-0.5769*K247-0.0962*K245)*(0.075*$Z250+0.54)</f>
        <v>1.0846808572693289</v>
      </c>
      <c r="N251" s="9">
        <f>(0.0962*testdata[[#This Row],[Q1]]+0.5769*L249-0.5769*L247-0.0962*L245)*(0.075*$Z250+0.54)</f>
        <v>3.1962732505085047</v>
      </c>
      <c r="O251" s="9">
        <f>testdata[[#This Row],[I1]]-testdata[[#This Row],[JQ]]</f>
        <v>-1.3279251679376112</v>
      </c>
      <c r="P251" s="9">
        <f>testdata[[#This Row],[Q1]]+testdata[[#This Row],[jI]]</f>
        <v>-2.4760120239914927</v>
      </c>
      <c r="Q251" s="9">
        <f>0.2*testdata[[#This Row],[I2]]+0.8*Q250</f>
        <v>2.0637415439689399</v>
      </c>
      <c r="R251" s="9">
        <f>0.2*testdata[[#This Row],[Q2]]+0.8*R250</f>
        <v>9.3605071552049446E-2</v>
      </c>
      <c r="S251" s="9">
        <f>testdata[[#This Row],[I2'']]*Q250+testdata[[#This Row],[Q2'']]*R250</f>
        <v>6.0778042419105196</v>
      </c>
      <c r="T251" s="9">
        <f>testdata[[#This Row],[I2'']]*R250-testdata[[#This Row],[Q2'']]*Q250</f>
        <v>1.2463870867293241</v>
      </c>
      <c r="U251" s="9">
        <f>0.2*testdata[[#This Row],[Re]]+0.8*U250</f>
        <v>5.3123537356531321</v>
      </c>
      <c r="V251" s="9">
        <f>0.2*testdata[[#This Row],[Im]]+0.8*V250</f>
        <v>1.7803466193449884</v>
      </c>
      <c r="W251" s="9">
        <f>IF(AND(testdata[[#This Row],[Re'']]&lt;&gt;0,testdata[[#This Row],[Im'']]&lt;&gt;0),2*PI()/ATAN(testdata[[#This Row],[Im'']]/testdata[[#This Row],[Re'']]),0)</f>
        <v>19.430349739667204</v>
      </c>
      <c r="X251" s="9">
        <f>IF(testdata[[#This Row],[pd-atan]]&gt;1.5*Z250,1.5*Z250,IF(testdata[[#This Row],[pd-atan]]&lt;0.67*Z250,0.67*Z250,testdata[[#This Row],[pd-atan]]))</f>
        <v>19.430349739667204</v>
      </c>
      <c r="Y251" s="9">
        <f>IF(testdata[[#This Row],[pd-limit1]]&lt;6,6,IF(testdata[[#This Row],[pd-limit1]]&gt;50,50,testdata[[#This Row],[pd-limit1]]))</f>
        <v>19.430349739667204</v>
      </c>
      <c r="Z251" s="14">
        <f>0.2*testdata[[#This Row],[pd-limit2]]+0.8*Z250</f>
        <v>22.926060575133306</v>
      </c>
      <c r="AA251" s="14">
        <f>0.33*testdata[[#This Row],[period]]+0.67*AA250</f>
        <v>25.030769648710638</v>
      </c>
      <c r="AB251" s="31">
        <f>TRUNC(testdata[[#This Row],[SmPd]]+0.5,0)</f>
        <v>25</v>
      </c>
      <c r="AC251" s="14">
        <f ca="1">IF(testdata[[#This Row],[PdInt]]&lt;=0,0,AVERAGE(OFFSET(testdata[[#This Row],[price]],0,0,-testdata[[#This Row],[PdInt]],1)))</f>
        <v>254.50919999999999</v>
      </c>
      <c r="AD251" s="16">
        <f ca="1">IF(testdata[[#This Row],[i]]&lt;11,testdata[[#This Row],[price]],(4*testdata[[#This Row],[iTrend]]+3*AC250+2*AC249+AC248)/10)</f>
        <v>253.87878241147737</v>
      </c>
      <c r="AE251" s="16">
        <f>(4*testdata[[#This Row],[price]]+3*H250+2*H249+H248)/10</f>
        <v>257.58249999999998</v>
      </c>
      <c r="AF251" t="str">
        <f ca="1">IF(OR(ROUND(testdata[[#This Row],[Trendline]],4)&lt;&gt;Table3[[#This Row],[Trendline]],ROUND(testdata[[#This Row],[SmPrice]],4)&lt;&gt;Table3[[#This Row],[SmPrice]]),"ERR","")</f>
        <v/>
      </c>
      <c r="AG251" s="3">
        <v>43097</v>
      </c>
      <c r="AH251" s="14">
        <v>25.030999999999999</v>
      </c>
      <c r="AI251" s="34">
        <v>25</v>
      </c>
      <c r="AJ251" s="14">
        <v>254.50919999999999</v>
      </c>
      <c r="AK251" s="16">
        <v>253.87880000000001</v>
      </c>
      <c r="AL251" s="16">
        <v>257.58249999999998</v>
      </c>
      <c r="AN251" s="38">
        <f t="shared" si="10"/>
        <v>0</v>
      </c>
      <c r="AO251" s="38">
        <f t="shared" si="11"/>
        <v>0</v>
      </c>
      <c r="AQ251" s="37">
        <v>43097</v>
      </c>
      <c r="AR251">
        <v>25</v>
      </c>
      <c r="AS251">
        <v>253.878782411477</v>
      </c>
      <c r="AT251">
        <v>257.58249999999998</v>
      </c>
      <c r="AV251" s="37">
        <v>43097</v>
      </c>
      <c r="AW251">
        <v>25</v>
      </c>
      <c r="AX251">
        <v>253.878782411477</v>
      </c>
      <c r="AY251">
        <v>257.58249999999998</v>
      </c>
      <c r="BA251" s="38">
        <f>AX251-Table3[[#This Row],[Trendline]]</f>
        <v>-1.7588523007816548E-5</v>
      </c>
      <c r="BB251" s="38">
        <f>AY251-Table3[[#This Row],[SmPrice]]</f>
        <v>0</v>
      </c>
    </row>
    <row r="252" spans="1:54" x14ac:dyDescent="0.35">
      <c r="A252" s="6">
        <v>250</v>
      </c>
      <c r="B252" s="3">
        <v>43098</v>
      </c>
      <c r="C252" s="2">
        <v>258.63</v>
      </c>
      <c r="D252" s="2">
        <v>258.64999999999998</v>
      </c>
      <c r="E252" s="2">
        <v>256.81</v>
      </c>
      <c r="F252" s="2">
        <v>257.02</v>
      </c>
      <c r="G252" s="1">
        <v>99683152</v>
      </c>
      <c r="H252" s="30">
        <f>(testdata[[#This Row],[high]]+testdata[[#This Row],[low]])/2</f>
        <v>257.73</v>
      </c>
      <c r="I252" s="23">
        <f>(4*testdata[[#This Row],[price]]+3*H251+2*H250+H249)/10</f>
        <v>257.66950000000003</v>
      </c>
      <c r="J252" s="9">
        <f>(0.0962*testdata[[#This Row],[smooth]]+0.5769*I250-0.5769*I248-0.0962*I246)*(0.075*$Z251+0.54)</f>
        <v>-0.28362560069964321</v>
      </c>
      <c r="K252" s="14">
        <f t="shared" si="9"/>
        <v>1.0020526605775022</v>
      </c>
      <c r="L252" s="14">
        <f>(0.0962*testdata[[#This Row],[detrender]]+0.5769*J250-0.5769*J248-0.0962*J246)*(0.075*$Z251+0.54)</f>
        <v>-3.1525828543485823</v>
      </c>
      <c r="M252" s="9">
        <f>(0.0962*testdata[[#This Row],[I1]]+0.5769*K250-0.5769*K248-0.0962*K246)*(0.075*$Z251+0.54)</f>
        <v>1.5839058342887014</v>
      </c>
      <c r="N252" s="9">
        <f>(0.0962*testdata[[#This Row],[Q1]]+0.5769*L250-0.5769*L248-0.0962*L246)*(0.075*$Z251+0.54)</f>
        <v>-5.1852287353317887</v>
      </c>
      <c r="O252" s="9">
        <f>testdata[[#This Row],[I1]]-testdata[[#This Row],[JQ]]</f>
        <v>6.1872813959092907</v>
      </c>
      <c r="P252" s="9">
        <f>testdata[[#This Row],[Q1]]+testdata[[#This Row],[jI]]</f>
        <v>-1.568677020059881</v>
      </c>
      <c r="Q252" s="9">
        <f>0.2*testdata[[#This Row],[I2]]+0.8*Q251</f>
        <v>2.8884495143570099</v>
      </c>
      <c r="R252" s="9">
        <f>0.2*testdata[[#This Row],[Q2]]+0.8*R251</f>
        <v>-0.23885134677033665</v>
      </c>
      <c r="S252" s="9">
        <f>testdata[[#This Row],[I2'']]*Q251+testdata[[#This Row],[Q2'']]*R251</f>
        <v>5.9386555630307294</v>
      </c>
      <c r="T252" s="9">
        <f>testdata[[#This Row],[I2'']]*R251-testdata[[#This Row],[Q2'']]*Q251</f>
        <v>0.76330097062874569</v>
      </c>
      <c r="U252" s="9">
        <f>0.2*testdata[[#This Row],[Re]]+0.8*U251</f>
        <v>5.4376141011286521</v>
      </c>
      <c r="V252" s="9">
        <f>0.2*testdata[[#This Row],[Im]]+0.8*V251</f>
        <v>1.5769374896017401</v>
      </c>
      <c r="W252" s="9">
        <f>IF(AND(testdata[[#This Row],[Re'']]&lt;&gt;0,testdata[[#This Row],[Im'']]&lt;&gt;0),2*PI()/ATAN(testdata[[#This Row],[Im'']]/testdata[[#This Row],[Re'']]),0)</f>
        <v>22.260085291723222</v>
      </c>
      <c r="X252" s="9">
        <f>IF(testdata[[#This Row],[pd-atan]]&gt;1.5*Z251,1.5*Z251,IF(testdata[[#This Row],[pd-atan]]&lt;0.67*Z251,0.67*Z251,testdata[[#This Row],[pd-atan]]))</f>
        <v>22.260085291723222</v>
      </c>
      <c r="Y252" s="9">
        <f>IF(testdata[[#This Row],[pd-limit1]]&lt;6,6,IF(testdata[[#This Row],[pd-limit1]]&gt;50,50,testdata[[#This Row],[pd-limit1]]))</f>
        <v>22.260085291723222</v>
      </c>
      <c r="Z252" s="14">
        <f>0.2*testdata[[#This Row],[pd-limit2]]+0.8*Z251</f>
        <v>22.79286551845129</v>
      </c>
      <c r="AA252" s="14">
        <f>0.33*testdata[[#This Row],[period]]+0.67*AA251</f>
        <v>24.292261285725054</v>
      </c>
      <c r="AB252" s="31">
        <f>TRUNC(testdata[[#This Row],[SmPd]]+0.5,0)</f>
        <v>24</v>
      </c>
      <c r="AC252" s="14">
        <f ca="1">IF(testdata[[#This Row],[PdInt]]&lt;=0,0,AVERAGE(OFFSET(testdata[[#This Row],[price]],0,0,-testdata[[#This Row],[PdInt]],1)))</f>
        <v>255.08375000000001</v>
      </c>
      <c r="AD252" s="14">
        <f ca="1">IF(testdata[[#This Row],[i]]&lt;11,testdata[[#This Row],[price]],(4*testdata[[#This Row],[iTrend]]+3*AC251+2*AC250+AC249)/10)</f>
        <v>254.4872899145299</v>
      </c>
      <c r="AE252" s="14">
        <f>(4*testdata[[#This Row],[price]]+3*H251+2*H250+H249)/10</f>
        <v>257.66950000000003</v>
      </c>
      <c r="AF252" t="str">
        <f ca="1">IF(OR(ROUND(testdata[[#This Row],[Trendline]],4)&lt;&gt;Table3[[#This Row],[Trendline]],ROUND(testdata[[#This Row],[SmPrice]],4)&lt;&gt;Table3[[#This Row],[SmPrice]]),"ERR","")</f>
        <v/>
      </c>
      <c r="AG252" s="3">
        <v>43098</v>
      </c>
      <c r="AH252" s="14">
        <v>24.292400000000001</v>
      </c>
      <c r="AI252" s="34">
        <v>24</v>
      </c>
      <c r="AJ252" s="14">
        <v>255.0838</v>
      </c>
      <c r="AK252" s="14">
        <v>254.4873</v>
      </c>
      <c r="AL252" s="14">
        <v>257.66950000000003</v>
      </c>
      <c r="AN252" s="38">
        <f t="shared" si="10"/>
        <v>0</v>
      </c>
      <c r="AO252" s="38">
        <f t="shared" si="11"/>
        <v>0</v>
      </c>
      <c r="AQ252" s="37">
        <v>43098</v>
      </c>
      <c r="AR252">
        <v>24</v>
      </c>
      <c r="AS252">
        <v>254.48728991452899</v>
      </c>
      <c r="AT252">
        <v>257.66950000000003</v>
      </c>
      <c r="AV252" s="37">
        <v>43098</v>
      </c>
      <c r="AW252">
        <v>24</v>
      </c>
      <c r="AX252">
        <v>254.48728991452899</v>
      </c>
      <c r="AY252">
        <v>257.66950000000003</v>
      </c>
      <c r="BA252" s="38">
        <f>AX252-Table3[[#This Row],[Trendline]]</f>
        <v>-1.0085471018328462E-5</v>
      </c>
      <c r="BB252" s="38">
        <f>AY252-Table3[[#This Row],[SmPrice]]</f>
        <v>0</v>
      </c>
    </row>
    <row r="253" spans="1:54" x14ac:dyDescent="0.35">
      <c r="A253" s="6">
        <v>251</v>
      </c>
      <c r="B253" s="3">
        <v>43102</v>
      </c>
      <c r="C253" s="2">
        <v>257.95999999999998</v>
      </c>
      <c r="D253" s="2">
        <v>258.89999999999998</v>
      </c>
      <c r="E253" s="2">
        <v>257.54000000000002</v>
      </c>
      <c r="F253" s="2">
        <v>258.86</v>
      </c>
      <c r="G253" s="1">
        <v>89973440</v>
      </c>
      <c r="H253" s="30">
        <f>(testdata[[#This Row],[high]]+testdata[[#This Row],[low]])/2</f>
        <v>258.22000000000003</v>
      </c>
      <c r="I253" s="23">
        <f>(4*testdata[[#This Row],[price]]+3*H252+2*H251+H250)/10</f>
        <v>257.92099999999999</v>
      </c>
      <c r="J253" s="9">
        <f>(0.0962*testdata[[#This Row],[smooth]]+0.5769*I251-0.5769*I249-0.0962*I247)*(0.075*$Z252+0.54)</f>
        <v>0.10143962029155185</v>
      </c>
      <c r="K253" s="14">
        <f t="shared" si="9"/>
        <v>1.4271152195458168E-2</v>
      </c>
      <c r="L253" s="14">
        <f>(0.0962*testdata[[#This Row],[detrender]]+0.5769*J251-0.5769*J249-0.0962*J247)*(0.075*$Z252+0.54)</f>
        <v>-2.6635902525845774</v>
      </c>
      <c r="M253" s="9">
        <f>(0.0962*testdata[[#This Row],[I1]]+0.5769*K251-0.5769*K249-0.0962*K247)*(0.075*$Z252+0.54)</f>
        <v>-2.0608664503724885</v>
      </c>
      <c r="N253" s="9">
        <f>(0.0962*testdata[[#This Row],[Q1]]+0.5769*L251-0.5769*L249-0.0962*L247)*(0.075*$Z252+0.54)</f>
        <v>-7.1987918920354694</v>
      </c>
      <c r="O253" s="9">
        <f>testdata[[#This Row],[I1]]-testdata[[#This Row],[JQ]]</f>
        <v>7.2130630442309274</v>
      </c>
      <c r="P253" s="9">
        <f>testdata[[#This Row],[Q1]]+testdata[[#This Row],[jI]]</f>
        <v>-4.7244567029570659</v>
      </c>
      <c r="Q253" s="9">
        <f>0.2*testdata[[#This Row],[I2]]+0.8*Q252</f>
        <v>3.7533722203317934</v>
      </c>
      <c r="R253" s="9">
        <f>0.2*testdata[[#This Row],[Q2]]+0.8*R252</f>
        <v>-1.1359724180076824</v>
      </c>
      <c r="S253" s="9">
        <f>testdata[[#This Row],[I2'']]*Q252+testdata[[#This Row],[Q2'']]*R252</f>
        <v>11.112754708953553</v>
      </c>
      <c r="T253" s="9">
        <f>testdata[[#This Row],[I2'']]*R252-testdata[[#This Row],[Q2'']]*Q252</f>
        <v>2.3847009693606309</v>
      </c>
      <c r="U253" s="9">
        <f>0.2*testdata[[#This Row],[Re]]+0.8*U252</f>
        <v>6.5726422226936325</v>
      </c>
      <c r="V253" s="9">
        <f>0.2*testdata[[#This Row],[Im]]+0.8*V252</f>
        <v>1.7384901855535184</v>
      </c>
      <c r="W253" s="9">
        <f>IF(AND(testdata[[#This Row],[Re'']]&lt;&gt;0,testdata[[#This Row],[Im'']]&lt;&gt;0),2*PI()/ATAN(testdata[[#This Row],[Im'']]/testdata[[#This Row],[Re'']]),0)</f>
        <v>24.298597259014368</v>
      </c>
      <c r="X253" s="9">
        <f>IF(testdata[[#This Row],[pd-atan]]&gt;1.5*Z252,1.5*Z252,IF(testdata[[#This Row],[pd-atan]]&lt;0.67*Z252,0.67*Z252,testdata[[#This Row],[pd-atan]]))</f>
        <v>24.298597259014368</v>
      </c>
      <c r="Y253" s="9">
        <f>IF(testdata[[#This Row],[pd-limit1]]&lt;6,6,IF(testdata[[#This Row],[pd-limit1]]&gt;50,50,testdata[[#This Row],[pd-limit1]]))</f>
        <v>24.298597259014368</v>
      </c>
      <c r="Z253" s="14">
        <f>0.2*testdata[[#This Row],[pd-limit2]]+0.8*Z252</f>
        <v>23.094011866563907</v>
      </c>
      <c r="AA253" s="14">
        <f>0.33*testdata[[#This Row],[period]]+0.67*AA252</f>
        <v>23.896838977401877</v>
      </c>
      <c r="AB253" s="31">
        <f>TRUNC(testdata[[#This Row],[SmPd]]+0.5,0)</f>
        <v>24</v>
      </c>
      <c r="AC253" s="14">
        <f ca="1">IF(testdata[[#This Row],[PdInt]]&lt;=0,0,AVERAGE(OFFSET(testdata[[#This Row],[price]],0,0,-testdata[[#This Row],[PdInt]],1)))</f>
        <v>255.44708333333335</v>
      </c>
      <c r="AD253" s="14">
        <f ca="1">IF(testdata[[#This Row],[i]]&lt;11,testdata[[#This Row],[price]],(4*testdata[[#This Row],[iTrend]]+3*AC252+2*AC251+AC250)/10)</f>
        <v>254.99320217948721</v>
      </c>
      <c r="AE253" s="14">
        <f>(4*testdata[[#This Row],[price]]+3*H252+2*H251+H250)/10</f>
        <v>257.92099999999999</v>
      </c>
      <c r="AF253" t="str">
        <f ca="1">IF(OR(ROUND(testdata[[#This Row],[Trendline]],4)&lt;&gt;Table3[[#This Row],[Trendline]],ROUND(testdata[[#This Row],[SmPrice]],4)&lt;&gt;Table3[[#This Row],[SmPrice]]),"ERR","")</f>
        <v/>
      </c>
      <c r="AG253" s="3">
        <v>43102</v>
      </c>
      <c r="AH253" s="14">
        <v>23.896999999999998</v>
      </c>
      <c r="AI253" s="34">
        <v>24</v>
      </c>
      <c r="AJ253" s="14">
        <v>255.44710000000001</v>
      </c>
      <c r="AK253" s="14">
        <v>254.9932</v>
      </c>
      <c r="AL253" s="14">
        <v>257.92099999999999</v>
      </c>
      <c r="AN253" s="38">
        <f t="shared" si="10"/>
        <v>0</v>
      </c>
      <c r="AO253" s="38">
        <f t="shared" si="11"/>
        <v>0</v>
      </c>
      <c r="AQ253" s="37">
        <v>43102</v>
      </c>
      <c r="AR253">
        <v>24</v>
      </c>
      <c r="AS253">
        <v>254.99320217948701</v>
      </c>
      <c r="AT253">
        <v>257.92099999999999</v>
      </c>
      <c r="AV253" s="37">
        <v>43102</v>
      </c>
      <c r="AW253">
        <v>24</v>
      </c>
      <c r="AX253">
        <v>254.99320217948701</v>
      </c>
      <c r="AY253">
        <v>257.92099999999999</v>
      </c>
      <c r="BA253" s="38">
        <f>AX253-Table3[[#This Row],[Trendline]]</f>
        <v>2.1794870121993881E-6</v>
      </c>
      <c r="BB253" s="38">
        <f>AY253-Table3[[#This Row],[SmPrice]]</f>
        <v>0</v>
      </c>
    </row>
    <row r="254" spans="1:54" x14ac:dyDescent="0.35">
      <c r="A254" s="6">
        <v>252</v>
      </c>
      <c r="B254" s="3">
        <v>43103</v>
      </c>
      <c r="C254" s="2">
        <v>259.04000000000002</v>
      </c>
      <c r="D254" s="2">
        <v>260.66000000000003</v>
      </c>
      <c r="E254" s="2">
        <v>259.04000000000002</v>
      </c>
      <c r="F254" s="2">
        <v>260.5</v>
      </c>
      <c r="G254" s="1">
        <v>93518840</v>
      </c>
      <c r="H254" s="30">
        <f>(testdata[[#This Row],[high]]+testdata[[#This Row],[low]])/2</f>
        <v>259.85000000000002</v>
      </c>
      <c r="I254" s="23">
        <f>(4*testdata[[#This Row],[price]]+3*H253+2*H252+H251)/10</f>
        <v>258.73350000000005</v>
      </c>
      <c r="J254" s="9">
        <f>(0.0962*testdata[[#This Row],[smooth]]+0.5769*I252-0.5769*I250-0.0962*I248)*(0.075*$Z253+0.54)</f>
        <v>0.48345743980663597</v>
      </c>
      <c r="K254" s="14">
        <f t="shared" si="9"/>
        <v>-0.52041187706779379</v>
      </c>
      <c r="L254" s="14">
        <f>(0.0962*testdata[[#This Row],[detrender]]+0.5769*J252-0.5769*J250-0.0962*J248)*(0.075*$Z253+0.54)</f>
        <v>-0.69316436654517943</v>
      </c>
      <c r="M254" s="9">
        <f>(0.0962*testdata[[#This Row],[I1]]+0.5769*K252-0.5769*K250-0.0962*K248)*(0.075*$Z253+0.54)</f>
        <v>-3.4796036504884484</v>
      </c>
      <c r="N254" s="9">
        <f>(0.0962*testdata[[#This Row],[Q1]]+0.5769*L252-0.5769*L250-0.0962*L248)*(0.075*$Z253+0.54)</f>
        <v>-1.6288139363210721</v>
      </c>
      <c r="O254" s="9">
        <f>testdata[[#This Row],[I1]]-testdata[[#This Row],[JQ]]</f>
        <v>1.1084020592532782</v>
      </c>
      <c r="P254" s="9">
        <f>testdata[[#This Row],[Q1]]+testdata[[#This Row],[jI]]</f>
        <v>-4.1727680170336274</v>
      </c>
      <c r="Q254" s="9">
        <f>0.2*testdata[[#This Row],[I2]]+0.8*Q253</f>
        <v>3.2243781881160904</v>
      </c>
      <c r="R254" s="9">
        <f>0.2*testdata[[#This Row],[Q2]]+0.8*R253</f>
        <v>-1.7433315378128715</v>
      </c>
      <c r="S254" s="9">
        <f>testdata[[#This Row],[I2'']]*Q253+testdata[[#This Row],[Q2'']]*R253</f>
        <v>14.082668061517035</v>
      </c>
      <c r="T254" s="9">
        <f>testdata[[#This Row],[I2'']]*R253-testdata[[#This Row],[Q2'']]*Q253</f>
        <v>2.8805674779296719</v>
      </c>
      <c r="U254" s="9">
        <f>0.2*testdata[[#This Row],[Re]]+0.8*U253</f>
        <v>8.0746473904583134</v>
      </c>
      <c r="V254" s="9">
        <f>0.2*testdata[[#This Row],[Im]]+0.8*V253</f>
        <v>1.9669056440287491</v>
      </c>
      <c r="W254" s="9">
        <f>IF(AND(testdata[[#This Row],[Re'']]&lt;&gt;0,testdata[[#This Row],[Im'']]&lt;&gt;0),2*PI()/ATAN(testdata[[#This Row],[Im'']]/testdata[[#This Row],[Re'']]),0)</f>
        <v>26.296415475421092</v>
      </c>
      <c r="X254" s="9">
        <f>IF(testdata[[#This Row],[pd-atan]]&gt;1.5*Z253,1.5*Z253,IF(testdata[[#This Row],[pd-atan]]&lt;0.67*Z253,0.67*Z253,testdata[[#This Row],[pd-atan]]))</f>
        <v>26.296415475421092</v>
      </c>
      <c r="Y254" s="9">
        <f>IF(testdata[[#This Row],[pd-limit1]]&lt;6,6,IF(testdata[[#This Row],[pd-limit1]]&gt;50,50,testdata[[#This Row],[pd-limit1]]))</f>
        <v>26.296415475421092</v>
      </c>
      <c r="Z254" s="14">
        <f>0.2*testdata[[#This Row],[pd-limit2]]+0.8*Z253</f>
        <v>23.734492588335343</v>
      </c>
      <c r="AA254" s="14">
        <f>0.33*testdata[[#This Row],[period]]+0.67*AA253</f>
        <v>23.843264669009923</v>
      </c>
      <c r="AB254" s="31">
        <f>TRUNC(testdata[[#This Row],[SmPd]]+0.5,0)</f>
        <v>24</v>
      </c>
      <c r="AC254" s="14">
        <f ca="1">IF(testdata[[#This Row],[PdInt]]&lt;=0,0,AVERAGE(OFFSET(testdata[[#This Row],[price]],0,0,-testdata[[#This Row],[PdInt]],1)))</f>
        <v>255.82229166666673</v>
      </c>
      <c r="AD254" s="14">
        <f ca="1">IF(testdata[[#This Row],[i]]&lt;11,testdata[[#This Row],[price]],(4*testdata[[#This Row],[iTrend]]+3*AC253+2*AC252+AC251)/10)</f>
        <v>255.4307116666667</v>
      </c>
      <c r="AE254" s="14">
        <f>(4*testdata[[#This Row],[price]]+3*H253+2*H252+H251)/10</f>
        <v>258.73350000000005</v>
      </c>
      <c r="AF254" t="str">
        <f ca="1">IF(OR(ROUND(testdata[[#This Row],[Trendline]],4)&lt;&gt;Table3[[#This Row],[Trendline]],ROUND(testdata[[#This Row],[SmPrice]],4)&lt;&gt;Table3[[#This Row],[SmPrice]]),"ERR","")</f>
        <v/>
      </c>
      <c r="AG254" s="3">
        <v>43103</v>
      </c>
      <c r="AH254" s="14">
        <v>23.843299999999999</v>
      </c>
      <c r="AI254" s="34">
        <v>24</v>
      </c>
      <c r="AJ254" s="14">
        <v>255.82230000000001</v>
      </c>
      <c r="AK254" s="14">
        <v>255.4307</v>
      </c>
      <c r="AL254" s="14">
        <v>258.73349999999999</v>
      </c>
      <c r="AN254" s="38">
        <f t="shared" si="10"/>
        <v>0</v>
      </c>
      <c r="AO254" s="38">
        <f t="shared" si="11"/>
        <v>0</v>
      </c>
      <c r="AQ254" s="37">
        <v>43103</v>
      </c>
      <c r="AR254">
        <v>24</v>
      </c>
      <c r="AS254">
        <v>255.43071166666601</v>
      </c>
      <c r="AT254">
        <v>258.73349999999999</v>
      </c>
      <c r="AV254" s="37">
        <v>43103</v>
      </c>
      <c r="AW254">
        <v>24</v>
      </c>
      <c r="AX254">
        <v>255.43071166666601</v>
      </c>
      <c r="AY254">
        <v>258.73349999999999</v>
      </c>
      <c r="BA254" s="38">
        <f>AX254-Table3[[#This Row],[Trendline]]</f>
        <v>1.1666666011933557E-5</v>
      </c>
      <c r="BB254" s="38">
        <f>AY254-Table3[[#This Row],[SmPrice]]</f>
        <v>0</v>
      </c>
    </row>
    <row r="255" spans="1:54" x14ac:dyDescent="0.35">
      <c r="A255" s="6">
        <v>253</v>
      </c>
      <c r="B255" s="3">
        <v>43104</v>
      </c>
      <c r="C255" s="2">
        <v>261.2</v>
      </c>
      <c r="D255" s="2">
        <v>262.12</v>
      </c>
      <c r="E255" s="2">
        <v>260.57</v>
      </c>
      <c r="F255" s="2">
        <v>261.58999999999997</v>
      </c>
      <c r="G255" s="1">
        <v>83723648</v>
      </c>
      <c r="H255" s="30">
        <f>(testdata[[#This Row],[high]]+testdata[[#This Row],[low]])/2</f>
        <v>261.34500000000003</v>
      </c>
      <c r="I255" s="23">
        <f>(4*testdata[[#This Row],[price]]+3*H254+2*H253+H252)/10</f>
        <v>259.91000000000003</v>
      </c>
      <c r="J255" s="9">
        <f>(0.0962*testdata[[#This Row],[smooth]]+0.5769*I253-0.5769*I251-0.0962*I249)*(0.075*$Z254+0.54)</f>
        <v>0.98951093343898711</v>
      </c>
      <c r="K255" s="14">
        <f t="shared" si="9"/>
        <v>-0.28362560069964321</v>
      </c>
      <c r="L255" s="14">
        <f>(0.0962*testdata[[#This Row],[detrender]]+0.5769*J253-0.5769*J251-0.0962*J249)*(0.075*$Z254+0.54)</f>
        <v>0.82952299201704938</v>
      </c>
      <c r="M255" s="9">
        <f>(0.0962*testdata[[#This Row],[I1]]+0.5769*K253-0.5769*K251-0.0962*K249)*(0.075*$Z254+0.54)</f>
        <v>-3.2371823291910031</v>
      </c>
      <c r="N255" s="9">
        <f>(0.0962*testdata[[#This Row],[Q1]]+0.5769*L253-0.5769*L251-0.0962*L249)*(0.075*$Z254+0.54)</f>
        <v>0.98279696452107201</v>
      </c>
      <c r="O255" s="9">
        <f>testdata[[#This Row],[I1]]-testdata[[#This Row],[JQ]]</f>
        <v>-1.2664225652207153</v>
      </c>
      <c r="P255" s="9">
        <f>testdata[[#This Row],[Q1]]+testdata[[#This Row],[jI]]</f>
        <v>-2.4076593371739539</v>
      </c>
      <c r="Q255" s="9">
        <f>0.2*testdata[[#This Row],[I2]]+0.8*Q254</f>
        <v>2.3262180374487293</v>
      </c>
      <c r="R255" s="9">
        <f>0.2*testdata[[#This Row],[Q2]]+0.8*R254</f>
        <v>-1.8761970976850881</v>
      </c>
      <c r="S255" s="9">
        <f>testdata[[#This Row],[I2'']]*Q254+testdata[[#This Row],[Q2'']]*R254</f>
        <v>10.771440272299293</v>
      </c>
      <c r="T255" s="9">
        <f>testdata[[#This Row],[I2'']]*R254-testdata[[#This Row],[Q2'']]*Q254</f>
        <v>1.9941997298689786</v>
      </c>
      <c r="U255" s="9">
        <f>0.2*testdata[[#This Row],[Re]]+0.8*U254</f>
        <v>8.6140059668265092</v>
      </c>
      <c r="V255" s="9">
        <f>0.2*testdata[[#This Row],[Im]]+0.8*V254</f>
        <v>1.972364461196795</v>
      </c>
      <c r="W255" s="9">
        <f>IF(AND(testdata[[#This Row],[Re'']]&lt;&gt;0,testdata[[#This Row],[Im'']]&lt;&gt;0),2*PI()/ATAN(testdata[[#This Row],[Im'']]/testdata[[#This Row],[Re'']]),0)</f>
        <v>27.913900373315609</v>
      </c>
      <c r="X255" s="9">
        <f>IF(testdata[[#This Row],[pd-atan]]&gt;1.5*Z254,1.5*Z254,IF(testdata[[#This Row],[pd-atan]]&lt;0.67*Z254,0.67*Z254,testdata[[#This Row],[pd-atan]]))</f>
        <v>27.913900373315609</v>
      </c>
      <c r="Y255" s="9">
        <f>IF(testdata[[#This Row],[pd-limit1]]&lt;6,6,IF(testdata[[#This Row],[pd-limit1]]&gt;50,50,testdata[[#This Row],[pd-limit1]]))</f>
        <v>27.913900373315609</v>
      </c>
      <c r="Z255" s="14">
        <f>0.2*testdata[[#This Row],[pd-limit2]]+0.8*Z254</f>
        <v>24.5703741453314</v>
      </c>
      <c r="AA255" s="14">
        <f>0.33*testdata[[#This Row],[period]]+0.67*AA254</f>
        <v>24.083210796196013</v>
      </c>
      <c r="AB255" s="31">
        <f>TRUNC(testdata[[#This Row],[SmPd]]+0.5,0)</f>
        <v>24</v>
      </c>
      <c r="AC255" s="14">
        <f ca="1">IF(testdata[[#This Row],[PdInt]]&lt;=0,0,AVERAGE(OFFSET(testdata[[#This Row],[price]],0,0,-testdata[[#This Row],[PdInt]],1)))</f>
        <v>256.21437500000002</v>
      </c>
      <c r="AD255" s="14">
        <f ca="1">IF(testdata[[#This Row],[i]]&lt;11,testdata[[#This Row],[price]],(4*testdata[[#This Row],[iTrend]]+3*AC254+2*AC253+AC252)/10)</f>
        <v>255.8302291666667</v>
      </c>
      <c r="AE255" s="14">
        <f>(4*testdata[[#This Row],[price]]+3*H254+2*H253+H252)/10</f>
        <v>259.91000000000003</v>
      </c>
      <c r="AF255" t="str">
        <f ca="1">IF(OR(ROUND(testdata[[#This Row],[Trendline]],4)&lt;&gt;Table3[[#This Row],[Trendline]],ROUND(testdata[[#This Row],[SmPrice]],4)&lt;&gt;Table3[[#This Row],[SmPrice]]),"ERR","")</f>
        <v/>
      </c>
      <c r="AG255" s="3">
        <v>43104</v>
      </c>
      <c r="AH255" s="14">
        <v>24.083200000000001</v>
      </c>
      <c r="AI255" s="34">
        <v>24</v>
      </c>
      <c r="AJ255" s="14">
        <v>256.21440000000001</v>
      </c>
      <c r="AK255" s="14">
        <v>255.83019999999999</v>
      </c>
      <c r="AL255" s="14">
        <v>259.91000000000003</v>
      </c>
      <c r="AN255" s="38">
        <f t="shared" si="10"/>
        <v>0</v>
      </c>
      <c r="AO255" s="38">
        <f t="shared" si="11"/>
        <v>0</v>
      </c>
      <c r="AQ255" s="37">
        <v>43104</v>
      </c>
      <c r="AR255">
        <v>24</v>
      </c>
      <c r="AS255">
        <v>255.83022916666599</v>
      </c>
      <c r="AT255">
        <v>259.91000000000003</v>
      </c>
      <c r="AV255" s="37">
        <v>43104</v>
      </c>
      <c r="AW255">
        <v>24</v>
      </c>
      <c r="AX255">
        <v>255.83022916666599</v>
      </c>
      <c r="AY255">
        <v>259.91000000000003</v>
      </c>
      <c r="BA255" s="38">
        <f>AX255-Table3[[#This Row],[Trendline]]</f>
        <v>2.9166665996172014E-5</v>
      </c>
      <c r="BB255" s="38">
        <f>AY255-Table3[[#This Row],[SmPrice]]</f>
        <v>0</v>
      </c>
    </row>
    <row r="256" spans="1:54" x14ac:dyDescent="0.35">
      <c r="A256" s="6">
        <v>254</v>
      </c>
      <c r="B256" s="3">
        <v>43105</v>
      </c>
      <c r="C256" s="2">
        <v>262.45999999999998</v>
      </c>
      <c r="D256" s="2">
        <v>263.47000000000003</v>
      </c>
      <c r="E256" s="2">
        <v>261.92</v>
      </c>
      <c r="F256" s="2">
        <v>263.33999999999997</v>
      </c>
      <c r="G256" s="1">
        <v>86721784</v>
      </c>
      <c r="H256" s="30">
        <f>(testdata[[#This Row],[high]]+testdata[[#This Row],[low]])/2</f>
        <v>262.69500000000005</v>
      </c>
      <c r="I256" s="23">
        <f>(4*testdata[[#This Row],[price]]+3*H255+2*H254+H253)/10</f>
        <v>261.27350000000007</v>
      </c>
      <c r="J256" s="9">
        <f>(0.0962*testdata[[#This Row],[smooth]]+0.5769*I254-0.5769*I252-0.0962*I250)*(0.075*$Z255+0.54)</f>
        <v>2.3329613199806527</v>
      </c>
      <c r="K256" s="14">
        <f t="shared" si="9"/>
        <v>0.10143962029155185</v>
      </c>
      <c r="L256" s="14">
        <f>(0.0962*testdata[[#This Row],[detrender]]+0.5769*J254-0.5769*J252-0.0962*J250)*(0.075*$Z255+0.54)</f>
        <v>1.5859489610518449</v>
      </c>
      <c r="M256" s="9">
        <f>(0.0962*testdata[[#This Row],[I1]]+0.5769*K254-0.5769*K252-0.0962*K250)*(0.075*$Z255+0.54)</f>
        <v>-2.8214462816969079</v>
      </c>
      <c r="N256" s="9">
        <f>(0.0962*testdata[[#This Row],[Q1]]+0.5769*L254-0.5769*L252-0.0962*L250)*(0.075*$Z255+0.54)</f>
        <v>4.257114133253638</v>
      </c>
      <c r="O256" s="9">
        <f>testdata[[#This Row],[I1]]-testdata[[#This Row],[JQ]]</f>
        <v>-4.1556745129620865</v>
      </c>
      <c r="P256" s="9">
        <f>testdata[[#This Row],[Q1]]+testdata[[#This Row],[jI]]</f>
        <v>-1.235497320645063</v>
      </c>
      <c r="Q256" s="9">
        <f>0.2*testdata[[#This Row],[I2]]+0.8*Q255</f>
        <v>1.0298395273665664</v>
      </c>
      <c r="R256" s="9">
        <f>0.2*testdata[[#This Row],[Q2]]+0.8*R255</f>
        <v>-1.7480571422770832</v>
      </c>
      <c r="S256" s="9">
        <f>testdata[[#This Row],[I2'']]*Q255+testdata[[#This Row],[Q2'']]*R255</f>
        <v>5.675331021165734</v>
      </c>
      <c r="T256" s="9">
        <f>testdata[[#This Row],[I2'']]*R255-testdata[[#This Row],[Q2'']]*Q255</f>
        <v>2.1341801225294956</v>
      </c>
      <c r="U256" s="9">
        <f>0.2*testdata[[#This Row],[Re]]+0.8*U255</f>
        <v>8.0262709776943542</v>
      </c>
      <c r="V256" s="9">
        <f>0.2*testdata[[#This Row],[Im]]+0.8*V255</f>
        <v>2.0047275934633353</v>
      </c>
      <c r="W256" s="9">
        <f>IF(AND(testdata[[#This Row],[Re'']]&lt;&gt;0,testdata[[#This Row],[Im'']]&lt;&gt;0),2*PI()/ATAN(testdata[[#This Row],[Im'']]/testdata[[#This Row],[Re'']]),0)</f>
        <v>25.670500034016044</v>
      </c>
      <c r="X256" s="9">
        <f>IF(testdata[[#This Row],[pd-atan]]&gt;1.5*Z255,1.5*Z255,IF(testdata[[#This Row],[pd-atan]]&lt;0.67*Z255,0.67*Z255,testdata[[#This Row],[pd-atan]]))</f>
        <v>25.670500034016044</v>
      </c>
      <c r="Y256" s="9">
        <f>IF(testdata[[#This Row],[pd-limit1]]&lt;6,6,IF(testdata[[#This Row],[pd-limit1]]&gt;50,50,testdata[[#This Row],[pd-limit1]]))</f>
        <v>25.670500034016044</v>
      </c>
      <c r="Z256" s="14">
        <f>0.2*testdata[[#This Row],[pd-limit2]]+0.8*Z255</f>
        <v>24.790399323068328</v>
      </c>
      <c r="AA256" s="14">
        <f>0.33*testdata[[#This Row],[period]]+0.67*AA255</f>
        <v>24.31658301006388</v>
      </c>
      <c r="AB256" s="31">
        <f>TRUNC(testdata[[#This Row],[SmPd]]+0.5,0)</f>
        <v>24</v>
      </c>
      <c r="AC256" s="14">
        <f ca="1">IF(testdata[[#This Row],[PdInt]]&lt;=0,0,AVERAGE(OFFSET(testdata[[#This Row],[price]],0,0,-testdata[[#This Row],[PdInt]],1)))</f>
        <v>256.58500000000004</v>
      </c>
      <c r="AD256" s="14">
        <f ca="1">IF(testdata[[#This Row],[i]]&lt;11,testdata[[#This Row],[price]],(4*testdata[[#This Row],[iTrend]]+3*AC255+2*AC254+AC253)/10)</f>
        <v>256.2074791666667</v>
      </c>
      <c r="AE256" s="14">
        <f>(4*testdata[[#This Row],[price]]+3*H255+2*H254+H253)/10</f>
        <v>261.27350000000007</v>
      </c>
      <c r="AF256" t="str">
        <f ca="1">IF(OR(ROUND(testdata[[#This Row],[Trendline]],4)&lt;&gt;Table3[[#This Row],[Trendline]],ROUND(testdata[[#This Row],[SmPrice]],4)&lt;&gt;Table3[[#This Row],[SmPrice]]),"ERR","")</f>
        <v/>
      </c>
      <c r="AG256" s="3">
        <v>43105</v>
      </c>
      <c r="AH256" s="14">
        <v>24.316600000000001</v>
      </c>
      <c r="AI256" s="34">
        <v>24</v>
      </c>
      <c r="AJ256" s="14">
        <v>256.58499999999998</v>
      </c>
      <c r="AK256" s="14">
        <v>256.20749999999998</v>
      </c>
      <c r="AL256" s="14">
        <v>261.27350000000001</v>
      </c>
      <c r="AN256" s="38">
        <f t="shared" si="10"/>
        <v>0</v>
      </c>
      <c r="AO256" s="38">
        <f t="shared" si="11"/>
        <v>0</v>
      </c>
      <c r="AQ256" s="37">
        <v>43105</v>
      </c>
      <c r="AR256">
        <v>24</v>
      </c>
      <c r="AS256">
        <v>256.20747916666602</v>
      </c>
      <c r="AT256">
        <v>261.27350000000001</v>
      </c>
      <c r="AV256" s="37">
        <v>43105</v>
      </c>
      <c r="AW256">
        <v>24</v>
      </c>
      <c r="AX256">
        <v>256.20747916666602</v>
      </c>
      <c r="AY256">
        <v>261.27350000000001</v>
      </c>
      <c r="BA256" s="38">
        <f>AX256-Table3[[#This Row],[Trendline]]</f>
        <v>-2.0833333962855249E-5</v>
      </c>
      <c r="BB256" s="38">
        <f>AY256-Table3[[#This Row],[SmPrice]]</f>
        <v>0</v>
      </c>
    </row>
    <row r="257" spans="1:54" x14ac:dyDescent="0.35">
      <c r="A257" s="6">
        <v>255</v>
      </c>
      <c r="B257" s="3">
        <v>43108</v>
      </c>
      <c r="C257" s="2">
        <v>263.23</v>
      </c>
      <c r="D257" s="2">
        <v>263.99</v>
      </c>
      <c r="E257" s="2">
        <v>262.91000000000003</v>
      </c>
      <c r="F257" s="2">
        <v>263.82</v>
      </c>
      <c r="G257" s="1">
        <v>59513708</v>
      </c>
      <c r="H257" s="30">
        <f>(testdata[[#This Row],[high]]+testdata[[#This Row],[low]])/2</f>
        <v>263.45000000000005</v>
      </c>
      <c r="I257" s="23">
        <f>(4*testdata[[#This Row],[price]]+3*H256+2*H255+H254)/10</f>
        <v>262.4425</v>
      </c>
      <c r="J257" s="9">
        <f>(0.0962*testdata[[#This Row],[smooth]]+0.5769*I255-0.5769*I253-0.0962*I251)*(0.075*$Z256+0.54)</f>
        <v>3.8748037680154663</v>
      </c>
      <c r="K257" s="14">
        <f t="shared" si="9"/>
        <v>0.48345743980663597</v>
      </c>
      <c r="L257" s="14">
        <f>(0.0962*testdata[[#This Row],[detrender]]+0.5769*J255-0.5769*J253-0.0962*J251)*(0.075*$Z256+0.54)</f>
        <v>2.2436820513692437</v>
      </c>
      <c r="M257" s="9">
        <f>(0.0962*testdata[[#This Row],[I1]]+0.5769*K255-0.5769*K253-0.0962*K251)*(0.075*$Z256+0.54)</f>
        <v>-0.7319798044568846</v>
      </c>
      <c r="N257" s="9">
        <f>(0.0962*testdata[[#This Row],[Q1]]+0.5769*L255-0.5769*L253-0.0962*L251)*(0.075*$Z256+0.54)</f>
        <v>6.1746858660445261</v>
      </c>
      <c r="O257" s="9">
        <f>testdata[[#This Row],[I1]]-testdata[[#This Row],[JQ]]</f>
        <v>-5.69122842623789</v>
      </c>
      <c r="P257" s="9">
        <f>testdata[[#This Row],[Q1]]+testdata[[#This Row],[jI]]</f>
        <v>1.5117022469123591</v>
      </c>
      <c r="Q257" s="9">
        <f>0.2*testdata[[#This Row],[I2]]+0.8*Q256</f>
        <v>-0.31437406335432483</v>
      </c>
      <c r="R257" s="9">
        <f>0.2*testdata[[#This Row],[Q2]]+0.8*R256</f>
        <v>-1.0961052644391946</v>
      </c>
      <c r="S257" s="9">
        <f>testdata[[#This Row],[I2'']]*Q256+testdata[[#This Row],[Q2'']]*R256</f>
        <v>1.5922997993693202</v>
      </c>
      <c r="T257" s="9">
        <f>testdata[[#This Row],[I2'']]*R256-testdata[[#This Row],[Q2'']]*Q256</f>
        <v>1.6783563542672613</v>
      </c>
      <c r="U257" s="9">
        <f>0.2*testdata[[#This Row],[Re]]+0.8*U256</f>
        <v>6.7394767420293471</v>
      </c>
      <c r="V257" s="9">
        <f>0.2*testdata[[#This Row],[Im]]+0.8*V256</f>
        <v>1.9394533456241208</v>
      </c>
      <c r="W257" s="9">
        <f>IF(AND(testdata[[#This Row],[Re'']]&lt;&gt;0,testdata[[#This Row],[Im'']]&lt;&gt;0),2*PI()/ATAN(testdata[[#This Row],[Im'']]/testdata[[#This Row],[Re'']]),0)</f>
        <v>22.423620945017237</v>
      </c>
      <c r="X257" s="9">
        <f>IF(testdata[[#This Row],[pd-atan]]&gt;1.5*Z256,1.5*Z256,IF(testdata[[#This Row],[pd-atan]]&lt;0.67*Z256,0.67*Z256,testdata[[#This Row],[pd-atan]]))</f>
        <v>22.423620945017237</v>
      </c>
      <c r="Y257" s="9">
        <f>IF(testdata[[#This Row],[pd-limit1]]&lt;6,6,IF(testdata[[#This Row],[pd-limit1]]&gt;50,50,testdata[[#This Row],[pd-limit1]]))</f>
        <v>22.423620945017237</v>
      </c>
      <c r="Z257" s="14">
        <f>0.2*testdata[[#This Row],[pd-limit2]]+0.8*Z256</f>
        <v>24.31704364745811</v>
      </c>
      <c r="AA257" s="14">
        <f>0.33*testdata[[#This Row],[period]]+0.67*AA256</f>
        <v>24.316735020403975</v>
      </c>
      <c r="AB257" s="31">
        <f>TRUNC(testdata[[#This Row],[SmPd]]+0.5,0)</f>
        <v>24</v>
      </c>
      <c r="AC257" s="14">
        <f ca="1">IF(testdata[[#This Row],[PdInt]]&lt;=0,0,AVERAGE(OFFSET(testdata[[#This Row],[price]],0,0,-testdata[[#This Row],[PdInt]],1)))</f>
        <v>257.06</v>
      </c>
      <c r="AD257" s="14">
        <f ca="1">IF(testdata[[#This Row],[i]]&lt;11,testdata[[#This Row],[price]],(4*testdata[[#This Row],[iTrend]]+3*AC256+2*AC255+AC254)/10)</f>
        <v>256.6246041666667</v>
      </c>
      <c r="AE257" s="14">
        <f>(4*testdata[[#This Row],[price]]+3*H256+2*H255+H254)/10</f>
        <v>262.4425</v>
      </c>
      <c r="AF257" t="str">
        <f ca="1">IF(OR(ROUND(testdata[[#This Row],[Trendline]],4)&lt;&gt;Table3[[#This Row],[Trendline]],ROUND(testdata[[#This Row],[SmPrice]],4)&lt;&gt;Table3[[#This Row],[SmPrice]]),"ERR","")</f>
        <v/>
      </c>
      <c r="AG257" s="3">
        <v>43108</v>
      </c>
      <c r="AH257" s="14">
        <v>24.316700000000001</v>
      </c>
      <c r="AI257" s="34">
        <v>24</v>
      </c>
      <c r="AJ257" s="14">
        <v>257.06</v>
      </c>
      <c r="AK257" s="14">
        <v>256.62459999999999</v>
      </c>
      <c r="AL257" s="14">
        <v>262.4425</v>
      </c>
      <c r="AN257" s="38">
        <f t="shared" si="10"/>
        <v>0</v>
      </c>
      <c r="AO257" s="38">
        <f t="shared" si="11"/>
        <v>0</v>
      </c>
      <c r="AQ257" s="37">
        <v>43108</v>
      </c>
      <c r="AR257">
        <v>24</v>
      </c>
      <c r="AS257">
        <v>256.62460416666602</v>
      </c>
      <c r="AT257">
        <v>262.4425</v>
      </c>
      <c r="AV257" s="37">
        <v>43108</v>
      </c>
      <c r="AW257">
        <v>24</v>
      </c>
      <c r="AX257">
        <v>256.62460416666602</v>
      </c>
      <c r="AY257">
        <v>262.4425</v>
      </c>
      <c r="BA257" s="38">
        <f>AX257-Table3[[#This Row],[Trendline]]</f>
        <v>4.1666660308692371E-6</v>
      </c>
      <c r="BB257" s="38">
        <f>AY257-Table3[[#This Row],[SmPrice]]</f>
        <v>0</v>
      </c>
    </row>
    <row r="258" spans="1:54" x14ac:dyDescent="0.35">
      <c r="A258" s="6">
        <v>256</v>
      </c>
      <c r="B258" s="3">
        <v>43109</v>
      </c>
      <c r="C258" s="2">
        <v>264.27999999999997</v>
      </c>
      <c r="D258" s="2">
        <v>265.10000000000002</v>
      </c>
      <c r="E258" s="2">
        <v>263.97000000000003</v>
      </c>
      <c r="F258" s="2">
        <v>264.42</v>
      </c>
      <c r="G258" s="1">
        <v>59445976</v>
      </c>
      <c r="H258" s="30">
        <f>(testdata[[#This Row],[high]]+testdata[[#This Row],[low]])/2</f>
        <v>264.53500000000003</v>
      </c>
      <c r="I258" s="23">
        <f>(4*testdata[[#This Row],[price]]+3*H257+2*H256+H255)/10</f>
        <v>263.52250000000004</v>
      </c>
      <c r="J258" s="9">
        <f>(0.0962*testdata[[#This Row],[smooth]]+0.5769*I256-0.5769*I254-0.0962*I252)*(0.075*$Z257+0.54)</f>
        <v>4.7946514479023952</v>
      </c>
      <c r="K258" s="14">
        <f t="shared" si="9"/>
        <v>0.98951093343898711</v>
      </c>
      <c r="L258" s="14">
        <f>(0.0962*testdata[[#This Row],[detrender]]+0.5769*J256-0.5769*J254-0.0962*J252)*(0.075*$Z257+0.54)</f>
        <v>3.676878474372304</v>
      </c>
      <c r="M258" s="9">
        <f>(0.0962*testdata[[#This Row],[I1]]+0.5769*K256-0.5769*K254-0.0962*K252)*(0.075*$Z257+0.54)</f>
        <v>0.84514437310763302</v>
      </c>
      <c r="N258" s="9">
        <f>(0.0962*testdata[[#This Row],[Q1]]+0.5769*L256-0.5769*L254-0.0962*L252)*(0.075*$Z257+0.54)</f>
        <v>4.6609326492804843</v>
      </c>
      <c r="O258" s="9">
        <f>testdata[[#This Row],[I1]]-testdata[[#This Row],[JQ]]</f>
        <v>-3.6714217158414972</v>
      </c>
      <c r="P258" s="9">
        <f>testdata[[#This Row],[Q1]]+testdata[[#This Row],[jI]]</f>
        <v>4.5220228474799367</v>
      </c>
      <c r="Q258" s="9">
        <f>0.2*testdata[[#This Row],[I2]]+0.8*Q257</f>
        <v>-0.9857835938517594</v>
      </c>
      <c r="R258" s="9">
        <f>0.2*testdata[[#This Row],[Q2]]+0.8*R257</f>
        <v>2.752035794463159E-2</v>
      </c>
      <c r="S258" s="9">
        <f>testdata[[#This Row],[I2'']]*Q257+testdata[[#This Row],[Q2'']]*R257</f>
        <v>0.27973958476484534</v>
      </c>
      <c r="T258" s="9">
        <f>testdata[[#This Row],[I2'']]*R257-testdata[[#This Row],[Q2'']]*Q257</f>
        <v>1.0891742735707217</v>
      </c>
      <c r="U258" s="9">
        <f>0.2*testdata[[#This Row],[Re]]+0.8*U257</f>
        <v>5.4475293105764475</v>
      </c>
      <c r="V258" s="9">
        <f>0.2*testdata[[#This Row],[Im]]+0.8*V257</f>
        <v>1.7693975312134411</v>
      </c>
      <c r="W258" s="9">
        <f>IF(AND(testdata[[#This Row],[Re'']]&lt;&gt;0,testdata[[#This Row],[Im'']]&lt;&gt;0),2*PI()/ATAN(testdata[[#This Row],[Im'']]/testdata[[#This Row],[Re'']]),0)</f>
        <v>20.006471815843778</v>
      </c>
      <c r="X258" s="9">
        <f>IF(testdata[[#This Row],[pd-atan]]&gt;1.5*Z257,1.5*Z257,IF(testdata[[#This Row],[pd-atan]]&lt;0.67*Z257,0.67*Z257,testdata[[#This Row],[pd-atan]]))</f>
        <v>20.006471815843778</v>
      </c>
      <c r="Y258" s="9">
        <f>IF(testdata[[#This Row],[pd-limit1]]&lt;6,6,IF(testdata[[#This Row],[pd-limit1]]&gt;50,50,testdata[[#This Row],[pd-limit1]]))</f>
        <v>20.006471815843778</v>
      </c>
      <c r="Z258" s="14">
        <f>0.2*testdata[[#This Row],[pd-limit2]]+0.8*Z257</f>
        <v>23.454929281135247</v>
      </c>
      <c r="AA258" s="14">
        <f>0.33*testdata[[#This Row],[period]]+0.67*AA257</f>
        <v>24.032339126445297</v>
      </c>
      <c r="AB258" s="31">
        <f>TRUNC(testdata[[#This Row],[SmPd]]+0.5,0)</f>
        <v>24</v>
      </c>
      <c r="AC258" s="14">
        <f ca="1">IF(testdata[[#This Row],[PdInt]]&lt;=0,0,AVERAGE(OFFSET(testdata[[#This Row],[price]],0,0,-testdata[[#This Row],[PdInt]],1)))</f>
        <v>257.48437500000006</v>
      </c>
      <c r="AD258" s="14">
        <f ca="1">IF(testdata[[#This Row],[i]]&lt;11,testdata[[#This Row],[price]],(4*testdata[[#This Row],[iTrend]]+3*AC257+2*AC256+AC255)/10)</f>
        <v>257.05018750000005</v>
      </c>
      <c r="AE258" s="14">
        <f>(4*testdata[[#This Row],[price]]+3*H257+2*H256+H255)/10</f>
        <v>263.52250000000004</v>
      </c>
      <c r="AF258" t="str">
        <f ca="1">IF(OR(ROUND(testdata[[#This Row],[Trendline]],4)&lt;&gt;Table3[[#This Row],[Trendline]],ROUND(testdata[[#This Row],[SmPrice]],4)&lt;&gt;Table3[[#This Row],[SmPrice]]),"ERR","")</f>
        <v/>
      </c>
      <c r="AG258" s="3">
        <v>43109</v>
      </c>
      <c r="AH258" s="14">
        <v>24.032299999999999</v>
      </c>
      <c r="AI258" s="34">
        <v>24</v>
      </c>
      <c r="AJ258" s="14">
        <v>257.48439999999999</v>
      </c>
      <c r="AK258" s="14">
        <v>257.05020000000002</v>
      </c>
      <c r="AL258" s="14">
        <v>263.52249999999998</v>
      </c>
      <c r="AN258" s="38">
        <f t="shared" si="10"/>
        <v>0</v>
      </c>
      <c r="AO258" s="38">
        <f t="shared" si="11"/>
        <v>0</v>
      </c>
      <c r="AQ258" s="37">
        <v>43109</v>
      </c>
      <c r="AR258">
        <v>24</v>
      </c>
      <c r="AS258">
        <v>257.05018749999999</v>
      </c>
      <c r="AT258">
        <v>263.52249999999998</v>
      </c>
      <c r="AV258" s="37">
        <v>43109</v>
      </c>
      <c r="AW258">
        <v>24</v>
      </c>
      <c r="AX258">
        <v>257.05018749999999</v>
      </c>
      <c r="AY258">
        <v>263.52249999999998</v>
      </c>
      <c r="BA258" s="38">
        <f>AX258-Table3[[#This Row],[Trendline]]</f>
        <v>-1.2500000025283953E-5</v>
      </c>
      <c r="BB258" s="38">
        <f>AY258-Table3[[#This Row],[SmPrice]]</f>
        <v>0</v>
      </c>
    </row>
    <row r="259" spans="1:54" x14ac:dyDescent="0.35">
      <c r="A259" s="6">
        <v>257</v>
      </c>
      <c r="B259" s="3">
        <v>43110</v>
      </c>
      <c r="C259" s="2">
        <v>263.58999999999997</v>
      </c>
      <c r="D259" s="2">
        <v>264.3</v>
      </c>
      <c r="E259" s="2">
        <v>262.86</v>
      </c>
      <c r="F259" s="2">
        <v>264.01</v>
      </c>
      <c r="G259" s="1">
        <v>72238032</v>
      </c>
      <c r="H259" s="30">
        <f>(testdata[[#This Row],[high]]+testdata[[#This Row],[low]])/2</f>
        <v>263.58000000000004</v>
      </c>
      <c r="I259" s="23">
        <f>(4*testdata[[#This Row],[price]]+3*H258+2*H257+H256)/10</f>
        <v>263.75200000000007</v>
      </c>
      <c r="J259" s="9">
        <f>(0.0962*testdata[[#This Row],[smooth]]+0.5769*I257-0.5769*I255-0.0962*I253)*(0.075*$Z258+0.54)</f>
        <v>4.6486854120259293</v>
      </c>
      <c r="K259" s="14">
        <f t="shared" si="9"/>
        <v>2.3329613199806527</v>
      </c>
      <c r="L259" s="14">
        <f>(0.0962*testdata[[#This Row],[detrender]]+0.5769*J257-0.5769*J255-0.0962*J253)*(0.075*$Z258+0.54)</f>
        <v>4.832681734449924</v>
      </c>
      <c r="M259" s="9">
        <f>(0.0962*testdata[[#This Row],[I1]]+0.5769*K257-0.5769*K255-0.0962*K253)*(0.075*$Z258+0.54)</f>
        <v>1.5302669405823923</v>
      </c>
      <c r="N259" s="9">
        <f>(0.0962*testdata[[#This Row],[Q1]]+0.5769*L257-0.5769*L255-0.0962*L253)*(0.075*$Z258+0.54)</f>
        <v>3.5336773704666524</v>
      </c>
      <c r="O259" s="9">
        <f>testdata[[#This Row],[I1]]-testdata[[#This Row],[JQ]]</f>
        <v>-1.2007160504859997</v>
      </c>
      <c r="P259" s="9">
        <f>testdata[[#This Row],[Q1]]+testdata[[#This Row],[jI]]</f>
        <v>6.3629486750323165</v>
      </c>
      <c r="Q259" s="9">
        <f>0.2*testdata[[#This Row],[I2]]+0.8*Q258</f>
        <v>-1.0287700851786075</v>
      </c>
      <c r="R259" s="9">
        <f>0.2*testdata[[#This Row],[Q2]]+0.8*R258</f>
        <v>1.2946060213621686</v>
      </c>
      <c r="S259" s="9">
        <f>testdata[[#This Row],[I2'']]*Q258+testdata[[#This Row],[Q2'']]*R258</f>
        <v>1.0497726929197106</v>
      </c>
      <c r="T259" s="9">
        <f>testdata[[#This Row],[I2'']]*R258-testdata[[#This Row],[Q2'']]*Q258</f>
        <v>1.2478892553736818</v>
      </c>
      <c r="U259" s="9">
        <f>0.2*testdata[[#This Row],[Re]]+0.8*U258</f>
        <v>4.5679779870451007</v>
      </c>
      <c r="V259" s="9">
        <f>0.2*testdata[[#This Row],[Im]]+0.8*V258</f>
        <v>1.6650958760454895</v>
      </c>
      <c r="W259" s="9">
        <f>IF(AND(testdata[[#This Row],[Re'']]&lt;&gt;0,testdata[[#This Row],[Im'']]&lt;&gt;0),2*PI()/ATAN(testdata[[#This Row],[Im'']]/testdata[[#This Row],[Re'']]),0)</f>
        <v>17.975239210713859</v>
      </c>
      <c r="X259" s="9">
        <f>IF(testdata[[#This Row],[pd-atan]]&gt;1.5*Z258,1.5*Z258,IF(testdata[[#This Row],[pd-atan]]&lt;0.67*Z258,0.67*Z258,testdata[[#This Row],[pd-atan]]))</f>
        <v>17.975239210713859</v>
      </c>
      <c r="Y259" s="9">
        <f>IF(testdata[[#This Row],[pd-limit1]]&lt;6,6,IF(testdata[[#This Row],[pd-limit1]]&gt;50,50,testdata[[#This Row],[pd-limit1]]))</f>
        <v>17.975239210713859</v>
      </c>
      <c r="Z259" s="14">
        <f>0.2*testdata[[#This Row],[pd-limit2]]+0.8*Z258</f>
        <v>22.358991267050971</v>
      </c>
      <c r="AA259" s="14">
        <f>0.33*testdata[[#This Row],[period]]+0.67*AA258</f>
        <v>23.480134332845171</v>
      </c>
      <c r="AB259" s="31">
        <f>TRUNC(testdata[[#This Row],[SmPd]]+0.5,0)</f>
        <v>23</v>
      </c>
      <c r="AC259" s="14">
        <f ca="1">IF(testdata[[#This Row],[PdInt]]&lt;=0,0,AVERAGE(OFFSET(testdata[[#This Row],[price]],0,0,-testdata[[#This Row],[PdInt]],1)))</f>
        <v>258.17043478260871</v>
      </c>
      <c r="AD259" s="14">
        <f ca="1">IF(testdata[[#This Row],[i]]&lt;11,testdata[[#This Row],[price]],(4*testdata[[#This Row],[iTrend]]+3*AC258+2*AC257+AC256)/10)</f>
        <v>257.58398641304353</v>
      </c>
      <c r="AE259" s="14">
        <f>(4*testdata[[#This Row],[price]]+3*H258+2*H257+H256)/10</f>
        <v>263.75200000000007</v>
      </c>
      <c r="AF259" t="str">
        <f ca="1">IF(OR(ROUND(testdata[[#This Row],[Trendline]],4)&lt;&gt;Table3[[#This Row],[Trendline]],ROUND(testdata[[#This Row],[SmPrice]],4)&lt;&gt;Table3[[#This Row],[SmPrice]]),"ERR","")</f>
        <v/>
      </c>
      <c r="AG259" s="3">
        <v>43110</v>
      </c>
      <c r="AH259" s="14">
        <v>23.4801</v>
      </c>
      <c r="AI259" s="34">
        <v>23</v>
      </c>
      <c r="AJ259" s="14">
        <v>258.17039999999997</v>
      </c>
      <c r="AK259" s="14">
        <v>257.584</v>
      </c>
      <c r="AL259" s="14">
        <v>263.75200000000001</v>
      </c>
      <c r="AN259" s="38">
        <f t="shared" si="10"/>
        <v>0</v>
      </c>
      <c r="AO259" s="38">
        <f t="shared" si="11"/>
        <v>0</v>
      </c>
      <c r="AQ259" s="37">
        <v>43110</v>
      </c>
      <c r="AR259">
        <v>23</v>
      </c>
      <c r="AS259">
        <v>257.58398641304302</v>
      </c>
      <c r="AT259">
        <v>263.75200000000001</v>
      </c>
      <c r="AV259" s="37">
        <v>43110</v>
      </c>
      <c r="AW259">
        <v>23</v>
      </c>
      <c r="AX259">
        <v>257.58398641304302</v>
      </c>
      <c r="AY259">
        <v>263.75200000000001</v>
      </c>
      <c r="BA259" s="38">
        <f>AX259-Table3[[#This Row],[Trendline]]</f>
        <v>-1.3586956981725962E-5</v>
      </c>
      <c r="BB259" s="38">
        <f>AY259-Table3[[#This Row],[SmPrice]]</f>
        <v>0</v>
      </c>
    </row>
    <row r="260" spans="1:54" x14ac:dyDescent="0.35">
      <c r="A260" s="6">
        <v>258</v>
      </c>
      <c r="B260" s="3">
        <v>43111</v>
      </c>
      <c r="C260" s="2">
        <v>264.62</v>
      </c>
      <c r="D260" s="2">
        <v>265.94</v>
      </c>
      <c r="E260" s="2">
        <v>264.44</v>
      </c>
      <c r="F260" s="2">
        <v>265.94</v>
      </c>
      <c r="G260" s="1">
        <v>64749016</v>
      </c>
      <c r="H260" s="30">
        <f>(testdata[[#This Row],[high]]+testdata[[#This Row],[low]])/2</f>
        <v>265.19</v>
      </c>
      <c r="I260" s="23">
        <f>(4*testdata[[#This Row],[price]]+3*H259+2*H258+H257)/10</f>
        <v>264.40200000000004</v>
      </c>
      <c r="J260" s="9">
        <f>(0.0962*testdata[[#This Row],[smooth]]+0.5769*I258-0.5769*I256-0.0962*I254)*(0.075*$Z259+0.54)</f>
        <v>4.0852546288117573</v>
      </c>
      <c r="K260" s="14">
        <f t="shared" si="9"/>
        <v>3.8748037680154663</v>
      </c>
      <c r="L260" s="14">
        <f>(0.0962*testdata[[#This Row],[detrender]]+0.5769*J258-0.5769*J256-0.0962*J254)*(0.075*$Z259+0.54)</f>
        <v>3.9165114911073577</v>
      </c>
      <c r="M260" s="9">
        <f>(0.0962*testdata[[#This Row],[I1]]+0.5769*K258-0.5769*K256-0.0962*K254)*(0.075*$Z259+0.54)</f>
        <v>2.0731525571998195</v>
      </c>
      <c r="N260" s="9">
        <f>(0.0962*testdata[[#This Row],[Q1]]+0.5769*L258-0.5769*L256-0.0962*L254)*(0.075*$Z259+0.54)</f>
        <v>3.6572779465279797</v>
      </c>
      <c r="O260" s="9">
        <f>testdata[[#This Row],[I1]]-testdata[[#This Row],[JQ]]</f>
        <v>0.21752582148748667</v>
      </c>
      <c r="P260" s="9">
        <f>testdata[[#This Row],[Q1]]+testdata[[#This Row],[jI]]</f>
        <v>5.9896640483071772</v>
      </c>
      <c r="Q260" s="9">
        <f>0.2*testdata[[#This Row],[I2]]+0.8*Q259</f>
        <v>-0.77951090384538868</v>
      </c>
      <c r="R260" s="9">
        <f>0.2*testdata[[#This Row],[Q2]]+0.8*R259</f>
        <v>2.2336176267511707</v>
      </c>
      <c r="S260" s="9">
        <f>testdata[[#This Row],[I2'']]*Q259+testdata[[#This Row],[Q2'']]*R259</f>
        <v>3.6935923279594163</v>
      </c>
      <c r="T260" s="9">
        <f>testdata[[#This Row],[I2'']]*R259-testdata[[#This Row],[Q2'']]*Q259</f>
        <v>1.2887194862935341</v>
      </c>
      <c r="U260" s="9">
        <f>0.2*testdata[[#This Row],[Re]]+0.8*U259</f>
        <v>4.3931008552279636</v>
      </c>
      <c r="V260" s="9">
        <f>0.2*testdata[[#This Row],[Im]]+0.8*V259</f>
        <v>1.5898205980950983</v>
      </c>
      <c r="W260" s="9">
        <f>IF(AND(testdata[[#This Row],[Re'']]&lt;&gt;0,testdata[[#This Row],[Im'']]&lt;&gt;0),2*PI()/ATAN(testdata[[#This Row],[Im'']]/testdata[[#This Row],[Re'']]),0)</f>
        <v>18.095272679764363</v>
      </c>
      <c r="X260" s="9">
        <f>IF(testdata[[#This Row],[pd-atan]]&gt;1.5*Z259,1.5*Z259,IF(testdata[[#This Row],[pd-atan]]&lt;0.67*Z259,0.67*Z259,testdata[[#This Row],[pd-atan]]))</f>
        <v>18.095272679764363</v>
      </c>
      <c r="Y260" s="9">
        <f>IF(testdata[[#This Row],[pd-limit1]]&lt;6,6,IF(testdata[[#This Row],[pd-limit1]]&gt;50,50,testdata[[#This Row],[pd-limit1]]))</f>
        <v>18.095272679764363</v>
      </c>
      <c r="Z260" s="14">
        <f>0.2*testdata[[#This Row],[pd-limit2]]+0.8*Z259</f>
        <v>21.506247549593652</v>
      </c>
      <c r="AA260" s="14">
        <f>0.33*testdata[[#This Row],[period]]+0.67*AA259</f>
        <v>22.828751694372173</v>
      </c>
      <c r="AB260" s="31">
        <f>TRUNC(testdata[[#This Row],[SmPd]]+0.5,0)</f>
        <v>23</v>
      </c>
      <c r="AC260" s="14">
        <f ca="1">IF(testdata[[#This Row],[PdInt]]&lt;=0,0,AVERAGE(OFFSET(testdata[[#This Row],[price]],0,0,-testdata[[#This Row],[PdInt]],1)))</f>
        <v>258.71478260869566</v>
      </c>
      <c r="AD260" s="14">
        <f ca="1">IF(testdata[[#This Row],[i]]&lt;11,testdata[[#This Row],[price]],(4*testdata[[#This Row],[iTrend]]+3*AC259+2*AC258+AC257)/10)</f>
        <v>258.13991847826088</v>
      </c>
      <c r="AE260" s="14">
        <f>(4*testdata[[#This Row],[price]]+3*H259+2*H258+H257)/10</f>
        <v>264.40200000000004</v>
      </c>
      <c r="AF260" t="str">
        <f ca="1">IF(OR(ROUND(testdata[[#This Row],[Trendline]],4)&lt;&gt;Table3[[#This Row],[Trendline]],ROUND(testdata[[#This Row],[SmPrice]],4)&lt;&gt;Table3[[#This Row],[SmPrice]]),"ERR","")</f>
        <v/>
      </c>
      <c r="AG260" s="3">
        <v>43111</v>
      </c>
      <c r="AH260" s="14">
        <v>22.828700000000001</v>
      </c>
      <c r="AI260" s="34">
        <v>23</v>
      </c>
      <c r="AJ260" s="14">
        <v>258.71480000000003</v>
      </c>
      <c r="AK260" s="14">
        <v>258.13990000000001</v>
      </c>
      <c r="AL260" s="14">
        <v>264.40199999999999</v>
      </c>
      <c r="AN260" s="38">
        <f t="shared" si="10"/>
        <v>0</v>
      </c>
      <c r="AO260" s="38">
        <f t="shared" si="11"/>
        <v>0</v>
      </c>
      <c r="AQ260" s="37">
        <v>43111</v>
      </c>
      <c r="AR260">
        <v>23</v>
      </c>
      <c r="AS260">
        <v>258.13991847825997</v>
      </c>
      <c r="AT260">
        <v>264.40199999999999</v>
      </c>
      <c r="AV260" s="37">
        <v>43111</v>
      </c>
      <c r="AW260">
        <v>23</v>
      </c>
      <c r="AX260">
        <v>258.13991847825997</v>
      </c>
      <c r="AY260">
        <v>264.40199999999999</v>
      </c>
      <c r="BA260" s="38">
        <f>AX260-Table3[[#This Row],[Trendline]]</f>
        <v>1.8478259960374999E-5</v>
      </c>
      <c r="BB260" s="38">
        <f>AY260-Table3[[#This Row],[SmPrice]]</f>
        <v>0</v>
      </c>
    </row>
    <row r="261" spans="1:54" x14ac:dyDescent="0.35">
      <c r="A261" s="6">
        <v>259</v>
      </c>
      <c r="B261" s="3">
        <v>43112</v>
      </c>
      <c r="C261" s="2">
        <v>266.23</v>
      </c>
      <c r="D261" s="2">
        <v>267.86</v>
      </c>
      <c r="E261" s="2">
        <v>265.89999999999998</v>
      </c>
      <c r="F261" s="2">
        <v>267.67</v>
      </c>
      <c r="G261" s="1">
        <v>94293048</v>
      </c>
      <c r="H261" s="30">
        <f>(testdata[[#This Row],[high]]+testdata[[#This Row],[low]])/2</f>
        <v>266.88</v>
      </c>
      <c r="I261" s="23">
        <f>(4*testdata[[#This Row],[price]]+3*H260+2*H259+H258)/10</f>
        <v>265.4785</v>
      </c>
      <c r="J261" s="9">
        <f>(0.0962*testdata[[#This Row],[smooth]]+0.5769*I259-0.5769*I257-0.0962*I255)*(0.075*$Z260+0.54)</f>
        <v>2.7797843728309131</v>
      </c>
      <c r="K261" s="14">
        <f t="shared" ref="K261:K324" si="12">J258</f>
        <v>4.7946514479023952</v>
      </c>
      <c r="L261" s="14">
        <f>(0.0962*testdata[[#This Row],[detrender]]+0.5769*J259-0.5769*J257-0.0962*J255)*(0.075*$Z260+0.54)</f>
        <v>1.3319913269238213</v>
      </c>
      <c r="M261" s="9">
        <f>(0.0962*testdata[[#This Row],[I1]]+0.5769*K259-0.5769*K257-0.0962*K255)*(0.075*$Z260+0.54)</f>
        <v>3.3489620687699335</v>
      </c>
      <c r="N261" s="9">
        <f>(0.0962*testdata[[#This Row],[Q1]]+0.5769*L259-0.5769*L257-0.0962*L255)*(0.075*$Z260+0.54)</f>
        <v>3.3197297730033797</v>
      </c>
      <c r="O261" s="9">
        <f>testdata[[#This Row],[I1]]-testdata[[#This Row],[JQ]]</f>
        <v>1.4749216748990155</v>
      </c>
      <c r="P261" s="9">
        <f>testdata[[#This Row],[Q1]]+testdata[[#This Row],[jI]]</f>
        <v>4.6809533956937548</v>
      </c>
      <c r="Q261" s="9">
        <f>0.2*testdata[[#This Row],[I2]]+0.8*Q260</f>
        <v>-0.3286243880965079</v>
      </c>
      <c r="R261" s="9">
        <f>0.2*testdata[[#This Row],[Q2]]+0.8*R260</f>
        <v>2.7230847805396876</v>
      </c>
      <c r="S261" s="9">
        <f>testdata[[#This Row],[I2'']]*Q260+testdata[[#This Row],[Q2'']]*R260</f>
        <v>6.3384964587420365</v>
      </c>
      <c r="T261" s="9">
        <f>testdata[[#This Row],[I2'']]*R260-testdata[[#This Row],[Q2'']]*Q260</f>
        <v>1.388653052693436</v>
      </c>
      <c r="U261" s="9">
        <f>0.2*testdata[[#This Row],[Re]]+0.8*U260</f>
        <v>4.7821799759307781</v>
      </c>
      <c r="V261" s="9">
        <f>0.2*testdata[[#This Row],[Im]]+0.8*V260</f>
        <v>1.5495870890147661</v>
      </c>
      <c r="W261" s="9">
        <f>IF(AND(testdata[[#This Row],[Re'']]&lt;&gt;0,testdata[[#This Row],[Im'']]&lt;&gt;0),2*PI()/ATAN(testdata[[#This Row],[Im'']]/testdata[[#This Row],[Re'']]),0)</f>
        <v>20.051166597297904</v>
      </c>
      <c r="X261" s="9">
        <f>IF(testdata[[#This Row],[pd-atan]]&gt;1.5*Z260,1.5*Z260,IF(testdata[[#This Row],[pd-atan]]&lt;0.67*Z260,0.67*Z260,testdata[[#This Row],[pd-atan]]))</f>
        <v>20.051166597297904</v>
      </c>
      <c r="Y261" s="9">
        <f>IF(testdata[[#This Row],[pd-limit1]]&lt;6,6,IF(testdata[[#This Row],[pd-limit1]]&gt;50,50,testdata[[#This Row],[pd-limit1]]))</f>
        <v>20.051166597297904</v>
      </c>
      <c r="Z261" s="14">
        <f>0.2*testdata[[#This Row],[pd-limit2]]+0.8*Z260</f>
        <v>21.215231359134503</v>
      </c>
      <c r="AA261" s="14">
        <f>0.33*testdata[[#This Row],[period]]+0.67*AA260</f>
        <v>22.296289983743744</v>
      </c>
      <c r="AB261" s="31">
        <f>TRUNC(testdata[[#This Row],[SmPd]]+0.5,0)</f>
        <v>22</v>
      </c>
      <c r="AC261" s="14">
        <f ca="1">IF(testdata[[#This Row],[PdInt]]&lt;=0,0,AVERAGE(OFFSET(testdata[[#This Row],[price]],0,0,-testdata[[#This Row],[PdInt]],1)))</f>
        <v>259.49022727272722</v>
      </c>
      <c r="AD261" s="14">
        <f ca="1">IF(testdata[[#This Row],[i]]&lt;11,testdata[[#This Row],[price]],(4*testdata[[#This Row],[iTrend]]+3*AC260+2*AC259+AC258)/10)</f>
        <v>258.79305014822131</v>
      </c>
      <c r="AE261" s="14">
        <f>(4*testdata[[#This Row],[price]]+3*H260+2*H259+H258)/10</f>
        <v>265.4785</v>
      </c>
      <c r="AF261" t="str">
        <f ca="1">IF(OR(ROUND(testdata[[#This Row],[Trendline]],4)&lt;&gt;Table3[[#This Row],[Trendline]],ROUND(testdata[[#This Row],[SmPrice]],4)&lt;&gt;Table3[[#This Row],[SmPrice]]),"ERR","")</f>
        <v/>
      </c>
      <c r="AG261" s="3">
        <v>43112</v>
      </c>
      <c r="AH261" s="14">
        <v>22.296299999999999</v>
      </c>
      <c r="AI261" s="34">
        <v>22</v>
      </c>
      <c r="AJ261" s="14">
        <v>259.49020000000002</v>
      </c>
      <c r="AK261" s="14">
        <v>258.79309999999998</v>
      </c>
      <c r="AL261" s="14">
        <v>265.4785</v>
      </c>
      <c r="AN261" s="38">
        <f t="shared" si="10"/>
        <v>0</v>
      </c>
      <c r="AO261" s="38">
        <f t="shared" si="11"/>
        <v>0</v>
      </c>
      <c r="AQ261" s="37">
        <v>43112</v>
      </c>
      <c r="AR261">
        <v>22</v>
      </c>
      <c r="AS261">
        <v>258.79305014822103</v>
      </c>
      <c r="AT261">
        <v>265.4785</v>
      </c>
      <c r="AV261" s="37">
        <v>43112</v>
      </c>
      <c r="AW261">
        <v>22</v>
      </c>
      <c r="AX261">
        <v>258.79305014822103</v>
      </c>
      <c r="AY261">
        <v>265.4785</v>
      </c>
      <c r="BA261" s="38">
        <f>AX261-Table3[[#This Row],[Trendline]]</f>
        <v>-4.9851778953780013E-5</v>
      </c>
      <c r="BB261" s="38">
        <f>AY261-Table3[[#This Row],[SmPrice]]</f>
        <v>0</v>
      </c>
    </row>
    <row r="262" spans="1:54" x14ac:dyDescent="0.35">
      <c r="A262" s="6">
        <v>260</v>
      </c>
      <c r="B262" s="3">
        <v>43116</v>
      </c>
      <c r="C262" s="2">
        <v>269.05</v>
      </c>
      <c r="D262" s="2">
        <v>269.76</v>
      </c>
      <c r="E262" s="2">
        <v>266</v>
      </c>
      <c r="F262" s="2">
        <v>266.76</v>
      </c>
      <c r="G262" s="1">
        <v>110634704</v>
      </c>
      <c r="H262" s="30">
        <f>(testdata[[#This Row],[high]]+testdata[[#This Row],[low]])/2</f>
        <v>267.88</v>
      </c>
      <c r="I262" s="23">
        <f>(4*testdata[[#This Row],[price]]+3*H261+2*H260+H259)/10</f>
        <v>266.61199999999997</v>
      </c>
      <c r="J262" s="9">
        <f>(0.0962*testdata[[#This Row],[smooth]]+0.5769*I260-0.5769*I258-0.0962*I256)*(0.075*$Z261+0.54)</f>
        <v>2.1757839235665899</v>
      </c>
      <c r="K262" s="14">
        <f t="shared" si="12"/>
        <v>4.6486854120259293</v>
      </c>
      <c r="L262" s="14">
        <f>(0.0962*testdata[[#This Row],[detrender]]+0.5769*J260-0.5769*J258-0.0962*J256)*(0.075*$Z261+0.54)</f>
        <v>-0.90439605629107145</v>
      </c>
      <c r="M262" s="9">
        <f>(0.0962*testdata[[#This Row],[I1]]+0.5769*K260-0.5769*K258-0.0962*K256)*(0.075*$Z261+0.54)</f>
        <v>4.4795983154971593</v>
      </c>
      <c r="N262" s="9">
        <f>(0.0962*testdata[[#This Row],[Q1]]+0.5769*L260-0.5769*L258-0.0962*L256)*(0.075*$Z261+0.54)</f>
        <v>-0.21594205504276101</v>
      </c>
      <c r="O262" s="9">
        <f>testdata[[#This Row],[I1]]-testdata[[#This Row],[JQ]]</f>
        <v>4.86462746706869</v>
      </c>
      <c r="P262" s="9">
        <f>testdata[[#This Row],[Q1]]+testdata[[#This Row],[jI]]</f>
        <v>3.5752022592060877</v>
      </c>
      <c r="Q262" s="9">
        <f>0.2*testdata[[#This Row],[I2]]+0.8*Q261</f>
        <v>0.71002598293653163</v>
      </c>
      <c r="R262" s="9">
        <f>0.2*testdata[[#This Row],[Q2]]+0.8*R261</f>
        <v>2.8935082762729678</v>
      </c>
      <c r="S262" s="9">
        <f>testdata[[#This Row],[I2'']]*Q261+testdata[[#This Row],[Q2'']]*R261</f>
        <v>7.6459364953094049</v>
      </c>
      <c r="T262" s="9">
        <f>testdata[[#This Row],[I2'']]*R261-testdata[[#This Row],[Q2'']]*Q261</f>
        <v>2.8843383346645863</v>
      </c>
      <c r="U262" s="9">
        <f>0.2*testdata[[#This Row],[Re]]+0.8*U261</f>
        <v>5.3549312798065039</v>
      </c>
      <c r="V262" s="9">
        <f>0.2*testdata[[#This Row],[Im]]+0.8*V261</f>
        <v>1.8165373381447303</v>
      </c>
      <c r="W262" s="9">
        <f>IF(AND(testdata[[#This Row],[Re'']]&lt;&gt;0,testdata[[#This Row],[Im'']]&lt;&gt;0),2*PI()/ATAN(testdata[[#This Row],[Im'']]/testdata[[#This Row],[Re'']]),0)</f>
        <v>19.211963456918955</v>
      </c>
      <c r="X262" s="9">
        <f>IF(testdata[[#This Row],[pd-atan]]&gt;1.5*Z261,1.5*Z261,IF(testdata[[#This Row],[pd-atan]]&lt;0.67*Z261,0.67*Z261,testdata[[#This Row],[pd-atan]]))</f>
        <v>19.211963456918955</v>
      </c>
      <c r="Y262" s="9">
        <f>IF(testdata[[#This Row],[pd-limit1]]&lt;6,6,IF(testdata[[#This Row],[pd-limit1]]&gt;50,50,testdata[[#This Row],[pd-limit1]]))</f>
        <v>19.211963456918955</v>
      </c>
      <c r="Z262" s="14">
        <f>0.2*testdata[[#This Row],[pd-limit2]]+0.8*Z261</f>
        <v>20.814577778691394</v>
      </c>
      <c r="AA262" s="14">
        <f>0.33*testdata[[#This Row],[period]]+0.67*AA261</f>
        <v>21.807324956076471</v>
      </c>
      <c r="AB262" s="31">
        <f>TRUNC(testdata[[#This Row],[SmPd]]+0.5,0)</f>
        <v>22</v>
      </c>
      <c r="AC262" s="14">
        <f ca="1">IF(testdata[[#This Row],[PdInt]]&lt;=0,0,AVERAGE(OFFSET(testdata[[#This Row],[price]],0,0,-testdata[[#This Row],[PdInt]],1)))</f>
        <v>260.04454545454541</v>
      </c>
      <c r="AD262" s="14">
        <f ca="1">IF(testdata[[#This Row],[i]]&lt;11,testdata[[#This Row],[price]],(4*testdata[[#This Row],[iTrend]]+3*AC261+2*AC260+AC259)/10)</f>
        <v>259.42488636363635</v>
      </c>
      <c r="AE262" s="14">
        <f>(4*testdata[[#This Row],[price]]+3*H261+2*H260+H259)/10</f>
        <v>266.61199999999997</v>
      </c>
      <c r="AF262" t="str">
        <f ca="1">IF(OR(ROUND(testdata[[#This Row],[Trendline]],4)&lt;&gt;Table3[[#This Row],[Trendline]],ROUND(testdata[[#This Row],[SmPrice]],4)&lt;&gt;Table3[[#This Row],[SmPrice]]),"ERR","")</f>
        <v/>
      </c>
      <c r="AG262" s="3">
        <v>43116</v>
      </c>
      <c r="AH262" s="14">
        <v>21.807300000000001</v>
      </c>
      <c r="AI262" s="34">
        <v>22</v>
      </c>
      <c r="AJ262" s="14">
        <v>260.04450000000003</v>
      </c>
      <c r="AK262" s="14">
        <v>259.42489999999998</v>
      </c>
      <c r="AL262" s="14">
        <v>266.61200000000002</v>
      </c>
      <c r="AN262" s="38">
        <f t="shared" si="10"/>
        <v>0</v>
      </c>
      <c r="AO262" s="38">
        <f t="shared" si="11"/>
        <v>0</v>
      </c>
      <c r="AQ262" s="37">
        <v>43116</v>
      </c>
      <c r="AR262">
        <v>22</v>
      </c>
      <c r="AS262">
        <v>259.42488636363601</v>
      </c>
      <c r="AT262">
        <v>266.611999999999</v>
      </c>
      <c r="AV262" s="37">
        <v>43116</v>
      </c>
      <c r="AW262">
        <v>22</v>
      </c>
      <c r="AX262">
        <v>259.42488636363601</v>
      </c>
      <c r="AY262">
        <v>266.611999999999</v>
      </c>
      <c r="BA262" s="38">
        <f>AX262-Table3[[#This Row],[Trendline]]</f>
        <v>-1.3636363974001142E-5</v>
      </c>
      <c r="BB262" s="38">
        <f>AY262-Table3[[#This Row],[SmPrice]]</f>
        <v>-1.0231815394945443E-12</v>
      </c>
    </row>
    <row r="263" spans="1:54" x14ac:dyDescent="0.35">
      <c r="A263" s="6">
        <v>261</v>
      </c>
      <c r="B263" s="3">
        <v>43117</v>
      </c>
      <c r="C263" s="2">
        <v>267.77999999999997</v>
      </c>
      <c r="D263" s="2">
        <v>269.72000000000003</v>
      </c>
      <c r="E263" s="2">
        <v>266.76</v>
      </c>
      <c r="F263" s="2">
        <v>269.3</v>
      </c>
      <c r="G263" s="1">
        <v>117595008</v>
      </c>
      <c r="H263" s="30">
        <f>(testdata[[#This Row],[high]]+testdata[[#This Row],[low]])/2</f>
        <v>268.24</v>
      </c>
      <c r="I263" s="23">
        <f>(4*testdata[[#This Row],[price]]+3*H262+2*H261+H260)/10</f>
        <v>267.55499999999995</v>
      </c>
      <c r="J263" s="9">
        <f>(0.0962*testdata[[#This Row],[smooth]]+0.5769*I261-0.5769*I259-0.0962*I257)*(0.075*$Z262+0.54)</f>
        <v>3.1260914405511824</v>
      </c>
      <c r="K263" s="14">
        <f t="shared" si="12"/>
        <v>4.0852546288117573</v>
      </c>
      <c r="L263" s="14">
        <f>(0.0962*testdata[[#This Row],[detrender]]+0.5769*J261-0.5769*J259-0.0962*J257)*(0.075*$Z262+0.54)</f>
        <v>-2.4166673311289024</v>
      </c>
      <c r="M263" s="9">
        <f>(0.0962*testdata[[#This Row],[I1]]+0.5769*K261-0.5769*K259-0.0962*K257)*(0.075*$Z262+0.54)</f>
        <v>3.7118795698237674</v>
      </c>
      <c r="N263" s="9">
        <f>(0.0962*testdata[[#This Row],[Q1]]+0.5769*L261-0.5769*L259-0.0962*L257)*(0.075*$Z262+0.54)</f>
        <v>-5.1852334130398301</v>
      </c>
      <c r="O263" s="9">
        <f>testdata[[#This Row],[I1]]-testdata[[#This Row],[JQ]]</f>
        <v>9.2704880418515874</v>
      </c>
      <c r="P263" s="9">
        <f>testdata[[#This Row],[Q1]]+testdata[[#This Row],[jI]]</f>
        <v>1.295212238694865</v>
      </c>
      <c r="Q263" s="9">
        <f>0.2*testdata[[#This Row],[I2]]+0.8*Q262</f>
        <v>2.422118394719543</v>
      </c>
      <c r="R263" s="9">
        <f>0.2*testdata[[#This Row],[Q2]]+0.8*R262</f>
        <v>2.5738490687573474</v>
      </c>
      <c r="S263" s="9">
        <f>testdata[[#This Row],[I2'']]*Q262+testdata[[#This Row],[Q2'']]*R262</f>
        <v>9.1672205763262529</v>
      </c>
      <c r="T263" s="9">
        <f>testdata[[#This Row],[I2'']]*R262-testdata[[#This Row],[Q2'']]*Q262</f>
        <v>5.1809199062592812</v>
      </c>
      <c r="U263" s="9">
        <f>0.2*testdata[[#This Row],[Re]]+0.8*U262</f>
        <v>6.117389139110454</v>
      </c>
      <c r="V263" s="9">
        <f>0.2*testdata[[#This Row],[Im]]+0.8*V262</f>
        <v>2.4894138517676403</v>
      </c>
      <c r="W263" s="9">
        <f>IF(AND(testdata[[#This Row],[Re'']]&lt;&gt;0,testdata[[#This Row],[Im'']]&lt;&gt;0),2*PI()/ATAN(testdata[[#This Row],[Im'']]/testdata[[#This Row],[Re'']]),0)</f>
        <v>16.25766437934702</v>
      </c>
      <c r="X263" s="9">
        <f>IF(testdata[[#This Row],[pd-atan]]&gt;1.5*Z262,1.5*Z262,IF(testdata[[#This Row],[pd-atan]]&lt;0.67*Z262,0.67*Z262,testdata[[#This Row],[pd-atan]]))</f>
        <v>16.25766437934702</v>
      </c>
      <c r="Y263" s="9">
        <f>IF(testdata[[#This Row],[pd-limit1]]&lt;6,6,IF(testdata[[#This Row],[pd-limit1]]&gt;50,50,testdata[[#This Row],[pd-limit1]]))</f>
        <v>16.25766437934702</v>
      </c>
      <c r="Z263" s="14">
        <f>0.2*testdata[[#This Row],[pd-limit2]]+0.8*Z262</f>
        <v>19.903195098822522</v>
      </c>
      <c r="AA263" s="14">
        <f>0.33*testdata[[#This Row],[period]]+0.67*AA262</f>
        <v>21.17896210318267</v>
      </c>
      <c r="AB263" s="31">
        <f>TRUNC(testdata[[#This Row],[SmPd]]+0.5,0)</f>
        <v>21</v>
      </c>
      <c r="AC263" s="14">
        <f ca="1">IF(testdata[[#This Row],[PdInt]]&lt;=0,0,AVERAGE(OFFSET(testdata[[#This Row],[price]],0,0,-testdata[[#This Row],[PdInt]],1)))</f>
        <v>260.85666666666668</v>
      </c>
      <c r="AD263" s="14">
        <f ca="1">IF(testdata[[#This Row],[i]]&lt;11,testdata[[#This Row],[price]],(4*testdata[[#This Row],[iTrend]]+3*AC262+2*AC261+AC260)/10)</f>
        <v>260.12555401844531</v>
      </c>
      <c r="AE263" s="14">
        <f>(4*testdata[[#This Row],[price]]+3*H262+2*H261+H260)/10</f>
        <v>267.55499999999995</v>
      </c>
      <c r="AF263" t="str">
        <f ca="1">IF(OR(ROUND(testdata[[#This Row],[Trendline]],4)&lt;&gt;Table3[[#This Row],[Trendline]],ROUND(testdata[[#This Row],[SmPrice]],4)&lt;&gt;Table3[[#This Row],[SmPrice]]),"ERR","")</f>
        <v/>
      </c>
      <c r="AG263" s="3">
        <v>43117</v>
      </c>
      <c r="AH263" s="14">
        <v>21.178899999999999</v>
      </c>
      <c r="AI263" s="34">
        <v>21</v>
      </c>
      <c r="AJ263" s="14">
        <v>260.85669999999999</v>
      </c>
      <c r="AK263" s="14">
        <v>260.12560000000002</v>
      </c>
      <c r="AL263" s="14">
        <v>267.55500000000001</v>
      </c>
      <c r="AN263" s="38">
        <f t="shared" si="10"/>
        <v>0</v>
      </c>
      <c r="AO263" s="38">
        <f t="shared" si="11"/>
        <v>0</v>
      </c>
      <c r="AQ263" s="37">
        <v>43117</v>
      </c>
      <c r="AR263">
        <v>21</v>
      </c>
      <c r="AS263">
        <v>260.12555401844497</v>
      </c>
      <c r="AT263">
        <v>267.55499999999898</v>
      </c>
      <c r="AV263" s="37">
        <v>43117</v>
      </c>
      <c r="AW263">
        <v>21</v>
      </c>
      <c r="AX263">
        <v>260.12555401844497</v>
      </c>
      <c r="AY263">
        <v>267.55499999999898</v>
      </c>
      <c r="BA263" s="38">
        <f>AX263-Table3[[#This Row],[Trendline]]</f>
        <v>-4.5981555047092115E-5</v>
      </c>
      <c r="BB263" s="38">
        <f>AY263-Table3[[#This Row],[SmPrice]]</f>
        <v>-1.0231815394945443E-12</v>
      </c>
    </row>
    <row r="264" spans="1:54" x14ac:dyDescent="0.35">
      <c r="A264" s="6">
        <v>262</v>
      </c>
      <c r="B264" s="3">
        <v>43118</v>
      </c>
      <c r="C264" s="2">
        <v>269.17</v>
      </c>
      <c r="D264" s="2">
        <v>269.64</v>
      </c>
      <c r="E264" s="2">
        <v>268.31</v>
      </c>
      <c r="F264" s="2">
        <v>268.85000000000002</v>
      </c>
      <c r="G264" s="1">
        <v>104584464</v>
      </c>
      <c r="H264" s="30">
        <f>(testdata[[#This Row],[high]]+testdata[[#This Row],[low]])/2</f>
        <v>268.97500000000002</v>
      </c>
      <c r="I264" s="23">
        <f>(4*testdata[[#This Row],[price]]+3*H263+2*H262+H261)/10</f>
        <v>268.32600000000002</v>
      </c>
      <c r="J264" s="9">
        <f>(0.0962*testdata[[#This Row],[smooth]]+0.5769*I262-0.5769*I260-0.0962*I258)*(0.075*$Z263+0.54)</f>
        <v>3.53096163770021</v>
      </c>
      <c r="K264" s="14">
        <f t="shared" si="12"/>
        <v>2.7797843728309131</v>
      </c>
      <c r="L264" s="14">
        <f>(0.0962*testdata[[#This Row],[detrender]]+0.5769*J262-0.5769*J260-0.0962*J258)*(0.075*$Z263+0.54)</f>
        <v>-2.4863263931408022</v>
      </c>
      <c r="M264" s="9">
        <f>(0.0962*testdata[[#This Row],[I1]]+0.5769*K262-0.5769*K260-0.0962*K258)*(0.075*$Z263+0.54)</f>
        <v>1.2576084958922764</v>
      </c>
      <c r="N264" s="9">
        <f>(0.0962*testdata[[#This Row],[Q1]]+0.5769*L262-0.5769*L260-0.0962*L258)*(0.075*$Z263+0.54)</f>
        <v>-6.8586299449254762</v>
      </c>
      <c r="O264" s="9">
        <f>testdata[[#This Row],[I1]]-testdata[[#This Row],[JQ]]</f>
        <v>9.6384143177563892</v>
      </c>
      <c r="P264" s="9">
        <f>testdata[[#This Row],[Q1]]+testdata[[#This Row],[jI]]</f>
        <v>-1.2287178972485258</v>
      </c>
      <c r="Q264" s="9">
        <f>0.2*testdata[[#This Row],[I2]]+0.8*Q263</f>
        <v>3.8653775793269123</v>
      </c>
      <c r="R264" s="9">
        <f>0.2*testdata[[#This Row],[Q2]]+0.8*R263</f>
        <v>1.8133356755561727</v>
      </c>
      <c r="S264" s="9">
        <f>testdata[[#This Row],[I2'']]*Q263+testdata[[#This Row],[Q2'']]*R263</f>
        <v>14.029654477298944</v>
      </c>
      <c r="T264" s="9">
        <f>testdata[[#This Row],[I2'']]*R263-testdata[[#This Row],[Q2'']]*Q263</f>
        <v>5.5567847873803071</v>
      </c>
      <c r="U264" s="9">
        <f>0.2*testdata[[#This Row],[Re]]+0.8*U263</f>
        <v>7.6998422067481522</v>
      </c>
      <c r="V264" s="9">
        <f>0.2*testdata[[#This Row],[Im]]+0.8*V263</f>
        <v>3.1028880388901738</v>
      </c>
      <c r="W264" s="9">
        <f>IF(AND(testdata[[#This Row],[Re'']]&lt;&gt;0,testdata[[#This Row],[Im'']]&lt;&gt;0),2*PI()/ATAN(testdata[[#This Row],[Im'']]/testdata[[#This Row],[Re'']]),0)</f>
        <v>16.402043263382733</v>
      </c>
      <c r="X264" s="9">
        <f>IF(testdata[[#This Row],[pd-atan]]&gt;1.5*Z263,1.5*Z263,IF(testdata[[#This Row],[pd-atan]]&lt;0.67*Z263,0.67*Z263,testdata[[#This Row],[pd-atan]]))</f>
        <v>16.402043263382733</v>
      </c>
      <c r="Y264" s="9">
        <f>IF(testdata[[#This Row],[pd-limit1]]&lt;6,6,IF(testdata[[#This Row],[pd-limit1]]&gt;50,50,testdata[[#This Row],[pd-limit1]]))</f>
        <v>16.402043263382733</v>
      </c>
      <c r="Z264" s="14">
        <f>0.2*testdata[[#This Row],[pd-limit2]]+0.8*Z263</f>
        <v>19.202964731734568</v>
      </c>
      <c r="AA264" s="14">
        <f>0.33*testdata[[#This Row],[period]]+0.67*AA263</f>
        <v>20.526882970604795</v>
      </c>
      <c r="AB264" s="31">
        <f>TRUNC(testdata[[#This Row],[SmPd]]+0.5,0)</f>
        <v>21</v>
      </c>
      <c r="AC264" s="14">
        <f ca="1">IF(testdata[[#This Row],[PdInt]]&lt;=0,0,AVERAGE(OFFSET(testdata[[#This Row],[price]],0,0,-testdata[[#This Row],[PdInt]],1)))</f>
        <v>261.45571428571429</v>
      </c>
      <c r="AD264" s="14">
        <f ca="1">IF(testdata[[#This Row],[i]]&lt;11,testdata[[#This Row],[price]],(4*testdata[[#This Row],[iTrend]]+3*AC263+2*AC262+AC261)/10)</f>
        <v>260.79721753246753</v>
      </c>
      <c r="AE264" s="14">
        <f>(4*testdata[[#This Row],[price]]+3*H263+2*H262+H261)/10</f>
        <v>268.32600000000002</v>
      </c>
      <c r="AF264" t="str">
        <f ca="1">IF(OR(ROUND(testdata[[#This Row],[Trendline]],4)&lt;&gt;Table3[[#This Row],[Trendline]],ROUND(testdata[[#This Row],[SmPrice]],4)&lt;&gt;Table3[[#This Row],[SmPrice]]),"ERR","")</f>
        <v/>
      </c>
      <c r="AG264" s="3">
        <v>43118</v>
      </c>
      <c r="AH264" s="14">
        <v>20.526900000000001</v>
      </c>
      <c r="AI264" s="34">
        <v>21</v>
      </c>
      <c r="AJ264" s="14">
        <v>261.45569999999998</v>
      </c>
      <c r="AK264" s="14">
        <v>260.79719999999998</v>
      </c>
      <c r="AL264" s="14">
        <v>268.32600000000002</v>
      </c>
      <c r="AN264" s="38">
        <f t="shared" si="10"/>
        <v>0</v>
      </c>
      <c r="AO264" s="38">
        <f t="shared" si="11"/>
        <v>0</v>
      </c>
      <c r="AQ264" s="37">
        <v>43118</v>
      </c>
      <c r="AR264">
        <v>21</v>
      </c>
      <c r="AS264">
        <v>260.79721753246702</v>
      </c>
      <c r="AT264">
        <v>268.32600000000002</v>
      </c>
      <c r="AV264" s="37">
        <v>43118</v>
      </c>
      <c r="AW264">
        <v>21</v>
      </c>
      <c r="AX264">
        <v>260.79721753246702</v>
      </c>
      <c r="AY264">
        <v>268.32600000000002</v>
      </c>
      <c r="BA264" s="38">
        <f>AX264-Table3[[#This Row],[Trendline]]</f>
        <v>1.7532467040837219E-5</v>
      </c>
      <c r="BB264" s="38">
        <f>AY264-Table3[[#This Row],[SmPrice]]</f>
        <v>0</v>
      </c>
    </row>
    <row r="265" spans="1:54" x14ac:dyDescent="0.35">
      <c r="A265" s="6">
        <v>263</v>
      </c>
      <c r="B265" s="3">
        <v>43119</v>
      </c>
      <c r="C265" s="2">
        <v>269.48</v>
      </c>
      <c r="D265" s="2">
        <v>270.07</v>
      </c>
      <c r="E265" s="2">
        <v>268.85000000000002</v>
      </c>
      <c r="F265" s="2">
        <v>270.07</v>
      </c>
      <c r="G265" s="1">
        <v>146315344</v>
      </c>
      <c r="H265" s="30">
        <f>(testdata[[#This Row],[high]]+testdata[[#This Row],[low]])/2</f>
        <v>269.46000000000004</v>
      </c>
      <c r="I265" s="23">
        <f>(4*testdata[[#This Row],[price]]+3*H264+2*H263+H262)/10</f>
        <v>268.91250000000002</v>
      </c>
      <c r="J265" s="9">
        <f>(0.0962*testdata[[#This Row],[smooth]]+0.5769*I263-0.5769*I261-0.0962*I259)*(0.075*$Z264+0.54)</f>
        <v>3.3552351930940696</v>
      </c>
      <c r="K265" s="14">
        <f t="shared" si="12"/>
        <v>2.1757839235665899</v>
      </c>
      <c r="L265" s="14">
        <f>(0.0962*testdata[[#This Row],[detrender]]+0.5769*J263-0.5769*J261-0.0962*J259)*(0.075*$Z264+0.54)</f>
        <v>0.14921893535814593</v>
      </c>
      <c r="M265" s="9">
        <f>(0.0962*testdata[[#This Row],[I1]]+0.5769*K263-0.5769*K261-0.0962*K259)*(0.075*$Z264+0.54)</f>
        <v>-0.84034991219935329</v>
      </c>
      <c r="N265" s="9">
        <f>(0.0962*testdata[[#This Row],[Q1]]+0.5769*L263-0.5769*L261-0.0962*L259)*(0.075*$Z264+0.54)</f>
        <v>-5.1746186429062906</v>
      </c>
      <c r="O265" s="9">
        <f>testdata[[#This Row],[I1]]-testdata[[#This Row],[JQ]]</f>
        <v>7.35040256647288</v>
      </c>
      <c r="P265" s="9">
        <f>testdata[[#This Row],[Q1]]+testdata[[#This Row],[jI]]</f>
        <v>-0.69113097684120739</v>
      </c>
      <c r="Q265" s="9">
        <f>0.2*testdata[[#This Row],[I2]]+0.8*Q264</f>
        <v>4.5623825767561055</v>
      </c>
      <c r="R265" s="9">
        <f>0.2*testdata[[#This Row],[Q2]]+0.8*R264</f>
        <v>1.3124423450766967</v>
      </c>
      <c r="S265" s="9">
        <f>testdata[[#This Row],[I2'']]*Q264+testdata[[#This Row],[Q2'']]*R264</f>
        <v>20.015229846942976</v>
      </c>
      <c r="T265" s="9">
        <f>testdata[[#This Row],[I2'']]*R264-testdata[[#This Row],[Q2'']]*Q264</f>
        <v>3.200045877149047</v>
      </c>
      <c r="U265" s="9">
        <f>0.2*testdata[[#This Row],[Re]]+0.8*U264</f>
        <v>10.162919734787117</v>
      </c>
      <c r="V265" s="9">
        <f>0.2*testdata[[#This Row],[Im]]+0.8*V264</f>
        <v>3.1223196065419487</v>
      </c>
      <c r="W265" s="9">
        <f>IF(AND(testdata[[#This Row],[Re'']]&lt;&gt;0,testdata[[#This Row],[Im'']]&lt;&gt;0),2*PI()/ATAN(testdata[[#This Row],[Im'']]/testdata[[#This Row],[Re'']]),0)</f>
        <v>21.079317104182895</v>
      </c>
      <c r="X265" s="9">
        <f>IF(testdata[[#This Row],[pd-atan]]&gt;1.5*Z264,1.5*Z264,IF(testdata[[#This Row],[pd-atan]]&lt;0.67*Z264,0.67*Z264,testdata[[#This Row],[pd-atan]]))</f>
        <v>21.079317104182895</v>
      </c>
      <c r="Y265" s="9">
        <f>IF(testdata[[#This Row],[pd-limit1]]&lt;6,6,IF(testdata[[#This Row],[pd-limit1]]&gt;50,50,testdata[[#This Row],[pd-limit1]]))</f>
        <v>21.079317104182895</v>
      </c>
      <c r="Z265" s="14">
        <f>0.2*testdata[[#This Row],[pd-limit2]]+0.8*Z264</f>
        <v>19.578235206224235</v>
      </c>
      <c r="AA265" s="14">
        <f>0.33*testdata[[#This Row],[period]]+0.67*AA264</f>
        <v>20.213829208359211</v>
      </c>
      <c r="AB265" s="31">
        <f>TRUNC(testdata[[#This Row],[SmPd]]+0.5,0)</f>
        <v>20</v>
      </c>
      <c r="AC265" s="14">
        <f ca="1">IF(testdata[[#This Row],[PdInt]]&lt;=0,0,AVERAGE(OFFSET(testdata[[#This Row],[price]],0,0,-testdata[[#This Row],[PdInt]],1)))</f>
        <v>262.18475000000001</v>
      </c>
      <c r="AD265" s="14">
        <f ca="1">IF(testdata[[#This Row],[i]]&lt;11,testdata[[#This Row],[price]],(4*testdata[[#This Row],[iTrend]]+3*AC264+2*AC263+AC262)/10)</f>
        <v>261.48640216450212</v>
      </c>
      <c r="AE265" s="14">
        <f>(4*testdata[[#This Row],[price]]+3*H264+2*H263+H262)/10</f>
        <v>268.91250000000002</v>
      </c>
      <c r="AF265" t="str">
        <f ca="1">IF(OR(ROUND(testdata[[#This Row],[Trendline]],4)&lt;&gt;Table3[[#This Row],[Trendline]],ROUND(testdata[[#This Row],[SmPrice]],4)&lt;&gt;Table3[[#This Row],[SmPrice]]),"ERR","")</f>
        <v/>
      </c>
      <c r="AG265" s="3">
        <v>43119</v>
      </c>
      <c r="AH265" s="14">
        <v>20.213799999999999</v>
      </c>
      <c r="AI265" s="34">
        <v>20</v>
      </c>
      <c r="AJ265" s="14">
        <v>262.1848</v>
      </c>
      <c r="AK265" s="14">
        <v>261.4864</v>
      </c>
      <c r="AL265" s="14">
        <v>268.91250000000002</v>
      </c>
      <c r="AN265" s="38">
        <f t="shared" ref="AN265:AN328" si="13">AX265-AS265</f>
        <v>0</v>
      </c>
      <c r="AO265" s="38">
        <f t="shared" ref="AO265:AO328" si="14">AY265-AT265</f>
        <v>0</v>
      </c>
      <c r="AQ265" s="37">
        <v>43119</v>
      </c>
      <c r="AR265">
        <v>20</v>
      </c>
      <c r="AS265">
        <v>261.48640216450201</v>
      </c>
      <c r="AT265">
        <v>268.91250000000002</v>
      </c>
      <c r="AV265" s="37">
        <v>43119</v>
      </c>
      <c r="AW265">
        <v>20</v>
      </c>
      <c r="AX265">
        <v>261.48640216450201</v>
      </c>
      <c r="AY265">
        <v>268.91250000000002</v>
      </c>
      <c r="BA265" s="38">
        <f>AX265-Table3[[#This Row],[Trendline]]</f>
        <v>2.1645020069627208E-6</v>
      </c>
      <c r="BB265" s="38">
        <f>AY265-Table3[[#This Row],[SmPrice]]</f>
        <v>0</v>
      </c>
    </row>
    <row r="266" spans="1:54" x14ac:dyDescent="0.35">
      <c r="A266" s="6">
        <v>264</v>
      </c>
      <c r="B266" s="3">
        <v>43122</v>
      </c>
      <c r="C266" s="2">
        <v>269.83999999999997</v>
      </c>
      <c r="D266" s="2">
        <v>272.27</v>
      </c>
      <c r="E266" s="2">
        <v>269.77999999999997</v>
      </c>
      <c r="F266" s="2">
        <v>272.27</v>
      </c>
      <c r="G266" s="1">
        <v>94818768</v>
      </c>
      <c r="H266" s="30">
        <f>(testdata[[#This Row],[high]]+testdata[[#This Row],[low]])/2</f>
        <v>271.02499999999998</v>
      </c>
      <c r="I266" s="23">
        <f>(4*testdata[[#This Row],[price]]+3*H265+2*H264+H263)/10</f>
        <v>269.86700000000002</v>
      </c>
      <c r="J266" s="9">
        <f>(0.0962*testdata[[#This Row],[smooth]]+0.5769*I264-0.5769*I262-0.0962*I260)*(0.075*$Z265+0.54)</f>
        <v>3.0417523228456416</v>
      </c>
      <c r="K266" s="14">
        <f t="shared" si="12"/>
        <v>3.1260914405511824</v>
      </c>
      <c r="L266" s="14">
        <f>(0.0962*testdata[[#This Row],[detrender]]+0.5769*J264-0.5769*J262-0.0962*J260)*(0.075*$Z265+0.54)</f>
        <v>1.3685360562123627</v>
      </c>
      <c r="M266" s="9">
        <f>(0.0962*testdata[[#This Row],[I1]]+0.5769*K264-0.5769*K262-0.0962*K260)*(0.075*$Z265+0.54)</f>
        <v>-2.3100146901871619</v>
      </c>
      <c r="N266" s="9">
        <f>(0.0962*testdata[[#This Row],[Q1]]+0.5769*L264-0.5769*L262-0.0962*L260)*(0.075*$Z265+0.54)</f>
        <v>-2.3251491718258093</v>
      </c>
      <c r="O266" s="9">
        <f>testdata[[#This Row],[I1]]-testdata[[#This Row],[JQ]]</f>
        <v>5.4512406123769921</v>
      </c>
      <c r="P266" s="9">
        <f>testdata[[#This Row],[Q1]]+testdata[[#This Row],[jI]]</f>
        <v>-0.94147863397479914</v>
      </c>
      <c r="Q266" s="9">
        <f>0.2*testdata[[#This Row],[I2]]+0.8*Q265</f>
        <v>4.740154183880283</v>
      </c>
      <c r="R266" s="9">
        <f>0.2*testdata[[#This Row],[Q2]]+0.8*R265</f>
        <v>0.8616581492663975</v>
      </c>
      <c r="S266" s="9">
        <f>testdata[[#This Row],[I2'']]*Q265+testdata[[#This Row],[Q2'']]*R265</f>
        <v>22.757273501750596</v>
      </c>
      <c r="T266" s="9">
        <f>testdata[[#This Row],[I2'']]*R265-testdata[[#This Row],[Q2'']]*Q265</f>
        <v>2.2899649457840301</v>
      </c>
      <c r="U266" s="9">
        <f>0.2*testdata[[#This Row],[Re]]+0.8*U265</f>
        <v>12.681790488179814</v>
      </c>
      <c r="V266" s="9">
        <f>0.2*testdata[[#This Row],[Im]]+0.8*V265</f>
        <v>2.9558486743903654</v>
      </c>
      <c r="W266" s="9">
        <f>IF(AND(testdata[[#This Row],[Re'']]&lt;&gt;0,testdata[[#This Row],[Im'']]&lt;&gt;0),2*PI()/ATAN(testdata[[#This Row],[Im'']]/testdata[[#This Row],[Re'']]),0)</f>
        <v>27.438695473507504</v>
      </c>
      <c r="X266" s="9">
        <f>IF(testdata[[#This Row],[pd-atan]]&gt;1.5*Z265,1.5*Z265,IF(testdata[[#This Row],[pd-atan]]&lt;0.67*Z265,0.67*Z265,testdata[[#This Row],[pd-atan]]))</f>
        <v>27.438695473507504</v>
      </c>
      <c r="Y266" s="9">
        <f>IF(testdata[[#This Row],[pd-limit1]]&lt;6,6,IF(testdata[[#This Row],[pd-limit1]]&gt;50,50,testdata[[#This Row],[pd-limit1]]))</f>
        <v>27.438695473507504</v>
      </c>
      <c r="Z266" s="14">
        <f>0.2*testdata[[#This Row],[pd-limit2]]+0.8*Z265</f>
        <v>21.150327259680893</v>
      </c>
      <c r="AA266" s="14">
        <f>0.33*testdata[[#This Row],[period]]+0.67*AA265</f>
        <v>20.522873565295367</v>
      </c>
      <c r="AB266" s="31">
        <f>TRUNC(testdata[[#This Row],[SmPd]]+0.5,0)</f>
        <v>21</v>
      </c>
      <c r="AC266" s="14">
        <f ca="1">IF(testdata[[#This Row],[PdInt]]&lt;=0,0,AVERAGE(OFFSET(testdata[[#This Row],[price]],0,0,-testdata[[#This Row],[PdInt]],1)))</f>
        <v>262.60571428571427</v>
      </c>
      <c r="AD266" s="14">
        <f ca="1">IF(testdata[[#This Row],[i]]&lt;11,testdata[[#This Row],[price]],(4*testdata[[#This Row],[iTrend]]+3*AC265+2*AC264+AC263)/10)</f>
        <v>262.07452023809526</v>
      </c>
      <c r="AE266" s="14">
        <f>(4*testdata[[#This Row],[price]]+3*H265+2*H264+H263)/10</f>
        <v>269.86700000000002</v>
      </c>
      <c r="AF266" t="str">
        <f ca="1">IF(OR(ROUND(testdata[[#This Row],[Trendline]],4)&lt;&gt;Table3[[#This Row],[Trendline]],ROUND(testdata[[#This Row],[SmPrice]],4)&lt;&gt;Table3[[#This Row],[SmPrice]]),"ERR","")</f>
        <v/>
      </c>
      <c r="AG266" s="3">
        <v>43122</v>
      </c>
      <c r="AH266" s="14">
        <v>20.5229</v>
      </c>
      <c r="AI266" s="34">
        <v>21</v>
      </c>
      <c r="AJ266" s="14">
        <v>262.60570000000001</v>
      </c>
      <c r="AK266" s="14">
        <v>262.0745</v>
      </c>
      <c r="AL266" s="14">
        <v>269.86700000000002</v>
      </c>
      <c r="AN266" s="38">
        <f t="shared" si="13"/>
        <v>0</v>
      </c>
      <c r="AO266" s="38">
        <f t="shared" si="14"/>
        <v>0</v>
      </c>
      <c r="AQ266" s="37">
        <v>43122</v>
      </c>
      <c r="AR266">
        <v>21</v>
      </c>
      <c r="AS266">
        <v>262.07452023809498</v>
      </c>
      <c r="AT266">
        <v>269.86700000000002</v>
      </c>
      <c r="AV266" s="37">
        <v>43122</v>
      </c>
      <c r="AW266">
        <v>21</v>
      </c>
      <c r="AX266">
        <v>262.07452023809498</v>
      </c>
      <c r="AY266">
        <v>269.86700000000002</v>
      </c>
      <c r="BA266" s="38">
        <f>AX266-Table3[[#This Row],[Trendline]]</f>
        <v>2.0238094975866261E-5</v>
      </c>
      <c r="BB266" s="38">
        <f>AY266-Table3[[#This Row],[SmPrice]]</f>
        <v>0</v>
      </c>
    </row>
    <row r="267" spans="1:54" x14ac:dyDescent="0.35">
      <c r="A267" s="6">
        <v>265</v>
      </c>
      <c r="B267" s="3">
        <v>43123</v>
      </c>
      <c r="C267" s="2">
        <v>272.31</v>
      </c>
      <c r="D267" s="2">
        <v>273.16000000000003</v>
      </c>
      <c r="E267" s="2">
        <v>271.95999999999998</v>
      </c>
      <c r="F267" s="2">
        <v>272.83999999999997</v>
      </c>
      <c r="G267" s="1">
        <v>100801672</v>
      </c>
      <c r="H267" s="30">
        <f>(testdata[[#This Row],[high]]+testdata[[#This Row],[low]])/2</f>
        <v>272.56</v>
      </c>
      <c r="I267" s="23">
        <f>(4*testdata[[#This Row],[price]]+3*H266+2*H265+H264)/10</f>
        <v>271.12099999999998</v>
      </c>
      <c r="J267" s="9">
        <f>(0.0962*testdata[[#This Row],[smooth]]+0.5769*I265-0.5769*I263-0.0962*I261)*(0.075*$Z266+0.54)</f>
        <v>2.8193342638167715</v>
      </c>
      <c r="K267" s="14">
        <f t="shared" si="12"/>
        <v>3.53096163770021</v>
      </c>
      <c r="L267" s="14">
        <f>(0.0962*testdata[[#This Row],[detrender]]+0.5769*J265-0.5769*J263-0.0962*J261)*(0.075*$Z266+0.54)</f>
        <v>0.28916851215999795</v>
      </c>
      <c r="M267" s="9">
        <f>(0.0962*testdata[[#This Row],[I1]]+0.5769*K265-0.5769*K263-0.0962*K261)*(0.075*$Z266+0.54)</f>
        <v>-2.6007327425018629</v>
      </c>
      <c r="N267" s="9">
        <f>(0.0962*testdata[[#This Row],[Q1]]+0.5769*L265-0.5769*L263-0.0962*L261)*(0.075*$Z266+0.54)</f>
        <v>2.9341317889571608</v>
      </c>
      <c r="O267" s="9">
        <f>testdata[[#This Row],[I1]]-testdata[[#This Row],[JQ]]</f>
        <v>0.59682984874304923</v>
      </c>
      <c r="P267" s="9">
        <f>testdata[[#This Row],[Q1]]+testdata[[#This Row],[jI]]</f>
        <v>-2.3115642303418649</v>
      </c>
      <c r="Q267" s="9">
        <f>0.2*testdata[[#This Row],[I2]]+0.8*Q266</f>
        <v>3.9114893168528364</v>
      </c>
      <c r="R267" s="9">
        <f>0.2*testdata[[#This Row],[Q2]]+0.8*R266</f>
        <v>0.22701367334474509</v>
      </c>
      <c r="S267" s="9">
        <f>testdata[[#This Row],[I2'']]*Q266+testdata[[#This Row],[Q2'']]*R266</f>
        <v>18.736670632115402</v>
      </c>
      <c r="T267" s="9">
        <f>testdata[[#This Row],[I2'']]*R266-testdata[[#This Row],[Q2'']]*Q266</f>
        <v>2.2942868321315752</v>
      </c>
      <c r="U267" s="9">
        <f>0.2*testdata[[#This Row],[Re]]+0.8*U266</f>
        <v>13.892766516966933</v>
      </c>
      <c r="V267" s="9">
        <f>0.2*testdata[[#This Row],[Im]]+0.8*V266</f>
        <v>2.8235363059386076</v>
      </c>
      <c r="W267" s="9">
        <f>IF(AND(testdata[[#This Row],[Re'']]&lt;&gt;0,testdata[[#This Row],[Im'']]&lt;&gt;0),2*PI()/ATAN(testdata[[#This Row],[Im'']]/testdata[[#This Row],[Re'']]),0)</f>
        <v>31.336496180109723</v>
      </c>
      <c r="X267" s="9">
        <f>IF(testdata[[#This Row],[pd-atan]]&gt;1.5*Z266,1.5*Z266,IF(testdata[[#This Row],[pd-atan]]&lt;0.67*Z266,0.67*Z266,testdata[[#This Row],[pd-atan]]))</f>
        <v>31.336496180109723</v>
      </c>
      <c r="Y267" s="9">
        <f>IF(testdata[[#This Row],[pd-limit1]]&lt;6,6,IF(testdata[[#This Row],[pd-limit1]]&gt;50,50,testdata[[#This Row],[pd-limit1]]))</f>
        <v>31.336496180109723</v>
      </c>
      <c r="Z267" s="14">
        <f>0.2*testdata[[#This Row],[pd-limit2]]+0.8*Z266</f>
        <v>23.18756104376666</v>
      </c>
      <c r="AA267" s="14">
        <f>0.33*testdata[[#This Row],[period]]+0.67*AA266</f>
        <v>21.402220433190895</v>
      </c>
      <c r="AB267" s="31">
        <f>TRUNC(testdata[[#This Row],[SmPd]]+0.5,0)</f>
        <v>21</v>
      </c>
      <c r="AC267" s="14">
        <f ca="1">IF(testdata[[#This Row],[PdInt]]&lt;=0,0,AVERAGE(OFFSET(testdata[[#This Row],[price]],0,0,-testdata[[#This Row],[PdInt]],1)))</f>
        <v>263.31571428571431</v>
      </c>
      <c r="AD267" s="14">
        <f ca="1">IF(testdata[[#This Row],[i]]&lt;11,testdata[[#This Row],[price]],(4*testdata[[#This Row],[iTrend]]+3*AC266+2*AC265+AC264)/10)</f>
        <v>262.6905214285714</v>
      </c>
      <c r="AE267" s="14">
        <f>(4*testdata[[#This Row],[price]]+3*H266+2*H265+H264)/10</f>
        <v>271.12099999999998</v>
      </c>
      <c r="AF267" t="str">
        <f ca="1">IF(OR(ROUND(testdata[[#This Row],[Trendline]],4)&lt;&gt;Table3[[#This Row],[Trendline]],ROUND(testdata[[#This Row],[SmPrice]],4)&lt;&gt;Table3[[#This Row],[SmPrice]]),"ERR","")</f>
        <v/>
      </c>
      <c r="AG267" s="3">
        <v>43123</v>
      </c>
      <c r="AH267" s="14">
        <v>21.402200000000001</v>
      </c>
      <c r="AI267" s="34">
        <v>21</v>
      </c>
      <c r="AJ267" s="14">
        <v>263.31569999999999</v>
      </c>
      <c r="AK267" s="14">
        <v>262.69049999999999</v>
      </c>
      <c r="AL267" s="14">
        <v>271.12099999999998</v>
      </c>
      <c r="AN267" s="38">
        <f t="shared" si="13"/>
        <v>0</v>
      </c>
      <c r="AO267" s="38">
        <f t="shared" si="14"/>
        <v>0</v>
      </c>
      <c r="AQ267" s="37">
        <v>43123</v>
      </c>
      <c r="AR267">
        <v>21</v>
      </c>
      <c r="AS267">
        <v>262.690521428571</v>
      </c>
      <c r="AT267">
        <v>271.12099999999998</v>
      </c>
      <c r="AV267" s="37">
        <v>43123</v>
      </c>
      <c r="AW267">
        <v>21</v>
      </c>
      <c r="AX267">
        <v>262.690521428571</v>
      </c>
      <c r="AY267">
        <v>271.12099999999998</v>
      </c>
      <c r="BA267" s="38">
        <f>AX267-Table3[[#This Row],[Trendline]]</f>
        <v>2.1428571017167997E-5</v>
      </c>
      <c r="BB267" s="38">
        <f>AY267-Table3[[#This Row],[SmPrice]]</f>
        <v>0</v>
      </c>
    </row>
    <row r="268" spans="1:54" x14ac:dyDescent="0.35">
      <c r="A268" s="6">
        <v>266</v>
      </c>
      <c r="B268" s="3">
        <v>43124</v>
      </c>
      <c r="C268" s="2">
        <v>273.55</v>
      </c>
      <c r="D268" s="2">
        <v>274.2</v>
      </c>
      <c r="E268" s="2">
        <v>271.45</v>
      </c>
      <c r="F268" s="2">
        <v>272.74</v>
      </c>
      <c r="G268" s="1">
        <v>139977680</v>
      </c>
      <c r="H268" s="30">
        <f>(testdata[[#This Row],[high]]+testdata[[#This Row],[low]])/2</f>
        <v>272.82499999999999</v>
      </c>
      <c r="I268" s="23">
        <f>(4*testdata[[#This Row],[price]]+3*H267+2*H266+H265)/10</f>
        <v>272.04899999999998</v>
      </c>
      <c r="J268" s="9">
        <f>(0.0962*testdata[[#This Row],[smooth]]+0.5769*I266-0.5769*I264-0.0962*I262)*(0.075*$Z267+0.54)</f>
        <v>3.2181391190723319</v>
      </c>
      <c r="K268" s="14">
        <f t="shared" si="12"/>
        <v>3.3552351930940696</v>
      </c>
      <c r="L268" s="14">
        <f>(0.0962*testdata[[#This Row],[detrender]]+0.5769*J266-0.5769*J264-0.0962*J262)*(0.075*$Z267+0.54)</f>
        <v>-0.41467690199345686</v>
      </c>
      <c r="M268" s="9">
        <f>(0.0962*testdata[[#This Row],[I1]]+0.5769*K266-0.5769*K264-0.0962*K262)*(0.075*$Z267+0.54)</f>
        <v>0.17173827080227438</v>
      </c>
      <c r="N268" s="9">
        <f>(0.0962*testdata[[#This Row],[Q1]]+0.5769*L266-0.5769*L264-0.0962*L262)*(0.075*$Z267+0.54)</f>
        <v>5.1757183280437111</v>
      </c>
      <c r="O268" s="9">
        <f>testdata[[#This Row],[I1]]-testdata[[#This Row],[JQ]]</f>
        <v>-1.8204831349496415</v>
      </c>
      <c r="P268" s="9">
        <f>testdata[[#This Row],[Q1]]+testdata[[#This Row],[jI]]</f>
        <v>-0.24293863119118247</v>
      </c>
      <c r="Q268" s="9">
        <f>0.2*testdata[[#This Row],[I2]]+0.8*Q267</f>
        <v>2.7650948264923407</v>
      </c>
      <c r="R268" s="9">
        <f>0.2*testdata[[#This Row],[Q2]]+0.8*R267</f>
        <v>0.1330232124375596</v>
      </c>
      <c r="S268" s="9">
        <f>testdata[[#This Row],[I2'']]*Q267+testdata[[#This Row],[Q2'']]*R267</f>
        <v>10.845836962005407</v>
      </c>
      <c r="T268" s="9">
        <f>testdata[[#This Row],[I2'']]*R267-testdata[[#This Row],[Q2'']]*Q267</f>
        <v>0.10739545936561712</v>
      </c>
      <c r="U268" s="9">
        <f>0.2*testdata[[#This Row],[Re]]+0.8*U267</f>
        <v>13.28338060597463</v>
      </c>
      <c r="V268" s="9">
        <f>0.2*testdata[[#This Row],[Im]]+0.8*V267</f>
        <v>2.2803081366240097</v>
      </c>
      <c r="W268" s="9">
        <f>IF(AND(testdata[[#This Row],[Re'']]&lt;&gt;0,testdata[[#This Row],[Im'']]&lt;&gt;0),2*PI()/ATAN(testdata[[#This Row],[Im'']]/testdata[[#This Row],[Re'']]),0)</f>
        <v>36.957922623333843</v>
      </c>
      <c r="X268" s="9">
        <f>IF(testdata[[#This Row],[pd-atan]]&gt;1.5*Z267,1.5*Z267,IF(testdata[[#This Row],[pd-atan]]&lt;0.67*Z267,0.67*Z267,testdata[[#This Row],[pd-atan]]))</f>
        <v>34.781341565649988</v>
      </c>
      <c r="Y268" s="9">
        <f>IF(testdata[[#This Row],[pd-limit1]]&lt;6,6,IF(testdata[[#This Row],[pd-limit1]]&gt;50,50,testdata[[#This Row],[pd-limit1]]))</f>
        <v>34.781341565649988</v>
      </c>
      <c r="Z268" s="14">
        <f>0.2*testdata[[#This Row],[pd-limit2]]+0.8*Z267</f>
        <v>25.506317148143324</v>
      </c>
      <c r="AA268" s="14">
        <f>0.33*testdata[[#This Row],[period]]+0.67*AA267</f>
        <v>22.7565723491252</v>
      </c>
      <c r="AB268" s="31">
        <f>TRUNC(testdata[[#This Row],[SmPd]]+0.5,0)</f>
        <v>23</v>
      </c>
      <c r="AC268" s="14">
        <f ca="1">IF(testdata[[#This Row],[PdInt]]&lt;=0,0,AVERAGE(OFFSET(testdata[[#This Row],[price]],0,0,-testdata[[#This Row],[PdInt]],1)))</f>
        <v>263.48282608695649</v>
      </c>
      <c r="AD268" s="14">
        <f ca="1">IF(testdata[[#This Row],[i]]&lt;11,testdata[[#This Row],[price]],(4*testdata[[#This Row],[iTrend]]+3*AC267+2*AC266+AC265)/10)</f>
        <v>263.12746257763968</v>
      </c>
      <c r="AE268" s="14">
        <f>(4*testdata[[#This Row],[price]]+3*H267+2*H266+H265)/10</f>
        <v>272.04899999999998</v>
      </c>
      <c r="AF268" t="str">
        <f ca="1">IF(OR(ROUND(testdata[[#This Row],[Trendline]],4)&lt;&gt;Table3[[#This Row],[Trendline]],ROUND(testdata[[#This Row],[SmPrice]],4)&lt;&gt;Table3[[#This Row],[SmPrice]]),"ERR","")</f>
        <v/>
      </c>
      <c r="AG268" s="3">
        <v>43124</v>
      </c>
      <c r="AH268" s="14">
        <v>22.756599999999999</v>
      </c>
      <c r="AI268" s="34">
        <v>23</v>
      </c>
      <c r="AJ268" s="14">
        <v>263.4828</v>
      </c>
      <c r="AK268" s="14">
        <v>263.1275</v>
      </c>
      <c r="AL268" s="14">
        <v>272.04899999999998</v>
      </c>
      <c r="AN268" s="38">
        <f t="shared" si="13"/>
        <v>0</v>
      </c>
      <c r="AO268" s="38">
        <f t="shared" si="14"/>
        <v>0</v>
      </c>
      <c r="AQ268" s="37">
        <v>43124</v>
      </c>
      <c r="AR268">
        <v>23</v>
      </c>
      <c r="AS268">
        <v>263.12746257763899</v>
      </c>
      <c r="AT268">
        <v>272.04899999999998</v>
      </c>
      <c r="AV268" s="37">
        <v>43124</v>
      </c>
      <c r="AW268">
        <v>23</v>
      </c>
      <c r="AX268">
        <v>263.12746257763899</v>
      </c>
      <c r="AY268">
        <v>272.04899999999998</v>
      </c>
      <c r="BA268" s="38">
        <f>AX268-Table3[[#This Row],[Trendline]]</f>
        <v>-3.7422361003791593E-5</v>
      </c>
      <c r="BB268" s="38">
        <f>AY268-Table3[[#This Row],[SmPrice]]</f>
        <v>0</v>
      </c>
    </row>
    <row r="269" spans="1:54" x14ac:dyDescent="0.35">
      <c r="A269" s="6">
        <v>267</v>
      </c>
      <c r="B269" s="3">
        <v>43125</v>
      </c>
      <c r="C269" s="2">
        <v>273.68</v>
      </c>
      <c r="D269" s="2">
        <v>273.79000000000002</v>
      </c>
      <c r="E269" s="2">
        <v>271.99</v>
      </c>
      <c r="F269" s="2">
        <v>272.85000000000002</v>
      </c>
      <c r="G269" s="1">
        <v>87825816</v>
      </c>
      <c r="H269" s="30">
        <f>(testdata[[#This Row],[high]]+testdata[[#This Row],[low]])/2</f>
        <v>272.89</v>
      </c>
      <c r="I269" s="23">
        <f>(4*testdata[[#This Row],[price]]+3*H268+2*H267+H266)/10</f>
        <v>272.61799999999999</v>
      </c>
      <c r="J269" s="9">
        <f>(0.0962*testdata[[#This Row],[smooth]]+0.5769*I267-0.5769*I265-0.0962*I263)*(0.075*$Z268+0.54)</f>
        <v>4.3200406788096082</v>
      </c>
      <c r="K269" s="14">
        <f t="shared" si="12"/>
        <v>3.0417523228456416</v>
      </c>
      <c r="L269" s="14">
        <f>(0.0962*testdata[[#This Row],[detrender]]+0.5769*J267-0.5769*J265-0.0962*J263)*(0.075*$Z268+0.54)</f>
        <v>-0.47662097352223276</v>
      </c>
      <c r="M269" s="9">
        <f>(0.0962*testdata[[#This Row],[I1]]+0.5769*K267-0.5769*K265-0.0962*K263)*(0.075*$Z268+0.54)</f>
        <v>1.6714982872637936</v>
      </c>
      <c r="N269" s="9">
        <f>(0.0962*testdata[[#This Row],[Q1]]+0.5769*L267-0.5769*L265-0.0962*L263)*(0.075*$Z268+0.54)</f>
        <v>0.65585005694424747</v>
      </c>
      <c r="O269" s="9">
        <f>testdata[[#This Row],[I1]]-testdata[[#This Row],[JQ]]</f>
        <v>2.385902265901394</v>
      </c>
      <c r="P269" s="9">
        <f>testdata[[#This Row],[Q1]]+testdata[[#This Row],[jI]]</f>
        <v>1.1948773137415607</v>
      </c>
      <c r="Q269" s="9">
        <f>0.2*testdata[[#This Row],[I2]]+0.8*Q268</f>
        <v>2.6892563143741515</v>
      </c>
      <c r="R269" s="9">
        <f>0.2*testdata[[#This Row],[Q2]]+0.8*R268</f>
        <v>0.34539403269835983</v>
      </c>
      <c r="S269" s="9">
        <f>testdata[[#This Row],[I2'']]*Q268+testdata[[#This Row],[Q2'']]*R268</f>
        <v>7.4819941457741255</v>
      </c>
      <c r="T269" s="9">
        <f>testdata[[#This Row],[I2'']]*R268-testdata[[#This Row],[Q2'']]*Q268</f>
        <v>-0.59731373890951978</v>
      </c>
      <c r="U269" s="9">
        <f>0.2*testdata[[#This Row],[Re]]+0.8*U268</f>
        <v>12.12310331393453</v>
      </c>
      <c r="V269" s="9">
        <f>0.2*testdata[[#This Row],[Im]]+0.8*V268</f>
        <v>1.7047837615173038</v>
      </c>
      <c r="W269" s="9">
        <f>IF(AND(testdata[[#This Row],[Re'']]&lt;&gt;0,testdata[[#This Row],[Im'']]&lt;&gt;0),2*PI()/ATAN(testdata[[#This Row],[Im'']]/testdata[[#This Row],[Re'']]),0)</f>
        <v>44.974135655869418</v>
      </c>
      <c r="X269" s="9">
        <f>IF(testdata[[#This Row],[pd-atan]]&gt;1.5*Z268,1.5*Z268,IF(testdata[[#This Row],[pd-atan]]&lt;0.67*Z268,0.67*Z268,testdata[[#This Row],[pd-atan]]))</f>
        <v>38.259475722214987</v>
      </c>
      <c r="Y269" s="9">
        <f>IF(testdata[[#This Row],[pd-limit1]]&lt;6,6,IF(testdata[[#This Row],[pd-limit1]]&gt;50,50,testdata[[#This Row],[pd-limit1]]))</f>
        <v>38.259475722214987</v>
      </c>
      <c r="Z269" s="14">
        <f>0.2*testdata[[#This Row],[pd-limit2]]+0.8*Z268</f>
        <v>28.056948862957661</v>
      </c>
      <c r="AA269" s="14">
        <f>0.33*testdata[[#This Row],[period]]+0.67*AA268</f>
        <v>24.505696598689916</v>
      </c>
      <c r="AB269" s="31">
        <f>TRUNC(testdata[[#This Row],[SmPd]]+0.5,0)</f>
        <v>25</v>
      </c>
      <c r="AC269" s="14">
        <f ca="1">IF(testdata[[#This Row],[PdInt]]&lt;=0,0,AVERAGE(OFFSET(testdata[[#This Row],[price]],0,0,-testdata[[#This Row],[PdInt]],1)))</f>
        <v>263.63720000000001</v>
      </c>
      <c r="AD269" s="14">
        <f ca="1">IF(testdata[[#This Row],[i]]&lt;11,testdata[[#This Row],[price]],(4*testdata[[#This Row],[iTrend]]+3*AC268+2*AC267+AC266)/10)</f>
        <v>263.42344211180125</v>
      </c>
      <c r="AE269" s="14">
        <f>(4*testdata[[#This Row],[price]]+3*H268+2*H267+H266)/10</f>
        <v>272.61799999999999</v>
      </c>
      <c r="AF269" t="str">
        <f ca="1">IF(OR(ROUND(testdata[[#This Row],[Trendline]],4)&lt;&gt;Table3[[#This Row],[Trendline]],ROUND(testdata[[#This Row],[SmPrice]],4)&lt;&gt;Table3[[#This Row],[SmPrice]]),"ERR","")</f>
        <v/>
      </c>
      <c r="AG269" s="3">
        <v>43125</v>
      </c>
      <c r="AH269" s="14">
        <v>24.505700000000001</v>
      </c>
      <c r="AI269" s="34">
        <v>25</v>
      </c>
      <c r="AJ269" s="14">
        <v>263.63720000000001</v>
      </c>
      <c r="AK269" s="14">
        <v>263.42340000000002</v>
      </c>
      <c r="AL269" s="14">
        <v>272.61799999999999</v>
      </c>
      <c r="AN269" s="38">
        <f t="shared" si="13"/>
        <v>0</v>
      </c>
      <c r="AO269" s="38">
        <f t="shared" si="14"/>
        <v>0</v>
      </c>
      <c r="AQ269" s="37">
        <v>43125</v>
      </c>
      <c r="AR269">
        <v>25</v>
      </c>
      <c r="AS269">
        <v>263.42344211180102</v>
      </c>
      <c r="AT269">
        <v>272.61799999999999</v>
      </c>
      <c r="AV269" s="37">
        <v>43125</v>
      </c>
      <c r="AW269">
        <v>25</v>
      </c>
      <c r="AX269">
        <v>263.42344211180102</v>
      </c>
      <c r="AY269">
        <v>272.61799999999999</v>
      </c>
      <c r="BA269" s="38">
        <f>AX269-Table3[[#This Row],[Trendline]]</f>
        <v>4.2111801008104521E-5</v>
      </c>
      <c r="BB269" s="38">
        <f>AY269-Table3[[#This Row],[SmPrice]]</f>
        <v>0</v>
      </c>
    </row>
    <row r="270" spans="1:54" x14ac:dyDescent="0.35">
      <c r="A270" s="6">
        <v>268</v>
      </c>
      <c r="B270" s="3">
        <v>43126</v>
      </c>
      <c r="C270" s="2">
        <v>273.77</v>
      </c>
      <c r="D270" s="2">
        <v>276.06</v>
      </c>
      <c r="E270" s="2">
        <v>273.49</v>
      </c>
      <c r="F270" s="2">
        <v>276.01</v>
      </c>
      <c r="G270" s="1">
        <v>111868160</v>
      </c>
      <c r="H270" s="30">
        <f>(testdata[[#This Row],[high]]+testdata[[#This Row],[low]])/2</f>
        <v>274.77499999999998</v>
      </c>
      <c r="I270" s="23">
        <f>(4*testdata[[#This Row],[price]]+3*H269+2*H268+H267)/10</f>
        <v>273.59800000000001</v>
      </c>
      <c r="J270" s="9">
        <f>(0.0962*testdata[[#This Row],[smooth]]+0.5769*I268-0.5769*I266-0.0962*I264)*(0.075*$Z269+0.54)</f>
        <v>4.6696829234486605</v>
      </c>
      <c r="K270" s="14">
        <f t="shared" si="12"/>
        <v>2.8193342638167715</v>
      </c>
      <c r="L270" s="14">
        <f>(0.0962*testdata[[#This Row],[detrender]]+0.5769*J268-0.5769*J266-0.0962*J264)*(0.075*$Z269+0.54)</f>
        <v>0.55874118825456509</v>
      </c>
      <c r="M270" s="9">
        <f>(0.0962*testdata[[#This Row],[I1]]+0.5769*K268-0.5769*K266-0.0962*K264)*(0.075*$Z269+0.54)</f>
        <v>0.3596148768448944</v>
      </c>
      <c r="N270" s="9">
        <f>(0.0962*testdata[[#This Row],[Q1]]+0.5769*L268-0.5769*L266-0.0962*L264)*(0.075*$Z269+0.54)</f>
        <v>-1.9456548664770419</v>
      </c>
      <c r="O270" s="9">
        <f>testdata[[#This Row],[I1]]-testdata[[#This Row],[JQ]]</f>
        <v>4.764989130293813</v>
      </c>
      <c r="P270" s="9">
        <f>testdata[[#This Row],[Q1]]+testdata[[#This Row],[jI]]</f>
        <v>0.91835606509945955</v>
      </c>
      <c r="Q270" s="9">
        <f>0.2*testdata[[#This Row],[I2]]+0.8*Q269</f>
        <v>3.1044028775580839</v>
      </c>
      <c r="R270" s="9">
        <f>0.2*testdata[[#This Row],[Q2]]+0.8*R269</f>
        <v>0.45998643917857979</v>
      </c>
      <c r="S270" s="9">
        <f>testdata[[#This Row],[I2'']]*Q269+testdata[[#This Row],[Q2'']]*R269</f>
        <v>8.5074116120488128</v>
      </c>
      <c r="T270" s="9">
        <f>testdata[[#This Row],[I2'']]*R269-testdata[[#This Row],[Q2'']]*Q269</f>
        <v>-0.16477920708729799</v>
      </c>
      <c r="U270" s="9">
        <f>0.2*testdata[[#This Row],[Re]]+0.8*U269</f>
        <v>11.399964973557388</v>
      </c>
      <c r="V270" s="9">
        <f>0.2*testdata[[#This Row],[Im]]+0.8*V269</f>
        <v>1.3308711677963836</v>
      </c>
      <c r="W270" s="9">
        <f>IF(AND(testdata[[#This Row],[Re'']]&lt;&gt;0,testdata[[#This Row],[Im'']]&lt;&gt;0),2*PI()/ATAN(testdata[[#This Row],[Im'']]/testdata[[#This Row],[Re'']]),0)</f>
        <v>54.064080018184413</v>
      </c>
      <c r="X270" s="9">
        <f>IF(testdata[[#This Row],[pd-atan]]&gt;1.5*Z269,1.5*Z269,IF(testdata[[#This Row],[pd-atan]]&lt;0.67*Z269,0.67*Z269,testdata[[#This Row],[pd-atan]]))</f>
        <v>42.085423294436495</v>
      </c>
      <c r="Y270" s="9">
        <f>IF(testdata[[#This Row],[pd-limit1]]&lt;6,6,IF(testdata[[#This Row],[pd-limit1]]&gt;50,50,testdata[[#This Row],[pd-limit1]]))</f>
        <v>42.085423294436495</v>
      </c>
      <c r="Z270" s="14">
        <f>0.2*testdata[[#This Row],[pd-limit2]]+0.8*Z269</f>
        <v>30.862643749253429</v>
      </c>
      <c r="AA270" s="14">
        <f>0.33*testdata[[#This Row],[period]]+0.67*AA269</f>
        <v>26.603489158375876</v>
      </c>
      <c r="AB270" s="31">
        <f>TRUNC(testdata[[#This Row],[SmPd]]+0.5,0)</f>
        <v>27</v>
      </c>
      <c r="AC270" s="14">
        <f ca="1">IF(testdata[[#This Row],[PdInt]]&lt;=0,0,AVERAGE(OFFSET(testdata[[#This Row],[price]],0,0,-testdata[[#This Row],[PdInt]],1)))</f>
        <v>263.85574074074071</v>
      </c>
      <c r="AD270" s="14">
        <f ca="1">IF(testdata[[#This Row],[i]]&lt;11,testdata[[#This Row],[price]],(4*testdata[[#This Row],[iTrend]]+3*AC269+2*AC268+AC267)/10)</f>
        <v>263.66159294225906</v>
      </c>
      <c r="AE270" s="14">
        <f>(4*testdata[[#This Row],[price]]+3*H269+2*H268+H267)/10</f>
        <v>273.59800000000001</v>
      </c>
      <c r="AF270" t="str">
        <f ca="1">IF(OR(ROUND(testdata[[#This Row],[Trendline]],4)&lt;&gt;Table3[[#This Row],[Trendline]],ROUND(testdata[[#This Row],[SmPrice]],4)&lt;&gt;Table3[[#This Row],[SmPrice]]),"ERR","")</f>
        <v/>
      </c>
      <c r="AG270" s="3">
        <v>43126</v>
      </c>
      <c r="AH270" s="14">
        <v>26.6035</v>
      </c>
      <c r="AI270" s="34">
        <v>27</v>
      </c>
      <c r="AJ270" s="14">
        <v>263.85570000000001</v>
      </c>
      <c r="AK270" s="14">
        <v>263.66160000000002</v>
      </c>
      <c r="AL270" s="14">
        <v>273.59800000000001</v>
      </c>
      <c r="AN270" s="38">
        <f t="shared" si="13"/>
        <v>0</v>
      </c>
      <c r="AO270" s="38">
        <f t="shared" si="14"/>
        <v>0</v>
      </c>
      <c r="AQ270" s="37">
        <v>43126</v>
      </c>
      <c r="AR270">
        <v>27</v>
      </c>
      <c r="AS270">
        <v>263.66159294225901</v>
      </c>
      <c r="AT270">
        <v>273.59800000000001</v>
      </c>
      <c r="AV270" s="37">
        <v>43126</v>
      </c>
      <c r="AW270">
        <v>27</v>
      </c>
      <c r="AX270">
        <v>263.66159294225901</v>
      </c>
      <c r="AY270">
        <v>273.59800000000001</v>
      </c>
      <c r="BA270" s="38">
        <f>AX270-Table3[[#This Row],[Trendline]]</f>
        <v>-7.057741015614738E-6</v>
      </c>
      <c r="BB270" s="38">
        <f>AY270-Table3[[#This Row],[SmPrice]]</f>
        <v>0</v>
      </c>
    </row>
    <row r="271" spans="1:54" x14ac:dyDescent="0.35">
      <c r="A271" s="6">
        <v>269</v>
      </c>
      <c r="B271" s="3">
        <v>43129</v>
      </c>
      <c r="C271" s="2">
        <v>275.39</v>
      </c>
      <c r="D271" s="2">
        <v>275.87</v>
      </c>
      <c r="E271" s="2">
        <v>274.01</v>
      </c>
      <c r="F271" s="2">
        <v>274.18</v>
      </c>
      <c r="G271" s="1">
        <v>93568600</v>
      </c>
      <c r="H271" s="30">
        <f>(testdata[[#This Row],[high]]+testdata[[#This Row],[low]])/2</f>
        <v>274.94</v>
      </c>
      <c r="I271" s="23">
        <f>(4*testdata[[#This Row],[price]]+3*H270+2*H269+H268)/10</f>
        <v>274.26899999999995</v>
      </c>
      <c r="J271" s="9">
        <f>(0.0962*testdata[[#This Row],[smooth]]+0.5769*I269-0.5769*I267-0.0962*I265)*(0.075*$Z270+0.54)</f>
        <v>3.9363851385333266</v>
      </c>
      <c r="K271" s="14">
        <f t="shared" si="12"/>
        <v>3.2181391190723319</v>
      </c>
      <c r="L271" s="14">
        <f>(0.0962*testdata[[#This Row],[detrender]]+0.5769*J269-0.5769*J267-0.0962*J265)*(0.075*$Z270+0.54)</f>
        <v>2.6310730807170395</v>
      </c>
      <c r="M271" s="9">
        <f>(0.0962*testdata[[#This Row],[I1]]+0.5769*K269-0.5769*K267-0.0962*K265)*(0.075*$Z270+0.54)</f>
        <v>-0.51941316280329464</v>
      </c>
      <c r="N271" s="9">
        <f>(0.0962*testdata[[#This Row],[Q1]]+0.5769*L269-0.5769*L267-0.0962*L265)*(0.075*$Z270+0.54)</f>
        <v>-0.5795882087770895</v>
      </c>
      <c r="O271" s="9">
        <f>testdata[[#This Row],[I1]]-testdata[[#This Row],[JQ]]</f>
        <v>3.7977273278494215</v>
      </c>
      <c r="P271" s="9">
        <f>testdata[[#This Row],[Q1]]+testdata[[#This Row],[jI]]</f>
        <v>2.111659917913745</v>
      </c>
      <c r="Q271" s="9">
        <f>0.2*testdata[[#This Row],[I2]]+0.8*Q270</f>
        <v>3.2430677676163517</v>
      </c>
      <c r="R271" s="9">
        <f>0.2*testdata[[#This Row],[Q2]]+0.8*R270</f>
        <v>0.79032113492561296</v>
      </c>
      <c r="S271" s="9">
        <f>testdata[[#This Row],[I2'']]*Q270+testdata[[#This Row],[Q2'']]*R270</f>
        <v>10.431325914566081</v>
      </c>
      <c r="T271" s="9">
        <f>testdata[[#This Row],[I2'']]*R270-testdata[[#This Row],[Q2'']]*Q270</f>
        <v>-0.96170801101737213</v>
      </c>
      <c r="U271" s="9">
        <f>0.2*testdata[[#This Row],[Re]]+0.8*U270</f>
        <v>11.206237161759127</v>
      </c>
      <c r="V271" s="9">
        <f>0.2*testdata[[#This Row],[Im]]+0.8*V270</f>
        <v>0.87235533203363247</v>
      </c>
      <c r="W271" s="9">
        <f>IF(AND(testdata[[#This Row],[Re'']]&lt;&gt;0,testdata[[#This Row],[Im'']]&lt;&gt;0),2*PI()/ATAN(testdata[[#This Row],[Im'']]/testdata[[#This Row],[Re'']]),0)</f>
        <v>80.876291069470597</v>
      </c>
      <c r="X271" s="9">
        <f>IF(testdata[[#This Row],[pd-atan]]&gt;1.5*Z270,1.5*Z270,IF(testdata[[#This Row],[pd-atan]]&lt;0.67*Z270,0.67*Z270,testdata[[#This Row],[pd-atan]]))</f>
        <v>46.29396562388014</v>
      </c>
      <c r="Y271" s="9">
        <f>IF(testdata[[#This Row],[pd-limit1]]&lt;6,6,IF(testdata[[#This Row],[pd-limit1]]&gt;50,50,testdata[[#This Row],[pd-limit1]]))</f>
        <v>46.29396562388014</v>
      </c>
      <c r="Z271" s="14">
        <f>0.2*testdata[[#This Row],[pd-limit2]]+0.8*Z270</f>
        <v>33.948908124178772</v>
      </c>
      <c r="AA271" s="14">
        <f>0.33*testdata[[#This Row],[period]]+0.67*AA270</f>
        <v>29.027477417090829</v>
      </c>
      <c r="AB271" s="31">
        <f>TRUNC(testdata[[#This Row],[SmPd]]+0.5,0)</f>
        <v>29</v>
      </c>
      <c r="AC271" s="14">
        <f ca="1">IF(testdata[[#This Row],[PdInt]]&lt;=0,0,AVERAGE(OFFSET(testdata[[#This Row],[price]],0,0,-testdata[[#This Row],[PdInt]],1)))</f>
        <v>263.9806896551724</v>
      </c>
      <c r="AD271" s="14">
        <f ca="1">IF(testdata[[#This Row],[i]]&lt;11,testdata[[#This Row],[price]],(4*testdata[[#This Row],[iTrend]]+3*AC270+2*AC269+AC268)/10)</f>
        <v>263.82472069298683</v>
      </c>
      <c r="AE271" s="14">
        <f>(4*testdata[[#This Row],[price]]+3*H270+2*H269+H268)/10</f>
        <v>274.26899999999995</v>
      </c>
      <c r="AF271" t="str">
        <f ca="1">IF(OR(ROUND(testdata[[#This Row],[Trendline]],4)&lt;&gt;Table3[[#This Row],[Trendline]],ROUND(testdata[[#This Row],[SmPrice]],4)&lt;&gt;Table3[[#This Row],[SmPrice]]),"ERR","")</f>
        <v/>
      </c>
      <c r="AG271" s="3">
        <v>43129</v>
      </c>
      <c r="AH271" s="14">
        <v>29.0275</v>
      </c>
      <c r="AI271" s="34">
        <v>29</v>
      </c>
      <c r="AJ271" s="14">
        <v>263.98070000000001</v>
      </c>
      <c r="AK271" s="14">
        <v>263.82470000000001</v>
      </c>
      <c r="AL271" s="14">
        <v>274.26900000000001</v>
      </c>
      <c r="AN271" s="38">
        <f t="shared" si="13"/>
        <v>0</v>
      </c>
      <c r="AO271" s="38">
        <f t="shared" si="14"/>
        <v>0</v>
      </c>
      <c r="AQ271" s="37">
        <v>43129</v>
      </c>
      <c r="AR271">
        <v>29</v>
      </c>
      <c r="AS271">
        <v>263.82472069298598</v>
      </c>
      <c r="AT271">
        <v>274.26899999999898</v>
      </c>
      <c r="AV271" s="37">
        <v>43129</v>
      </c>
      <c r="AW271">
        <v>29</v>
      </c>
      <c r="AX271">
        <v>263.82472069298598</v>
      </c>
      <c r="AY271">
        <v>274.26899999999898</v>
      </c>
      <c r="BA271" s="38">
        <f>AX271-Table3[[#This Row],[Trendline]]</f>
        <v>2.0692985970072186E-5</v>
      </c>
      <c r="BB271" s="38">
        <f>AY271-Table3[[#This Row],[SmPrice]]</f>
        <v>-1.0231815394945443E-12</v>
      </c>
    </row>
    <row r="272" spans="1:54" x14ac:dyDescent="0.35">
      <c r="A272" s="6">
        <v>270</v>
      </c>
      <c r="B272" s="3">
        <v>43130</v>
      </c>
      <c r="C272" s="2">
        <v>272.18</v>
      </c>
      <c r="D272" s="2">
        <v>274.24</v>
      </c>
      <c r="E272" s="2">
        <v>270.85000000000002</v>
      </c>
      <c r="F272" s="2">
        <v>271.37</v>
      </c>
      <c r="G272" s="1">
        <v>136842368</v>
      </c>
      <c r="H272" s="30">
        <f>(testdata[[#This Row],[high]]+testdata[[#This Row],[low]])/2</f>
        <v>272.54500000000002</v>
      </c>
      <c r="I272" s="23">
        <f>(4*testdata[[#This Row],[price]]+3*H271+2*H270+H269)/10</f>
        <v>273.74400000000003</v>
      </c>
      <c r="J272" s="9">
        <f>(0.0962*testdata[[#This Row],[smooth]]+0.5769*I270-0.5769*I268-0.0962*I266)*(0.075*$Z271+0.54)</f>
        <v>3.9088957778188695</v>
      </c>
      <c r="K272" s="14">
        <f t="shared" si="12"/>
        <v>4.3200406788096082</v>
      </c>
      <c r="L272" s="14">
        <f>(0.0962*testdata[[#This Row],[detrender]]+0.5769*J270-0.5769*J268-0.0962*J266)*(0.075*$Z271+0.54)</f>
        <v>2.841789335502467</v>
      </c>
      <c r="M272" s="9">
        <f>(0.0962*testdata[[#This Row],[I1]]+0.5769*K270-0.5769*K268-0.0962*K266)*(0.075*$Z271+0.54)</f>
        <v>-0.59965273866477997</v>
      </c>
      <c r="N272" s="9">
        <f>(0.0962*testdata[[#This Row],[Q1]]+0.5769*L270-0.5769*L268-0.0962*L266)*(0.075*$Z271+0.54)</f>
        <v>2.1704769152163106</v>
      </c>
      <c r="O272" s="9">
        <f>testdata[[#This Row],[I1]]-testdata[[#This Row],[JQ]]</f>
        <v>2.1495637635932976</v>
      </c>
      <c r="P272" s="9">
        <f>testdata[[#This Row],[Q1]]+testdata[[#This Row],[jI]]</f>
        <v>2.2421365968376872</v>
      </c>
      <c r="Q272" s="9">
        <f>0.2*testdata[[#This Row],[I2]]+0.8*Q271</f>
        <v>3.0243669668117414</v>
      </c>
      <c r="R272" s="9">
        <f>0.2*testdata[[#This Row],[Q2]]+0.8*R271</f>
        <v>1.0806842273080277</v>
      </c>
      <c r="S272" s="9">
        <f>testdata[[#This Row],[I2'']]*Q271+testdata[[#This Row],[Q2'']]*R271</f>
        <v>10.662314612533081</v>
      </c>
      <c r="T272" s="9">
        <f>testdata[[#This Row],[I2'']]*R271-testdata[[#This Row],[Q2'']]*Q271</f>
        <v>-1.1145110509118581</v>
      </c>
      <c r="U272" s="9">
        <f>0.2*testdata[[#This Row],[Re]]+0.8*U271</f>
        <v>11.097452651913919</v>
      </c>
      <c r="V272" s="9">
        <f>0.2*testdata[[#This Row],[Im]]+0.8*V271</f>
        <v>0.47498205544453431</v>
      </c>
      <c r="W272" s="9">
        <f>IF(AND(testdata[[#This Row],[Re'']]&lt;&gt;0,testdata[[#This Row],[Im'']]&lt;&gt;0),2*PI()/ATAN(testdata[[#This Row],[Im'']]/testdata[[#This Row],[Re'']]),0)</f>
        <v>146.88956836782938</v>
      </c>
      <c r="X272" s="9">
        <f>IF(testdata[[#This Row],[pd-atan]]&gt;1.5*Z271,1.5*Z271,IF(testdata[[#This Row],[pd-atan]]&lt;0.67*Z271,0.67*Z271,testdata[[#This Row],[pd-atan]]))</f>
        <v>50.923362186268157</v>
      </c>
      <c r="Y272" s="9">
        <f>IF(testdata[[#This Row],[pd-limit1]]&lt;6,6,IF(testdata[[#This Row],[pd-limit1]]&gt;50,50,testdata[[#This Row],[pd-limit1]]))</f>
        <v>50</v>
      </c>
      <c r="Z272" s="14">
        <f>0.2*testdata[[#This Row],[pd-limit2]]+0.8*Z271</f>
        <v>37.159126499343017</v>
      </c>
      <c r="AA272" s="14">
        <f>0.33*testdata[[#This Row],[period]]+0.67*AA271</f>
        <v>31.710921614234053</v>
      </c>
      <c r="AB272" s="31">
        <f>TRUNC(testdata[[#This Row],[SmPd]]+0.5,0)</f>
        <v>32</v>
      </c>
      <c r="AC272" s="14">
        <f ca="1">IF(testdata[[#This Row],[PdInt]]&lt;=0,0,AVERAGE(OFFSET(testdata[[#This Row],[price]],0,0,-testdata[[#This Row],[PdInt]],1)))</f>
        <v>263.72546874999995</v>
      </c>
      <c r="AD272" s="14">
        <f ca="1">IF(testdata[[#This Row],[i]]&lt;11,testdata[[#This Row],[price]],(4*testdata[[#This Row],[iTrend]]+3*AC271+2*AC270+AC269)/10)</f>
        <v>263.81926254469988</v>
      </c>
      <c r="AE272" s="14">
        <f>(4*testdata[[#This Row],[price]]+3*H271+2*H270+H269)/10</f>
        <v>273.74400000000003</v>
      </c>
      <c r="AF272" t="str">
        <f ca="1">IF(OR(ROUND(testdata[[#This Row],[Trendline]],4)&lt;&gt;Table3[[#This Row],[Trendline]],ROUND(testdata[[#This Row],[SmPrice]],4)&lt;&gt;Table3[[#This Row],[SmPrice]]),"ERR","")</f>
        <v/>
      </c>
      <c r="AG272" s="3">
        <v>43130</v>
      </c>
      <c r="AH272" s="14">
        <v>31.710899999999999</v>
      </c>
      <c r="AI272" s="34">
        <v>32</v>
      </c>
      <c r="AJ272" s="14">
        <v>263.72550000000001</v>
      </c>
      <c r="AK272" s="14">
        <v>263.8193</v>
      </c>
      <c r="AL272" s="14">
        <v>273.74400000000003</v>
      </c>
      <c r="AN272" s="38">
        <f t="shared" si="13"/>
        <v>0</v>
      </c>
      <c r="AO272" s="38">
        <f t="shared" si="14"/>
        <v>0</v>
      </c>
      <c r="AQ272" s="37">
        <v>43130</v>
      </c>
      <c r="AR272">
        <v>32</v>
      </c>
      <c r="AS272">
        <v>263.81926254469897</v>
      </c>
      <c r="AT272">
        <v>273.74400000000003</v>
      </c>
      <c r="AV272" s="37">
        <v>43130</v>
      </c>
      <c r="AW272">
        <v>32</v>
      </c>
      <c r="AX272">
        <v>263.81926254469897</v>
      </c>
      <c r="AY272">
        <v>273.74400000000003</v>
      </c>
      <c r="BA272" s="38">
        <f>AX272-Table3[[#This Row],[Trendline]]</f>
        <v>-3.7455301026056986E-5</v>
      </c>
      <c r="BB272" s="38">
        <f>AY272-Table3[[#This Row],[SmPrice]]</f>
        <v>0</v>
      </c>
    </row>
    <row r="273" spans="1:54" x14ac:dyDescent="0.35">
      <c r="A273" s="6">
        <v>271</v>
      </c>
      <c r="B273" s="3">
        <v>43131</v>
      </c>
      <c r="C273" s="2">
        <v>272.3</v>
      </c>
      <c r="D273" s="2">
        <v>272.85000000000002</v>
      </c>
      <c r="E273" s="2">
        <v>270.33</v>
      </c>
      <c r="F273" s="2">
        <v>271.51</v>
      </c>
      <c r="G273" s="1">
        <v>123502168</v>
      </c>
      <c r="H273" s="30">
        <f>(testdata[[#This Row],[high]]+testdata[[#This Row],[low]])/2</f>
        <v>271.59000000000003</v>
      </c>
      <c r="I273" s="23">
        <f>(4*testdata[[#This Row],[price]]+3*H272+2*H271+H270)/10</f>
        <v>272.86500000000001</v>
      </c>
      <c r="J273" s="9">
        <f>(0.0962*testdata[[#This Row],[smooth]]+0.5769*I271-0.5769*I269-0.0962*I267)*(0.075*$Z272+0.54)</f>
        <v>3.7269474574689858</v>
      </c>
      <c r="K273" s="14">
        <f t="shared" si="12"/>
        <v>4.6696829234486605</v>
      </c>
      <c r="L273" s="14">
        <f>(0.0962*testdata[[#This Row],[detrender]]+0.5769*J271-0.5769*J269-0.0962*J267)*(0.075*$Z272+0.54)</f>
        <v>-0.44587074284470046</v>
      </c>
      <c r="M273" s="9">
        <f>(0.0962*testdata[[#This Row],[I1]]+0.5769*K271-0.5769*K269-0.0962*K267)*(0.075*$Z272+0.54)</f>
        <v>0.70298967578042082</v>
      </c>
      <c r="N273" s="9">
        <f>(0.0962*testdata[[#This Row],[Q1]]+0.5769*L271-0.5769*L269-0.0962*L267)*(0.075*$Z272+0.54)</f>
        <v>5.7293735113460817</v>
      </c>
      <c r="O273" s="9">
        <f>testdata[[#This Row],[I1]]-testdata[[#This Row],[JQ]]</f>
        <v>-1.0596905878974212</v>
      </c>
      <c r="P273" s="9">
        <f>testdata[[#This Row],[Q1]]+testdata[[#This Row],[jI]]</f>
        <v>0.25711893293572036</v>
      </c>
      <c r="Q273" s="9">
        <f>0.2*testdata[[#This Row],[I2]]+0.8*Q272</f>
        <v>2.2075554558699091</v>
      </c>
      <c r="R273" s="9">
        <f>0.2*testdata[[#This Row],[Q2]]+0.8*R272</f>
        <v>0.9159711684335663</v>
      </c>
      <c r="S273" s="9">
        <f>testdata[[#This Row],[I2'']]*Q272+testdata[[#This Row],[Q2'']]*R272</f>
        <v>7.6663333925330477</v>
      </c>
      <c r="T273" s="9">
        <f>testdata[[#This Row],[I2'']]*R272-testdata[[#This Row],[Q2'']]*Q272</f>
        <v>-0.38456258229603835</v>
      </c>
      <c r="U273" s="9">
        <f>0.2*testdata[[#This Row],[Re]]+0.8*U272</f>
        <v>10.411228800037746</v>
      </c>
      <c r="V273" s="9">
        <f>0.2*testdata[[#This Row],[Im]]+0.8*V272</f>
        <v>0.30307312789641982</v>
      </c>
      <c r="W273" s="9">
        <f>IF(AND(testdata[[#This Row],[Re'']]&lt;&gt;0,testdata[[#This Row],[Im'']]&lt;&gt;0),2*PI()/ATAN(testdata[[#This Row],[Im'']]/testdata[[#This Row],[Re'']]),0)</f>
        <v>215.90219482214766</v>
      </c>
      <c r="X273" s="9">
        <f>IF(testdata[[#This Row],[pd-atan]]&gt;1.5*Z272,1.5*Z272,IF(testdata[[#This Row],[pd-atan]]&lt;0.67*Z272,0.67*Z272,testdata[[#This Row],[pd-atan]]))</f>
        <v>55.738689749014526</v>
      </c>
      <c r="Y273" s="9">
        <f>IF(testdata[[#This Row],[pd-limit1]]&lt;6,6,IF(testdata[[#This Row],[pd-limit1]]&gt;50,50,testdata[[#This Row],[pd-limit1]]))</f>
        <v>50</v>
      </c>
      <c r="Z273" s="14">
        <f>0.2*testdata[[#This Row],[pd-limit2]]+0.8*Z272</f>
        <v>39.727301199474411</v>
      </c>
      <c r="AA273" s="14">
        <f>0.33*testdata[[#This Row],[period]]+0.67*AA272</f>
        <v>34.356326877363372</v>
      </c>
      <c r="AB273" s="31">
        <f>TRUNC(testdata[[#This Row],[SmPd]]+0.5,0)</f>
        <v>34</v>
      </c>
      <c r="AC273" s="14">
        <f ca="1">IF(testdata[[#This Row],[PdInt]]&lt;=0,0,AVERAGE(OFFSET(testdata[[#This Row],[price]],0,0,-testdata[[#This Row],[PdInt]],1)))</f>
        <v>263.72029411764703</v>
      </c>
      <c r="AD273" s="14">
        <f ca="1">IF(testdata[[#This Row],[i]]&lt;11,testdata[[#This Row],[price]],(4*testdata[[#This Row],[iTrend]]+3*AC272+2*AC271+AC270)/10)</f>
        <v>263.78747027716736</v>
      </c>
      <c r="AE273" s="14">
        <f>(4*testdata[[#This Row],[price]]+3*H272+2*H271+H270)/10</f>
        <v>272.86500000000001</v>
      </c>
      <c r="AF273" t="str">
        <f ca="1">IF(OR(ROUND(testdata[[#This Row],[Trendline]],4)&lt;&gt;Table3[[#This Row],[Trendline]],ROUND(testdata[[#This Row],[SmPrice]],4)&lt;&gt;Table3[[#This Row],[SmPrice]]),"ERR","")</f>
        <v/>
      </c>
      <c r="AG273" s="3">
        <v>43131</v>
      </c>
      <c r="AH273" s="14">
        <v>34.356299999999997</v>
      </c>
      <c r="AI273" s="34">
        <v>34</v>
      </c>
      <c r="AJ273" s="14">
        <v>263.72030000000001</v>
      </c>
      <c r="AK273" s="14">
        <v>263.78750000000002</v>
      </c>
      <c r="AL273" s="14">
        <v>272.86500000000001</v>
      </c>
      <c r="AN273" s="38">
        <f t="shared" si="13"/>
        <v>0</v>
      </c>
      <c r="AO273" s="38">
        <f t="shared" si="14"/>
        <v>0</v>
      </c>
      <c r="AQ273" s="37">
        <v>43131</v>
      </c>
      <c r="AR273">
        <v>34</v>
      </c>
      <c r="AS273">
        <v>263.78747027716702</v>
      </c>
      <c r="AT273">
        <v>272.86500000000001</v>
      </c>
      <c r="AV273" s="37">
        <v>43131</v>
      </c>
      <c r="AW273">
        <v>34</v>
      </c>
      <c r="AX273">
        <v>263.78747027716702</v>
      </c>
      <c r="AY273">
        <v>272.86500000000001</v>
      </c>
      <c r="BA273" s="38">
        <f>AX273-Table3[[#This Row],[Trendline]]</f>
        <v>-2.9722833005507709E-5</v>
      </c>
      <c r="BB273" s="38">
        <f>AY273-Table3[[#This Row],[SmPrice]]</f>
        <v>0</v>
      </c>
    </row>
    <row r="274" spans="1:54" x14ac:dyDescent="0.35">
      <c r="A274" s="6">
        <v>272</v>
      </c>
      <c r="B274" s="3">
        <v>43132</v>
      </c>
      <c r="C274" s="2">
        <v>270.70999999999998</v>
      </c>
      <c r="D274" s="2">
        <v>272.62</v>
      </c>
      <c r="E274" s="2">
        <v>270.33</v>
      </c>
      <c r="F274" s="2">
        <v>271.2</v>
      </c>
      <c r="G274" s="1">
        <v>93552120</v>
      </c>
      <c r="H274" s="30">
        <f>(testdata[[#This Row],[high]]+testdata[[#This Row],[low]])/2</f>
        <v>271.47500000000002</v>
      </c>
      <c r="I274" s="23">
        <f>(4*testdata[[#This Row],[price]]+3*H273+2*H272+H271)/10</f>
        <v>272.07000000000005</v>
      </c>
      <c r="J274" s="9">
        <f>(0.0962*testdata[[#This Row],[smooth]]+0.5769*I272-0.5769*I270-0.0962*I268)*(0.075*$Z273+0.54)</f>
        <v>0.303552532719922</v>
      </c>
      <c r="K274" s="14">
        <f t="shared" si="12"/>
        <v>3.9363851385333266</v>
      </c>
      <c r="L274" s="14">
        <f>(0.0962*testdata[[#This Row],[detrender]]+0.5769*J272-0.5769*J270-0.0962*J268)*(0.075*$Z273+0.54)</f>
        <v>-2.5315448853050357</v>
      </c>
      <c r="M274" s="9">
        <f>(0.0962*testdata[[#This Row],[I1]]+0.5769*K272-0.5769*K270-0.0962*K268)*(0.075*$Z273+0.54)</f>
        <v>3.2438408574564477</v>
      </c>
      <c r="N274" s="9">
        <f>(0.0962*testdata[[#This Row],[Q1]]+0.5769*L272-0.5769*L270-0.0962*L268)*(0.075*$Z273+0.54)</f>
        <v>3.9188324371053462</v>
      </c>
      <c r="O274" s="9">
        <f>testdata[[#This Row],[I1]]-testdata[[#This Row],[JQ]]</f>
        <v>1.7552701427980377E-2</v>
      </c>
      <c r="P274" s="9">
        <f>testdata[[#This Row],[Q1]]+testdata[[#This Row],[jI]]</f>
        <v>0.71229597215141194</v>
      </c>
      <c r="Q274" s="9">
        <f>0.2*testdata[[#This Row],[I2]]+0.8*Q273</f>
        <v>1.7695549049815236</v>
      </c>
      <c r="R274" s="9">
        <f>0.2*testdata[[#This Row],[Q2]]+0.8*R273</f>
        <v>0.87523612917713556</v>
      </c>
      <c r="S274" s="9">
        <f>testdata[[#This Row],[I2'']]*Q273+testdata[[#This Row],[Q2'']]*R273</f>
        <v>4.7080816448509735</v>
      </c>
      <c r="T274" s="9">
        <f>testdata[[#This Row],[I2'']]*R273-testdata[[#This Row],[Q2'']]*Q273</f>
        <v>-0.31127101821617154</v>
      </c>
      <c r="U274" s="9">
        <f>0.2*testdata[[#This Row],[Re]]+0.8*U273</f>
        <v>9.2705993690003918</v>
      </c>
      <c r="V274" s="9">
        <f>0.2*testdata[[#This Row],[Im]]+0.8*V273</f>
        <v>0.18020429867390156</v>
      </c>
      <c r="W274" s="9">
        <f>IF(AND(testdata[[#This Row],[Re'']]&lt;&gt;0,testdata[[#This Row],[Im'']]&lt;&gt;0),2*PI()/ATAN(testdata[[#This Row],[Im'']]/testdata[[#This Row],[Re'']]),0)</f>
        <v>323.27879968153189</v>
      </c>
      <c r="X274" s="9">
        <f>IF(testdata[[#This Row],[pd-atan]]&gt;1.5*Z273,1.5*Z273,IF(testdata[[#This Row],[pd-atan]]&lt;0.67*Z273,0.67*Z273,testdata[[#This Row],[pd-atan]]))</f>
        <v>59.590951799211616</v>
      </c>
      <c r="Y274" s="9">
        <f>IF(testdata[[#This Row],[pd-limit1]]&lt;6,6,IF(testdata[[#This Row],[pd-limit1]]&gt;50,50,testdata[[#This Row],[pd-limit1]]))</f>
        <v>50</v>
      </c>
      <c r="Z274" s="14">
        <f>0.2*testdata[[#This Row],[pd-limit2]]+0.8*Z273</f>
        <v>41.781840959579526</v>
      </c>
      <c r="AA274" s="14">
        <f>0.33*testdata[[#This Row],[period]]+0.67*AA273</f>
        <v>36.806746524494706</v>
      </c>
      <c r="AB274" s="31">
        <f>TRUNC(testdata[[#This Row],[SmPd]]+0.5,0)</f>
        <v>37</v>
      </c>
      <c r="AC274" s="14">
        <f ca="1">IF(testdata[[#This Row],[PdInt]]&lt;=0,0,AVERAGE(OFFSET(testdata[[#This Row],[price]],0,0,-testdata[[#This Row],[PdInt]],1)))</f>
        <v>263.41891891891891</v>
      </c>
      <c r="AD274" s="14">
        <f ca="1">IF(testdata[[#This Row],[i]]&lt;11,testdata[[#This Row],[price]],(4*testdata[[#This Row],[iTrend]]+3*AC273+2*AC272+AC271)/10)</f>
        <v>263.62681851837885</v>
      </c>
      <c r="AE274" s="14">
        <f>(4*testdata[[#This Row],[price]]+3*H273+2*H272+H271)/10</f>
        <v>272.07000000000005</v>
      </c>
      <c r="AF274" t="str">
        <f ca="1">IF(OR(ROUND(testdata[[#This Row],[Trendline]],4)&lt;&gt;Table3[[#This Row],[Trendline]],ROUND(testdata[[#This Row],[SmPrice]],4)&lt;&gt;Table3[[#This Row],[SmPrice]]),"ERR","")</f>
        <v/>
      </c>
      <c r="AG274" s="3">
        <v>43132</v>
      </c>
      <c r="AH274" s="14">
        <v>36.806699999999999</v>
      </c>
      <c r="AI274" s="34">
        <v>37</v>
      </c>
      <c r="AJ274" s="14">
        <v>263.41890000000001</v>
      </c>
      <c r="AK274" s="14">
        <v>263.6268</v>
      </c>
      <c r="AL274" s="14">
        <v>272.07</v>
      </c>
      <c r="AN274" s="38">
        <f t="shared" si="13"/>
        <v>0</v>
      </c>
      <c r="AO274" s="38">
        <f t="shared" si="14"/>
        <v>0</v>
      </c>
      <c r="AQ274" s="37">
        <v>43132</v>
      </c>
      <c r="AR274">
        <v>37</v>
      </c>
      <c r="AS274">
        <v>263.626818518378</v>
      </c>
      <c r="AT274">
        <v>272.07</v>
      </c>
      <c r="AV274" s="37">
        <v>43132</v>
      </c>
      <c r="AW274">
        <v>37</v>
      </c>
      <c r="AX274">
        <v>263.626818518378</v>
      </c>
      <c r="AY274">
        <v>272.07</v>
      </c>
      <c r="BA274" s="38">
        <f>AX274-Table3[[#This Row],[Trendline]]</f>
        <v>1.8518377999043878E-5</v>
      </c>
      <c r="BB274" s="38">
        <f>AY274-Table3[[#This Row],[SmPrice]]</f>
        <v>0</v>
      </c>
    </row>
    <row r="275" spans="1:54" x14ac:dyDescent="0.35">
      <c r="A275" s="6">
        <v>273</v>
      </c>
      <c r="B275" s="3">
        <v>43133</v>
      </c>
      <c r="C275" s="2">
        <v>269.75</v>
      </c>
      <c r="D275" s="2">
        <v>269.89999999999998</v>
      </c>
      <c r="E275" s="2">
        <v>265.25</v>
      </c>
      <c r="F275" s="2">
        <v>265.29000000000002</v>
      </c>
      <c r="G275" s="1">
        <v>179804944</v>
      </c>
      <c r="H275" s="30">
        <f>(testdata[[#This Row],[high]]+testdata[[#This Row],[low]])/2</f>
        <v>267.57499999999999</v>
      </c>
      <c r="I275" s="23">
        <f>(4*testdata[[#This Row],[price]]+3*H274+2*H273+H272)/10</f>
        <v>270.04499999999996</v>
      </c>
      <c r="J275" s="9">
        <f>(0.0962*testdata[[#This Row],[smooth]]+0.5769*I273-0.5769*I271-0.0962*I269)*(0.075*$Z274+0.54)</f>
        <v>-3.8848362594534027</v>
      </c>
      <c r="K275" s="14">
        <f t="shared" si="12"/>
        <v>3.9088957778188695</v>
      </c>
      <c r="L275" s="14">
        <f>(0.0962*testdata[[#This Row],[detrender]]+0.5769*J273-0.5769*J271-0.0962*J269)*(0.075*$Z274+0.54)</f>
        <v>-3.3435020300961931</v>
      </c>
      <c r="M275" s="9">
        <f>(0.0962*testdata[[#This Row],[I1]]+0.5769*K273-0.5769*K271-0.0962*K269)*(0.075*$Z274+0.54)</f>
        <v>3.3827403840740193</v>
      </c>
      <c r="N275" s="9">
        <f>(0.0962*testdata[[#This Row],[Q1]]+0.5769*L273-0.5769*L271-0.0962*L269)*(0.075*$Z274+0.54)</f>
        <v>-7.5342013169057278</v>
      </c>
      <c r="O275" s="9">
        <f>testdata[[#This Row],[I1]]-testdata[[#This Row],[JQ]]</f>
        <v>11.443097094724598</v>
      </c>
      <c r="P275" s="9">
        <f>testdata[[#This Row],[Q1]]+testdata[[#This Row],[jI]]</f>
        <v>3.9238353977826268E-2</v>
      </c>
      <c r="Q275" s="9">
        <f>0.2*testdata[[#This Row],[I2]]+0.8*Q274</f>
        <v>3.7042633429301386</v>
      </c>
      <c r="R275" s="9">
        <f>0.2*testdata[[#This Row],[Q2]]+0.8*R274</f>
        <v>0.70803657413727372</v>
      </c>
      <c r="S275" s="9">
        <f>testdata[[#This Row],[I2'']]*Q274+testdata[[#This Row],[Q2'']]*R274</f>
        <v>7.1745965582890303</v>
      </c>
      <c r="T275" s="9">
        <f>testdata[[#This Row],[I2'']]*R274-testdata[[#This Row],[Q2'']]*Q274</f>
        <v>1.989195517048004</v>
      </c>
      <c r="U275" s="9">
        <f>0.2*testdata[[#This Row],[Re]]+0.8*U274</f>
        <v>8.8513988068581195</v>
      </c>
      <c r="V275" s="9">
        <f>0.2*testdata[[#This Row],[Im]]+0.8*V274</f>
        <v>0.54200254234872203</v>
      </c>
      <c r="W275" s="9">
        <f>IF(AND(testdata[[#This Row],[Re'']]&lt;&gt;0,testdata[[#This Row],[Im'']]&lt;&gt;0),2*PI()/ATAN(testdata[[#This Row],[Im'']]/testdata[[#This Row],[Re'']]),0)</f>
        <v>102.73830018303414</v>
      </c>
      <c r="X275" s="9">
        <f>IF(testdata[[#This Row],[pd-atan]]&gt;1.5*Z274,1.5*Z274,IF(testdata[[#This Row],[pd-atan]]&lt;0.67*Z274,0.67*Z274,testdata[[#This Row],[pd-atan]]))</f>
        <v>62.672761439369289</v>
      </c>
      <c r="Y275" s="9">
        <f>IF(testdata[[#This Row],[pd-limit1]]&lt;6,6,IF(testdata[[#This Row],[pd-limit1]]&gt;50,50,testdata[[#This Row],[pd-limit1]]))</f>
        <v>50</v>
      </c>
      <c r="Z275" s="14">
        <f>0.2*testdata[[#This Row],[pd-limit2]]+0.8*Z274</f>
        <v>43.425472767663621</v>
      </c>
      <c r="AA275" s="14">
        <f>0.33*testdata[[#This Row],[period]]+0.67*AA274</f>
        <v>38.990926184740452</v>
      </c>
      <c r="AB275" s="31">
        <f>TRUNC(testdata[[#This Row],[SmPd]]+0.5,0)</f>
        <v>39</v>
      </c>
      <c r="AC275" s="14">
        <f ca="1">IF(testdata[[#This Row],[PdInt]]&lt;=0,0,AVERAGE(OFFSET(testdata[[#This Row],[price]],0,0,-testdata[[#This Row],[PdInt]],1)))</f>
        <v>263.24987179487181</v>
      </c>
      <c r="AD275" s="14">
        <f ca="1">IF(testdata[[#This Row],[i]]&lt;11,testdata[[#This Row],[price]],(4*testdata[[#This Row],[iTrend]]+3*AC274+2*AC273+AC272)/10)</f>
        <v>263.44223009215381</v>
      </c>
      <c r="AE275" s="14">
        <f>(4*testdata[[#This Row],[price]]+3*H274+2*H273+H272)/10</f>
        <v>270.04499999999996</v>
      </c>
      <c r="AF275" t="str">
        <f ca="1">IF(OR(ROUND(testdata[[#This Row],[Trendline]],4)&lt;&gt;Table3[[#This Row],[Trendline]],ROUND(testdata[[#This Row],[SmPrice]],4)&lt;&gt;Table3[[#This Row],[SmPrice]]),"ERR","")</f>
        <v/>
      </c>
      <c r="AG275" s="3">
        <v>43133</v>
      </c>
      <c r="AH275" s="14">
        <v>38.990900000000003</v>
      </c>
      <c r="AI275" s="34">
        <v>39</v>
      </c>
      <c r="AJ275" s="14">
        <v>263.24990000000003</v>
      </c>
      <c r="AK275" s="14">
        <v>263.44220000000001</v>
      </c>
      <c r="AL275" s="14">
        <v>270.04500000000002</v>
      </c>
      <c r="AN275" s="38">
        <f t="shared" si="13"/>
        <v>0</v>
      </c>
      <c r="AO275" s="38">
        <f t="shared" si="14"/>
        <v>0</v>
      </c>
      <c r="AQ275" s="37">
        <v>43133</v>
      </c>
      <c r="AR275">
        <v>39</v>
      </c>
      <c r="AS275">
        <v>263.44223009215301</v>
      </c>
      <c r="AT275">
        <v>270.04499999999899</v>
      </c>
      <c r="AV275" s="37">
        <v>43133</v>
      </c>
      <c r="AW275">
        <v>39</v>
      </c>
      <c r="AX275">
        <v>263.44223009215301</v>
      </c>
      <c r="AY275">
        <v>270.04499999999899</v>
      </c>
      <c r="BA275" s="38">
        <f>AX275-Table3[[#This Row],[Trendline]]</f>
        <v>3.0092152996985533E-5</v>
      </c>
      <c r="BB275" s="38">
        <f>AY275-Table3[[#This Row],[SmPrice]]</f>
        <v>-1.0231815394945443E-12</v>
      </c>
    </row>
    <row r="276" spans="1:54" x14ac:dyDescent="0.35">
      <c r="A276" s="6">
        <v>274</v>
      </c>
      <c r="B276" s="3">
        <v>43136</v>
      </c>
      <c r="C276" s="2">
        <v>263.37</v>
      </c>
      <c r="D276" s="2">
        <v>265.68</v>
      </c>
      <c r="E276" s="2">
        <v>253.6</v>
      </c>
      <c r="F276" s="2">
        <v>254.2</v>
      </c>
      <c r="G276" s="1">
        <v>305963968</v>
      </c>
      <c r="H276" s="30">
        <f>(testdata[[#This Row],[high]]+testdata[[#This Row],[low]])/2</f>
        <v>259.64</v>
      </c>
      <c r="I276" s="23">
        <f>(4*testdata[[#This Row],[price]]+3*H275+2*H274+H273)/10</f>
        <v>265.58249999999998</v>
      </c>
      <c r="J276" s="9">
        <f>(0.0962*testdata[[#This Row],[smooth]]+0.5769*I274-0.5769*I272-0.0962*I270)*(0.075*$Z275+0.54)</f>
        <v>-6.5945564756727926</v>
      </c>
      <c r="K276" s="14">
        <f t="shared" si="12"/>
        <v>3.7269474574689858</v>
      </c>
      <c r="L276" s="14">
        <f>(0.0962*testdata[[#This Row],[detrender]]+0.5769*J274-0.5769*J272-0.0962*J270)*(0.075*$Z275+0.54)</f>
        <v>-12.011687025214592</v>
      </c>
      <c r="M276" s="9">
        <f>(0.0962*testdata[[#This Row],[I1]]+0.5769*K274-0.5769*K272-0.0962*K270)*(0.075*$Z275+0.54)</f>
        <v>-0.50885621361630373</v>
      </c>
      <c r="N276" s="9">
        <f>(0.0962*testdata[[#This Row],[Q1]]+0.5769*L274-0.5769*L272-0.0962*L270)*(0.075*$Z275+0.54)</f>
        <v>-16.361463176241603</v>
      </c>
      <c r="O276" s="9">
        <f>testdata[[#This Row],[I1]]-testdata[[#This Row],[JQ]]</f>
        <v>20.088410633710588</v>
      </c>
      <c r="P276" s="9">
        <f>testdata[[#This Row],[Q1]]+testdata[[#This Row],[jI]]</f>
        <v>-12.520543238830895</v>
      </c>
      <c r="Q276" s="9">
        <f>0.2*testdata[[#This Row],[I2]]+0.8*Q275</f>
        <v>6.9810928010862288</v>
      </c>
      <c r="R276" s="9">
        <f>0.2*testdata[[#This Row],[Q2]]+0.8*R275</f>
        <v>-1.9376793884563599</v>
      </c>
      <c r="S276" s="9">
        <f>testdata[[#This Row],[I2'']]*Q275+testdata[[#This Row],[Q2'']]*R275</f>
        <v>24.48785828067815</v>
      </c>
      <c r="T276" s="9">
        <f>testdata[[#This Row],[I2'']]*R275-testdata[[#This Row],[Q2'']]*Q275</f>
        <v>12.12054375962566</v>
      </c>
      <c r="U276" s="9">
        <f>0.2*testdata[[#This Row],[Re]]+0.8*U275</f>
        <v>11.978690701622126</v>
      </c>
      <c r="V276" s="9">
        <f>0.2*testdata[[#This Row],[Im]]+0.8*V275</f>
        <v>2.8577107858041098</v>
      </c>
      <c r="W276" s="9">
        <f>IF(AND(testdata[[#This Row],[Re'']]&lt;&gt;0,testdata[[#This Row],[Im'']]&lt;&gt;0),2*PI()/ATAN(testdata[[#This Row],[Im'']]/testdata[[#This Row],[Re'']]),0)</f>
        <v>26.829568221531531</v>
      </c>
      <c r="X276" s="9">
        <f>IF(testdata[[#This Row],[pd-atan]]&gt;1.5*Z275,1.5*Z275,IF(testdata[[#This Row],[pd-atan]]&lt;0.67*Z275,0.67*Z275,testdata[[#This Row],[pd-atan]]))</f>
        <v>29.095066754334628</v>
      </c>
      <c r="Y276" s="9">
        <f>IF(testdata[[#This Row],[pd-limit1]]&lt;6,6,IF(testdata[[#This Row],[pd-limit1]]&gt;50,50,testdata[[#This Row],[pd-limit1]]))</f>
        <v>29.095066754334628</v>
      </c>
      <c r="Z276" s="14">
        <f>0.2*testdata[[#This Row],[pd-limit2]]+0.8*Z275</f>
        <v>40.559391564997824</v>
      </c>
      <c r="AA276" s="14">
        <f>0.33*testdata[[#This Row],[period]]+0.67*AA275</f>
        <v>39.50851976022539</v>
      </c>
      <c r="AB276" s="31">
        <f>TRUNC(testdata[[#This Row],[SmPd]]+0.5,0)</f>
        <v>40</v>
      </c>
      <c r="AC276" s="14">
        <f ca="1">IF(testdata[[#This Row],[PdInt]]&lt;=0,0,AVERAGE(OFFSET(testdata[[#This Row],[price]],0,0,-testdata[[#This Row],[PdInt]],1)))</f>
        <v>263.15962500000001</v>
      </c>
      <c r="AD276" s="14">
        <f ca="1">IF(testdata[[#This Row],[i]]&lt;11,testdata[[#This Row],[price]],(4*testdata[[#This Row],[iTrend]]+3*AC275+2*AC274+AC273)/10)</f>
        <v>263.29462473401003</v>
      </c>
      <c r="AE276" s="14">
        <f>(4*testdata[[#This Row],[price]]+3*H275+2*H274+H273)/10</f>
        <v>265.58249999999998</v>
      </c>
      <c r="AF276" t="str">
        <f ca="1">IF(OR(ROUND(testdata[[#This Row],[Trendline]],4)&lt;&gt;Table3[[#This Row],[Trendline]],ROUND(testdata[[#This Row],[SmPrice]],4)&lt;&gt;Table3[[#This Row],[SmPrice]]),"ERR","")</f>
        <v/>
      </c>
      <c r="AG276" s="3">
        <v>43136</v>
      </c>
      <c r="AH276" s="14">
        <v>39.508499999999998</v>
      </c>
      <c r="AI276" s="34">
        <v>40</v>
      </c>
      <c r="AJ276" s="14">
        <v>263.15960000000001</v>
      </c>
      <c r="AK276" s="14">
        <v>263.2946</v>
      </c>
      <c r="AL276" s="14">
        <v>265.58249999999998</v>
      </c>
      <c r="AN276" s="38">
        <f t="shared" si="13"/>
        <v>0</v>
      </c>
      <c r="AO276" s="38">
        <f t="shared" si="14"/>
        <v>0</v>
      </c>
      <c r="AQ276" s="37">
        <v>43136</v>
      </c>
      <c r="AR276">
        <v>40</v>
      </c>
      <c r="AS276">
        <v>263.29462473400997</v>
      </c>
      <c r="AT276">
        <v>265.58249999999998</v>
      </c>
      <c r="AV276" s="37">
        <v>43136</v>
      </c>
      <c r="AW276">
        <v>40</v>
      </c>
      <c r="AX276">
        <v>263.29462473400997</v>
      </c>
      <c r="AY276">
        <v>265.58249999999998</v>
      </c>
      <c r="BA276" s="38">
        <f>AX276-Table3[[#This Row],[Trendline]]</f>
        <v>2.473400996905184E-5</v>
      </c>
      <c r="BB276" s="38">
        <f>AY276-Table3[[#This Row],[SmPrice]]</f>
        <v>0</v>
      </c>
    </row>
    <row r="277" spans="1:54" x14ac:dyDescent="0.35">
      <c r="A277" s="6">
        <v>275</v>
      </c>
      <c r="B277" s="3">
        <v>43137</v>
      </c>
      <c r="C277" s="2">
        <v>250.35</v>
      </c>
      <c r="D277" s="2">
        <v>259.76</v>
      </c>
      <c r="E277" s="2">
        <v>249.16</v>
      </c>
      <c r="F277" s="2">
        <v>259.20999999999998</v>
      </c>
      <c r="G277" s="1">
        <v>368619296</v>
      </c>
      <c r="H277" s="30">
        <f>(testdata[[#This Row],[high]]+testdata[[#This Row],[low]])/2</f>
        <v>254.45999999999998</v>
      </c>
      <c r="I277" s="23">
        <f>(4*testdata[[#This Row],[price]]+3*H276+2*H275+H274)/10</f>
        <v>260.33849999999995</v>
      </c>
      <c r="J277" s="9">
        <f>(0.0962*testdata[[#This Row],[smooth]]+0.5769*I275-0.5769*I273-0.0962*I271)*(0.075*$Z276+0.54)</f>
        <v>-10.627558671474379</v>
      </c>
      <c r="K277" s="14">
        <f t="shared" si="12"/>
        <v>0.303552532719922</v>
      </c>
      <c r="L277" s="14">
        <f>(0.0962*testdata[[#This Row],[detrender]]+0.5769*J275-0.5769*J273-0.0962*J271)*(0.075*$Z276+0.54)</f>
        <v>-20.747716387988309</v>
      </c>
      <c r="M277" s="9">
        <f>(0.0962*testdata[[#This Row],[I1]]+0.5769*K275-0.5769*K273-0.0962*K271)*(0.075*$Z276+0.54)</f>
        <v>-2.5764329154092684</v>
      </c>
      <c r="N277" s="9">
        <f>(0.0962*testdata[[#This Row],[Q1]]+0.5769*L275-0.5769*L273-0.0962*L271)*(0.075*$Z276+0.54)</f>
        <v>-14.043707725700949</v>
      </c>
      <c r="O277" s="9">
        <f>testdata[[#This Row],[I1]]-testdata[[#This Row],[JQ]]</f>
        <v>14.347260258420871</v>
      </c>
      <c r="P277" s="9">
        <f>testdata[[#This Row],[Q1]]+testdata[[#This Row],[jI]]</f>
        <v>-23.324149303397576</v>
      </c>
      <c r="Q277" s="9">
        <f>0.2*testdata[[#This Row],[I2]]+0.8*Q276</f>
        <v>8.4543262925531586</v>
      </c>
      <c r="R277" s="9">
        <f>0.2*testdata[[#This Row],[Q2]]+0.8*R276</f>
        <v>-6.2149733714446036</v>
      </c>
      <c r="S277" s="9">
        <f>testdata[[#This Row],[I2'']]*Q276+testdata[[#This Row],[Q2'']]*R276</f>
        <v>71.063062220630215</v>
      </c>
      <c r="T277" s="9">
        <f>testdata[[#This Row],[I2'']]*R276-testdata[[#This Row],[Q2'']]*Q276</f>
        <v>27.0055320619696</v>
      </c>
      <c r="U277" s="9">
        <f>0.2*testdata[[#This Row],[Re]]+0.8*U276</f>
        <v>23.795565005423747</v>
      </c>
      <c r="V277" s="9">
        <f>0.2*testdata[[#This Row],[Im]]+0.8*V276</f>
        <v>7.6872750410372088</v>
      </c>
      <c r="W277" s="9">
        <f>IF(AND(testdata[[#This Row],[Re'']]&lt;&gt;0,testdata[[#This Row],[Im'']]&lt;&gt;0),2*PI()/ATAN(testdata[[#This Row],[Im'']]/testdata[[#This Row],[Re'']]),0)</f>
        <v>20.108016381469085</v>
      </c>
      <c r="X277" s="9">
        <f>IF(testdata[[#This Row],[pd-atan]]&gt;1.5*Z276,1.5*Z276,IF(testdata[[#This Row],[pd-atan]]&lt;0.67*Z276,0.67*Z276,testdata[[#This Row],[pd-atan]]))</f>
        <v>27.174792348548543</v>
      </c>
      <c r="Y277" s="9">
        <f>IF(testdata[[#This Row],[pd-limit1]]&lt;6,6,IF(testdata[[#This Row],[pd-limit1]]&gt;50,50,testdata[[#This Row],[pd-limit1]]))</f>
        <v>27.174792348548543</v>
      </c>
      <c r="Z277" s="14">
        <f>0.2*testdata[[#This Row],[pd-limit2]]+0.8*Z276</f>
        <v>37.882471721707972</v>
      </c>
      <c r="AA277" s="14">
        <f>0.33*testdata[[#This Row],[period]]+0.67*AA276</f>
        <v>38.971923907514643</v>
      </c>
      <c r="AB277" s="31">
        <f>TRUNC(testdata[[#This Row],[SmPd]]+0.5,0)</f>
        <v>39</v>
      </c>
      <c r="AC277" s="14">
        <f ca="1">IF(testdata[[#This Row],[PdInt]]&lt;=0,0,AVERAGE(OFFSET(testdata[[#This Row],[price]],0,0,-testdata[[#This Row],[PdInt]],1)))</f>
        <v>263.44769230769231</v>
      </c>
      <c r="AD277" s="14">
        <f ca="1">IF(testdata[[#This Row],[i]]&lt;11,testdata[[#This Row],[price]],(4*testdata[[#This Row],[iTrend]]+3*AC276+2*AC275+AC274)/10)</f>
        <v>263.31883067394313</v>
      </c>
      <c r="AE277" s="14">
        <f>(4*testdata[[#This Row],[price]]+3*H276+2*H275+H274)/10</f>
        <v>260.33849999999995</v>
      </c>
      <c r="AF277" t="str">
        <f ca="1">IF(OR(ROUND(testdata[[#This Row],[Trendline]],4)&lt;&gt;Table3[[#This Row],[Trendline]],ROUND(testdata[[#This Row],[SmPrice]],4)&lt;&gt;Table3[[#This Row],[SmPrice]]),"ERR","")</f>
        <v/>
      </c>
      <c r="AG277" s="3">
        <v>43137</v>
      </c>
      <c r="AH277" s="14">
        <v>38.971899999999998</v>
      </c>
      <c r="AI277" s="34">
        <v>39</v>
      </c>
      <c r="AJ277" s="14">
        <v>263.4477</v>
      </c>
      <c r="AK277" s="14">
        <v>263.31880000000001</v>
      </c>
      <c r="AL277" s="14">
        <v>260.33850000000001</v>
      </c>
      <c r="AN277" s="38">
        <f t="shared" si="13"/>
        <v>0</v>
      </c>
      <c r="AO277" s="38">
        <f t="shared" si="14"/>
        <v>0</v>
      </c>
      <c r="AQ277" s="37">
        <v>43137</v>
      </c>
      <c r="AR277">
        <v>39</v>
      </c>
      <c r="AS277">
        <v>263.31883067394301</v>
      </c>
      <c r="AT277">
        <v>260.33849999999899</v>
      </c>
      <c r="AV277" s="37">
        <v>43137</v>
      </c>
      <c r="AW277">
        <v>39</v>
      </c>
      <c r="AX277">
        <v>263.31883067394301</v>
      </c>
      <c r="AY277">
        <v>260.33849999999899</v>
      </c>
      <c r="BA277" s="38">
        <f>AX277-Table3[[#This Row],[Trendline]]</f>
        <v>3.0673943001602311E-5</v>
      </c>
      <c r="BB277" s="38">
        <f>AY277-Table3[[#This Row],[SmPrice]]</f>
        <v>-1.0231815394945443E-12</v>
      </c>
    </row>
    <row r="278" spans="1:54" x14ac:dyDescent="0.35">
      <c r="A278" s="6">
        <v>276</v>
      </c>
      <c r="B278" s="3">
        <v>43138</v>
      </c>
      <c r="C278" s="2">
        <v>258.60000000000002</v>
      </c>
      <c r="D278" s="2">
        <v>262.32</v>
      </c>
      <c r="E278" s="2">
        <v>257.70999999999998</v>
      </c>
      <c r="F278" s="2">
        <v>257.8</v>
      </c>
      <c r="G278" s="1">
        <v>173784240</v>
      </c>
      <c r="H278" s="30">
        <f>(testdata[[#This Row],[high]]+testdata[[#This Row],[low]])/2</f>
        <v>260.01499999999999</v>
      </c>
      <c r="I278" s="23">
        <f>(4*testdata[[#This Row],[price]]+3*H277+2*H276+H275)/10</f>
        <v>259.02949999999998</v>
      </c>
      <c r="J278" s="9">
        <f>(0.0962*testdata[[#This Row],[smooth]]+0.5769*I276-0.5769*I274-0.0962*I272)*(0.075*$Z277+0.54)</f>
        <v>-17.440741328383929</v>
      </c>
      <c r="K278" s="14">
        <f t="shared" si="12"/>
        <v>-3.8848362594534027</v>
      </c>
      <c r="L278" s="14">
        <f>(0.0962*testdata[[#This Row],[detrender]]+0.5769*J276-0.5769*J274-0.0962*J272)*(0.075*$Z277+0.54)</f>
        <v>-20.39988892888093</v>
      </c>
      <c r="M278" s="9">
        <f>(0.0962*testdata[[#This Row],[I1]]+0.5769*K276-0.5769*K274-0.0962*K272)*(0.075*$Z277+0.54)</f>
        <v>-3.077330961236675</v>
      </c>
      <c r="N278" s="9">
        <f>(0.0962*testdata[[#This Row],[Q1]]+0.5769*L276-0.5769*L274-0.0962*L272)*(0.075*$Z277+0.54)</f>
        <v>-26.051842138618834</v>
      </c>
      <c r="O278" s="9">
        <f>testdata[[#This Row],[I1]]-testdata[[#This Row],[JQ]]</f>
        <v>22.16700587916543</v>
      </c>
      <c r="P278" s="9">
        <f>testdata[[#This Row],[Q1]]+testdata[[#This Row],[jI]]</f>
        <v>-23.477219890117606</v>
      </c>
      <c r="Q278" s="9">
        <f>0.2*testdata[[#This Row],[I2]]+0.8*Q277</f>
        <v>11.196862209875613</v>
      </c>
      <c r="R278" s="9">
        <f>0.2*testdata[[#This Row],[Q2]]+0.8*R277</f>
        <v>-9.6674226751792052</v>
      </c>
      <c r="S278" s="9">
        <f>testdata[[#This Row],[I2'']]*Q277+testdata[[#This Row],[Q2'']]*R277</f>
        <v>154.74470107178479</v>
      </c>
      <c r="T278" s="9">
        <f>testdata[[#This Row],[I2'']]*R277-testdata[[#This Row],[Q2'']]*Q277</f>
        <v>12.143345225880836</v>
      </c>
      <c r="U278" s="9">
        <f>0.2*testdata[[#This Row],[Re]]+0.8*U277</f>
        <v>49.985392218695957</v>
      </c>
      <c r="V278" s="9">
        <f>0.2*testdata[[#This Row],[Im]]+0.8*V277</f>
        <v>8.5784890780059353</v>
      </c>
      <c r="W278" s="9">
        <f>IF(AND(testdata[[#This Row],[Re'']]&lt;&gt;0,testdata[[#This Row],[Im'']]&lt;&gt;0),2*PI()/ATAN(testdata[[#This Row],[Im'']]/testdata[[#This Row],[Re'']]),0)</f>
        <v>36.967708300634534</v>
      </c>
      <c r="X278" s="9">
        <f>IF(testdata[[#This Row],[pd-atan]]&gt;1.5*Z277,1.5*Z277,IF(testdata[[#This Row],[pd-atan]]&lt;0.67*Z277,0.67*Z277,testdata[[#This Row],[pd-atan]]))</f>
        <v>36.967708300634534</v>
      </c>
      <c r="Y278" s="9">
        <f>IF(testdata[[#This Row],[pd-limit1]]&lt;6,6,IF(testdata[[#This Row],[pd-limit1]]&gt;50,50,testdata[[#This Row],[pd-limit1]]))</f>
        <v>36.967708300634534</v>
      </c>
      <c r="Z278" s="14">
        <f>0.2*testdata[[#This Row],[pd-limit2]]+0.8*Z277</f>
        <v>37.699519037493289</v>
      </c>
      <c r="AA278" s="14">
        <f>0.33*testdata[[#This Row],[period]]+0.67*AA277</f>
        <v>38.552030300407601</v>
      </c>
      <c r="AB278" s="31">
        <f>TRUNC(testdata[[#This Row],[SmPd]]+0.5,0)</f>
        <v>39</v>
      </c>
      <c r="AC278" s="14">
        <f ca="1">IF(testdata[[#This Row],[PdInt]]&lt;=0,0,AVERAGE(OFFSET(testdata[[#This Row],[price]],0,0,-testdata[[#This Row],[PdInt]],1)))</f>
        <v>263.58089743589738</v>
      </c>
      <c r="AD278" s="14">
        <f ca="1">IF(testdata[[#This Row],[i]]&lt;11,testdata[[#This Row],[price]],(4*testdata[[#This Row],[iTrend]]+3*AC277+2*AC276+AC275)/10)</f>
        <v>263.42357884615387</v>
      </c>
      <c r="AE278" s="14">
        <f>(4*testdata[[#This Row],[price]]+3*H277+2*H276+H275)/10</f>
        <v>259.02949999999998</v>
      </c>
      <c r="AF278" t="str">
        <f ca="1">IF(OR(ROUND(testdata[[#This Row],[Trendline]],4)&lt;&gt;Table3[[#This Row],[Trendline]],ROUND(testdata[[#This Row],[SmPrice]],4)&lt;&gt;Table3[[#This Row],[SmPrice]]),"ERR","")</f>
        <v/>
      </c>
      <c r="AG278" s="3">
        <v>43138</v>
      </c>
      <c r="AH278" s="14">
        <v>38.552</v>
      </c>
      <c r="AI278" s="34">
        <v>39</v>
      </c>
      <c r="AJ278" s="14">
        <v>263.58089999999999</v>
      </c>
      <c r="AK278" s="14">
        <v>263.42360000000002</v>
      </c>
      <c r="AL278" s="14">
        <v>259.02949999999998</v>
      </c>
      <c r="AN278" s="38">
        <f t="shared" si="13"/>
        <v>0</v>
      </c>
      <c r="AO278" s="38">
        <f t="shared" si="14"/>
        <v>0</v>
      </c>
      <c r="AQ278" s="37">
        <v>43138</v>
      </c>
      <c r="AR278">
        <v>39</v>
      </c>
      <c r="AS278">
        <v>263.42357884615302</v>
      </c>
      <c r="AT278">
        <v>259.02949999999998</v>
      </c>
      <c r="AV278" s="37">
        <v>43138</v>
      </c>
      <c r="AW278">
        <v>39</v>
      </c>
      <c r="AX278">
        <v>263.42357884615302</v>
      </c>
      <c r="AY278">
        <v>259.02949999999998</v>
      </c>
      <c r="BA278" s="38">
        <f>AX278-Table3[[#This Row],[Trendline]]</f>
        <v>-2.1153847001187387E-5</v>
      </c>
      <c r="BB278" s="38">
        <f>AY278-Table3[[#This Row],[SmPrice]]</f>
        <v>0</v>
      </c>
    </row>
    <row r="279" spans="1:54" x14ac:dyDescent="0.35">
      <c r="A279" s="6">
        <v>277</v>
      </c>
      <c r="B279" s="3">
        <v>43139</v>
      </c>
      <c r="C279" s="2">
        <v>258.13</v>
      </c>
      <c r="D279" s="2">
        <v>258.27999999999997</v>
      </c>
      <c r="E279" s="2">
        <v>248.09</v>
      </c>
      <c r="F279" s="2">
        <v>248.13</v>
      </c>
      <c r="G279" s="1">
        <v>255885040</v>
      </c>
      <c r="H279" s="30">
        <f>(testdata[[#This Row],[high]]+testdata[[#This Row],[low]])/2</f>
        <v>253.185</v>
      </c>
      <c r="I279" s="23">
        <f>(4*testdata[[#This Row],[price]]+3*H278+2*H277+H276)/10</f>
        <v>256.1345</v>
      </c>
      <c r="J279" s="9">
        <f>(0.0962*testdata[[#This Row],[smooth]]+0.5769*I277-0.5769*I275-0.0962*I273)*(0.075*$Z278+0.54)</f>
        <v>-24.276565876668336</v>
      </c>
      <c r="K279" s="14">
        <f t="shared" si="12"/>
        <v>-6.5945564756727926</v>
      </c>
      <c r="L279" s="14">
        <f>(0.0962*testdata[[#This Row],[detrender]]+0.5769*J277-0.5769*J275-0.0962*J273)*(0.075*$Z278+0.54)</f>
        <v>-22.170757978393581</v>
      </c>
      <c r="M279" s="9">
        <f>(0.0962*testdata[[#This Row],[I1]]+0.5769*K277-0.5769*K275-0.0962*K273)*(0.075*$Z278+0.54)</f>
        <v>-10.653114741982556</v>
      </c>
      <c r="N279" s="9">
        <f>(0.0962*testdata[[#This Row],[Q1]]+0.5769*L277-0.5769*L275-0.0962*L273)*(0.075*$Z278+0.54)</f>
        <v>-40.848770014456605</v>
      </c>
      <c r="O279" s="9">
        <f>testdata[[#This Row],[I1]]-testdata[[#This Row],[JQ]]</f>
        <v>34.254213538783816</v>
      </c>
      <c r="P279" s="9">
        <f>testdata[[#This Row],[Q1]]+testdata[[#This Row],[jI]]</f>
        <v>-32.823872720376137</v>
      </c>
      <c r="Q279" s="9">
        <f>0.2*testdata[[#This Row],[I2]]+0.8*Q278</f>
        <v>15.808332475657254</v>
      </c>
      <c r="R279" s="9">
        <f>0.2*testdata[[#This Row],[Q2]]+0.8*R278</f>
        <v>-14.298712684218593</v>
      </c>
      <c r="S279" s="9">
        <f>testdata[[#This Row],[I2'']]*Q278+testdata[[#This Row],[Q2'']]*R278</f>
        <v>315.23541972712349</v>
      </c>
      <c r="T279" s="9">
        <f>testdata[[#This Row],[I2'']]*R278-testdata[[#This Row],[Q2'']]*Q278</f>
        <v>7.2748838718555078</v>
      </c>
      <c r="U279" s="9">
        <f>0.2*testdata[[#This Row],[Re]]+0.8*U278</f>
        <v>103.03539772038147</v>
      </c>
      <c r="V279" s="9">
        <f>0.2*testdata[[#This Row],[Im]]+0.8*V278</f>
        <v>8.3177680367758491</v>
      </c>
      <c r="W279" s="9">
        <f>IF(AND(testdata[[#This Row],[Re'']]&lt;&gt;0,testdata[[#This Row],[Im'']]&lt;&gt;0),2*PI()/ATAN(testdata[[#This Row],[Im'']]/testdata[[#This Row],[Re'']]),0)</f>
        <v>78.001019478876799</v>
      </c>
      <c r="X279" s="9">
        <f>IF(testdata[[#This Row],[pd-atan]]&gt;1.5*Z278,1.5*Z278,IF(testdata[[#This Row],[pd-atan]]&lt;0.67*Z278,0.67*Z278,testdata[[#This Row],[pd-atan]]))</f>
        <v>56.549278556239933</v>
      </c>
      <c r="Y279" s="9">
        <f>IF(testdata[[#This Row],[pd-limit1]]&lt;6,6,IF(testdata[[#This Row],[pd-limit1]]&gt;50,50,testdata[[#This Row],[pd-limit1]]))</f>
        <v>50</v>
      </c>
      <c r="Z279" s="14">
        <f>0.2*testdata[[#This Row],[pd-limit2]]+0.8*Z278</f>
        <v>40.159615229994628</v>
      </c>
      <c r="AA279" s="14">
        <f>0.33*testdata[[#This Row],[period]]+0.67*AA278</f>
        <v>39.082533327171319</v>
      </c>
      <c r="AB279" s="31">
        <f>TRUNC(testdata[[#This Row],[SmPd]]+0.5,0)</f>
        <v>39</v>
      </c>
      <c r="AC279" s="14">
        <f ca="1">IF(testdata[[#This Row],[PdInt]]&lt;=0,0,AVERAGE(OFFSET(testdata[[#This Row],[price]],0,0,-testdata[[#This Row],[PdInt]],1)))</f>
        <v>263.51679487179479</v>
      </c>
      <c r="AD279" s="14">
        <f ca="1">IF(testdata[[#This Row],[i]]&lt;11,testdata[[#This Row],[price]],(4*testdata[[#This Row],[iTrend]]+3*AC278+2*AC277+AC276)/10)</f>
        <v>263.48648814102563</v>
      </c>
      <c r="AE279" s="14">
        <f>(4*testdata[[#This Row],[price]]+3*H278+2*H277+H276)/10</f>
        <v>256.1345</v>
      </c>
      <c r="AF279" t="str">
        <f ca="1">IF(OR(ROUND(testdata[[#This Row],[Trendline]],4)&lt;&gt;Table3[[#This Row],[Trendline]],ROUND(testdata[[#This Row],[SmPrice]],4)&lt;&gt;Table3[[#This Row],[SmPrice]]),"ERR","")</f>
        <v/>
      </c>
      <c r="AG279" s="3">
        <v>43139</v>
      </c>
      <c r="AH279" s="14">
        <v>39.082500000000003</v>
      </c>
      <c r="AI279" s="34">
        <v>39</v>
      </c>
      <c r="AJ279" s="14">
        <v>263.51679999999999</v>
      </c>
      <c r="AK279" s="14">
        <v>263.48649999999998</v>
      </c>
      <c r="AL279" s="14">
        <v>256.1345</v>
      </c>
      <c r="AN279" s="38">
        <f t="shared" si="13"/>
        <v>0</v>
      </c>
      <c r="AO279" s="38">
        <f t="shared" si="14"/>
        <v>0</v>
      </c>
      <c r="AQ279" s="37">
        <v>43139</v>
      </c>
      <c r="AR279">
        <v>39</v>
      </c>
      <c r="AS279">
        <v>263.48648814102501</v>
      </c>
      <c r="AT279">
        <v>256.1345</v>
      </c>
      <c r="AV279" s="37">
        <v>43139</v>
      </c>
      <c r="AW279">
        <v>39</v>
      </c>
      <c r="AX279">
        <v>263.48648814102501</v>
      </c>
      <c r="AY279">
        <v>256.1345</v>
      </c>
      <c r="BA279" s="38">
        <f>AX279-Table3[[#This Row],[Trendline]]</f>
        <v>-1.1858974971801217E-5</v>
      </c>
      <c r="BB279" s="38">
        <f>AY279-Table3[[#This Row],[SmPrice]]</f>
        <v>0</v>
      </c>
    </row>
    <row r="280" spans="1:54" x14ac:dyDescent="0.35">
      <c r="A280" s="6">
        <v>278</v>
      </c>
      <c r="B280" s="3">
        <v>43140</v>
      </c>
      <c r="C280" s="2">
        <v>251.18</v>
      </c>
      <c r="D280" s="2">
        <v>253.89</v>
      </c>
      <c r="E280" s="2">
        <v>243.59</v>
      </c>
      <c r="F280" s="2">
        <v>251.86</v>
      </c>
      <c r="G280" s="1">
        <v>294421856</v>
      </c>
      <c r="H280" s="30">
        <f>(testdata[[#This Row],[high]]+testdata[[#This Row],[low]])/2</f>
        <v>248.74</v>
      </c>
      <c r="I280" s="23">
        <f>(4*testdata[[#This Row],[price]]+3*H279+2*H278+H277)/10</f>
        <v>252.90050000000002</v>
      </c>
      <c r="J280" s="9">
        <f>(0.0962*testdata[[#This Row],[smooth]]+0.5769*I278-0.5769*I276-0.0962*I274)*(0.075*$Z279+0.54)</f>
        <v>-19.978173931870895</v>
      </c>
      <c r="K280" s="14">
        <f t="shared" si="12"/>
        <v>-10.627558671474379</v>
      </c>
      <c r="L280" s="14">
        <f>(0.0962*testdata[[#This Row],[detrender]]+0.5769*J278-0.5769*J276-0.0962*J274)*(0.075*$Z279+0.54)</f>
        <v>-29.155524412510253</v>
      </c>
      <c r="M280" s="9">
        <f>(0.0962*testdata[[#This Row],[I1]]+0.5769*K278-0.5769*K276-0.0962*K274)*(0.075*$Z279+0.54)</f>
        <v>-20.574044870293459</v>
      </c>
      <c r="N280" s="9">
        <f>(0.0962*testdata[[#This Row],[Q1]]+0.5769*L278-0.5769*L276-0.0962*L274)*(0.075*$Z279+0.54)</f>
        <v>-26.285938008718873</v>
      </c>
      <c r="O280" s="9">
        <f>testdata[[#This Row],[I1]]-testdata[[#This Row],[JQ]]</f>
        <v>15.658379337244494</v>
      </c>
      <c r="P280" s="9">
        <f>testdata[[#This Row],[Q1]]+testdata[[#This Row],[jI]]</f>
        <v>-49.729569282803709</v>
      </c>
      <c r="Q280" s="9">
        <f>0.2*testdata[[#This Row],[I2]]+0.8*Q279</f>
        <v>15.778341847974701</v>
      </c>
      <c r="R280" s="9">
        <f>0.2*testdata[[#This Row],[Q2]]+0.8*R279</f>
        <v>-21.384884003935618</v>
      </c>
      <c r="S280" s="9">
        <f>testdata[[#This Row],[I2'']]*Q279+testdata[[#This Row],[Q2'']]*R279</f>
        <v>555.20558600497782</v>
      </c>
      <c r="T280" s="9">
        <f>testdata[[#This Row],[I2'']]*R279-testdata[[#This Row],[Q2'']]*Q279</f>
        <v>112.44937957000585</v>
      </c>
      <c r="U280" s="9">
        <f>0.2*testdata[[#This Row],[Re]]+0.8*U279</f>
        <v>193.46943537730075</v>
      </c>
      <c r="V280" s="9">
        <f>0.2*testdata[[#This Row],[Im]]+0.8*V279</f>
        <v>29.144090343421851</v>
      </c>
      <c r="W280" s="9">
        <f>IF(AND(testdata[[#This Row],[Re'']]&lt;&gt;0,testdata[[#This Row],[Im'']]&lt;&gt;0),2*PI()/ATAN(testdata[[#This Row],[Im'']]/testdata[[#This Row],[Re'']]),0)</f>
        <v>42.023759043472126</v>
      </c>
      <c r="X280" s="9">
        <f>IF(testdata[[#This Row],[pd-atan]]&gt;1.5*Z279,1.5*Z279,IF(testdata[[#This Row],[pd-atan]]&lt;0.67*Z279,0.67*Z279,testdata[[#This Row],[pd-atan]]))</f>
        <v>42.023759043472126</v>
      </c>
      <c r="Y280" s="9">
        <f>IF(testdata[[#This Row],[pd-limit1]]&lt;6,6,IF(testdata[[#This Row],[pd-limit1]]&gt;50,50,testdata[[#This Row],[pd-limit1]]))</f>
        <v>42.023759043472126</v>
      </c>
      <c r="Z280" s="14">
        <f>0.2*testdata[[#This Row],[pd-limit2]]+0.8*Z279</f>
        <v>40.532443992690133</v>
      </c>
      <c r="AA280" s="14">
        <f>0.33*testdata[[#This Row],[period]]+0.67*AA279</f>
        <v>39.561003846792531</v>
      </c>
      <c r="AB280" s="31">
        <f>TRUNC(testdata[[#This Row],[SmPd]]+0.5,0)</f>
        <v>40</v>
      </c>
      <c r="AC280" s="14">
        <f ca="1">IF(testdata[[#This Row],[PdInt]]&lt;=0,0,AVERAGE(OFFSET(testdata[[#This Row],[price]],0,0,-testdata[[#This Row],[PdInt]],1)))</f>
        <v>263.1473749999999</v>
      </c>
      <c r="AD280" s="14">
        <f ca="1">IF(testdata[[#This Row],[i]]&lt;11,testdata[[#This Row],[price]],(4*testdata[[#This Row],[iTrend]]+3*AC279+2*AC278+AC277)/10)</f>
        <v>263.37493717948712</v>
      </c>
      <c r="AE280" s="14">
        <f>(4*testdata[[#This Row],[price]]+3*H279+2*H278+H277)/10</f>
        <v>252.90050000000002</v>
      </c>
      <c r="AF280" t="str">
        <f ca="1">IF(OR(ROUND(testdata[[#This Row],[Trendline]],4)&lt;&gt;Table3[[#This Row],[Trendline]],ROUND(testdata[[#This Row],[SmPrice]],4)&lt;&gt;Table3[[#This Row],[SmPrice]]),"ERR","")</f>
        <v/>
      </c>
      <c r="AG280" s="3">
        <v>43140</v>
      </c>
      <c r="AH280" s="14">
        <v>39.561</v>
      </c>
      <c r="AI280" s="34">
        <v>40</v>
      </c>
      <c r="AJ280" s="14">
        <v>263.1474</v>
      </c>
      <c r="AK280" s="14">
        <v>263.37490000000003</v>
      </c>
      <c r="AL280" s="14">
        <v>252.90049999999999</v>
      </c>
      <c r="AN280" s="38">
        <f t="shared" si="13"/>
        <v>0</v>
      </c>
      <c r="AO280" s="38">
        <f t="shared" si="14"/>
        <v>0</v>
      </c>
      <c r="AQ280" s="37">
        <v>43140</v>
      </c>
      <c r="AR280">
        <v>40</v>
      </c>
      <c r="AS280">
        <v>263.37493717948701</v>
      </c>
      <c r="AT280">
        <v>252.90049999999999</v>
      </c>
      <c r="AV280" s="37">
        <v>43140</v>
      </c>
      <c r="AW280">
        <v>40</v>
      </c>
      <c r="AX280">
        <v>263.37493717948701</v>
      </c>
      <c r="AY280">
        <v>252.90049999999999</v>
      </c>
      <c r="BA280" s="38">
        <f>AX280-Table3[[#This Row],[Trendline]]</f>
        <v>3.7179486980676302E-5</v>
      </c>
      <c r="BB280" s="38">
        <f>AY280-Table3[[#This Row],[SmPrice]]</f>
        <v>0</v>
      </c>
    </row>
    <row r="281" spans="1:54" x14ac:dyDescent="0.35">
      <c r="A281" s="6">
        <v>279</v>
      </c>
      <c r="B281" s="3">
        <v>43143</v>
      </c>
      <c r="C281" s="2">
        <v>254.1</v>
      </c>
      <c r="D281" s="2">
        <v>257.16000000000003</v>
      </c>
      <c r="E281" s="2">
        <v>252.02</v>
      </c>
      <c r="F281" s="2">
        <v>255.56</v>
      </c>
      <c r="G281" s="1">
        <v>149239040</v>
      </c>
      <c r="H281" s="30">
        <f>(testdata[[#This Row],[high]]+testdata[[#This Row],[low]])/2</f>
        <v>254.59000000000003</v>
      </c>
      <c r="I281" s="23">
        <f>(4*testdata[[#This Row],[price]]+3*H280+2*H279+H278)/10</f>
        <v>253.09650000000002</v>
      </c>
      <c r="J281" s="9">
        <f>(0.0962*testdata[[#This Row],[smooth]]+0.5769*I279-0.5769*I277-0.0962*I275)*(0.075*$Z280+0.54)</f>
        <v>-14.519254694365298</v>
      </c>
      <c r="K281" s="14">
        <f t="shared" si="12"/>
        <v>-17.440741328383929</v>
      </c>
      <c r="L281" s="14">
        <f>(0.0962*testdata[[#This Row],[detrender]]+0.5769*J279-0.5769*J277-0.0962*J275)*(0.075*$Z280+0.54)</f>
        <v>-31.851179605874851</v>
      </c>
      <c r="M281" s="9">
        <f>(0.0962*testdata[[#This Row],[I1]]+0.5769*K279-0.5769*K277-0.0962*K275)*(0.075*$Z280+0.54)</f>
        <v>-21.599005524048007</v>
      </c>
      <c r="N281" s="9">
        <f>(0.0962*testdata[[#This Row],[Q1]]+0.5769*L279-0.5769*L277-0.0962*L275)*(0.075*$Z280+0.54)</f>
        <v>-12.756703088983336</v>
      </c>
      <c r="O281" s="9">
        <f>testdata[[#This Row],[I1]]-testdata[[#This Row],[JQ]]</f>
        <v>-4.6840382394005928</v>
      </c>
      <c r="P281" s="9">
        <f>testdata[[#This Row],[Q1]]+testdata[[#This Row],[jI]]</f>
        <v>-53.450185129922858</v>
      </c>
      <c r="Q281" s="9">
        <f>0.2*testdata[[#This Row],[I2]]+0.8*Q280</f>
        <v>11.685865830499642</v>
      </c>
      <c r="R281" s="9">
        <f>0.2*testdata[[#This Row],[Q2]]+0.8*R280</f>
        <v>-27.797944229133069</v>
      </c>
      <c r="S281" s="9">
        <f>testdata[[#This Row],[I2'']]*Q280+testdata[[#This Row],[Q2'']]*R280</f>
        <v>778.83939875107239</v>
      </c>
      <c r="T281" s="9">
        <f>testdata[[#This Row],[I2'']]*R280-testdata[[#This Row],[Q2'']]*Q280</f>
        <v>188.70458144740752</v>
      </c>
      <c r="U281" s="9">
        <f>0.2*testdata[[#This Row],[Re]]+0.8*U280</f>
        <v>310.54342805205511</v>
      </c>
      <c r="V281" s="9">
        <f>0.2*testdata[[#This Row],[Im]]+0.8*V280</f>
        <v>61.056188564218985</v>
      </c>
      <c r="W281" s="9">
        <f>IF(AND(testdata[[#This Row],[Re'']]&lt;&gt;0,testdata[[#This Row],[Im'']]&lt;&gt;0),2*PI()/ATAN(testdata[[#This Row],[Im'']]/testdata[[#This Row],[Re'']]),0)</f>
        <v>32.365099467085528</v>
      </c>
      <c r="X281" s="9">
        <f>IF(testdata[[#This Row],[pd-atan]]&gt;1.5*Z280,1.5*Z280,IF(testdata[[#This Row],[pd-atan]]&lt;0.67*Z280,0.67*Z280,testdata[[#This Row],[pd-atan]]))</f>
        <v>32.365099467085528</v>
      </c>
      <c r="Y281" s="9">
        <f>IF(testdata[[#This Row],[pd-limit1]]&lt;6,6,IF(testdata[[#This Row],[pd-limit1]]&gt;50,50,testdata[[#This Row],[pd-limit1]]))</f>
        <v>32.365099467085528</v>
      </c>
      <c r="Z281" s="14">
        <f>0.2*testdata[[#This Row],[pd-limit2]]+0.8*Z280</f>
        <v>38.898975087569212</v>
      </c>
      <c r="AA281" s="14">
        <f>0.33*testdata[[#This Row],[period]]+0.67*AA280</f>
        <v>39.342534356248834</v>
      </c>
      <c r="AB281" s="31">
        <f>TRUNC(testdata[[#This Row],[SmPd]]+0.5,0)</f>
        <v>39</v>
      </c>
      <c r="AC281" s="14">
        <f ca="1">IF(testdata[[#This Row],[PdInt]]&lt;=0,0,AVERAGE(OFFSET(testdata[[#This Row],[price]],0,0,-testdata[[#This Row],[PdInt]],1)))</f>
        <v>263.31423076923068</v>
      </c>
      <c r="AD281" s="14">
        <f ca="1">IF(testdata[[#This Row],[i]]&lt;11,testdata[[#This Row],[price]],(4*testdata[[#This Row],[iTrend]]+3*AC280+2*AC279+AC278)/10)</f>
        <v>263.33135352564091</v>
      </c>
      <c r="AE281" s="14">
        <f>(4*testdata[[#This Row],[price]]+3*H280+2*H279+H278)/10</f>
        <v>253.09650000000002</v>
      </c>
      <c r="AF281" t="str">
        <f ca="1">IF(OR(ROUND(testdata[[#This Row],[Trendline]],4)&lt;&gt;Table3[[#This Row],[Trendline]],ROUND(testdata[[#This Row],[SmPrice]],4)&lt;&gt;Table3[[#This Row],[SmPrice]]),"ERR","")</f>
        <v/>
      </c>
      <c r="AG281" s="3">
        <v>43143</v>
      </c>
      <c r="AH281" s="14">
        <v>39.342500000000001</v>
      </c>
      <c r="AI281" s="34">
        <v>39</v>
      </c>
      <c r="AJ281" s="14">
        <v>263.31420000000003</v>
      </c>
      <c r="AK281" s="14">
        <v>263.33139999999997</v>
      </c>
      <c r="AL281" s="14">
        <v>253.09649999999999</v>
      </c>
      <c r="AN281" s="38">
        <f t="shared" si="13"/>
        <v>0</v>
      </c>
      <c r="AO281" s="38">
        <f t="shared" si="14"/>
        <v>0</v>
      </c>
      <c r="AQ281" s="37">
        <v>43143</v>
      </c>
      <c r="AR281">
        <v>39</v>
      </c>
      <c r="AS281">
        <v>263.33135352564</v>
      </c>
      <c r="AT281">
        <v>253.096499999999</v>
      </c>
      <c r="AV281" s="37">
        <v>43143</v>
      </c>
      <c r="AW281">
        <v>39</v>
      </c>
      <c r="AX281">
        <v>263.33135352564</v>
      </c>
      <c r="AY281">
        <v>253.096499999999</v>
      </c>
      <c r="BA281" s="38">
        <f>AX281-Table3[[#This Row],[Trendline]]</f>
        <v>-4.6474359976400592E-5</v>
      </c>
      <c r="BB281" s="38">
        <f>AY281-Table3[[#This Row],[SmPrice]]</f>
        <v>-9.9475983006414026E-13</v>
      </c>
    </row>
    <row r="282" spans="1:54" x14ac:dyDescent="0.35">
      <c r="A282" s="6">
        <v>280</v>
      </c>
      <c r="B282" s="3">
        <v>43144</v>
      </c>
      <c r="C282" s="2">
        <v>254.24</v>
      </c>
      <c r="D282" s="2">
        <v>256.79000000000002</v>
      </c>
      <c r="E282" s="2">
        <v>253.6</v>
      </c>
      <c r="F282" s="2">
        <v>256.19</v>
      </c>
      <c r="G282" s="1">
        <v>84333360</v>
      </c>
      <c r="H282" s="30">
        <f>(testdata[[#This Row],[high]]+testdata[[#This Row],[low]])/2</f>
        <v>255.19499999999999</v>
      </c>
      <c r="I282" s="23">
        <f>(4*testdata[[#This Row],[price]]+3*H281+2*H280+H279)/10</f>
        <v>253.5215</v>
      </c>
      <c r="J282" s="9">
        <f>(0.0962*testdata[[#This Row],[smooth]]+0.5769*I280-0.5769*I278-0.0962*I276)*(0.075*$Z281+0.54)</f>
        <v>-16.236364316304332</v>
      </c>
      <c r="K282" s="14">
        <f t="shared" si="12"/>
        <v>-24.276565876668336</v>
      </c>
      <c r="L282" s="14">
        <f>(0.0962*testdata[[#This Row],[detrender]]+0.5769*J280-0.5769*J278-0.0962*J276)*(0.075*$Z281+0.54)</f>
        <v>-8.2680359808314119</v>
      </c>
      <c r="M282" s="9">
        <f>(0.0962*testdata[[#This Row],[I1]]+0.5769*K280-0.5769*K278-0.0962*K276)*(0.075*$Z281+0.54)</f>
        <v>-22.763032692288554</v>
      </c>
      <c r="N282" s="9">
        <f>(0.0962*testdata[[#This Row],[Q1]]+0.5769*L280-0.5769*L278-0.0962*L276)*(0.075*$Z281+0.54)</f>
        <v>-16.218726548917349</v>
      </c>
      <c r="O282" s="9">
        <f>testdata[[#This Row],[I1]]-testdata[[#This Row],[JQ]]</f>
        <v>-8.0578393277509868</v>
      </c>
      <c r="P282" s="9">
        <f>testdata[[#This Row],[Q1]]+testdata[[#This Row],[jI]]</f>
        <v>-31.031068673119968</v>
      </c>
      <c r="Q282" s="9">
        <f>0.2*testdata[[#This Row],[I2]]+0.8*Q281</f>
        <v>7.737124798849516</v>
      </c>
      <c r="R282" s="9">
        <f>0.2*testdata[[#This Row],[Q2]]+0.8*R281</f>
        <v>-28.444569117930449</v>
      </c>
      <c r="S282" s="9">
        <f>testdata[[#This Row],[I2'']]*Q281+testdata[[#This Row],[Q2'']]*R281</f>
        <v>881.11554827513839</v>
      </c>
      <c r="T282" s="9">
        <f>testdata[[#This Row],[I2'']]*R281-testdata[[#This Row],[Q2'']]*Q281</f>
        <v>117.32325466624749</v>
      </c>
      <c r="U282" s="9">
        <f>0.2*testdata[[#This Row],[Re]]+0.8*U281</f>
        <v>424.65785209667177</v>
      </c>
      <c r="V282" s="9">
        <f>0.2*testdata[[#This Row],[Im]]+0.8*V281</f>
        <v>72.309601784624689</v>
      </c>
      <c r="W282" s="9">
        <f>IF(AND(testdata[[#This Row],[Re'']]&lt;&gt;0,testdata[[#This Row],[Im'']]&lt;&gt;0),2*PI()/ATAN(testdata[[#This Row],[Im'']]/testdata[[#This Row],[Re'']]),0)</f>
        <v>37.253630570269749</v>
      </c>
      <c r="X282" s="9">
        <f>IF(testdata[[#This Row],[pd-atan]]&gt;1.5*Z281,1.5*Z281,IF(testdata[[#This Row],[pd-atan]]&lt;0.67*Z281,0.67*Z281,testdata[[#This Row],[pd-atan]]))</f>
        <v>37.253630570269749</v>
      </c>
      <c r="Y282" s="9">
        <f>IF(testdata[[#This Row],[pd-limit1]]&lt;6,6,IF(testdata[[#This Row],[pd-limit1]]&gt;50,50,testdata[[#This Row],[pd-limit1]]))</f>
        <v>37.253630570269749</v>
      </c>
      <c r="Z282" s="14">
        <f>0.2*testdata[[#This Row],[pd-limit2]]+0.8*Z281</f>
        <v>38.569906184109321</v>
      </c>
      <c r="AA282" s="14">
        <f>0.33*testdata[[#This Row],[period]]+0.67*AA281</f>
        <v>39.087567059442797</v>
      </c>
      <c r="AB282" s="31">
        <f>TRUNC(testdata[[#This Row],[SmPd]]+0.5,0)</f>
        <v>39</v>
      </c>
      <c r="AC282" s="14">
        <f ca="1">IF(testdata[[#This Row],[PdInt]]&lt;=0,0,AVERAGE(OFFSET(testdata[[#This Row],[price]],0,0,-testdata[[#This Row],[PdInt]],1)))</f>
        <v>263.28346153846144</v>
      </c>
      <c r="AD282" s="14">
        <f ca="1">IF(testdata[[#This Row],[i]]&lt;11,testdata[[#This Row],[price]],(4*testdata[[#This Row],[iTrend]]+3*AC281+2*AC280+AC279)/10)</f>
        <v>263.28880833333329</v>
      </c>
      <c r="AE282" s="14">
        <f>(4*testdata[[#This Row],[price]]+3*H281+2*H280+H279)/10</f>
        <v>253.5215</v>
      </c>
      <c r="AF282" t="str">
        <f ca="1">IF(OR(ROUND(testdata[[#This Row],[Trendline]],4)&lt;&gt;Table3[[#This Row],[Trendline]],ROUND(testdata[[#This Row],[SmPrice]],4)&lt;&gt;Table3[[#This Row],[SmPrice]]),"ERR","")</f>
        <v/>
      </c>
      <c r="AG282" s="3">
        <v>43144</v>
      </c>
      <c r="AH282" s="14">
        <v>39.087600000000002</v>
      </c>
      <c r="AI282" s="34">
        <v>39</v>
      </c>
      <c r="AJ282" s="14">
        <v>263.2835</v>
      </c>
      <c r="AK282" s="14">
        <v>263.28879999999998</v>
      </c>
      <c r="AL282" s="14">
        <v>253.5215</v>
      </c>
      <c r="AN282" s="38">
        <f t="shared" si="13"/>
        <v>0</v>
      </c>
      <c r="AO282" s="38">
        <f t="shared" si="14"/>
        <v>0</v>
      </c>
      <c r="AQ282" s="37">
        <v>43144</v>
      </c>
      <c r="AR282">
        <v>39</v>
      </c>
      <c r="AS282">
        <v>263.28880833333301</v>
      </c>
      <c r="AT282">
        <v>253.52149999999901</v>
      </c>
      <c r="AV282" s="37">
        <v>43144</v>
      </c>
      <c r="AW282">
        <v>39</v>
      </c>
      <c r="AX282">
        <v>263.28880833333301</v>
      </c>
      <c r="AY282">
        <v>253.52149999999901</v>
      </c>
      <c r="BA282" s="38">
        <f>AX282-Table3[[#This Row],[Trendline]]</f>
        <v>8.3333330280765949E-6</v>
      </c>
      <c r="BB282" s="38">
        <f>AY282-Table3[[#This Row],[SmPrice]]</f>
        <v>-9.9475983006414026E-13</v>
      </c>
    </row>
    <row r="283" spans="1:54" x14ac:dyDescent="0.35">
      <c r="A283" s="6">
        <v>281</v>
      </c>
      <c r="B283" s="3">
        <v>43145</v>
      </c>
      <c r="C283" s="2">
        <v>254.56</v>
      </c>
      <c r="D283" s="2">
        <v>260.04000000000002</v>
      </c>
      <c r="E283" s="2">
        <v>254.55</v>
      </c>
      <c r="F283" s="2">
        <v>259.64999999999998</v>
      </c>
      <c r="G283" s="1">
        <v>125358160</v>
      </c>
      <c r="H283" s="30">
        <f>(testdata[[#This Row],[high]]+testdata[[#This Row],[low]])/2</f>
        <v>257.29500000000002</v>
      </c>
      <c r="I283" s="23">
        <f>(4*testdata[[#This Row],[price]]+3*H282+2*H281+H280)/10</f>
        <v>255.26850000000005</v>
      </c>
      <c r="J283" s="9">
        <f>(0.0962*testdata[[#This Row],[smooth]]+0.5769*I281-0.5769*I279-0.0962*I277)*(0.075*$Z282+0.54)</f>
        <v>-7.6905669819739924</v>
      </c>
      <c r="K283" s="14">
        <f t="shared" si="12"/>
        <v>-19.978173931870895</v>
      </c>
      <c r="L283" s="14">
        <f>(0.0962*testdata[[#This Row],[detrender]]+0.5769*J281-0.5769*J279-0.0962*J277)*(0.075*$Z282+0.54)</f>
        <v>20.292767892830401</v>
      </c>
      <c r="M283" s="9">
        <f>(0.0962*testdata[[#This Row],[I1]]+0.5769*K281-0.5769*K279-0.0962*K277)*(0.075*$Z282+0.54)</f>
        <v>-28.176867793975418</v>
      </c>
      <c r="N283" s="9">
        <f>(0.0962*testdata[[#This Row],[Q1]]+0.5769*L281-0.5769*L279-0.0962*L277)*(0.075*$Z282+0.54)</f>
        <v>-5.617823398112666</v>
      </c>
      <c r="O283" s="9">
        <f>testdata[[#This Row],[I1]]-testdata[[#This Row],[JQ]]</f>
        <v>-14.360350533758229</v>
      </c>
      <c r="P283" s="9">
        <f>testdata[[#This Row],[Q1]]+testdata[[#This Row],[jI]]</f>
        <v>-7.8840999011450172</v>
      </c>
      <c r="Q283" s="9">
        <f>0.2*testdata[[#This Row],[I2]]+0.8*Q282</f>
        <v>3.3176297323279669</v>
      </c>
      <c r="R283" s="9">
        <f>0.2*testdata[[#This Row],[Q2]]+0.8*R282</f>
        <v>-24.332475274573365</v>
      </c>
      <c r="S283" s="9">
        <f>testdata[[#This Row],[I2'']]*Q282+testdata[[#This Row],[Q2'']]*R282</f>
        <v>717.79569003333097</v>
      </c>
      <c r="T283" s="9">
        <f>testdata[[#This Row],[I2'']]*R282-testdata[[#This Row],[Q2'']]*Q282</f>
        <v>93.894849635390315</v>
      </c>
      <c r="U283" s="9">
        <f>0.2*testdata[[#This Row],[Re]]+0.8*U282</f>
        <v>483.28541968400361</v>
      </c>
      <c r="V283" s="9">
        <f>0.2*testdata[[#This Row],[Im]]+0.8*V282</f>
        <v>76.62665135477782</v>
      </c>
      <c r="W283" s="9">
        <f>IF(AND(testdata[[#This Row],[Re'']]&lt;&gt;0,testdata[[#This Row],[Im'']]&lt;&gt;0),2*PI()/ATAN(testdata[[#This Row],[Im'']]/testdata[[#This Row],[Re'']]),0)</f>
        <v>39.958018962718199</v>
      </c>
      <c r="X283" s="9">
        <f>IF(testdata[[#This Row],[pd-atan]]&gt;1.5*Z282,1.5*Z282,IF(testdata[[#This Row],[pd-atan]]&lt;0.67*Z282,0.67*Z282,testdata[[#This Row],[pd-atan]]))</f>
        <v>39.958018962718199</v>
      </c>
      <c r="Y283" s="9">
        <f>IF(testdata[[#This Row],[pd-limit1]]&lt;6,6,IF(testdata[[#This Row],[pd-limit1]]&gt;50,50,testdata[[#This Row],[pd-limit1]]))</f>
        <v>39.958018962718199</v>
      </c>
      <c r="Z283" s="14">
        <f>0.2*testdata[[#This Row],[pd-limit2]]+0.8*Z282</f>
        <v>38.847528739831098</v>
      </c>
      <c r="AA283" s="14">
        <f>0.33*testdata[[#This Row],[period]]+0.67*AA282</f>
        <v>39.008354413970942</v>
      </c>
      <c r="AB283" s="31">
        <f>TRUNC(testdata[[#This Row],[SmPd]]+0.5,0)</f>
        <v>39</v>
      </c>
      <c r="AC283" s="14">
        <f ca="1">IF(testdata[[#This Row],[PdInt]]&lt;=0,0,AVERAGE(OFFSET(testdata[[#This Row],[price]],0,0,-testdata[[#This Row],[PdInt]],1)))</f>
        <v>263.25512820512813</v>
      </c>
      <c r="AD283" s="14">
        <f ca="1">IF(testdata[[#This Row],[i]]&lt;11,testdata[[#This Row],[price]],(4*testdata[[#This Row],[iTrend]]+3*AC282+2*AC281+AC280)/10)</f>
        <v>263.26467339743579</v>
      </c>
      <c r="AE283" s="14">
        <f>(4*testdata[[#This Row],[price]]+3*H282+2*H281+H280)/10</f>
        <v>255.26850000000005</v>
      </c>
      <c r="AF283" t="str">
        <f ca="1">IF(OR(ROUND(testdata[[#This Row],[Trendline]],4)&lt;&gt;Table3[[#This Row],[Trendline]],ROUND(testdata[[#This Row],[SmPrice]],4)&lt;&gt;Table3[[#This Row],[SmPrice]]),"ERR","")</f>
        <v/>
      </c>
      <c r="AG283" s="3">
        <v>43145</v>
      </c>
      <c r="AH283" s="14">
        <v>39.008299999999998</v>
      </c>
      <c r="AI283" s="34">
        <v>39</v>
      </c>
      <c r="AJ283" s="14">
        <v>263.25510000000003</v>
      </c>
      <c r="AK283" s="14">
        <v>263.2647</v>
      </c>
      <c r="AL283" s="14">
        <v>255.26849999999999</v>
      </c>
      <c r="AN283" s="38">
        <f t="shared" si="13"/>
        <v>0</v>
      </c>
      <c r="AO283" s="38">
        <f t="shared" si="14"/>
        <v>0</v>
      </c>
      <c r="AQ283" s="37">
        <v>43145</v>
      </c>
      <c r="AR283">
        <v>39</v>
      </c>
      <c r="AS283">
        <v>263.26467339743499</v>
      </c>
      <c r="AT283">
        <v>255.26849999999999</v>
      </c>
      <c r="AV283" s="37">
        <v>43145</v>
      </c>
      <c r="AW283">
        <v>39</v>
      </c>
      <c r="AX283">
        <v>263.26467339743499</v>
      </c>
      <c r="AY283">
        <v>255.26849999999999</v>
      </c>
      <c r="BA283" s="38">
        <f>AX283-Table3[[#This Row],[Trendline]]</f>
        <v>-2.6602565014854918E-5</v>
      </c>
      <c r="BB283" s="38">
        <f>AY283-Table3[[#This Row],[SmPrice]]</f>
        <v>0</v>
      </c>
    </row>
    <row r="284" spans="1:54" x14ac:dyDescent="0.35">
      <c r="A284" s="6">
        <v>282</v>
      </c>
      <c r="B284" s="3">
        <v>43146</v>
      </c>
      <c r="C284" s="2">
        <v>261.56</v>
      </c>
      <c r="D284" s="2">
        <v>262.97000000000003</v>
      </c>
      <c r="E284" s="2">
        <v>258.86</v>
      </c>
      <c r="F284" s="2">
        <v>262.95999999999998</v>
      </c>
      <c r="G284" s="1">
        <v>115457688</v>
      </c>
      <c r="H284" s="30">
        <f>(testdata[[#This Row],[high]]+testdata[[#This Row],[low]])/2</f>
        <v>260.91500000000002</v>
      </c>
      <c r="I284" s="23">
        <f>(4*testdata[[#This Row],[price]]+3*H283+2*H282+H281)/10</f>
        <v>258.05250000000001</v>
      </c>
      <c r="J284" s="9">
        <f>(0.0962*testdata[[#This Row],[smooth]]+0.5769*I282-0.5769*I280-0.0962*I278)*(0.075*$Z283+0.54)</f>
        <v>0.91266489759394609</v>
      </c>
      <c r="K284" s="14">
        <f t="shared" si="12"/>
        <v>-14.519254694365298</v>
      </c>
      <c r="L284" s="14">
        <f>(0.0962*testdata[[#This Row],[detrender]]+0.5769*J282-0.5769*J280-0.0962*J278)*(0.075*$Z283+0.54)</f>
        <v>13.55264297015554</v>
      </c>
      <c r="M284" s="9">
        <f>(0.0962*testdata[[#This Row],[I1]]+0.5769*K282-0.5769*K280-0.0962*K278)*(0.075*$Z283+0.54)</f>
        <v>-30.726859670618452</v>
      </c>
      <c r="N284" s="9">
        <f>(0.0962*testdata[[#This Row],[Q1]]+0.5769*L282-0.5769*L280-0.0962*L278)*(0.075*$Z283+0.54)</f>
        <v>52.895575542774168</v>
      </c>
      <c r="O284" s="9">
        <f>testdata[[#This Row],[I1]]-testdata[[#This Row],[JQ]]</f>
        <v>-67.414830237139469</v>
      </c>
      <c r="P284" s="9">
        <f>testdata[[#This Row],[Q1]]+testdata[[#This Row],[jI]]</f>
        <v>-17.174216700462914</v>
      </c>
      <c r="Q284" s="9">
        <f>0.2*testdata[[#This Row],[I2]]+0.8*Q283</f>
        <v>-10.82886226156552</v>
      </c>
      <c r="R284" s="9">
        <f>0.2*testdata[[#This Row],[Q2]]+0.8*R283</f>
        <v>-22.900823559751277</v>
      </c>
      <c r="S284" s="9">
        <f>testdata[[#This Row],[I2'']]*Q283+testdata[[#This Row],[Q2'']]*R283</f>
        <v>521.30756762876115</v>
      </c>
      <c r="T284" s="9">
        <f>testdata[[#This Row],[I2'']]*R283-testdata[[#This Row],[Q2'']]*Q283</f>
        <v>339.46947636793129</v>
      </c>
      <c r="U284" s="9">
        <f>0.2*testdata[[#This Row],[Re]]+0.8*U283</f>
        <v>490.88984927295519</v>
      </c>
      <c r="V284" s="9">
        <f>0.2*testdata[[#This Row],[Im]]+0.8*V283</f>
        <v>129.19521635740853</v>
      </c>
      <c r="W284" s="9">
        <f>IF(AND(testdata[[#This Row],[Re'']]&lt;&gt;0,testdata[[#This Row],[Im'']]&lt;&gt;0),2*PI()/ATAN(testdata[[#This Row],[Im'']]/testdata[[#This Row],[Re'']]),0)</f>
        <v>24.414963559470106</v>
      </c>
      <c r="X284" s="9">
        <f>IF(testdata[[#This Row],[pd-atan]]&gt;1.5*Z283,1.5*Z283,IF(testdata[[#This Row],[pd-atan]]&lt;0.67*Z283,0.67*Z283,testdata[[#This Row],[pd-atan]]))</f>
        <v>26.027844255686837</v>
      </c>
      <c r="Y284" s="9">
        <f>IF(testdata[[#This Row],[pd-limit1]]&lt;6,6,IF(testdata[[#This Row],[pd-limit1]]&gt;50,50,testdata[[#This Row],[pd-limit1]]))</f>
        <v>26.027844255686837</v>
      </c>
      <c r="Z284" s="14">
        <f>0.2*testdata[[#This Row],[pd-limit2]]+0.8*Z283</f>
        <v>36.283591843002249</v>
      </c>
      <c r="AA284" s="14">
        <f>0.33*testdata[[#This Row],[period]]+0.67*AA283</f>
        <v>38.109182765551274</v>
      </c>
      <c r="AB284" s="31">
        <f>TRUNC(testdata[[#This Row],[SmPd]]+0.5,0)</f>
        <v>38</v>
      </c>
      <c r="AC284" s="14">
        <f ca="1">IF(testdata[[#This Row],[PdInt]]&lt;=0,0,AVERAGE(OFFSET(testdata[[#This Row],[price]],0,0,-testdata[[#This Row],[PdInt]],1)))</f>
        <v>263.4810526315789</v>
      </c>
      <c r="AD284" s="14">
        <f ca="1">IF(testdata[[#This Row],[i]]&lt;11,testdata[[#This Row],[price]],(4*testdata[[#This Row],[iTrend]]+3*AC283+2*AC282+AC281)/10)</f>
        <v>263.3570748987853</v>
      </c>
      <c r="AE284" s="14">
        <f>(4*testdata[[#This Row],[price]]+3*H283+2*H282+H281)/10</f>
        <v>258.05250000000001</v>
      </c>
      <c r="AF284" t="str">
        <f ca="1">IF(OR(ROUND(testdata[[#This Row],[Trendline]],4)&lt;&gt;Table3[[#This Row],[Trendline]],ROUND(testdata[[#This Row],[SmPrice]],4)&lt;&gt;Table3[[#This Row],[SmPrice]]),"ERR","")</f>
        <v/>
      </c>
      <c r="AG284" s="3">
        <v>43146</v>
      </c>
      <c r="AH284" s="14">
        <v>38.109200000000001</v>
      </c>
      <c r="AI284" s="34">
        <v>38</v>
      </c>
      <c r="AJ284" s="14">
        <v>263.48110000000003</v>
      </c>
      <c r="AK284" s="14">
        <v>263.3571</v>
      </c>
      <c r="AL284" s="14">
        <v>258.05250000000001</v>
      </c>
      <c r="AN284" s="38">
        <f t="shared" si="13"/>
        <v>0</v>
      </c>
      <c r="AO284" s="38">
        <f t="shared" si="14"/>
        <v>0</v>
      </c>
      <c r="AQ284" s="37">
        <v>43146</v>
      </c>
      <c r="AR284">
        <v>38</v>
      </c>
      <c r="AS284">
        <v>263.35707489878502</v>
      </c>
      <c r="AT284">
        <v>258.05250000000001</v>
      </c>
      <c r="AV284" s="37">
        <v>43146</v>
      </c>
      <c r="AW284">
        <v>38</v>
      </c>
      <c r="AX284">
        <v>263.35707489878502</v>
      </c>
      <c r="AY284">
        <v>258.05250000000001</v>
      </c>
      <c r="BA284" s="38">
        <f>AX284-Table3[[#This Row],[Trendline]]</f>
        <v>-2.5101214987444109E-5</v>
      </c>
      <c r="BB284" s="38">
        <f>AY284-Table3[[#This Row],[SmPrice]]</f>
        <v>0</v>
      </c>
    </row>
    <row r="285" spans="1:54" x14ac:dyDescent="0.35">
      <c r="A285" s="6">
        <v>283</v>
      </c>
      <c r="B285" s="3">
        <v>43147</v>
      </c>
      <c r="C285" s="2">
        <v>262.27999999999997</v>
      </c>
      <c r="D285" s="2">
        <v>265.17</v>
      </c>
      <c r="E285" s="2">
        <v>262.23</v>
      </c>
      <c r="F285" s="2">
        <v>263.04000000000002</v>
      </c>
      <c r="G285" s="1">
        <v>166561968</v>
      </c>
      <c r="H285" s="30">
        <f>(testdata[[#This Row],[high]]+testdata[[#This Row],[low]])/2</f>
        <v>263.70000000000005</v>
      </c>
      <c r="I285" s="23">
        <f>(4*testdata[[#This Row],[price]]+3*H284+2*H283+H282)/10</f>
        <v>260.73300000000006</v>
      </c>
      <c r="J285" s="9">
        <f>(0.0962*testdata[[#This Row],[smooth]]+0.5769*I283-0.5769*I281-0.0962*I279)*(0.075*$Z284+0.54)</f>
        <v>5.5291642739704567</v>
      </c>
      <c r="K285" s="14">
        <f t="shared" si="12"/>
        <v>-16.236364316304332</v>
      </c>
      <c r="L285" s="14">
        <f>(0.0962*testdata[[#This Row],[detrender]]+0.5769*J283-0.5769*J281-0.0962*J279)*(0.075*$Z284+0.54)</f>
        <v>22.198747100453627</v>
      </c>
      <c r="M285" s="9">
        <f>(0.0962*testdata[[#This Row],[I1]]+0.5769*K283-0.5769*K281-0.0962*K279)*(0.075*$Z284+0.54)</f>
        <v>-7.7989565115228991</v>
      </c>
      <c r="N285" s="9">
        <f>(0.0962*testdata[[#This Row],[Q1]]+0.5769*L283-0.5769*L281-0.0962*L279)*(0.075*$Z284+0.54)</f>
        <v>112.02522215025563</v>
      </c>
      <c r="O285" s="9">
        <f>testdata[[#This Row],[I1]]-testdata[[#This Row],[JQ]]</f>
        <v>-128.26158646655995</v>
      </c>
      <c r="P285" s="9">
        <f>testdata[[#This Row],[Q1]]+testdata[[#This Row],[jI]]</f>
        <v>14.399790588930728</v>
      </c>
      <c r="Q285" s="9">
        <f>0.2*testdata[[#This Row],[I2]]+0.8*Q284</f>
        <v>-34.315407102564407</v>
      </c>
      <c r="R285" s="9">
        <f>0.2*testdata[[#This Row],[Q2]]+0.8*R284</f>
        <v>-15.440700730014878</v>
      </c>
      <c r="S285" s="9">
        <f>testdata[[#This Row],[I2'']]*Q284+testdata[[#This Row],[Q2'']]*R284</f>
        <v>725.2015800202106</v>
      </c>
      <c r="T285" s="9">
        <f>testdata[[#This Row],[I2'']]*R284-testdata[[#This Row],[Q2'']]*Q284</f>
        <v>618.64586200947792</v>
      </c>
      <c r="U285" s="9">
        <f>0.2*testdata[[#This Row],[Re]]+0.8*U284</f>
        <v>537.75219542240632</v>
      </c>
      <c r="V285" s="9">
        <f>0.2*testdata[[#This Row],[Im]]+0.8*V284</f>
        <v>227.08534548782242</v>
      </c>
      <c r="W285" s="9">
        <f>IF(AND(testdata[[#This Row],[Re'']]&lt;&gt;0,testdata[[#This Row],[Im'']]&lt;&gt;0),2*PI()/ATAN(testdata[[#This Row],[Im'']]/testdata[[#This Row],[Re'']]),0)</f>
        <v>15.724874845019478</v>
      </c>
      <c r="X285" s="9">
        <f>IF(testdata[[#This Row],[pd-atan]]&gt;1.5*Z284,1.5*Z284,IF(testdata[[#This Row],[pd-atan]]&lt;0.67*Z284,0.67*Z284,testdata[[#This Row],[pd-atan]]))</f>
        <v>24.310006534811507</v>
      </c>
      <c r="Y285" s="9">
        <f>IF(testdata[[#This Row],[pd-limit1]]&lt;6,6,IF(testdata[[#This Row],[pd-limit1]]&gt;50,50,testdata[[#This Row],[pd-limit1]]))</f>
        <v>24.310006534811507</v>
      </c>
      <c r="Z285" s="14">
        <f>0.2*testdata[[#This Row],[pd-limit2]]+0.8*Z284</f>
        <v>33.888874781364102</v>
      </c>
      <c r="AA285" s="14">
        <f>0.33*testdata[[#This Row],[period]]+0.67*AA284</f>
        <v>36.716481130769509</v>
      </c>
      <c r="AB285" s="31">
        <f>TRUNC(testdata[[#This Row],[SmPd]]+0.5,0)</f>
        <v>37</v>
      </c>
      <c r="AC285" s="14">
        <f ca="1">IF(testdata[[#This Row],[PdInt]]&lt;=0,0,AVERAGE(OFFSET(testdata[[#This Row],[price]],0,0,-testdata[[#This Row],[PdInt]],1)))</f>
        <v>263.80000000000007</v>
      </c>
      <c r="AD285" s="14">
        <f ca="1">IF(testdata[[#This Row],[i]]&lt;11,testdata[[#This Row],[price]],(4*testdata[[#This Row],[iTrend]]+3*AC284+2*AC283+AC282)/10)</f>
        <v>263.54368758434543</v>
      </c>
      <c r="AE285" s="14">
        <f>(4*testdata[[#This Row],[price]]+3*H284+2*H283+H282)/10</f>
        <v>260.73300000000006</v>
      </c>
      <c r="AF285" t="str">
        <f ca="1">IF(OR(ROUND(testdata[[#This Row],[Trendline]],4)&lt;&gt;Table3[[#This Row],[Trendline]],ROUND(testdata[[#This Row],[SmPrice]],4)&lt;&gt;Table3[[#This Row],[SmPrice]]),"ERR","")</f>
        <v/>
      </c>
      <c r="AG285" s="3">
        <v>43147</v>
      </c>
      <c r="AH285" s="14">
        <v>36.716500000000003</v>
      </c>
      <c r="AI285" s="34">
        <v>37</v>
      </c>
      <c r="AJ285" s="14">
        <v>263.8</v>
      </c>
      <c r="AK285" s="14">
        <v>263.5437</v>
      </c>
      <c r="AL285" s="14">
        <v>260.733</v>
      </c>
      <c r="AN285" s="38">
        <f t="shared" si="13"/>
        <v>0</v>
      </c>
      <c r="AO285" s="38">
        <f t="shared" si="14"/>
        <v>0</v>
      </c>
      <c r="AQ285" s="37">
        <v>43147</v>
      </c>
      <c r="AR285">
        <v>37</v>
      </c>
      <c r="AS285">
        <v>263.54368758434498</v>
      </c>
      <c r="AT285">
        <v>260.733</v>
      </c>
      <c r="AV285" s="37">
        <v>43147</v>
      </c>
      <c r="AW285">
        <v>37</v>
      </c>
      <c r="AX285">
        <v>263.54368758434498</v>
      </c>
      <c r="AY285">
        <v>260.733</v>
      </c>
      <c r="BA285" s="38">
        <f>AX285-Table3[[#This Row],[Trendline]]</f>
        <v>-1.2415655021413841E-5</v>
      </c>
      <c r="BB285" s="38">
        <f>AY285-Table3[[#This Row],[SmPrice]]</f>
        <v>0</v>
      </c>
    </row>
    <row r="286" spans="1:54" x14ac:dyDescent="0.35">
      <c r="A286" s="6">
        <v>284</v>
      </c>
      <c r="B286" s="3">
        <v>43151</v>
      </c>
      <c r="C286" s="2">
        <v>262</v>
      </c>
      <c r="D286" s="2">
        <v>263.58</v>
      </c>
      <c r="E286" s="2">
        <v>260.52999999999997</v>
      </c>
      <c r="F286" s="2">
        <v>261.39</v>
      </c>
      <c r="G286" s="1">
        <v>89676400</v>
      </c>
      <c r="H286" s="30">
        <f>(testdata[[#This Row],[high]]+testdata[[#This Row],[low]])/2</f>
        <v>262.05499999999995</v>
      </c>
      <c r="I286" s="23">
        <f>(4*testdata[[#This Row],[price]]+3*H285+2*H284+H283)/10</f>
        <v>261.84450000000004</v>
      </c>
      <c r="J286" s="9">
        <f>(0.0962*testdata[[#This Row],[smooth]]+0.5769*I284-0.5769*I282-0.0962*I280)*(0.075*$Z285+0.54)</f>
        <v>10.706774737750914</v>
      </c>
      <c r="K286" s="14">
        <f t="shared" si="12"/>
        <v>-7.6905669819739924</v>
      </c>
      <c r="L286" s="14">
        <f>(0.0962*testdata[[#This Row],[detrender]]+0.5769*J284-0.5769*J282-0.0962*J280)*(0.075*$Z285+0.54)</f>
        <v>39.584509428466959</v>
      </c>
      <c r="M286" s="9">
        <f>(0.0962*testdata[[#This Row],[I1]]+0.5769*K284-0.5769*K282-0.0962*K280)*(0.075*$Z285+0.54)</f>
        <v>18.217363076118353</v>
      </c>
      <c r="N286" s="9">
        <f>(0.0962*testdata[[#This Row],[Q1]]+0.5769*L284-0.5769*L282-0.0962*L280)*(0.075*$Z285+0.54)</f>
        <v>59.171495687892907</v>
      </c>
      <c r="O286" s="9">
        <f>testdata[[#This Row],[I1]]-testdata[[#This Row],[JQ]]</f>
        <v>-66.862062669866901</v>
      </c>
      <c r="P286" s="9">
        <f>testdata[[#This Row],[Q1]]+testdata[[#This Row],[jI]]</f>
        <v>57.801872504585312</v>
      </c>
      <c r="Q286" s="9">
        <f>0.2*testdata[[#This Row],[I2]]+0.8*Q285</f>
        <v>-40.824738216024912</v>
      </c>
      <c r="R286" s="9">
        <f>0.2*testdata[[#This Row],[Q2]]+0.8*R285</f>
        <v>-0.7921860830948404</v>
      </c>
      <c r="S286" s="9">
        <f>testdata[[#This Row],[I2'']]*Q285+testdata[[#This Row],[Q2'']]*R285</f>
        <v>1413.1494199700639</v>
      </c>
      <c r="T286" s="9">
        <f>testdata[[#This Row],[I2'']]*R285-testdata[[#This Row],[Q2'']]*Q285</f>
        <v>603.1783772324568</v>
      </c>
      <c r="U286" s="9">
        <f>0.2*testdata[[#This Row],[Re]]+0.8*U285</f>
        <v>712.83164033193793</v>
      </c>
      <c r="V286" s="9">
        <f>0.2*testdata[[#This Row],[Im]]+0.8*V285</f>
        <v>302.30395183674932</v>
      </c>
      <c r="W286" s="9">
        <f>IF(AND(testdata[[#This Row],[Re'']]&lt;&gt;0,testdata[[#This Row],[Im'']]&lt;&gt;0),2*PI()/ATAN(testdata[[#This Row],[Im'']]/testdata[[#This Row],[Re'']]),0)</f>
        <v>15.66493780837701</v>
      </c>
      <c r="X286" s="9">
        <f>IF(testdata[[#This Row],[pd-atan]]&gt;1.5*Z285,1.5*Z285,IF(testdata[[#This Row],[pd-atan]]&lt;0.67*Z285,0.67*Z285,testdata[[#This Row],[pd-atan]]))</f>
        <v>22.705546103513949</v>
      </c>
      <c r="Y286" s="9">
        <f>IF(testdata[[#This Row],[pd-limit1]]&lt;6,6,IF(testdata[[#This Row],[pd-limit1]]&gt;50,50,testdata[[#This Row],[pd-limit1]]))</f>
        <v>22.705546103513949</v>
      </c>
      <c r="Z286" s="14">
        <f>0.2*testdata[[#This Row],[pd-limit2]]+0.8*Z285</f>
        <v>31.652209045794073</v>
      </c>
      <c r="AA286" s="14">
        <f>0.33*testdata[[#This Row],[period]]+0.67*AA285</f>
        <v>35.045271342727617</v>
      </c>
      <c r="AB286" s="31">
        <f>TRUNC(testdata[[#This Row],[SmPd]]+0.5,0)</f>
        <v>35</v>
      </c>
      <c r="AC286" s="14">
        <f ca="1">IF(testdata[[#This Row],[PdInt]]&lt;=0,0,AVERAGE(OFFSET(testdata[[#This Row],[price]],0,0,-testdata[[#This Row],[PdInt]],1)))</f>
        <v>264.28628571428584</v>
      </c>
      <c r="AD286" s="14">
        <f ca="1">IF(testdata[[#This Row],[i]]&lt;11,testdata[[#This Row],[price]],(4*testdata[[#This Row],[iTrend]]+3*AC285+2*AC284+AC283)/10)</f>
        <v>263.87623763254294</v>
      </c>
      <c r="AE286" s="14">
        <f>(4*testdata[[#This Row],[price]]+3*H285+2*H284+H283)/10</f>
        <v>261.84450000000004</v>
      </c>
      <c r="AF286" t="str">
        <f ca="1">IF(OR(ROUND(testdata[[#This Row],[Trendline]],4)&lt;&gt;Table3[[#This Row],[Trendline]],ROUND(testdata[[#This Row],[SmPrice]],4)&lt;&gt;Table3[[#This Row],[SmPrice]]),"ERR","")</f>
        <v/>
      </c>
      <c r="AG286" s="3">
        <v>43151</v>
      </c>
      <c r="AH286" s="14">
        <v>35.045299999999997</v>
      </c>
      <c r="AI286" s="34">
        <v>35</v>
      </c>
      <c r="AJ286" s="14">
        <v>264.28629999999998</v>
      </c>
      <c r="AK286" s="14">
        <v>263.87619999999998</v>
      </c>
      <c r="AL286" s="14">
        <v>261.84449999999998</v>
      </c>
      <c r="AN286" s="38">
        <f t="shared" si="13"/>
        <v>0</v>
      </c>
      <c r="AO286" s="38">
        <f t="shared" si="14"/>
        <v>0</v>
      </c>
      <c r="AQ286" s="37">
        <v>43151</v>
      </c>
      <c r="AR286">
        <v>35</v>
      </c>
      <c r="AS286">
        <v>263.87623763254197</v>
      </c>
      <c r="AT286">
        <v>261.84449999999998</v>
      </c>
      <c r="AV286" s="37">
        <v>43151</v>
      </c>
      <c r="AW286">
        <v>35</v>
      </c>
      <c r="AX286">
        <v>263.87623763254197</v>
      </c>
      <c r="AY286">
        <v>261.84449999999998</v>
      </c>
      <c r="BA286" s="38">
        <f>AX286-Table3[[#This Row],[Trendline]]</f>
        <v>3.7632541989296442E-5</v>
      </c>
      <c r="BB286" s="38">
        <f>AY286-Table3[[#This Row],[SmPrice]]</f>
        <v>0</v>
      </c>
    </row>
    <row r="287" spans="1:54" x14ac:dyDescent="0.35">
      <c r="A287" s="6">
        <v>285</v>
      </c>
      <c r="B287" s="3">
        <v>43152</v>
      </c>
      <c r="C287" s="2">
        <v>261.87</v>
      </c>
      <c r="D287" s="2">
        <v>264.58999999999997</v>
      </c>
      <c r="E287" s="2">
        <v>259.99</v>
      </c>
      <c r="F287" s="2">
        <v>260.08999999999997</v>
      </c>
      <c r="G287" s="1">
        <v>102669592</v>
      </c>
      <c r="H287" s="30">
        <f>(testdata[[#This Row],[high]]+testdata[[#This Row],[low]])/2</f>
        <v>262.28999999999996</v>
      </c>
      <c r="I287" s="23">
        <f>(4*testdata[[#This Row],[price]]+3*H286+2*H285+H284)/10</f>
        <v>262.36399999999998</v>
      </c>
      <c r="J287" s="9">
        <f>(0.0962*testdata[[#This Row],[smooth]]+0.5769*I285-0.5769*I283-0.0962*I281)*(0.075*$Z286+0.54)</f>
        <v>11.783885347990061</v>
      </c>
      <c r="K287" s="14">
        <f t="shared" si="12"/>
        <v>0.91266489759394609</v>
      </c>
      <c r="L287" s="14">
        <f>(0.0962*testdata[[#This Row],[detrender]]+0.5769*J285-0.5769*J283-0.0962*J281)*(0.075*$Z286+0.54)</f>
        <v>29.596131708607942</v>
      </c>
      <c r="M287" s="9">
        <f>(0.0962*testdata[[#This Row],[I1]]+0.5769*K285-0.5769*K283-0.0962*K281)*(0.075*$Z286+0.54)</f>
        <v>11.434926742203841</v>
      </c>
      <c r="N287" s="9">
        <f>(0.0962*testdata[[#This Row],[Q1]]+0.5769*L285-0.5769*L283-0.0962*L281)*(0.075*$Z286+0.54)</f>
        <v>20.42885309435545</v>
      </c>
      <c r="O287" s="9">
        <f>testdata[[#This Row],[I1]]-testdata[[#This Row],[JQ]]</f>
        <v>-19.516188196761505</v>
      </c>
      <c r="P287" s="9">
        <f>testdata[[#This Row],[Q1]]+testdata[[#This Row],[jI]]</f>
        <v>41.031058450811784</v>
      </c>
      <c r="Q287" s="9">
        <f>0.2*testdata[[#This Row],[I2]]+0.8*Q286</f>
        <v>-36.563028212172227</v>
      </c>
      <c r="R287" s="9">
        <f>0.2*testdata[[#This Row],[Q2]]+0.8*R286</f>
        <v>7.572462823686485</v>
      </c>
      <c r="S287" s="9">
        <f>testdata[[#This Row],[I2'']]*Q286+testdata[[#This Row],[Q2'']]*R286</f>
        <v>1486.6772554833869</v>
      </c>
      <c r="T287" s="9">
        <f>testdata[[#This Row],[I2'']]*R286-testdata[[#This Row],[Q2'']]*Q286</f>
        <v>338.10853453306845</v>
      </c>
      <c r="U287" s="9">
        <f>0.2*testdata[[#This Row],[Re]]+0.8*U286</f>
        <v>867.60076336222778</v>
      </c>
      <c r="V287" s="9">
        <f>0.2*testdata[[#This Row],[Im]]+0.8*V286</f>
        <v>309.46486837601316</v>
      </c>
      <c r="W287" s="9">
        <f>IF(AND(testdata[[#This Row],[Re'']]&lt;&gt;0,testdata[[#This Row],[Im'']]&lt;&gt;0),2*PI()/ATAN(testdata[[#This Row],[Im'']]/testdata[[#This Row],[Re'']]),0)</f>
        <v>18.338501466527379</v>
      </c>
      <c r="X287" s="9">
        <f>IF(testdata[[#This Row],[pd-atan]]&gt;1.5*Z286,1.5*Z286,IF(testdata[[#This Row],[pd-atan]]&lt;0.67*Z286,0.67*Z286,testdata[[#This Row],[pd-atan]]))</f>
        <v>21.206980060682032</v>
      </c>
      <c r="Y287" s="9">
        <f>IF(testdata[[#This Row],[pd-limit1]]&lt;6,6,IF(testdata[[#This Row],[pd-limit1]]&gt;50,50,testdata[[#This Row],[pd-limit1]]))</f>
        <v>21.206980060682032</v>
      </c>
      <c r="Z287" s="14">
        <f>0.2*testdata[[#This Row],[pd-limit2]]+0.8*Z286</f>
        <v>29.563163248771666</v>
      </c>
      <c r="AA287" s="14">
        <f>0.33*testdata[[#This Row],[period]]+0.67*AA286</f>
        <v>33.236175671722151</v>
      </c>
      <c r="AB287" s="31">
        <f>TRUNC(testdata[[#This Row],[SmPd]]+0.5,0)</f>
        <v>33</v>
      </c>
      <c r="AC287" s="14">
        <f ca="1">IF(testdata[[#This Row],[PdInt]]&lt;=0,0,AVERAGE(OFFSET(testdata[[#This Row],[price]],0,0,-testdata[[#This Row],[PdInt]],1)))</f>
        <v>264.74272727272734</v>
      </c>
      <c r="AD287" s="14">
        <f ca="1">IF(testdata[[#This Row],[i]]&lt;11,testdata[[#This Row],[price]],(4*testdata[[#This Row],[iTrend]]+3*AC286+2*AC285+AC284)/10)</f>
        <v>264.29108188653453</v>
      </c>
      <c r="AE287" s="14">
        <f>(4*testdata[[#This Row],[price]]+3*H286+2*H285+H284)/10</f>
        <v>262.36399999999998</v>
      </c>
      <c r="AF287" t="str">
        <f ca="1">IF(OR(ROUND(testdata[[#This Row],[Trendline]],4)&lt;&gt;Table3[[#This Row],[Trendline]],ROUND(testdata[[#This Row],[SmPrice]],4)&lt;&gt;Table3[[#This Row],[SmPrice]]),"ERR","")</f>
        <v/>
      </c>
      <c r="AG287" s="3">
        <v>43152</v>
      </c>
      <c r="AH287" s="14">
        <v>33.236199999999997</v>
      </c>
      <c r="AI287" s="34">
        <v>33</v>
      </c>
      <c r="AJ287" s="14">
        <v>264.74270000000001</v>
      </c>
      <c r="AK287" s="14">
        <v>264.29109999999997</v>
      </c>
      <c r="AL287" s="14">
        <v>262.36399999999998</v>
      </c>
      <c r="AN287" s="38">
        <f t="shared" si="13"/>
        <v>0</v>
      </c>
      <c r="AO287" s="38">
        <f t="shared" si="14"/>
        <v>0</v>
      </c>
      <c r="AQ287" s="37">
        <v>43152</v>
      </c>
      <c r="AR287">
        <v>33</v>
      </c>
      <c r="AS287">
        <v>264.29108188653402</v>
      </c>
      <c r="AT287">
        <v>262.36399999999998</v>
      </c>
      <c r="AV287" s="37">
        <v>43152</v>
      </c>
      <c r="AW287">
        <v>33</v>
      </c>
      <c r="AX287">
        <v>264.29108188653402</v>
      </c>
      <c r="AY287">
        <v>262.36399999999998</v>
      </c>
      <c r="BA287" s="38">
        <f>AX287-Table3[[#This Row],[Trendline]]</f>
        <v>-1.8113465955593711E-5</v>
      </c>
      <c r="BB287" s="38">
        <f>AY287-Table3[[#This Row],[SmPrice]]</f>
        <v>0</v>
      </c>
    </row>
    <row r="288" spans="1:54" x14ac:dyDescent="0.35">
      <c r="A288" s="6">
        <v>286</v>
      </c>
      <c r="B288" s="3">
        <v>43153</v>
      </c>
      <c r="C288" s="2">
        <v>261.10000000000002</v>
      </c>
      <c r="D288" s="2">
        <v>262.98</v>
      </c>
      <c r="E288" s="2">
        <v>259.7</v>
      </c>
      <c r="F288" s="2">
        <v>260.43</v>
      </c>
      <c r="G288" s="1">
        <v>114742312</v>
      </c>
      <c r="H288" s="30">
        <f>(testdata[[#This Row],[high]]+testdata[[#This Row],[low]])/2</f>
        <v>261.34000000000003</v>
      </c>
      <c r="I288" s="23">
        <f>(4*testdata[[#This Row],[price]]+3*H287+2*H286+H285)/10</f>
        <v>262.00400000000002</v>
      </c>
      <c r="J288" s="9">
        <f>(0.0962*testdata[[#This Row],[smooth]]+0.5769*I286-0.5769*I284-0.0962*I282)*(0.075*$Z287+0.54)</f>
        <v>8.2816965142041674</v>
      </c>
      <c r="K288" s="14">
        <f t="shared" si="12"/>
        <v>5.5291642739704567</v>
      </c>
      <c r="L288" s="14">
        <f>(0.0962*testdata[[#This Row],[detrender]]+0.5769*J286-0.5769*J284-0.0962*J282)*(0.075*$Z287+0.54)</f>
        <v>22.082325468408712</v>
      </c>
      <c r="M288" s="9">
        <f>(0.0962*testdata[[#This Row],[I1]]+0.5769*K286-0.5769*K284-0.0962*K282)*(0.075*$Z287+0.54)</f>
        <v>18.767910583805797</v>
      </c>
      <c r="N288" s="9">
        <f>(0.0962*testdata[[#This Row],[Q1]]+0.5769*L286-0.5769*L284-0.0962*L282)*(0.075*$Z287+0.54)</f>
        <v>49.457911435956831</v>
      </c>
      <c r="O288" s="9">
        <f>testdata[[#This Row],[I1]]-testdata[[#This Row],[JQ]]</f>
        <v>-43.928747161986372</v>
      </c>
      <c r="P288" s="9">
        <f>testdata[[#This Row],[Q1]]+testdata[[#This Row],[jI]]</f>
        <v>40.850236052214512</v>
      </c>
      <c r="Q288" s="9">
        <f>0.2*testdata[[#This Row],[I2]]+0.8*Q287</f>
        <v>-38.036172002135061</v>
      </c>
      <c r="R288" s="9">
        <f>0.2*testdata[[#This Row],[Q2]]+0.8*R287</f>
        <v>14.228017469392091</v>
      </c>
      <c r="S288" s="9">
        <f>testdata[[#This Row],[I2'']]*Q287+testdata[[#This Row],[Q2'']]*R287</f>
        <v>1498.4587633388333</v>
      </c>
      <c r="T288" s="9">
        <f>testdata[[#This Row],[I2'']]*R287-testdata[[#This Row],[Q2'']]*Q287</f>
        <v>232.19190569514984</v>
      </c>
      <c r="U288" s="9">
        <f>0.2*testdata[[#This Row],[Re]]+0.8*U287</f>
        <v>993.7723633575489</v>
      </c>
      <c r="V288" s="9">
        <f>0.2*testdata[[#This Row],[Im]]+0.8*V287</f>
        <v>294.01027583984052</v>
      </c>
      <c r="W288" s="9">
        <f>IF(AND(testdata[[#This Row],[Re'']]&lt;&gt;0,testdata[[#This Row],[Im'']]&lt;&gt;0),2*PI()/ATAN(testdata[[#This Row],[Im'']]/testdata[[#This Row],[Re'']]),0)</f>
        <v>21.843340483696934</v>
      </c>
      <c r="X288" s="9">
        <f>IF(testdata[[#This Row],[pd-atan]]&gt;1.5*Z287,1.5*Z287,IF(testdata[[#This Row],[pd-atan]]&lt;0.67*Z287,0.67*Z287,testdata[[#This Row],[pd-atan]]))</f>
        <v>21.843340483696934</v>
      </c>
      <c r="Y288" s="9">
        <f>IF(testdata[[#This Row],[pd-limit1]]&lt;6,6,IF(testdata[[#This Row],[pd-limit1]]&gt;50,50,testdata[[#This Row],[pd-limit1]]))</f>
        <v>21.843340483696934</v>
      </c>
      <c r="Z288" s="14">
        <f>0.2*testdata[[#This Row],[pd-limit2]]+0.8*Z287</f>
        <v>28.019198695756721</v>
      </c>
      <c r="AA288" s="14">
        <f>0.33*testdata[[#This Row],[period]]+0.67*AA287</f>
        <v>31.51457326965356</v>
      </c>
      <c r="AB288" s="31">
        <f>TRUNC(testdata[[#This Row],[SmPd]]+0.5,0)</f>
        <v>32</v>
      </c>
      <c r="AC288" s="14">
        <f ca="1">IF(testdata[[#This Row],[PdInt]]&lt;=0,0,AVERAGE(OFFSET(testdata[[#This Row],[price]],0,0,-testdata[[#This Row],[PdInt]],1)))</f>
        <v>264.80656250000004</v>
      </c>
      <c r="AD288" s="14">
        <f ca="1">IF(testdata[[#This Row],[i]]&lt;11,testdata[[#This Row],[price]],(4*testdata[[#This Row],[iTrend]]+3*AC287+2*AC286+AC285)/10)</f>
        <v>264.58270032467539</v>
      </c>
      <c r="AE288" s="14">
        <f>(4*testdata[[#This Row],[price]]+3*H287+2*H286+H285)/10</f>
        <v>262.00400000000002</v>
      </c>
      <c r="AF288" t="str">
        <f ca="1">IF(OR(ROUND(testdata[[#This Row],[Trendline]],4)&lt;&gt;Table3[[#This Row],[Trendline]],ROUND(testdata[[#This Row],[SmPrice]],4)&lt;&gt;Table3[[#This Row],[SmPrice]]),"ERR","")</f>
        <v/>
      </c>
      <c r="AG288" s="3">
        <v>43153</v>
      </c>
      <c r="AH288" s="14">
        <v>31.514600000000002</v>
      </c>
      <c r="AI288" s="34">
        <v>32</v>
      </c>
      <c r="AJ288" s="14">
        <v>264.8066</v>
      </c>
      <c r="AK288" s="14">
        <v>264.58269999999999</v>
      </c>
      <c r="AL288" s="14">
        <v>262.00400000000002</v>
      </c>
      <c r="AN288" s="38">
        <f t="shared" si="13"/>
        <v>0</v>
      </c>
      <c r="AO288" s="38">
        <f t="shared" si="14"/>
        <v>0</v>
      </c>
      <c r="AQ288" s="37">
        <v>43153</v>
      </c>
      <c r="AR288">
        <v>32</v>
      </c>
      <c r="AS288">
        <v>264.58270032467499</v>
      </c>
      <c r="AT288">
        <v>262.00400000000002</v>
      </c>
      <c r="AV288" s="37">
        <v>43153</v>
      </c>
      <c r="AW288">
        <v>32</v>
      </c>
      <c r="AX288">
        <v>264.58270032467499</v>
      </c>
      <c r="AY288">
        <v>262.00400000000002</v>
      </c>
      <c r="BA288" s="38">
        <f>AX288-Table3[[#This Row],[Trendline]]</f>
        <v>3.2467499977428815E-7</v>
      </c>
      <c r="BB288" s="38">
        <f>AY288-Table3[[#This Row],[SmPrice]]</f>
        <v>0</v>
      </c>
    </row>
    <row r="289" spans="1:54" x14ac:dyDescent="0.35">
      <c r="A289" s="6">
        <v>287</v>
      </c>
      <c r="B289" s="3">
        <v>43154</v>
      </c>
      <c r="C289" s="2">
        <v>261.77</v>
      </c>
      <c r="D289" s="2">
        <v>264.58</v>
      </c>
      <c r="E289" s="2">
        <v>261.25</v>
      </c>
      <c r="F289" s="2">
        <v>264.58</v>
      </c>
      <c r="G289" s="1">
        <v>96318072</v>
      </c>
      <c r="H289" s="30">
        <f>(testdata[[#This Row],[high]]+testdata[[#This Row],[low]])/2</f>
        <v>262.91499999999996</v>
      </c>
      <c r="I289" s="23">
        <f>(4*testdata[[#This Row],[price]]+3*H288+2*H287+H286)/10</f>
        <v>262.23149999999998</v>
      </c>
      <c r="J289" s="9">
        <f>(0.0962*testdata[[#This Row],[smooth]]+0.5769*I287-0.5769*I285-0.0962*I283)*(0.075*$Z288+0.54)</f>
        <v>4.2547376233176779</v>
      </c>
      <c r="K289" s="14">
        <f t="shared" si="12"/>
        <v>10.706774737750914</v>
      </c>
      <c r="L289" s="14">
        <f>(0.0962*testdata[[#This Row],[detrender]]+0.5769*J287-0.5769*J285-0.0962*J283)*(0.075*$Z288+0.54)</f>
        <v>12.56661570701924</v>
      </c>
      <c r="M289" s="9">
        <f>(0.0962*testdata[[#This Row],[I1]]+0.5769*K287-0.5769*K285-0.0962*K283)*(0.075*$Z288+0.54)</f>
        <v>33.929736704971639</v>
      </c>
      <c r="N289" s="9">
        <f>(0.0962*testdata[[#This Row],[Q1]]+0.5769*L287-0.5769*L285-0.0962*L283)*(0.075*$Z288+0.54)</f>
        <v>9.309214338596119</v>
      </c>
      <c r="O289" s="9">
        <f>testdata[[#This Row],[I1]]-testdata[[#This Row],[JQ]]</f>
        <v>1.3975603991547949</v>
      </c>
      <c r="P289" s="9">
        <f>testdata[[#This Row],[Q1]]+testdata[[#This Row],[jI]]</f>
        <v>46.496352411990877</v>
      </c>
      <c r="Q289" s="9">
        <f>0.2*testdata[[#This Row],[I2]]+0.8*Q288</f>
        <v>-30.149425521877092</v>
      </c>
      <c r="R289" s="9">
        <f>0.2*testdata[[#This Row],[Q2]]+0.8*R288</f>
        <v>20.68168445791185</v>
      </c>
      <c r="S289" s="9">
        <f>testdata[[#This Row],[I2'']]*Q288+testdata[[#This Row],[Q2'']]*R288</f>
        <v>1441.0281026793023</v>
      </c>
      <c r="T289" s="9">
        <f>testdata[[#This Row],[I2'']]*R288-testdata[[#This Row],[Q2'']]*Q288</f>
        <v>357.68555431761547</v>
      </c>
      <c r="U289" s="9">
        <f>0.2*testdata[[#This Row],[Re]]+0.8*U288</f>
        <v>1083.2235112218996</v>
      </c>
      <c r="V289" s="9">
        <f>0.2*testdata[[#This Row],[Im]]+0.8*V288</f>
        <v>306.74533153539551</v>
      </c>
      <c r="W289" s="9">
        <f>IF(AND(testdata[[#This Row],[Re'']]&lt;&gt;0,testdata[[#This Row],[Im'']]&lt;&gt;0),2*PI()/ATAN(testdata[[#This Row],[Im'']]/testdata[[#This Row],[Re'']]),0)</f>
        <v>22.769004442018726</v>
      </c>
      <c r="X289" s="9">
        <f>IF(testdata[[#This Row],[pd-atan]]&gt;1.5*Z288,1.5*Z288,IF(testdata[[#This Row],[pd-atan]]&lt;0.67*Z288,0.67*Z288,testdata[[#This Row],[pd-atan]]))</f>
        <v>22.769004442018726</v>
      </c>
      <c r="Y289" s="9">
        <f>IF(testdata[[#This Row],[pd-limit1]]&lt;6,6,IF(testdata[[#This Row],[pd-limit1]]&gt;50,50,testdata[[#This Row],[pd-limit1]]))</f>
        <v>22.769004442018726</v>
      </c>
      <c r="Z289" s="14">
        <f>0.2*testdata[[#This Row],[pd-limit2]]+0.8*Z288</f>
        <v>26.969159845009123</v>
      </c>
      <c r="AA289" s="14">
        <f>0.33*testdata[[#This Row],[period]]+0.67*AA288</f>
        <v>30.014586839520899</v>
      </c>
      <c r="AB289" s="31">
        <f>TRUNC(testdata[[#This Row],[SmPd]]+0.5,0)</f>
        <v>30</v>
      </c>
      <c r="AC289" s="14">
        <f ca="1">IF(testdata[[#This Row],[PdInt]]&lt;=0,0,AVERAGE(OFFSET(testdata[[#This Row],[price]],0,0,-testdata[[#This Row],[PdInt]],1)))</f>
        <v>264.83866666666671</v>
      </c>
      <c r="AD289" s="14">
        <f ca="1">IF(testdata[[#This Row],[i]]&lt;11,testdata[[#This Row],[price]],(4*testdata[[#This Row],[iTrend]]+3*AC288+2*AC287+AC286)/10)</f>
        <v>264.75460944264074</v>
      </c>
      <c r="AE289" s="14">
        <f>(4*testdata[[#This Row],[price]]+3*H288+2*H287+H286)/10</f>
        <v>262.23149999999998</v>
      </c>
      <c r="AF289" t="str">
        <f ca="1">IF(OR(ROUND(testdata[[#This Row],[Trendline]],4)&lt;&gt;Table3[[#This Row],[Trendline]],ROUND(testdata[[#This Row],[SmPrice]],4)&lt;&gt;Table3[[#This Row],[SmPrice]]),"ERR","")</f>
        <v/>
      </c>
      <c r="AG289" s="3">
        <v>43154</v>
      </c>
      <c r="AH289" s="14">
        <v>30.014600000000002</v>
      </c>
      <c r="AI289" s="34">
        <v>30</v>
      </c>
      <c r="AJ289" s="14">
        <v>264.83870000000002</v>
      </c>
      <c r="AK289" s="14">
        <v>264.75459999999998</v>
      </c>
      <c r="AL289" s="14">
        <v>262.23149999999998</v>
      </c>
      <c r="AN289" s="38">
        <f t="shared" si="13"/>
        <v>0</v>
      </c>
      <c r="AO289" s="38">
        <f t="shared" si="14"/>
        <v>0</v>
      </c>
      <c r="AQ289" s="37">
        <v>43154</v>
      </c>
      <c r="AR289">
        <v>30</v>
      </c>
      <c r="AS289">
        <v>264.75460944264</v>
      </c>
      <c r="AT289">
        <v>262.23149999999998</v>
      </c>
      <c r="AV289" s="37">
        <v>43154</v>
      </c>
      <c r="AW289">
        <v>30</v>
      </c>
      <c r="AX289">
        <v>264.75460944264</v>
      </c>
      <c r="AY289">
        <v>262.23149999999998</v>
      </c>
      <c r="BA289" s="38">
        <f>AX289-Table3[[#This Row],[Trendline]]</f>
        <v>9.4426400210068095E-6</v>
      </c>
      <c r="BB289" s="38">
        <f>AY289-Table3[[#This Row],[SmPrice]]</f>
        <v>0</v>
      </c>
    </row>
    <row r="290" spans="1:54" x14ac:dyDescent="0.35">
      <c r="A290" s="6">
        <v>288</v>
      </c>
      <c r="B290" s="3">
        <v>43157</v>
      </c>
      <c r="C290" s="2">
        <v>265.76</v>
      </c>
      <c r="D290" s="2">
        <v>267.76</v>
      </c>
      <c r="E290" s="2">
        <v>265.11</v>
      </c>
      <c r="F290" s="2">
        <v>267.64999999999998</v>
      </c>
      <c r="G290" s="1">
        <v>89802808</v>
      </c>
      <c r="H290" s="30">
        <f>(testdata[[#This Row],[high]]+testdata[[#This Row],[low]])/2</f>
        <v>266.435</v>
      </c>
      <c r="I290" s="23">
        <f>(4*testdata[[#This Row],[price]]+3*H289+2*H288+H287)/10</f>
        <v>263.94549999999998</v>
      </c>
      <c r="J290" s="9">
        <f>(0.0962*testdata[[#This Row],[smooth]]+0.5769*I288-0.5769*I286-0.0962*I284)*(0.075*$Z289+0.54)</f>
        <v>1.688611220157491</v>
      </c>
      <c r="K290" s="14">
        <f t="shared" si="12"/>
        <v>11.783885347990061</v>
      </c>
      <c r="L290" s="14">
        <f>(0.0962*testdata[[#This Row],[detrender]]+0.5769*J288-0.5769*J286-0.0962*J284)*(0.075*$Z289+0.54)</f>
        <v>-3.3939754707295808</v>
      </c>
      <c r="M290" s="9">
        <f>(0.0962*testdata[[#This Row],[I1]]+0.5769*K288-0.5769*K286-0.0962*K284)*(0.075*$Z289+0.54)</f>
        <v>26.0287633568893</v>
      </c>
      <c r="N290" s="9">
        <f>(0.0962*testdata[[#This Row],[Q1]]+0.5769*L288-0.5769*L286-0.0962*L284)*(0.075*$Z289+0.54)</f>
        <v>-30.053334079245055</v>
      </c>
      <c r="O290" s="9">
        <f>testdata[[#This Row],[I1]]-testdata[[#This Row],[JQ]]</f>
        <v>41.837219427235112</v>
      </c>
      <c r="P290" s="9">
        <f>testdata[[#This Row],[Q1]]+testdata[[#This Row],[jI]]</f>
        <v>22.634787886159721</v>
      </c>
      <c r="Q290" s="9">
        <f>0.2*testdata[[#This Row],[I2]]+0.8*Q289</f>
        <v>-15.752096532054653</v>
      </c>
      <c r="R290" s="9">
        <f>0.2*testdata[[#This Row],[Q2]]+0.8*R289</f>
        <v>21.072305143561422</v>
      </c>
      <c r="S290" s="9">
        <f>testdata[[#This Row],[I2'']]*Q289+testdata[[#This Row],[Q2'']]*R289</f>
        <v>910.72742698657044</v>
      </c>
      <c r="T290" s="9">
        <f>testdata[[#This Row],[I2'']]*R289-testdata[[#This Row],[Q2'']]*Q289</f>
        <v>309.53800447355076</v>
      </c>
      <c r="U290" s="9">
        <f>0.2*testdata[[#This Row],[Re]]+0.8*U289</f>
        <v>1048.7242943748338</v>
      </c>
      <c r="V290" s="9">
        <f>0.2*testdata[[#This Row],[Im]]+0.8*V289</f>
        <v>307.30386612302658</v>
      </c>
      <c r="W290" s="9">
        <f>IF(AND(testdata[[#This Row],[Re'']]&lt;&gt;0,testdata[[#This Row],[Im'']]&lt;&gt;0),2*PI()/ATAN(testdata[[#This Row],[Im'']]/testdata[[#This Row],[Re'']]),0)</f>
        <v>22.042648685907015</v>
      </c>
      <c r="X290" s="9">
        <f>IF(testdata[[#This Row],[pd-atan]]&gt;1.5*Z289,1.5*Z289,IF(testdata[[#This Row],[pd-atan]]&lt;0.67*Z289,0.67*Z289,testdata[[#This Row],[pd-atan]]))</f>
        <v>22.042648685907015</v>
      </c>
      <c r="Y290" s="9">
        <f>IF(testdata[[#This Row],[pd-limit1]]&lt;6,6,IF(testdata[[#This Row],[pd-limit1]]&gt;50,50,testdata[[#This Row],[pd-limit1]]))</f>
        <v>22.042648685907015</v>
      </c>
      <c r="Z290" s="14">
        <f>0.2*testdata[[#This Row],[pd-limit2]]+0.8*Z289</f>
        <v>25.983857613188704</v>
      </c>
      <c r="AA290" s="14">
        <f>0.33*testdata[[#This Row],[period]]+0.67*AA289</f>
        <v>28.684446194831274</v>
      </c>
      <c r="AB290" s="31">
        <f>TRUNC(testdata[[#This Row],[SmPd]]+0.5,0)</f>
        <v>29</v>
      </c>
      <c r="AC290" s="14">
        <f ca="1">IF(testdata[[#This Row],[PdInt]]&lt;=0,0,AVERAGE(OFFSET(testdata[[#This Row],[price]],0,0,-testdata[[#This Row],[PdInt]],1)))</f>
        <v>264.81120689655177</v>
      </c>
      <c r="AD290" s="14">
        <f ca="1">IF(testdata[[#This Row],[i]]&lt;11,testdata[[#This Row],[price]],(4*testdata[[#This Row],[iTrend]]+3*AC289+2*AC288+AC287)/10)</f>
        <v>264.81166798589345</v>
      </c>
      <c r="AE290" s="14">
        <f>(4*testdata[[#This Row],[price]]+3*H289+2*H288+H287)/10</f>
        <v>263.94549999999998</v>
      </c>
      <c r="AF290" t="str">
        <f ca="1">IF(OR(ROUND(testdata[[#This Row],[Trendline]],4)&lt;&gt;Table3[[#This Row],[Trendline]],ROUND(testdata[[#This Row],[SmPrice]],4)&lt;&gt;Table3[[#This Row],[SmPrice]]),"ERR","")</f>
        <v/>
      </c>
      <c r="AG290" s="3">
        <v>43157</v>
      </c>
      <c r="AH290" s="14">
        <v>28.6844</v>
      </c>
      <c r="AI290" s="34">
        <v>29</v>
      </c>
      <c r="AJ290" s="14">
        <v>264.81119999999999</v>
      </c>
      <c r="AK290" s="14">
        <v>264.81169999999997</v>
      </c>
      <c r="AL290" s="14">
        <v>263.94549999999998</v>
      </c>
      <c r="AN290" s="38">
        <f t="shared" si="13"/>
        <v>0</v>
      </c>
      <c r="AO290" s="38">
        <f t="shared" si="14"/>
        <v>0</v>
      </c>
      <c r="AQ290" s="37">
        <v>43157</v>
      </c>
      <c r="AR290">
        <v>29</v>
      </c>
      <c r="AS290">
        <v>264.811667985893</v>
      </c>
      <c r="AT290">
        <v>263.94549999999998</v>
      </c>
      <c r="AV290" s="37">
        <v>43157</v>
      </c>
      <c r="AW290">
        <v>29</v>
      </c>
      <c r="AX290">
        <v>264.811667985893</v>
      </c>
      <c r="AY290">
        <v>263.94549999999998</v>
      </c>
      <c r="BA290" s="38">
        <f>AX290-Table3[[#This Row],[Trendline]]</f>
        <v>-3.2014106977840129E-5</v>
      </c>
      <c r="BB290" s="38">
        <f>AY290-Table3[[#This Row],[SmPrice]]</f>
        <v>0</v>
      </c>
    </row>
    <row r="291" spans="1:54" x14ac:dyDescent="0.35">
      <c r="A291" s="6">
        <v>289</v>
      </c>
      <c r="B291" s="3">
        <v>43158</v>
      </c>
      <c r="C291" s="2">
        <v>267.86</v>
      </c>
      <c r="D291" s="2">
        <v>268.63</v>
      </c>
      <c r="E291" s="2">
        <v>264.24</v>
      </c>
      <c r="F291" s="2">
        <v>264.31</v>
      </c>
      <c r="G291" s="1">
        <v>102893264</v>
      </c>
      <c r="H291" s="30">
        <f>(testdata[[#This Row],[high]]+testdata[[#This Row],[low]])/2</f>
        <v>266.435</v>
      </c>
      <c r="I291" s="23">
        <f>(4*testdata[[#This Row],[price]]+3*H290+2*H289+H288)/10</f>
        <v>265.22149999999999</v>
      </c>
      <c r="J291" s="9">
        <f>(0.0962*testdata[[#This Row],[smooth]]+0.5769*I289-0.5769*I287-0.0962*I285)*(0.075*$Z290+0.54)</f>
        <v>0.88440236032600938</v>
      </c>
      <c r="K291" s="14">
        <f t="shared" si="12"/>
        <v>8.2816965142041674</v>
      </c>
      <c r="L291" s="14">
        <f>(0.0962*testdata[[#This Row],[detrender]]+0.5769*J289-0.5769*J287-0.0962*J285)*(0.075*$Z290+0.54)</f>
        <v>-11.922275005611604</v>
      </c>
      <c r="M291" s="9">
        <f>(0.0962*testdata[[#This Row],[I1]]+0.5769*K289-0.5769*K287-0.0962*K285)*(0.075*$Z290+0.54)</f>
        <v>19.932363794517844</v>
      </c>
      <c r="N291" s="9">
        <f>(0.0962*testdata[[#This Row],[Q1]]+0.5769*L289-0.5769*L287-0.0962*L285)*(0.075*$Z290+0.54)</f>
        <v>-32.619989477251131</v>
      </c>
      <c r="O291" s="9">
        <f>testdata[[#This Row],[I1]]-testdata[[#This Row],[JQ]]</f>
        <v>40.901685991455295</v>
      </c>
      <c r="P291" s="9">
        <f>testdata[[#This Row],[Q1]]+testdata[[#This Row],[jI]]</f>
        <v>8.0100887889062395</v>
      </c>
      <c r="Q291" s="9">
        <f>0.2*testdata[[#This Row],[I2]]+0.8*Q290</f>
        <v>-4.4213400273526631</v>
      </c>
      <c r="R291" s="9">
        <f>0.2*testdata[[#This Row],[Q2]]+0.8*R290</f>
        <v>18.459861872630388</v>
      </c>
      <c r="S291" s="9">
        <f>testdata[[#This Row],[I2'']]*Q290+testdata[[#This Row],[Q2'']]*R290</f>
        <v>458.63721719995897</v>
      </c>
      <c r="T291" s="9">
        <f>testdata[[#This Row],[I2'']]*R290-testdata[[#This Row],[Q2'']]*Q290</f>
        <v>197.6136999862515</v>
      </c>
      <c r="U291" s="9">
        <f>0.2*testdata[[#This Row],[Re]]+0.8*U290</f>
        <v>930.70687893985894</v>
      </c>
      <c r="V291" s="9">
        <f>0.2*testdata[[#This Row],[Im]]+0.8*V290</f>
        <v>285.36583289567159</v>
      </c>
      <c r="W291" s="9">
        <f>IF(AND(testdata[[#This Row],[Re'']]&lt;&gt;0,testdata[[#This Row],[Im'']]&lt;&gt;0),2*PI()/ATAN(testdata[[#This Row],[Im'']]/testdata[[#This Row],[Re'']]),0)</f>
        <v>21.119120545198985</v>
      </c>
      <c r="X291" s="9">
        <f>IF(testdata[[#This Row],[pd-atan]]&gt;1.5*Z290,1.5*Z290,IF(testdata[[#This Row],[pd-atan]]&lt;0.67*Z290,0.67*Z290,testdata[[#This Row],[pd-atan]]))</f>
        <v>21.119120545198985</v>
      </c>
      <c r="Y291" s="9">
        <f>IF(testdata[[#This Row],[pd-limit1]]&lt;6,6,IF(testdata[[#This Row],[pd-limit1]]&gt;50,50,testdata[[#This Row],[pd-limit1]]))</f>
        <v>21.119120545198985</v>
      </c>
      <c r="Z291" s="14">
        <f>0.2*testdata[[#This Row],[pd-limit2]]+0.8*Z290</f>
        <v>25.010910199590761</v>
      </c>
      <c r="AA291" s="14">
        <f>0.33*testdata[[#This Row],[period]]+0.67*AA290</f>
        <v>27.472179316401906</v>
      </c>
      <c r="AB291" s="31">
        <f>TRUNC(testdata[[#This Row],[SmPd]]+0.5,0)</f>
        <v>27</v>
      </c>
      <c r="AC291" s="14">
        <f ca="1">IF(testdata[[#This Row],[PdInt]]&lt;=0,0,AVERAGE(OFFSET(testdata[[#This Row],[price]],0,0,-testdata[[#This Row],[PdInt]],1)))</f>
        <v>264.47648148148153</v>
      </c>
      <c r="AD291" s="14">
        <f ca="1">IF(testdata[[#This Row],[i]]&lt;11,testdata[[#This Row],[price]],(4*testdata[[#This Row],[iTrend]]+3*AC290+2*AC289+AC288)/10)</f>
        <v>264.68234424489145</v>
      </c>
      <c r="AE291" s="14">
        <f>(4*testdata[[#This Row],[price]]+3*H290+2*H289+H288)/10</f>
        <v>265.22149999999999</v>
      </c>
      <c r="AF291" t="str">
        <f ca="1">IF(OR(ROUND(testdata[[#This Row],[Trendline]],4)&lt;&gt;Table3[[#This Row],[Trendline]],ROUND(testdata[[#This Row],[SmPrice]],4)&lt;&gt;Table3[[#This Row],[SmPrice]]),"ERR","")</f>
        <v/>
      </c>
      <c r="AG291" s="3">
        <v>43158</v>
      </c>
      <c r="AH291" s="14">
        <v>27.472200000000001</v>
      </c>
      <c r="AI291" s="34">
        <v>27</v>
      </c>
      <c r="AJ291" s="14">
        <v>264.47649999999999</v>
      </c>
      <c r="AK291" s="14">
        <v>264.6823</v>
      </c>
      <c r="AL291" s="14">
        <v>265.22149999999999</v>
      </c>
      <c r="AN291" s="38">
        <f t="shared" si="13"/>
        <v>0</v>
      </c>
      <c r="AO291" s="38">
        <f t="shared" si="14"/>
        <v>0</v>
      </c>
      <c r="AQ291" s="37">
        <v>43158</v>
      </c>
      <c r="AR291">
        <v>27</v>
      </c>
      <c r="AS291">
        <v>264.682344244891</v>
      </c>
      <c r="AT291">
        <v>265.22149999999999</v>
      </c>
      <c r="AV291" s="37">
        <v>43158</v>
      </c>
      <c r="AW291">
        <v>27</v>
      </c>
      <c r="AX291">
        <v>264.682344244891</v>
      </c>
      <c r="AY291">
        <v>265.22149999999999</v>
      </c>
      <c r="BA291" s="38">
        <f>AX291-Table3[[#This Row],[Trendline]]</f>
        <v>4.4244891000744246E-5</v>
      </c>
      <c r="BB291" s="38">
        <f>AY291-Table3[[#This Row],[SmPrice]]</f>
        <v>0</v>
      </c>
    </row>
    <row r="292" spans="1:54" x14ac:dyDescent="0.35">
      <c r="A292" s="6">
        <v>290</v>
      </c>
      <c r="B292" s="3">
        <v>43159</v>
      </c>
      <c r="C292" s="2">
        <v>265.51</v>
      </c>
      <c r="D292" s="2">
        <v>266.01</v>
      </c>
      <c r="E292" s="2">
        <v>261.29000000000002</v>
      </c>
      <c r="F292" s="2">
        <v>261.63</v>
      </c>
      <c r="G292" s="1">
        <v>126575120</v>
      </c>
      <c r="H292" s="30">
        <f>(testdata[[#This Row],[high]]+testdata[[#This Row],[low]])/2</f>
        <v>263.64999999999998</v>
      </c>
      <c r="I292" s="23">
        <f>(4*testdata[[#This Row],[price]]+3*H291+2*H290+H289)/10</f>
        <v>264.96899999999999</v>
      </c>
      <c r="J292" s="9">
        <f>(0.0962*testdata[[#This Row],[smooth]]+0.5769*I290-0.5769*I288-0.0962*I286)*(0.075*$Z291+0.54)</f>
        <v>3.4319796740812798</v>
      </c>
      <c r="K292" s="14">
        <f t="shared" si="12"/>
        <v>4.2547376233176779</v>
      </c>
      <c r="L292" s="14">
        <f>(0.0962*testdata[[#This Row],[detrender]]+0.5769*J290-0.5769*J288-0.0962*J286)*(0.075*$Z291+0.54)</f>
        <v>-10.879362615057786</v>
      </c>
      <c r="M292" s="9">
        <f>(0.0962*testdata[[#This Row],[I1]]+0.5769*K290-0.5769*K288-0.0962*K286)*(0.075*$Z291+0.54)</f>
        <v>11.493223725738327</v>
      </c>
      <c r="N292" s="9">
        <f>(0.0962*testdata[[#This Row],[Q1]]+0.5769*L290-0.5769*L288-0.0962*L286)*(0.075*$Z291+0.54)</f>
        <v>-47.23384318013894</v>
      </c>
      <c r="O292" s="9">
        <f>testdata[[#This Row],[I1]]-testdata[[#This Row],[JQ]]</f>
        <v>51.488580803456621</v>
      </c>
      <c r="P292" s="9">
        <f>testdata[[#This Row],[Q1]]+testdata[[#This Row],[jI]]</f>
        <v>0.61386111068054028</v>
      </c>
      <c r="Q292" s="9">
        <f>0.2*testdata[[#This Row],[I2]]+0.8*Q291</f>
        <v>6.7606441388091945</v>
      </c>
      <c r="R292" s="9">
        <f>0.2*testdata[[#This Row],[Q2]]+0.8*R291</f>
        <v>14.890661720240418</v>
      </c>
      <c r="S292" s="9">
        <f>testdata[[#This Row],[I2'']]*Q291+testdata[[#This Row],[Q2'']]*R291</f>
        <v>244.98845200609864</v>
      </c>
      <c r="T292" s="9">
        <f>testdata[[#This Row],[I2'']]*R291-testdata[[#This Row],[Q2'']]*Q291</f>
        <v>190.63723566989296</v>
      </c>
      <c r="U292" s="9">
        <f>0.2*testdata[[#This Row],[Re]]+0.8*U291</f>
        <v>793.563193553107</v>
      </c>
      <c r="V292" s="9">
        <f>0.2*testdata[[#This Row],[Im]]+0.8*V291</f>
        <v>266.42011345051588</v>
      </c>
      <c r="W292" s="9">
        <f>IF(AND(testdata[[#This Row],[Re'']]&lt;&gt;0,testdata[[#This Row],[Im'']]&lt;&gt;0),2*PI()/ATAN(testdata[[#This Row],[Im'']]/testdata[[#This Row],[Re'']]),0)</f>
        <v>19.39836884035596</v>
      </c>
      <c r="X292" s="9">
        <f>IF(testdata[[#This Row],[pd-atan]]&gt;1.5*Z291,1.5*Z291,IF(testdata[[#This Row],[pd-atan]]&lt;0.67*Z291,0.67*Z291,testdata[[#This Row],[pd-atan]]))</f>
        <v>19.39836884035596</v>
      </c>
      <c r="Y292" s="9">
        <f>IF(testdata[[#This Row],[pd-limit1]]&lt;6,6,IF(testdata[[#This Row],[pd-limit1]]&gt;50,50,testdata[[#This Row],[pd-limit1]]))</f>
        <v>19.39836884035596</v>
      </c>
      <c r="Z292" s="14">
        <f>0.2*testdata[[#This Row],[pd-limit2]]+0.8*Z291</f>
        <v>23.888401927743804</v>
      </c>
      <c r="AA292" s="14">
        <f>0.33*testdata[[#This Row],[period]]+0.67*AA291</f>
        <v>26.289532778144732</v>
      </c>
      <c r="AB292" s="31">
        <f>TRUNC(testdata[[#This Row],[SmPd]]+0.5,0)</f>
        <v>26</v>
      </c>
      <c r="AC292" s="14">
        <f ca="1">IF(testdata[[#This Row],[PdInt]]&lt;=0,0,AVERAGE(OFFSET(testdata[[#This Row],[price]],0,0,-testdata[[#This Row],[PdInt]],1)))</f>
        <v>264.00115384615384</v>
      </c>
      <c r="AD292" s="14">
        <f ca="1">IF(testdata[[#This Row],[i]]&lt;11,testdata[[#This Row],[price]],(4*testdata[[#This Row],[iTrend]]+3*AC291+2*AC290+AC289)/10)</f>
        <v>264.38951402888301</v>
      </c>
      <c r="AE292" s="14">
        <f>(4*testdata[[#This Row],[price]]+3*H291+2*H290+H289)/10</f>
        <v>264.96899999999999</v>
      </c>
      <c r="AF292" t="str">
        <f ca="1">IF(OR(ROUND(testdata[[#This Row],[Trendline]],4)&lt;&gt;Table3[[#This Row],[Trendline]],ROUND(testdata[[#This Row],[SmPrice]],4)&lt;&gt;Table3[[#This Row],[SmPrice]]),"ERR","")</f>
        <v/>
      </c>
      <c r="AG292" s="3">
        <v>43159</v>
      </c>
      <c r="AH292" s="14">
        <v>26.2895</v>
      </c>
      <c r="AI292" s="34">
        <v>26</v>
      </c>
      <c r="AJ292" s="14">
        <v>264.00119999999998</v>
      </c>
      <c r="AK292" s="14">
        <v>264.3895</v>
      </c>
      <c r="AL292" s="14">
        <v>264.96899999999999</v>
      </c>
      <c r="AN292" s="38">
        <f t="shared" si="13"/>
        <v>0</v>
      </c>
      <c r="AO292" s="38">
        <f t="shared" si="14"/>
        <v>0</v>
      </c>
      <c r="AQ292" s="37">
        <v>43159</v>
      </c>
      <c r="AR292">
        <v>26</v>
      </c>
      <c r="AS292">
        <v>264.38951402888301</v>
      </c>
      <c r="AT292">
        <v>264.96899999999999</v>
      </c>
      <c r="AV292" s="37">
        <v>43159</v>
      </c>
      <c r="AW292">
        <v>26</v>
      </c>
      <c r="AX292">
        <v>264.38951402888301</v>
      </c>
      <c r="AY292">
        <v>264.96899999999999</v>
      </c>
      <c r="BA292" s="38">
        <f>AX292-Table3[[#This Row],[Trendline]]</f>
        <v>1.4028883015271276E-5</v>
      </c>
      <c r="BB292" s="38">
        <f>AY292-Table3[[#This Row],[SmPrice]]</f>
        <v>0</v>
      </c>
    </row>
    <row r="293" spans="1:54" x14ac:dyDescent="0.35">
      <c r="A293" s="6">
        <v>291</v>
      </c>
      <c r="B293" s="3">
        <v>43160</v>
      </c>
      <c r="C293" s="2">
        <v>261.39999999999998</v>
      </c>
      <c r="D293" s="2">
        <v>263.10000000000002</v>
      </c>
      <c r="E293" s="2">
        <v>256.19</v>
      </c>
      <c r="F293" s="2">
        <v>257.83</v>
      </c>
      <c r="G293" s="1">
        <v>183626128</v>
      </c>
      <c r="H293" s="30">
        <f>(testdata[[#This Row],[high]]+testdata[[#This Row],[low]])/2</f>
        <v>259.64499999999998</v>
      </c>
      <c r="I293" s="23">
        <f>(4*testdata[[#This Row],[price]]+3*H292+2*H291+H290)/10</f>
        <v>262.88349999999997</v>
      </c>
      <c r="J293" s="9">
        <f>(0.0962*testdata[[#This Row],[smooth]]+0.5769*I291-0.5769*I289-0.0962*I287)*(0.075*$Z292+0.54)</f>
        <v>4.1384264318644526</v>
      </c>
      <c r="K293" s="14">
        <f t="shared" si="12"/>
        <v>1.688611220157491</v>
      </c>
      <c r="L293" s="14">
        <f>(0.0962*testdata[[#This Row],[detrender]]+0.5769*J291-0.5769*J289-0.0962*J287)*(0.075*$Z292+0.54)</f>
        <v>-6.2483947029539015</v>
      </c>
      <c r="M293" s="9">
        <f>(0.0962*testdata[[#This Row],[I1]]+0.5769*K291-0.5769*K289-0.0962*K287)*(0.075*$Z292+0.54)</f>
        <v>-3.087968040348418</v>
      </c>
      <c r="N293" s="9">
        <f>(0.0962*testdata[[#This Row],[Q1]]+0.5769*L291-0.5769*L289-0.0962*L287)*(0.075*$Z292+0.54)</f>
        <v>-40.980462101336556</v>
      </c>
      <c r="O293" s="9">
        <f>testdata[[#This Row],[I1]]-testdata[[#This Row],[JQ]]</f>
        <v>42.669073321494047</v>
      </c>
      <c r="P293" s="9">
        <f>testdata[[#This Row],[Q1]]+testdata[[#This Row],[jI]]</f>
        <v>-9.3363627433023204</v>
      </c>
      <c r="Q293" s="9">
        <f>0.2*testdata[[#This Row],[I2]]+0.8*Q292</f>
        <v>13.942329975346166</v>
      </c>
      <c r="R293" s="9">
        <f>0.2*testdata[[#This Row],[Q2]]+0.8*R292</f>
        <v>10.045256827531871</v>
      </c>
      <c r="S293" s="9">
        <f>testdata[[#This Row],[I2'']]*Q292+testdata[[#This Row],[Q2'']]*R292</f>
        <v>243.83965274088035</v>
      </c>
      <c r="T293" s="9">
        <f>testdata[[#This Row],[I2'']]*R292-testdata[[#This Row],[Q2'']]*Q292</f>
        <v>139.69811256096131</v>
      </c>
      <c r="U293" s="9">
        <f>0.2*testdata[[#This Row],[Re]]+0.8*U292</f>
        <v>683.6184853906617</v>
      </c>
      <c r="V293" s="9">
        <f>0.2*testdata[[#This Row],[Im]]+0.8*V292</f>
        <v>241.07571327260499</v>
      </c>
      <c r="W293" s="9">
        <f>IF(AND(testdata[[#This Row],[Re'']]&lt;&gt;0,testdata[[#This Row],[Im'']]&lt;&gt;0),2*PI()/ATAN(testdata[[#This Row],[Im'']]/testdata[[#This Row],[Re'']]),0)</f>
        <v>18.5327961822567</v>
      </c>
      <c r="X293" s="9">
        <f>IF(testdata[[#This Row],[pd-atan]]&gt;1.5*Z292,1.5*Z292,IF(testdata[[#This Row],[pd-atan]]&lt;0.67*Z292,0.67*Z292,testdata[[#This Row],[pd-atan]]))</f>
        <v>18.5327961822567</v>
      </c>
      <c r="Y293" s="9">
        <f>IF(testdata[[#This Row],[pd-limit1]]&lt;6,6,IF(testdata[[#This Row],[pd-limit1]]&gt;50,50,testdata[[#This Row],[pd-limit1]]))</f>
        <v>18.5327961822567</v>
      </c>
      <c r="Z293" s="14">
        <f>0.2*testdata[[#This Row],[pd-limit2]]+0.8*Z292</f>
        <v>22.817280778646385</v>
      </c>
      <c r="AA293" s="14">
        <f>0.33*testdata[[#This Row],[period]]+0.67*AA292</f>
        <v>25.14368961831028</v>
      </c>
      <c r="AB293" s="31">
        <f>TRUNC(testdata[[#This Row],[SmPd]]+0.5,0)</f>
        <v>25</v>
      </c>
      <c r="AC293" s="14">
        <f ca="1">IF(testdata[[#This Row],[PdInt]]&lt;=0,0,AVERAGE(OFFSET(testdata[[#This Row],[price]],0,0,-testdata[[#This Row],[PdInt]],1)))</f>
        <v>263.13160000000005</v>
      </c>
      <c r="AD293" s="14">
        <f ca="1">IF(testdata[[#This Row],[i]]&lt;11,testdata[[#This Row],[price]],(4*testdata[[#This Row],[iTrend]]+3*AC292+2*AC291+AC290)/10)</f>
        <v>263.82940313979771</v>
      </c>
      <c r="AE293" s="14">
        <f>(4*testdata[[#This Row],[price]]+3*H292+2*H291+H290)/10</f>
        <v>262.88349999999997</v>
      </c>
      <c r="AF293" t="str">
        <f ca="1">IF(OR(ROUND(testdata[[#This Row],[Trendline]],4)&lt;&gt;Table3[[#This Row],[Trendline]],ROUND(testdata[[#This Row],[SmPrice]],4)&lt;&gt;Table3[[#This Row],[SmPrice]]),"ERR","")</f>
        <v/>
      </c>
      <c r="AG293" s="3">
        <v>43160</v>
      </c>
      <c r="AH293" s="14">
        <v>25.143699999999999</v>
      </c>
      <c r="AI293" s="34">
        <v>25</v>
      </c>
      <c r="AJ293" s="14">
        <v>263.13159999999999</v>
      </c>
      <c r="AK293" s="14">
        <v>263.82940000000002</v>
      </c>
      <c r="AL293" s="14">
        <v>262.88350000000003</v>
      </c>
      <c r="AN293" s="38">
        <f t="shared" si="13"/>
        <v>0</v>
      </c>
      <c r="AO293" s="38">
        <f t="shared" si="14"/>
        <v>0</v>
      </c>
      <c r="AQ293" s="37">
        <v>43160</v>
      </c>
      <c r="AR293">
        <v>25</v>
      </c>
      <c r="AS293">
        <v>263.82940313979702</v>
      </c>
      <c r="AT293">
        <v>262.883499999999</v>
      </c>
      <c r="AV293" s="37">
        <v>43160</v>
      </c>
      <c r="AW293">
        <v>25</v>
      </c>
      <c r="AX293">
        <v>263.82940313979702</v>
      </c>
      <c r="AY293">
        <v>262.883499999999</v>
      </c>
      <c r="BA293" s="38">
        <f>AX293-Table3[[#This Row],[Trendline]]</f>
        <v>3.1397970019497734E-6</v>
      </c>
      <c r="BB293" s="38">
        <f>AY293-Table3[[#This Row],[SmPrice]]</f>
        <v>-1.0231815394945443E-12</v>
      </c>
    </row>
    <row r="294" spans="1:54" x14ac:dyDescent="0.35">
      <c r="A294" s="6">
        <v>292</v>
      </c>
      <c r="B294" s="3">
        <v>43161</v>
      </c>
      <c r="C294" s="2">
        <v>256</v>
      </c>
      <c r="D294" s="2">
        <v>259.77</v>
      </c>
      <c r="E294" s="2">
        <v>255.05</v>
      </c>
      <c r="F294" s="2">
        <v>259.16000000000003</v>
      </c>
      <c r="G294" s="1">
        <v>144408144</v>
      </c>
      <c r="H294" s="30">
        <f>(testdata[[#This Row],[high]]+testdata[[#This Row],[low]])/2</f>
        <v>257.40999999999997</v>
      </c>
      <c r="I294" s="23">
        <f>(4*testdata[[#This Row],[price]]+3*H293+2*H292+H291)/10</f>
        <v>260.23099999999999</v>
      </c>
      <c r="J294" s="9">
        <f>(0.0962*testdata[[#This Row],[smooth]]+0.5769*I292-0.5769*I290-0.0962*I288)*(0.075*$Z293+0.54)</f>
        <v>0.94530694535802395</v>
      </c>
      <c r="K294" s="14">
        <f t="shared" si="12"/>
        <v>0.88440236032600938</v>
      </c>
      <c r="L294" s="14">
        <f>(0.0962*testdata[[#This Row],[detrender]]+0.5769*J292-0.5769*J290-0.0962*J288)*(0.075*$Z293+0.54)</f>
        <v>0.675363117952127</v>
      </c>
      <c r="M294" s="9">
        <f>(0.0962*testdata[[#This Row],[I1]]+0.5769*K292-0.5769*K290-0.0962*K288)*(0.075*$Z293+0.54)</f>
        <v>-10.784589318556101</v>
      </c>
      <c r="N294" s="9">
        <f>(0.0962*testdata[[#This Row],[Q1]]+0.5769*L292-0.5769*L290-0.0962*L288)*(0.075*$Z293+0.54)</f>
        <v>-14.358022481048845</v>
      </c>
      <c r="O294" s="9">
        <f>testdata[[#This Row],[I1]]-testdata[[#This Row],[JQ]]</f>
        <v>15.242424841374854</v>
      </c>
      <c r="P294" s="9">
        <f>testdata[[#This Row],[Q1]]+testdata[[#This Row],[jI]]</f>
        <v>-10.109226200603974</v>
      </c>
      <c r="Q294" s="9">
        <f>0.2*testdata[[#This Row],[I2]]+0.8*Q293</f>
        <v>14.202348948551904</v>
      </c>
      <c r="R294" s="9">
        <f>0.2*testdata[[#This Row],[Q2]]+0.8*R293</f>
        <v>6.0143602219047025</v>
      </c>
      <c r="S294" s="9">
        <f>testdata[[#This Row],[I2'']]*Q293+testdata[[#This Row],[Q2'']]*R293</f>
        <v>258.42962854804563</v>
      </c>
      <c r="T294" s="9">
        <f>testdata[[#This Row],[I2'']]*R293-testdata[[#This Row],[Q2'']]*Q293</f>
        <v>58.812047938039555</v>
      </c>
      <c r="U294" s="9">
        <f>0.2*testdata[[#This Row],[Re]]+0.8*U293</f>
        <v>598.58071402213852</v>
      </c>
      <c r="V294" s="9">
        <f>0.2*testdata[[#This Row],[Im]]+0.8*V293</f>
        <v>204.62298020569193</v>
      </c>
      <c r="W294" s="9">
        <f>IF(AND(testdata[[#This Row],[Re'']]&lt;&gt;0,testdata[[#This Row],[Im'']]&lt;&gt;0),2*PI()/ATAN(testdata[[#This Row],[Im'']]/testdata[[#This Row],[Re'']]),0)</f>
        <v>19.075034833600427</v>
      </c>
      <c r="X294" s="9">
        <f>IF(testdata[[#This Row],[pd-atan]]&gt;1.5*Z293,1.5*Z293,IF(testdata[[#This Row],[pd-atan]]&lt;0.67*Z293,0.67*Z293,testdata[[#This Row],[pd-atan]]))</f>
        <v>19.075034833600427</v>
      </c>
      <c r="Y294" s="9">
        <f>IF(testdata[[#This Row],[pd-limit1]]&lt;6,6,IF(testdata[[#This Row],[pd-limit1]]&gt;50,50,testdata[[#This Row],[pd-limit1]]))</f>
        <v>19.075034833600427</v>
      </c>
      <c r="Z294" s="14">
        <f>0.2*testdata[[#This Row],[pd-limit2]]+0.8*Z293</f>
        <v>22.068831589637192</v>
      </c>
      <c r="AA294" s="14">
        <f>0.33*testdata[[#This Row],[period]]+0.67*AA293</f>
        <v>24.128986468848161</v>
      </c>
      <c r="AB294" s="31">
        <f>TRUNC(testdata[[#This Row],[SmPd]]+0.5,0)</f>
        <v>24</v>
      </c>
      <c r="AC294" s="14">
        <f ca="1">IF(testdata[[#This Row],[PdInt]]&lt;=0,0,AVERAGE(OFFSET(testdata[[#This Row],[price]],0,0,-testdata[[#This Row],[PdInt]],1)))</f>
        <v>262.0014583333334</v>
      </c>
      <c r="AD294" s="14">
        <f ca="1">IF(testdata[[#This Row],[i]]&lt;11,testdata[[#This Row],[price]],(4*testdata[[#This Row],[iTrend]]+3*AC293+2*AC292+AC291)/10)</f>
        <v>262.98794225071231</v>
      </c>
      <c r="AE294" s="14">
        <f>(4*testdata[[#This Row],[price]]+3*H293+2*H292+H291)/10</f>
        <v>260.23099999999999</v>
      </c>
      <c r="AF294" t="str">
        <f ca="1">IF(OR(ROUND(testdata[[#This Row],[Trendline]],4)&lt;&gt;Table3[[#This Row],[Trendline]],ROUND(testdata[[#This Row],[SmPrice]],4)&lt;&gt;Table3[[#This Row],[SmPrice]]),"ERR","")</f>
        <v/>
      </c>
      <c r="AG294" s="3">
        <v>43161</v>
      </c>
      <c r="AH294" s="14">
        <v>24.129000000000001</v>
      </c>
      <c r="AI294" s="34">
        <v>24</v>
      </c>
      <c r="AJ294" s="14">
        <v>262.00150000000002</v>
      </c>
      <c r="AK294" s="14">
        <v>262.98790000000002</v>
      </c>
      <c r="AL294" s="14">
        <v>260.23099999999999</v>
      </c>
      <c r="AN294" s="38">
        <f t="shared" si="13"/>
        <v>0</v>
      </c>
      <c r="AO294" s="38">
        <f t="shared" si="14"/>
        <v>0</v>
      </c>
      <c r="AQ294" s="37">
        <v>43161</v>
      </c>
      <c r="AR294">
        <v>24</v>
      </c>
      <c r="AS294">
        <v>262.98794225071202</v>
      </c>
      <c r="AT294">
        <v>260.23099999999999</v>
      </c>
      <c r="AV294" s="37">
        <v>43161</v>
      </c>
      <c r="AW294">
        <v>24</v>
      </c>
      <c r="AX294">
        <v>262.98794225071202</v>
      </c>
      <c r="AY294">
        <v>260.23099999999999</v>
      </c>
      <c r="BA294" s="38">
        <f>AX294-Table3[[#This Row],[Trendline]]</f>
        <v>4.2250711999258783E-5</v>
      </c>
      <c r="BB294" s="38">
        <f>AY294-Table3[[#This Row],[SmPrice]]</f>
        <v>0</v>
      </c>
    </row>
    <row r="295" spans="1:54" x14ac:dyDescent="0.35">
      <c r="A295" s="6">
        <v>293</v>
      </c>
      <c r="B295" s="3">
        <v>43164</v>
      </c>
      <c r="C295" s="2">
        <v>257.86</v>
      </c>
      <c r="D295" s="2">
        <v>262.83</v>
      </c>
      <c r="E295" s="2">
        <v>257.74</v>
      </c>
      <c r="F295" s="2">
        <v>262.14999999999998</v>
      </c>
      <c r="G295" s="1">
        <v>101032888</v>
      </c>
      <c r="H295" s="30">
        <f>(testdata[[#This Row],[high]]+testdata[[#This Row],[low]])/2</f>
        <v>260.28499999999997</v>
      </c>
      <c r="I295" s="23">
        <f>(4*testdata[[#This Row],[price]]+3*H294+2*H293+H292)/10</f>
        <v>259.63099999999997</v>
      </c>
      <c r="J295" s="9">
        <f>(0.0962*testdata[[#This Row],[smooth]]+0.5769*I293-0.5769*I291-0.0962*I289)*(0.075*$Z294+0.54)</f>
        <v>-3.5099774804412163</v>
      </c>
      <c r="K295" s="14">
        <f t="shared" si="12"/>
        <v>3.4319796740812798</v>
      </c>
      <c r="L295" s="14">
        <f>(0.0962*testdata[[#This Row],[detrender]]+0.5769*J293-0.5769*J291-0.0962*J289)*(0.075*$Z294+0.54)</f>
        <v>2.4811500849164583</v>
      </c>
      <c r="M295" s="9">
        <f>(0.0962*testdata[[#This Row],[I1]]+0.5769*K293-0.5769*K291-0.0962*K289)*(0.075*$Z294+0.54)</f>
        <v>-9.885663901132693</v>
      </c>
      <c r="N295" s="9">
        <f>(0.0962*testdata[[#This Row],[Q1]]+0.5769*L293-0.5769*L291-0.0962*L289)*(0.075*$Z294+0.54)</f>
        <v>5.0555462022713558</v>
      </c>
      <c r="O295" s="9">
        <f>testdata[[#This Row],[I1]]-testdata[[#This Row],[JQ]]</f>
        <v>-1.623566528190076</v>
      </c>
      <c r="P295" s="9">
        <f>testdata[[#This Row],[Q1]]+testdata[[#This Row],[jI]]</f>
        <v>-7.4045138162162347</v>
      </c>
      <c r="Q295" s="9">
        <f>0.2*testdata[[#This Row],[I2]]+0.8*Q294</f>
        <v>11.03716585320351</v>
      </c>
      <c r="R295" s="9">
        <f>0.2*testdata[[#This Row],[Q2]]+0.8*R294</f>
        <v>3.3305854142805158</v>
      </c>
      <c r="S295" s="9">
        <f>testdata[[#This Row],[I2'']]*Q294+testdata[[#This Row],[Q2'']]*R294</f>
        <v>176.78502128154258</v>
      </c>
      <c r="T295" s="9">
        <f>testdata[[#This Row],[I2'']]*R294-testdata[[#This Row],[Q2'']]*Q294</f>
        <v>19.07935501350287</v>
      </c>
      <c r="U295" s="9">
        <f>0.2*testdata[[#This Row],[Re]]+0.8*U294</f>
        <v>514.22157547401935</v>
      </c>
      <c r="V295" s="9">
        <f>0.2*testdata[[#This Row],[Im]]+0.8*V294</f>
        <v>167.51425516725411</v>
      </c>
      <c r="W295" s="9">
        <f>IF(AND(testdata[[#This Row],[Re'']]&lt;&gt;0,testdata[[#This Row],[Im'']]&lt;&gt;0),2*PI()/ATAN(testdata[[#This Row],[Im'']]/testdata[[#This Row],[Re'']]),0)</f>
        <v>19.951581829702739</v>
      </c>
      <c r="X295" s="9">
        <f>IF(testdata[[#This Row],[pd-atan]]&gt;1.5*Z294,1.5*Z294,IF(testdata[[#This Row],[pd-atan]]&lt;0.67*Z294,0.67*Z294,testdata[[#This Row],[pd-atan]]))</f>
        <v>19.951581829702739</v>
      </c>
      <c r="Y295" s="9">
        <f>IF(testdata[[#This Row],[pd-limit1]]&lt;6,6,IF(testdata[[#This Row],[pd-limit1]]&gt;50,50,testdata[[#This Row],[pd-limit1]]))</f>
        <v>19.951581829702739</v>
      </c>
      <c r="Z295" s="14">
        <f>0.2*testdata[[#This Row],[pd-limit2]]+0.8*Z294</f>
        <v>21.645381637650303</v>
      </c>
      <c r="AA295" s="14">
        <f>0.33*testdata[[#This Row],[period]]+0.67*AA294</f>
        <v>23.309396874552867</v>
      </c>
      <c r="AB295" s="31">
        <f>TRUNC(testdata[[#This Row],[SmPd]]+0.5,0)</f>
        <v>23</v>
      </c>
      <c r="AC295" s="14">
        <f ca="1">IF(testdata[[#This Row],[PdInt]]&lt;=0,0,AVERAGE(OFFSET(testdata[[#This Row],[price]],0,0,-testdata[[#This Row],[PdInt]],1)))</f>
        <v>260.90586956521742</v>
      </c>
      <c r="AD295" s="14">
        <f ca="1">IF(testdata[[#This Row],[i]]&lt;11,testdata[[#This Row],[price]],(4*testdata[[#This Row],[iTrend]]+3*AC294+2*AC293+AC292)/10)</f>
        <v>261.9892207107024</v>
      </c>
      <c r="AE295" s="14">
        <f>(4*testdata[[#This Row],[price]]+3*H294+2*H293+H292)/10</f>
        <v>259.63099999999997</v>
      </c>
      <c r="AF295" t="str">
        <f ca="1">IF(OR(ROUND(testdata[[#This Row],[Trendline]],4)&lt;&gt;Table3[[#This Row],[Trendline]],ROUND(testdata[[#This Row],[SmPrice]],4)&lt;&gt;Table3[[#This Row],[SmPrice]]),"ERR","")</f>
        <v/>
      </c>
      <c r="AG295" s="3">
        <v>43164</v>
      </c>
      <c r="AH295" s="14">
        <v>23.3094</v>
      </c>
      <c r="AI295" s="34">
        <v>23</v>
      </c>
      <c r="AJ295" s="14">
        <v>260.90589999999997</v>
      </c>
      <c r="AK295" s="14">
        <v>261.98919999999998</v>
      </c>
      <c r="AL295" s="14">
        <v>259.63099999999997</v>
      </c>
      <c r="AN295" s="38">
        <f t="shared" si="13"/>
        <v>0</v>
      </c>
      <c r="AO295" s="38">
        <f t="shared" si="14"/>
        <v>0</v>
      </c>
      <c r="AQ295" s="37">
        <v>43164</v>
      </c>
      <c r="AR295">
        <v>23</v>
      </c>
      <c r="AS295">
        <v>261.989220710702</v>
      </c>
      <c r="AT295">
        <v>259.63099999999997</v>
      </c>
      <c r="AV295" s="37">
        <v>43164</v>
      </c>
      <c r="AW295">
        <v>23</v>
      </c>
      <c r="AX295">
        <v>261.989220710702</v>
      </c>
      <c r="AY295">
        <v>259.63099999999997</v>
      </c>
      <c r="BA295" s="38">
        <f>AX295-Table3[[#This Row],[Trendline]]</f>
        <v>2.0710702017368021E-5</v>
      </c>
      <c r="BB295" s="38">
        <f>AY295-Table3[[#This Row],[SmPrice]]</f>
        <v>0</v>
      </c>
    </row>
    <row r="296" spans="1:54" x14ac:dyDescent="0.35">
      <c r="A296" s="6">
        <v>294</v>
      </c>
      <c r="B296" s="3">
        <v>43165</v>
      </c>
      <c r="C296" s="2">
        <v>263.22000000000003</v>
      </c>
      <c r="D296" s="2">
        <v>263.31</v>
      </c>
      <c r="E296" s="2">
        <v>261.18</v>
      </c>
      <c r="F296" s="2">
        <v>262.82</v>
      </c>
      <c r="G296" s="1">
        <v>82245904</v>
      </c>
      <c r="H296" s="30">
        <f>(testdata[[#This Row],[high]]+testdata[[#This Row],[low]])/2</f>
        <v>262.245</v>
      </c>
      <c r="I296" s="23">
        <f>(4*testdata[[#This Row],[price]]+3*H295+2*H294+H293)/10</f>
        <v>260.42999999999995</v>
      </c>
      <c r="J296" s="9">
        <f>(0.0962*testdata[[#This Row],[smooth]]+0.5769*I294-0.5769*I292-0.0962*I290)*(0.075*$Z295+0.54)</f>
        <v>-6.6449879028800822</v>
      </c>
      <c r="K296" s="14">
        <f t="shared" si="12"/>
        <v>4.1384264318644526</v>
      </c>
      <c r="L296" s="14">
        <f>(0.0962*testdata[[#This Row],[detrender]]+0.5769*J294-0.5769*J292-0.0962*J290)*(0.075*$Z295+0.54)</f>
        <v>-4.8379194271720172</v>
      </c>
      <c r="M296" s="9">
        <f>(0.0962*testdata[[#This Row],[I1]]+0.5769*K294-0.5769*K292-0.0962*K290)*(0.075*$Z295+0.54)</f>
        <v>-5.7975746147482461</v>
      </c>
      <c r="N296" s="9">
        <f>(0.0962*testdata[[#This Row],[Q1]]+0.5769*L294-0.5769*L292-0.0962*L290)*(0.075*$Z295+0.54)</f>
        <v>14.120565445577496</v>
      </c>
      <c r="O296" s="9">
        <f>testdata[[#This Row],[I1]]-testdata[[#This Row],[JQ]]</f>
        <v>-9.9821390137130432</v>
      </c>
      <c r="P296" s="9">
        <f>testdata[[#This Row],[Q1]]+testdata[[#This Row],[jI]]</f>
        <v>-10.635494041920264</v>
      </c>
      <c r="Q296" s="9">
        <f>0.2*testdata[[#This Row],[I2]]+0.8*Q295</f>
        <v>6.833304879820199</v>
      </c>
      <c r="R296" s="9">
        <f>0.2*testdata[[#This Row],[Q2]]+0.8*R295</f>
        <v>0.5373695230403599</v>
      </c>
      <c r="S296" s="9">
        <f>testdata[[#This Row],[I2'']]*Q295+testdata[[#This Row],[Q2'']]*R295</f>
        <v>77.210074379597501</v>
      </c>
      <c r="T296" s="9">
        <f>testdata[[#This Row],[I2'']]*R295-testdata[[#This Row],[Q2'']]*Q295</f>
        <v>16.82786901380771</v>
      </c>
      <c r="U296" s="9">
        <f>0.2*testdata[[#This Row],[Re]]+0.8*U295</f>
        <v>426.81927525513498</v>
      </c>
      <c r="V296" s="9">
        <f>0.2*testdata[[#This Row],[Im]]+0.8*V295</f>
        <v>137.37697793656483</v>
      </c>
      <c r="W296" s="9">
        <f>IF(AND(testdata[[#This Row],[Re'']]&lt;&gt;0,testdata[[#This Row],[Im'']]&lt;&gt;0),2*PI()/ATAN(testdata[[#This Row],[Im'']]/testdata[[#This Row],[Re'']]),0)</f>
        <v>20.177785299760004</v>
      </c>
      <c r="X296" s="9">
        <f>IF(testdata[[#This Row],[pd-atan]]&gt;1.5*Z295,1.5*Z295,IF(testdata[[#This Row],[pd-atan]]&lt;0.67*Z295,0.67*Z295,testdata[[#This Row],[pd-atan]]))</f>
        <v>20.177785299760004</v>
      </c>
      <c r="Y296" s="9">
        <f>IF(testdata[[#This Row],[pd-limit1]]&lt;6,6,IF(testdata[[#This Row],[pd-limit1]]&gt;50,50,testdata[[#This Row],[pd-limit1]]))</f>
        <v>20.177785299760004</v>
      </c>
      <c r="Z296" s="14">
        <f>0.2*testdata[[#This Row],[pd-limit2]]+0.8*Z295</f>
        <v>21.351862370072244</v>
      </c>
      <c r="AA296" s="14">
        <f>0.33*testdata[[#This Row],[period]]+0.67*AA295</f>
        <v>22.663410488074263</v>
      </c>
      <c r="AB296" s="31">
        <f>TRUNC(testdata[[#This Row],[SmPd]]+0.5,0)</f>
        <v>23</v>
      </c>
      <c r="AC296" s="14">
        <f ca="1">IF(testdata[[#This Row],[PdInt]]&lt;=0,0,AVERAGE(OFFSET(testdata[[#This Row],[price]],0,0,-testdata[[#This Row],[PdInt]],1)))</f>
        <v>260.49956521739131</v>
      </c>
      <c r="AD296" s="14">
        <f ca="1">IF(testdata[[#This Row],[i]]&lt;11,testdata[[#This Row],[price]],(4*testdata[[#This Row],[iTrend]]+3*AC295+2*AC294+AC293)/10)</f>
        <v>261.18503862318846</v>
      </c>
      <c r="AE296" s="14">
        <f>(4*testdata[[#This Row],[price]]+3*H295+2*H294+H293)/10</f>
        <v>260.42999999999995</v>
      </c>
      <c r="AF296" t="str">
        <f ca="1">IF(OR(ROUND(testdata[[#This Row],[Trendline]],4)&lt;&gt;Table3[[#This Row],[Trendline]],ROUND(testdata[[#This Row],[SmPrice]],4)&lt;&gt;Table3[[#This Row],[SmPrice]]),"ERR","")</f>
        <v/>
      </c>
      <c r="AG296" s="3">
        <v>43165</v>
      </c>
      <c r="AH296" s="14">
        <v>22.663399999999999</v>
      </c>
      <c r="AI296" s="34">
        <v>23</v>
      </c>
      <c r="AJ296" s="14">
        <v>260.49959999999999</v>
      </c>
      <c r="AK296" s="14">
        <v>261.185</v>
      </c>
      <c r="AL296" s="14">
        <v>260.43</v>
      </c>
      <c r="AN296" s="38">
        <f t="shared" si="13"/>
        <v>0</v>
      </c>
      <c r="AO296" s="38">
        <f t="shared" si="14"/>
        <v>0</v>
      </c>
      <c r="AQ296" s="37">
        <v>43165</v>
      </c>
      <c r="AR296">
        <v>23</v>
      </c>
      <c r="AS296">
        <v>261.18503862318801</v>
      </c>
      <c r="AT296">
        <v>260.43</v>
      </c>
      <c r="AV296" s="37">
        <v>43165</v>
      </c>
      <c r="AW296">
        <v>23</v>
      </c>
      <c r="AX296">
        <v>261.18503862318801</v>
      </c>
      <c r="AY296">
        <v>260.43</v>
      </c>
      <c r="BA296" s="38">
        <f>AX296-Table3[[#This Row],[Trendline]]</f>
        <v>3.8623188004294207E-5</v>
      </c>
      <c r="BB296" s="38">
        <f>AY296-Table3[[#This Row],[SmPrice]]</f>
        <v>0</v>
      </c>
    </row>
    <row r="297" spans="1:54" x14ac:dyDescent="0.35">
      <c r="A297" s="6">
        <v>295</v>
      </c>
      <c r="B297" s="3">
        <v>43166</v>
      </c>
      <c r="C297" s="2">
        <v>260.45</v>
      </c>
      <c r="D297" s="2">
        <v>263.11</v>
      </c>
      <c r="E297" s="2">
        <v>260.24</v>
      </c>
      <c r="F297" s="2">
        <v>262.72000000000003</v>
      </c>
      <c r="G297" s="1">
        <v>90396808</v>
      </c>
      <c r="H297" s="30">
        <f>(testdata[[#This Row],[high]]+testdata[[#This Row],[low]])/2</f>
        <v>261.67500000000001</v>
      </c>
      <c r="I297" s="23">
        <f>(4*testdata[[#This Row],[price]]+3*H296+2*H295+H294)/10</f>
        <v>261.14150000000001</v>
      </c>
      <c r="J297" s="9">
        <f>(0.0962*testdata[[#This Row],[smooth]]+0.5769*I295-0.5769*I293-0.0962*I291)*(0.075*$Z296+0.54)</f>
        <v>-4.8585203437886015</v>
      </c>
      <c r="K297" s="14">
        <f t="shared" si="12"/>
        <v>0.94530694535802395</v>
      </c>
      <c r="L297" s="14">
        <f>(0.0962*testdata[[#This Row],[detrender]]+0.5769*J295-0.5769*J293-0.0962*J291)*(0.075*$Z296+0.54)</f>
        <v>-10.631642954159361</v>
      </c>
      <c r="M297" s="9">
        <f>(0.0962*testdata[[#This Row],[I1]]+0.5769*K295-0.5769*K293-0.0962*K291)*(0.075*$Z296+0.54)</f>
        <v>0.64239245839048142</v>
      </c>
      <c r="N297" s="9">
        <f>(0.0962*testdata[[#This Row],[Q1]]+0.5769*L295-0.5769*L293-0.0962*L291)*(0.075*$Z296+0.54)</f>
        <v>11.050070091029289</v>
      </c>
      <c r="O297" s="9">
        <f>testdata[[#This Row],[I1]]-testdata[[#This Row],[JQ]]</f>
        <v>-10.104763145671265</v>
      </c>
      <c r="P297" s="9">
        <f>testdata[[#This Row],[Q1]]+testdata[[#This Row],[jI]]</f>
        <v>-9.9892504957688786</v>
      </c>
      <c r="Q297" s="9">
        <f>0.2*testdata[[#This Row],[I2]]+0.8*Q296</f>
        <v>3.4456912747219062</v>
      </c>
      <c r="R297" s="9">
        <f>0.2*testdata[[#This Row],[Q2]]+0.8*R296</f>
        <v>-1.5679544807214878</v>
      </c>
      <c r="S297" s="9">
        <f>testdata[[#This Row],[I2'']]*Q296+testdata[[#This Row],[Q2'']]*R296</f>
        <v>22.702888050456782</v>
      </c>
      <c r="T297" s="9">
        <f>testdata[[#This Row],[I2'']]*R296-testdata[[#This Row],[Q2'']]*Q296</f>
        <v>12.565920481291728</v>
      </c>
      <c r="U297" s="9">
        <f>0.2*testdata[[#This Row],[Re]]+0.8*U296</f>
        <v>345.99599781419937</v>
      </c>
      <c r="V297" s="9">
        <f>0.2*testdata[[#This Row],[Im]]+0.8*V296</f>
        <v>112.41476644551021</v>
      </c>
      <c r="W297" s="9">
        <f>IF(AND(testdata[[#This Row],[Re'']]&lt;&gt;0,testdata[[#This Row],[Im'']]&lt;&gt;0),2*PI()/ATAN(testdata[[#This Row],[Im'']]/testdata[[#This Row],[Re'']]),0)</f>
        <v>20.001023256306812</v>
      </c>
      <c r="X297" s="9">
        <f>IF(testdata[[#This Row],[pd-atan]]&gt;1.5*Z296,1.5*Z296,IF(testdata[[#This Row],[pd-atan]]&lt;0.67*Z296,0.67*Z296,testdata[[#This Row],[pd-atan]]))</f>
        <v>20.001023256306812</v>
      </c>
      <c r="Y297" s="9">
        <f>IF(testdata[[#This Row],[pd-limit1]]&lt;6,6,IF(testdata[[#This Row],[pd-limit1]]&gt;50,50,testdata[[#This Row],[pd-limit1]]))</f>
        <v>20.001023256306812</v>
      </c>
      <c r="Z297" s="14">
        <f>0.2*testdata[[#This Row],[pd-limit2]]+0.8*Z296</f>
        <v>21.081694547319159</v>
      </c>
      <c r="AA297" s="14">
        <f>0.33*testdata[[#This Row],[period]]+0.67*AA296</f>
        <v>22.14144422762508</v>
      </c>
      <c r="AB297" s="31">
        <f>TRUNC(testdata[[#This Row],[SmPd]]+0.5,0)</f>
        <v>22</v>
      </c>
      <c r="AC297" s="14">
        <f ca="1">IF(testdata[[#This Row],[PdInt]]&lt;=0,0,AVERAGE(OFFSET(testdata[[#This Row],[price]],0,0,-testdata[[#This Row],[PdInt]],1)))</f>
        <v>259.73250000000002</v>
      </c>
      <c r="AD297" s="14">
        <f ca="1">IF(testdata[[#This Row],[i]]&lt;11,testdata[[#This Row],[price]],(4*testdata[[#This Row],[iTrend]]+3*AC296+2*AC295+AC294)/10)</f>
        <v>260.4241893115942</v>
      </c>
      <c r="AE297" s="14">
        <f>(4*testdata[[#This Row],[price]]+3*H296+2*H295+H294)/10</f>
        <v>261.14150000000001</v>
      </c>
      <c r="AF297" t="str">
        <f ca="1">IF(OR(ROUND(testdata[[#This Row],[Trendline]],4)&lt;&gt;Table3[[#This Row],[Trendline]],ROUND(testdata[[#This Row],[SmPrice]],4)&lt;&gt;Table3[[#This Row],[SmPrice]]),"ERR","")</f>
        <v/>
      </c>
      <c r="AG297" s="3">
        <v>43166</v>
      </c>
      <c r="AH297" s="14">
        <v>22.141400000000001</v>
      </c>
      <c r="AI297" s="34">
        <v>22</v>
      </c>
      <c r="AJ297" s="14">
        <v>259.73250000000002</v>
      </c>
      <c r="AK297" s="14">
        <v>260.42419999999998</v>
      </c>
      <c r="AL297" s="14">
        <v>261.14150000000001</v>
      </c>
      <c r="AN297" s="38">
        <f t="shared" si="13"/>
        <v>0</v>
      </c>
      <c r="AO297" s="38">
        <f t="shared" si="14"/>
        <v>0</v>
      </c>
      <c r="AQ297" s="37">
        <v>43166</v>
      </c>
      <c r="AR297">
        <v>22</v>
      </c>
      <c r="AS297">
        <v>260.42418931159398</v>
      </c>
      <c r="AT297">
        <v>261.14150000000001</v>
      </c>
      <c r="AV297" s="37">
        <v>43166</v>
      </c>
      <c r="AW297">
        <v>22</v>
      </c>
      <c r="AX297">
        <v>260.42418931159398</v>
      </c>
      <c r="AY297">
        <v>261.14150000000001</v>
      </c>
      <c r="BA297" s="38">
        <f>AX297-Table3[[#This Row],[Trendline]]</f>
        <v>-1.0688406007375306E-5</v>
      </c>
      <c r="BB297" s="38">
        <f>AY297-Table3[[#This Row],[SmPrice]]</f>
        <v>0</v>
      </c>
    </row>
    <row r="298" spans="1:54" x14ac:dyDescent="0.35">
      <c r="A298" s="6">
        <v>296</v>
      </c>
      <c r="B298" s="3">
        <v>43167</v>
      </c>
      <c r="C298" s="2">
        <v>263.45999999999998</v>
      </c>
      <c r="D298" s="2">
        <v>264.13</v>
      </c>
      <c r="E298" s="2">
        <v>262.37</v>
      </c>
      <c r="F298" s="2">
        <v>263.99</v>
      </c>
      <c r="G298" s="1">
        <v>69462520</v>
      </c>
      <c r="H298" s="30">
        <f>(testdata[[#This Row],[high]]+testdata[[#This Row],[low]])/2</f>
        <v>263.25</v>
      </c>
      <c r="I298" s="23">
        <f>(4*testdata[[#This Row],[price]]+3*H297+2*H296+H295)/10</f>
        <v>262.28000000000003</v>
      </c>
      <c r="J298" s="9">
        <f>(0.0962*testdata[[#This Row],[smooth]]+0.5769*I296-0.5769*I294-0.0962*I292)*(0.075*$Z297+0.54)</f>
        <v>-0.30518500839498208</v>
      </c>
      <c r="K298" s="14">
        <f t="shared" si="12"/>
        <v>-3.5099774804412163</v>
      </c>
      <c r="L298" s="14">
        <f>(0.0962*testdata[[#This Row],[detrender]]+0.5769*J296-0.5769*J294-0.0962*J292)*(0.075*$Z297+0.54)</f>
        <v>-10.050656000671832</v>
      </c>
      <c r="M298" s="9">
        <f>(0.0962*testdata[[#This Row],[I1]]+0.5769*K296-0.5769*K294-0.0962*K292)*(0.075*$Z297+0.54)</f>
        <v>2.3974694245228014</v>
      </c>
      <c r="N298" s="9">
        <f>(0.0962*testdata[[#This Row],[Q1]]+0.5769*L296-0.5769*L294-0.0962*L292)*(0.075*$Z297+0.54)</f>
        <v>-6.5773841694633246</v>
      </c>
      <c r="O298" s="9">
        <f>testdata[[#This Row],[I1]]-testdata[[#This Row],[JQ]]</f>
        <v>3.0674066890221083</v>
      </c>
      <c r="P298" s="9">
        <f>testdata[[#This Row],[Q1]]+testdata[[#This Row],[jI]]</f>
        <v>-7.6531865761490305</v>
      </c>
      <c r="Q298" s="9">
        <f>0.2*testdata[[#This Row],[I2]]+0.8*Q297</f>
        <v>3.3700343575819467</v>
      </c>
      <c r="R298" s="9">
        <f>0.2*testdata[[#This Row],[Q2]]+0.8*R297</f>
        <v>-2.7850008998069966</v>
      </c>
      <c r="S298" s="9">
        <f>testdata[[#This Row],[I2'']]*Q297+testdata[[#This Row],[Q2'']]*R297</f>
        <v>15.978852621098913</v>
      </c>
      <c r="T298" s="9">
        <f>testdata[[#This Row],[I2'']]*R297-testdata[[#This Row],[Q2'']]*Q297</f>
        <v>4.3121928294016518</v>
      </c>
      <c r="U298" s="9">
        <f>0.2*testdata[[#This Row],[Re]]+0.8*U297</f>
        <v>279.99256877557929</v>
      </c>
      <c r="V298" s="9">
        <f>0.2*testdata[[#This Row],[Im]]+0.8*V297</f>
        <v>90.794251722288493</v>
      </c>
      <c r="W298" s="9">
        <f>IF(AND(testdata[[#This Row],[Re'']]&lt;&gt;0,testdata[[#This Row],[Im'']]&lt;&gt;0),2*PI()/ATAN(testdata[[#This Row],[Im'']]/testdata[[#This Row],[Re'']]),0)</f>
        <v>20.037269411360114</v>
      </c>
      <c r="X298" s="9">
        <f>IF(testdata[[#This Row],[pd-atan]]&gt;1.5*Z297,1.5*Z297,IF(testdata[[#This Row],[pd-atan]]&lt;0.67*Z297,0.67*Z297,testdata[[#This Row],[pd-atan]]))</f>
        <v>20.037269411360114</v>
      </c>
      <c r="Y298" s="9">
        <f>IF(testdata[[#This Row],[pd-limit1]]&lt;6,6,IF(testdata[[#This Row],[pd-limit1]]&gt;50,50,testdata[[#This Row],[pd-limit1]]))</f>
        <v>20.037269411360114</v>
      </c>
      <c r="Z298" s="14">
        <f>0.2*testdata[[#This Row],[pd-limit2]]+0.8*Z297</f>
        <v>20.872809520127351</v>
      </c>
      <c r="AA298" s="14">
        <f>0.33*testdata[[#This Row],[period]]+0.67*AA297</f>
        <v>21.722794774150831</v>
      </c>
      <c r="AB298" s="31">
        <f>TRUNC(testdata[[#This Row],[SmPd]]+0.5,0)</f>
        <v>22</v>
      </c>
      <c r="AC298" s="14">
        <f ca="1">IF(testdata[[#This Row],[PdInt]]&lt;=0,0,AVERAGE(OFFSET(testdata[[#This Row],[price]],0,0,-testdata[[#This Row],[PdInt]],1)))</f>
        <v>259.89659090909083</v>
      </c>
      <c r="AD298" s="14">
        <f ca="1">IF(testdata[[#This Row],[i]]&lt;11,testdata[[#This Row],[price]],(4*testdata[[#This Row],[iTrend]]+3*AC297+2*AC296+AC295)/10)</f>
        <v>260.06888636363635</v>
      </c>
      <c r="AE298" s="14">
        <f>(4*testdata[[#This Row],[price]]+3*H297+2*H296+H295)/10</f>
        <v>262.28000000000003</v>
      </c>
      <c r="AF298" t="str">
        <f ca="1">IF(OR(ROUND(testdata[[#This Row],[Trendline]],4)&lt;&gt;Table3[[#This Row],[Trendline]],ROUND(testdata[[#This Row],[SmPrice]],4)&lt;&gt;Table3[[#This Row],[SmPrice]]),"ERR","")</f>
        <v/>
      </c>
      <c r="AG298" s="3">
        <v>43167</v>
      </c>
      <c r="AH298" s="14">
        <v>21.722799999999999</v>
      </c>
      <c r="AI298" s="34">
        <v>22</v>
      </c>
      <c r="AJ298" s="14">
        <v>259.89659999999998</v>
      </c>
      <c r="AK298" s="14">
        <v>260.06889999999999</v>
      </c>
      <c r="AL298" s="14">
        <v>262.27999999999997</v>
      </c>
      <c r="AN298" s="38">
        <f t="shared" si="13"/>
        <v>0</v>
      </c>
      <c r="AO298" s="38">
        <f t="shared" si="14"/>
        <v>0</v>
      </c>
      <c r="AQ298" s="37">
        <v>43167</v>
      </c>
      <c r="AR298">
        <v>22</v>
      </c>
      <c r="AS298">
        <v>260.06888636363601</v>
      </c>
      <c r="AT298">
        <v>262.27999999999997</v>
      </c>
      <c r="AV298" s="37">
        <v>43167</v>
      </c>
      <c r="AW298">
        <v>22</v>
      </c>
      <c r="AX298">
        <v>260.06888636363601</v>
      </c>
      <c r="AY298">
        <v>262.27999999999997</v>
      </c>
      <c r="BA298" s="38">
        <f>AX298-Table3[[#This Row],[Trendline]]</f>
        <v>-1.3636363974001142E-5</v>
      </c>
      <c r="BB298" s="38">
        <f>AY298-Table3[[#This Row],[SmPrice]]</f>
        <v>0</v>
      </c>
    </row>
    <row r="299" spans="1:54" x14ac:dyDescent="0.35">
      <c r="A299" s="6">
        <v>297</v>
      </c>
      <c r="B299" s="3">
        <v>43168</v>
      </c>
      <c r="C299" s="2">
        <v>265.52999999999997</v>
      </c>
      <c r="D299" s="2">
        <v>268.58999999999997</v>
      </c>
      <c r="E299" s="2">
        <v>265.19</v>
      </c>
      <c r="F299" s="2">
        <v>268.58999999999997</v>
      </c>
      <c r="G299" s="1">
        <v>117975584</v>
      </c>
      <c r="H299" s="30">
        <f>(testdata[[#This Row],[high]]+testdata[[#This Row],[low]])/2</f>
        <v>266.89</v>
      </c>
      <c r="I299" s="23">
        <f>(4*testdata[[#This Row],[price]]+3*H298+2*H297+H296)/10</f>
        <v>264.29049999999995</v>
      </c>
      <c r="J299" s="9">
        <f>(0.0962*testdata[[#This Row],[smooth]]+0.5769*I297-0.5769*I295-0.0962*I293)*(0.075*$Z298+0.54)</f>
        <v>2.1196954180778986</v>
      </c>
      <c r="K299" s="14">
        <f t="shared" si="12"/>
        <v>-6.6449879028800822</v>
      </c>
      <c r="L299" s="14">
        <f>(0.0962*testdata[[#This Row],[detrender]]+0.5769*J297-0.5769*J295-0.0962*J293)*(0.075*$Z298+0.54)</f>
        <v>-2.0468790096706453</v>
      </c>
      <c r="M299" s="9">
        <f>(0.0962*testdata[[#This Row],[I1]]+0.5769*K297-0.5769*K295-0.0962*K293)*(0.075*$Z298+0.54)</f>
        <v>-4.7083443810448005</v>
      </c>
      <c r="N299" s="9">
        <f>(0.0962*testdata[[#This Row],[Q1]]+0.5769*L297-0.5769*L295-0.0962*L293)*(0.075*$Z298+0.54)</f>
        <v>-15.076329342618838</v>
      </c>
      <c r="O299" s="9">
        <f>testdata[[#This Row],[I1]]-testdata[[#This Row],[JQ]]</f>
        <v>8.4313414397387554</v>
      </c>
      <c r="P299" s="9">
        <f>testdata[[#This Row],[Q1]]+testdata[[#This Row],[jI]]</f>
        <v>-6.7552233907154458</v>
      </c>
      <c r="Q299" s="9">
        <f>0.2*testdata[[#This Row],[I2]]+0.8*Q298</f>
        <v>4.3822957740133086</v>
      </c>
      <c r="R299" s="9">
        <f>0.2*testdata[[#This Row],[Q2]]+0.8*R298</f>
        <v>-3.5790453979886867</v>
      </c>
      <c r="S299" s="9">
        <f>testdata[[#This Row],[I2'']]*Q298+testdata[[#This Row],[Q2'']]*R298</f>
        <v>24.736131977359605</v>
      </c>
      <c r="T299" s="9">
        <f>testdata[[#This Row],[I2'']]*R298-testdata[[#This Row],[Q2'']]*Q298</f>
        <v>-0.14319171528003594</v>
      </c>
      <c r="U299" s="9">
        <f>0.2*testdata[[#This Row],[Re]]+0.8*U298</f>
        <v>228.94128141593535</v>
      </c>
      <c r="V299" s="9">
        <f>0.2*testdata[[#This Row],[Im]]+0.8*V298</f>
        <v>72.606763034774801</v>
      </c>
      <c r="W299" s="9">
        <f>IF(AND(testdata[[#This Row],[Re'']]&lt;&gt;0,testdata[[#This Row],[Im'']]&lt;&gt;0),2*PI()/ATAN(testdata[[#This Row],[Im'']]/testdata[[#This Row],[Re'']]),0)</f>
        <v>20.459221251377247</v>
      </c>
      <c r="X299" s="9">
        <f>IF(testdata[[#This Row],[pd-atan]]&gt;1.5*Z298,1.5*Z298,IF(testdata[[#This Row],[pd-atan]]&lt;0.67*Z298,0.67*Z298,testdata[[#This Row],[pd-atan]]))</f>
        <v>20.459221251377247</v>
      </c>
      <c r="Y299" s="9">
        <f>IF(testdata[[#This Row],[pd-limit1]]&lt;6,6,IF(testdata[[#This Row],[pd-limit1]]&gt;50,50,testdata[[#This Row],[pd-limit1]]))</f>
        <v>20.459221251377247</v>
      </c>
      <c r="Z299" s="14">
        <f>0.2*testdata[[#This Row],[pd-limit2]]+0.8*Z298</f>
        <v>20.790091866377331</v>
      </c>
      <c r="AA299" s="14">
        <f>0.33*testdata[[#This Row],[period]]+0.67*AA298</f>
        <v>21.415002814585577</v>
      </c>
      <c r="AB299" s="31">
        <f>TRUNC(testdata[[#This Row],[SmPd]]+0.5,0)</f>
        <v>21</v>
      </c>
      <c r="AC299" s="14">
        <f ca="1">IF(testdata[[#This Row],[PdInt]]&lt;=0,0,AVERAGE(OFFSET(testdata[[#This Row],[price]],0,0,-testdata[[#This Row],[PdInt]],1)))</f>
        <v>260.48285714285714</v>
      </c>
      <c r="AD299" s="14">
        <f ca="1">IF(testdata[[#This Row],[i]]&lt;11,testdata[[#This Row],[price]],(4*testdata[[#This Row],[iTrend]]+3*AC298+2*AC297+AC296)/10)</f>
        <v>260.15857665160922</v>
      </c>
      <c r="AE299" s="14">
        <f>(4*testdata[[#This Row],[price]]+3*H298+2*H297+H296)/10</f>
        <v>264.29049999999995</v>
      </c>
      <c r="AF299" t="str">
        <f ca="1">IF(OR(ROUND(testdata[[#This Row],[Trendline]],4)&lt;&gt;Table3[[#This Row],[Trendline]],ROUND(testdata[[#This Row],[SmPrice]],4)&lt;&gt;Table3[[#This Row],[SmPrice]]),"ERR","")</f>
        <v/>
      </c>
      <c r="AG299" s="3">
        <v>43168</v>
      </c>
      <c r="AH299" s="14">
        <v>21.414999999999999</v>
      </c>
      <c r="AI299" s="34">
        <v>21</v>
      </c>
      <c r="AJ299" s="14">
        <v>260.48289999999997</v>
      </c>
      <c r="AK299" s="14">
        <v>260.15859999999998</v>
      </c>
      <c r="AL299" s="14">
        <v>264.29050000000001</v>
      </c>
      <c r="AN299" s="38">
        <f t="shared" si="13"/>
        <v>0</v>
      </c>
      <c r="AO299" s="38">
        <f t="shared" si="14"/>
        <v>0</v>
      </c>
      <c r="AQ299" s="37">
        <v>43168</v>
      </c>
      <c r="AR299">
        <v>21</v>
      </c>
      <c r="AS299">
        <v>260.158576651609</v>
      </c>
      <c r="AT299">
        <v>264.29049999999899</v>
      </c>
      <c r="AV299" s="37">
        <v>43168</v>
      </c>
      <c r="AW299">
        <v>21</v>
      </c>
      <c r="AX299">
        <v>260.158576651609</v>
      </c>
      <c r="AY299">
        <v>264.29049999999899</v>
      </c>
      <c r="BA299" s="38">
        <f>AX299-Table3[[#This Row],[Trendline]]</f>
        <v>-2.334839098239172E-5</v>
      </c>
      <c r="BB299" s="38">
        <f>AY299-Table3[[#This Row],[SmPrice]]</f>
        <v>-1.0231815394945443E-12</v>
      </c>
    </row>
    <row r="300" spans="1:54" x14ac:dyDescent="0.35">
      <c r="A300" s="6">
        <v>298</v>
      </c>
      <c r="B300" s="3">
        <v>43171</v>
      </c>
      <c r="C300" s="2">
        <v>268.89999999999998</v>
      </c>
      <c r="D300" s="2">
        <v>269.58999999999997</v>
      </c>
      <c r="E300" s="2">
        <v>267.83</v>
      </c>
      <c r="F300" s="2">
        <v>268.25</v>
      </c>
      <c r="G300" s="1">
        <v>74678496</v>
      </c>
      <c r="H300" s="30">
        <f>(testdata[[#This Row],[high]]+testdata[[#This Row],[low]])/2</f>
        <v>268.70999999999998</v>
      </c>
      <c r="I300" s="23">
        <f>(4*testdata[[#This Row],[price]]+3*H299+2*H298+H297)/10</f>
        <v>266.36849999999998</v>
      </c>
      <c r="J300" s="9">
        <f>(0.0962*testdata[[#This Row],[smooth]]+0.5769*I298-0.5769*I296-0.0962*I294)*(0.075*$Z299+0.54)</f>
        <v>3.4799224020904407</v>
      </c>
      <c r="K300" s="14">
        <f t="shared" si="12"/>
        <v>-4.8585203437886015</v>
      </c>
      <c r="L300" s="14">
        <f>(0.0962*testdata[[#This Row],[detrender]]+0.5769*J298-0.5769*J296-0.0962*J294)*(0.075*$Z299+0.54)</f>
        <v>8.1897517560988273</v>
      </c>
      <c r="M300" s="9">
        <f>(0.0962*testdata[[#This Row],[I1]]+0.5769*K298-0.5769*K296-0.0962*K294)*(0.075*$Z299+0.54)</f>
        <v>-10.422460682962825</v>
      </c>
      <c r="N300" s="9">
        <f>(0.0962*testdata[[#This Row],[Q1]]+0.5769*L298-0.5769*L296-0.0962*L294)*(0.075*$Z299+0.54)</f>
        <v>-4.7954239201716327</v>
      </c>
      <c r="O300" s="9">
        <f>testdata[[#This Row],[I1]]-testdata[[#This Row],[JQ]]</f>
        <v>-6.3096423616968877E-2</v>
      </c>
      <c r="P300" s="9">
        <f>testdata[[#This Row],[Q1]]+testdata[[#This Row],[jI]]</f>
        <v>-2.2327089268639977</v>
      </c>
      <c r="Q300" s="9">
        <f>0.2*testdata[[#This Row],[I2]]+0.8*Q299</f>
        <v>3.4932173344872535</v>
      </c>
      <c r="R300" s="9">
        <f>0.2*testdata[[#This Row],[Q2]]+0.8*R299</f>
        <v>-3.3097781037637493</v>
      </c>
      <c r="S300" s="9">
        <f>testdata[[#This Row],[I2'']]*Q299+testdata[[#This Row],[Q2'']]*R299</f>
        <v>27.154157653272893</v>
      </c>
      <c r="T300" s="9">
        <f>testdata[[#This Row],[I2'']]*R299-testdata[[#This Row],[Q2'']]*Q299</f>
        <v>2.0020431718747478</v>
      </c>
      <c r="U300" s="9">
        <f>0.2*testdata[[#This Row],[Re]]+0.8*U299</f>
        <v>188.58385666340288</v>
      </c>
      <c r="V300" s="9">
        <f>0.2*testdata[[#This Row],[Im]]+0.8*V299</f>
        <v>58.485819062194793</v>
      </c>
      <c r="W300" s="9">
        <f>IF(AND(testdata[[#This Row],[Re'']]&lt;&gt;0,testdata[[#This Row],[Im'']]&lt;&gt;0),2*PI()/ATAN(testdata[[#This Row],[Im'']]/testdata[[#This Row],[Re'']]),0)</f>
        <v>20.893405977306678</v>
      </c>
      <c r="X300" s="9">
        <f>IF(testdata[[#This Row],[pd-atan]]&gt;1.5*Z299,1.5*Z299,IF(testdata[[#This Row],[pd-atan]]&lt;0.67*Z299,0.67*Z299,testdata[[#This Row],[pd-atan]]))</f>
        <v>20.893405977306678</v>
      </c>
      <c r="Y300" s="9">
        <f>IF(testdata[[#This Row],[pd-limit1]]&lt;6,6,IF(testdata[[#This Row],[pd-limit1]]&gt;50,50,testdata[[#This Row],[pd-limit1]]))</f>
        <v>20.893405977306678</v>
      </c>
      <c r="Z300" s="14">
        <f>0.2*testdata[[#This Row],[pd-limit2]]+0.8*Z299</f>
        <v>20.810754688563204</v>
      </c>
      <c r="AA300" s="14">
        <f>0.33*testdata[[#This Row],[period]]+0.67*AA299</f>
        <v>21.215600932998193</v>
      </c>
      <c r="AB300" s="31">
        <f>TRUNC(testdata[[#This Row],[SmPd]]+0.5,0)</f>
        <v>21</v>
      </c>
      <c r="AC300" s="14">
        <f ca="1">IF(testdata[[#This Row],[PdInt]]&lt;=0,0,AVERAGE(OFFSET(testdata[[#This Row],[price]],0,0,-testdata[[#This Row],[PdInt]],1)))</f>
        <v>261.2221428571429</v>
      </c>
      <c r="AD300" s="14">
        <f ca="1">IF(testdata[[#This Row],[i]]&lt;11,testdata[[#This Row],[price]],(4*testdata[[#This Row],[iTrend]]+3*AC299+2*AC298+AC297)/10)</f>
        <v>260.5862824675325</v>
      </c>
      <c r="AE300" s="14">
        <f>(4*testdata[[#This Row],[price]]+3*H299+2*H298+H297)/10</f>
        <v>266.36849999999998</v>
      </c>
      <c r="AF300" t="str">
        <f ca="1">IF(OR(ROUND(testdata[[#This Row],[Trendline]],4)&lt;&gt;Table3[[#This Row],[Trendline]],ROUND(testdata[[#This Row],[SmPrice]],4)&lt;&gt;Table3[[#This Row],[SmPrice]]),"ERR","")</f>
        <v/>
      </c>
      <c r="AG300" s="3">
        <v>43171</v>
      </c>
      <c r="AH300" s="14">
        <v>21.215599999999998</v>
      </c>
      <c r="AI300" s="34">
        <v>21</v>
      </c>
      <c r="AJ300" s="14">
        <v>261.22210000000001</v>
      </c>
      <c r="AK300" s="14">
        <v>260.58629999999999</v>
      </c>
      <c r="AL300" s="14">
        <v>266.36849999999998</v>
      </c>
      <c r="AN300" s="38">
        <f t="shared" si="13"/>
        <v>0</v>
      </c>
      <c r="AO300" s="38">
        <f t="shared" si="14"/>
        <v>0</v>
      </c>
      <c r="AQ300" s="37">
        <v>43171</v>
      </c>
      <c r="AR300">
        <v>21</v>
      </c>
      <c r="AS300">
        <v>260.58628246753199</v>
      </c>
      <c r="AT300">
        <v>266.36849999999998</v>
      </c>
      <c r="AV300" s="37">
        <v>43171</v>
      </c>
      <c r="AW300">
        <v>21</v>
      </c>
      <c r="AX300">
        <v>260.58628246753199</v>
      </c>
      <c r="AY300">
        <v>266.36849999999998</v>
      </c>
      <c r="BA300" s="38">
        <f>AX300-Table3[[#This Row],[Trendline]]</f>
        <v>-1.7532468007175339E-5</v>
      </c>
      <c r="BB300" s="38">
        <f>AY300-Table3[[#This Row],[SmPrice]]</f>
        <v>0</v>
      </c>
    </row>
    <row r="301" spans="1:54" x14ac:dyDescent="0.35">
      <c r="A301" s="6">
        <v>299</v>
      </c>
      <c r="B301" s="3">
        <v>43172</v>
      </c>
      <c r="C301" s="2">
        <v>269.52</v>
      </c>
      <c r="D301" s="2">
        <v>270.07</v>
      </c>
      <c r="E301" s="2">
        <v>265.85000000000002</v>
      </c>
      <c r="F301" s="2">
        <v>266.52</v>
      </c>
      <c r="G301" s="1">
        <v>95490048</v>
      </c>
      <c r="H301" s="30">
        <f>(testdata[[#This Row],[high]]+testdata[[#This Row],[low]])/2</f>
        <v>267.96000000000004</v>
      </c>
      <c r="I301" s="23">
        <f>(4*testdata[[#This Row],[price]]+3*H300+2*H299+H298)/10</f>
        <v>267.5</v>
      </c>
      <c r="J301" s="9">
        <f>(0.0962*testdata[[#This Row],[smooth]]+0.5769*I299-0.5769*I297-0.0962*I295)*(0.075*$Z300+0.54)</f>
        <v>5.4067533050754015</v>
      </c>
      <c r="K301" s="14">
        <f t="shared" si="12"/>
        <v>-0.30518500839498208</v>
      </c>
      <c r="L301" s="14">
        <f>(0.0962*testdata[[#This Row],[detrender]]+0.5769*J299-0.5769*J297-0.0962*J295)*(0.075*$Z300+0.54)</f>
        <v>10.259335623639652</v>
      </c>
      <c r="M301" s="9">
        <f>(0.0962*testdata[[#This Row],[I1]]+0.5769*K299-0.5769*K297-0.0962*K295)*(0.075*$Z300+0.54)</f>
        <v>-9.954370280851526</v>
      </c>
      <c r="N301" s="9">
        <f>(0.0962*testdata[[#This Row],[Q1]]+0.5769*L299-0.5769*L297-0.0962*L295)*(0.075*$Z300+0.54)</f>
        <v>11.976302997775989</v>
      </c>
      <c r="O301" s="9">
        <f>testdata[[#This Row],[I1]]-testdata[[#This Row],[JQ]]</f>
        <v>-12.281488006170971</v>
      </c>
      <c r="P301" s="9">
        <f>testdata[[#This Row],[Q1]]+testdata[[#This Row],[jI]]</f>
        <v>0.30496534278812604</v>
      </c>
      <c r="Q301" s="9">
        <f>0.2*testdata[[#This Row],[I2]]+0.8*Q300</f>
        <v>0.3382762663556087</v>
      </c>
      <c r="R301" s="9">
        <f>0.2*testdata[[#This Row],[Q2]]+0.8*R300</f>
        <v>-2.5868294144533746</v>
      </c>
      <c r="S301" s="9">
        <f>testdata[[#This Row],[I2'']]*Q300+testdata[[#This Row],[Q2'']]*R300</f>
        <v>9.7435038716088194</v>
      </c>
      <c r="T301" s="9">
        <f>testdata[[#This Row],[I2'']]*R300-testdata[[#This Row],[Q2'']]*Q300</f>
        <v>7.9167379725232916</v>
      </c>
      <c r="U301" s="9">
        <f>0.2*testdata[[#This Row],[Re]]+0.8*U300</f>
        <v>152.81578610504408</v>
      </c>
      <c r="V301" s="9">
        <f>0.2*testdata[[#This Row],[Im]]+0.8*V300</f>
        <v>48.372002844260493</v>
      </c>
      <c r="W301" s="9">
        <f>IF(AND(testdata[[#This Row],[Re'']]&lt;&gt;0,testdata[[#This Row],[Im'']]&lt;&gt;0),2*PI()/ATAN(testdata[[#This Row],[Im'']]/testdata[[#This Row],[Re'']]),0)</f>
        <v>20.495818680939948</v>
      </c>
      <c r="X301" s="9">
        <f>IF(testdata[[#This Row],[pd-atan]]&gt;1.5*Z300,1.5*Z300,IF(testdata[[#This Row],[pd-atan]]&lt;0.67*Z300,0.67*Z300,testdata[[#This Row],[pd-atan]]))</f>
        <v>20.495818680939948</v>
      </c>
      <c r="Y301" s="9">
        <f>IF(testdata[[#This Row],[pd-limit1]]&lt;6,6,IF(testdata[[#This Row],[pd-limit1]]&gt;50,50,testdata[[#This Row],[pd-limit1]]))</f>
        <v>20.495818680939948</v>
      </c>
      <c r="Z301" s="14">
        <f>0.2*testdata[[#This Row],[pd-limit2]]+0.8*Z300</f>
        <v>20.747767487038555</v>
      </c>
      <c r="AA301" s="14">
        <f>0.33*testdata[[#This Row],[period]]+0.67*AA300</f>
        <v>21.061215895831513</v>
      </c>
      <c r="AB301" s="31">
        <f>TRUNC(testdata[[#This Row],[SmPd]]+0.5,0)</f>
        <v>21</v>
      </c>
      <c r="AC301" s="14">
        <f ca="1">IF(testdata[[#This Row],[PdInt]]&lt;=0,0,AVERAGE(OFFSET(testdata[[#This Row],[price]],0,0,-testdata[[#This Row],[PdInt]],1)))</f>
        <v>262.13738095238097</v>
      </c>
      <c r="AD301" s="14">
        <f ca="1">IF(testdata[[#This Row],[i]]&lt;11,testdata[[#This Row],[price]],(4*testdata[[#This Row],[iTrend]]+3*AC300+2*AC299+AC298)/10)</f>
        <v>261.30782575757576</v>
      </c>
      <c r="AE301" s="14">
        <f>(4*testdata[[#This Row],[price]]+3*H300+2*H299+H298)/10</f>
        <v>267.5</v>
      </c>
      <c r="AF301" t="str">
        <f ca="1">IF(OR(ROUND(testdata[[#This Row],[Trendline]],4)&lt;&gt;Table3[[#This Row],[Trendline]],ROUND(testdata[[#This Row],[SmPrice]],4)&lt;&gt;Table3[[#This Row],[SmPrice]]),"ERR","")</f>
        <v/>
      </c>
      <c r="AG301" s="3">
        <v>43172</v>
      </c>
      <c r="AH301" s="14">
        <v>21.061199999999999</v>
      </c>
      <c r="AI301" s="34">
        <v>21</v>
      </c>
      <c r="AJ301" s="14">
        <v>262.13740000000001</v>
      </c>
      <c r="AK301" s="14">
        <v>261.30779999999999</v>
      </c>
      <c r="AL301" s="14">
        <v>267.5</v>
      </c>
      <c r="AN301" s="38">
        <f t="shared" si="13"/>
        <v>0</v>
      </c>
      <c r="AO301" s="38">
        <f t="shared" si="14"/>
        <v>0</v>
      </c>
      <c r="AQ301" s="37">
        <v>43172</v>
      </c>
      <c r="AR301">
        <v>21</v>
      </c>
      <c r="AS301">
        <v>261.30782575757502</v>
      </c>
      <c r="AT301">
        <v>267.5</v>
      </c>
      <c r="AV301" s="37">
        <v>43172</v>
      </c>
      <c r="AW301">
        <v>21</v>
      </c>
      <c r="AX301">
        <v>261.30782575757502</v>
      </c>
      <c r="AY301">
        <v>267.5</v>
      </c>
      <c r="BA301" s="38">
        <f>AX301-Table3[[#This Row],[Trendline]]</f>
        <v>2.5757575031093438E-5</v>
      </c>
      <c r="BB301" s="38">
        <f>AY301-Table3[[#This Row],[SmPrice]]</f>
        <v>0</v>
      </c>
    </row>
    <row r="302" spans="1:54" x14ac:dyDescent="0.35">
      <c r="A302" s="6">
        <v>300</v>
      </c>
      <c r="B302" s="3">
        <v>43173</v>
      </c>
      <c r="C302" s="2">
        <v>267.57</v>
      </c>
      <c r="D302" s="2">
        <v>267.77</v>
      </c>
      <c r="E302" s="2">
        <v>264.54000000000002</v>
      </c>
      <c r="F302" s="2">
        <v>265.14999999999998</v>
      </c>
      <c r="G302" s="1">
        <v>109949368</v>
      </c>
      <c r="H302" s="30">
        <f>(testdata[[#This Row],[high]]+testdata[[#This Row],[low]])/2</f>
        <v>266.15499999999997</v>
      </c>
      <c r="I302" s="23">
        <f>(4*testdata[[#This Row],[price]]+3*H301+2*H300+H299)/10</f>
        <v>267.28100000000001</v>
      </c>
      <c r="J302" s="9">
        <f>(0.0962*testdata[[#This Row],[smooth]]+0.5769*I300-0.5769*I298-0.0962*I296)*(0.075*$Z301+0.54)</f>
        <v>6.325394145326638</v>
      </c>
      <c r="K302" s="14">
        <f t="shared" si="12"/>
        <v>2.1196954180778986</v>
      </c>
      <c r="L302" s="14">
        <f>(0.0962*testdata[[#This Row],[detrender]]+0.5769*J300-0.5769*J298-0.0962*J296)*(0.075*$Z301+0.54)</f>
        <v>7.1924541411461442</v>
      </c>
      <c r="M302" s="9">
        <f>(0.0962*testdata[[#This Row],[I1]]+0.5769*K300-0.5769*K298-0.0962*K296)*(0.075*$Z301+0.54)</f>
        <v>-2.0377617920771409</v>
      </c>
      <c r="N302" s="9">
        <f>(0.0962*testdata[[#This Row],[Q1]]+0.5769*L300-0.5769*L298-0.0962*L296)*(0.075*$Z301+0.54)</f>
        <v>24.482691145078704</v>
      </c>
      <c r="O302" s="9">
        <f>testdata[[#This Row],[I1]]-testdata[[#This Row],[JQ]]</f>
        <v>-22.362995727000804</v>
      </c>
      <c r="P302" s="9">
        <f>testdata[[#This Row],[Q1]]+testdata[[#This Row],[jI]]</f>
        <v>5.1546923490690038</v>
      </c>
      <c r="Q302" s="9">
        <f>0.2*testdata[[#This Row],[I2]]+0.8*Q301</f>
        <v>-4.2019781323156744</v>
      </c>
      <c r="R302" s="9">
        <f>0.2*testdata[[#This Row],[Q2]]+0.8*R301</f>
        <v>-1.038525061748899</v>
      </c>
      <c r="S302" s="9">
        <f>testdata[[#This Row],[I2'']]*Q301+testdata[[#This Row],[Q2'']]*R301</f>
        <v>1.2650577034713988</v>
      </c>
      <c r="T302" s="9">
        <f>testdata[[#This Row],[I2'']]*R301-testdata[[#This Row],[Q2'']]*Q301</f>
        <v>11.221109011969185</v>
      </c>
      <c r="U302" s="9">
        <f>0.2*testdata[[#This Row],[Re]]+0.8*U301</f>
        <v>122.50564042472955</v>
      </c>
      <c r="V302" s="9">
        <f>0.2*testdata[[#This Row],[Im]]+0.8*V301</f>
        <v>40.941824077802238</v>
      </c>
      <c r="W302" s="9">
        <f>IF(AND(testdata[[#This Row],[Re'']]&lt;&gt;0,testdata[[#This Row],[Im'']]&lt;&gt;0),2*PI()/ATAN(testdata[[#This Row],[Im'']]/testdata[[#This Row],[Re'']]),0)</f>
        <v>19.480717010548965</v>
      </c>
      <c r="X302" s="9">
        <f>IF(testdata[[#This Row],[pd-atan]]&gt;1.5*Z301,1.5*Z301,IF(testdata[[#This Row],[pd-atan]]&lt;0.67*Z301,0.67*Z301,testdata[[#This Row],[pd-atan]]))</f>
        <v>19.480717010548965</v>
      </c>
      <c r="Y302" s="9">
        <f>IF(testdata[[#This Row],[pd-limit1]]&lt;6,6,IF(testdata[[#This Row],[pd-limit1]]&gt;50,50,testdata[[#This Row],[pd-limit1]]))</f>
        <v>19.480717010548965</v>
      </c>
      <c r="Z302" s="14">
        <f>0.2*testdata[[#This Row],[pd-limit2]]+0.8*Z301</f>
        <v>20.494357391740639</v>
      </c>
      <c r="AA302" s="14">
        <f>0.33*testdata[[#This Row],[period]]+0.67*AA301</f>
        <v>20.874152589481525</v>
      </c>
      <c r="AB302" s="31">
        <f>TRUNC(testdata[[#This Row],[SmPd]]+0.5,0)</f>
        <v>21</v>
      </c>
      <c r="AC302" s="14">
        <f ca="1">IF(testdata[[#This Row],[PdInt]]&lt;=0,0,AVERAGE(OFFSET(testdata[[#This Row],[price]],0,0,-testdata[[#This Row],[PdInt]],1)))</f>
        <v>262.68809523809523</v>
      </c>
      <c r="AD302" s="14">
        <f ca="1">IF(testdata[[#This Row],[i]]&lt;11,testdata[[#This Row],[price]],(4*testdata[[#This Row],[iTrend]]+3*AC301+2*AC300+AC299)/10)</f>
        <v>262.00916666666666</v>
      </c>
      <c r="AE302" s="14">
        <f>(4*testdata[[#This Row],[price]]+3*H301+2*H300+H299)/10</f>
        <v>267.28100000000001</v>
      </c>
      <c r="AF302" t="str">
        <f ca="1">IF(OR(ROUND(testdata[[#This Row],[Trendline]],4)&lt;&gt;Table3[[#This Row],[Trendline]],ROUND(testdata[[#This Row],[SmPrice]],4)&lt;&gt;Table3[[#This Row],[SmPrice]]),"ERR","")</f>
        <v/>
      </c>
      <c r="AG302" s="3">
        <v>43173</v>
      </c>
      <c r="AH302" s="14">
        <v>20.874199999999998</v>
      </c>
      <c r="AI302" s="34">
        <v>21</v>
      </c>
      <c r="AJ302" s="14">
        <v>262.68810000000002</v>
      </c>
      <c r="AK302" s="14">
        <v>262.00920000000002</v>
      </c>
      <c r="AL302" s="14">
        <v>267.28100000000001</v>
      </c>
      <c r="AN302" s="38">
        <f t="shared" si="13"/>
        <v>0</v>
      </c>
      <c r="AO302" s="38">
        <f t="shared" si="14"/>
        <v>0</v>
      </c>
      <c r="AQ302" s="37">
        <v>43173</v>
      </c>
      <c r="AR302">
        <v>21</v>
      </c>
      <c r="AS302">
        <v>262.00916666666598</v>
      </c>
      <c r="AT302">
        <v>267.28099999999898</v>
      </c>
      <c r="AV302" s="37">
        <v>43173</v>
      </c>
      <c r="AW302">
        <v>21</v>
      </c>
      <c r="AX302">
        <v>262.00916666666598</v>
      </c>
      <c r="AY302">
        <v>267.28099999999898</v>
      </c>
      <c r="BA302" s="38">
        <f>AX302-Table3[[#This Row],[Trendline]]</f>
        <v>-3.3333334044982621E-5</v>
      </c>
      <c r="BB302" s="38">
        <f>AY302-Table3[[#This Row],[SmPrice]]</f>
        <v>-1.0231815394945443E-12</v>
      </c>
    </row>
    <row r="303" spans="1:54" x14ac:dyDescent="0.35">
      <c r="A303" s="6">
        <v>301</v>
      </c>
      <c r="B303" s="3">
        <v>43174</v>
      </c>
      <c r="C303" s="2">
        <v>265.70999999999998</v>
      </c>
      <c r="D303" s="2">
        <v>266.41000000000003</v>
      </c>
      <c r="E303" s="2">
        <v>264.31</v>
      </c>
      <c r="F303" s="2">
        <v>264.86</v>
      </c>
      <c r="G303" s="1">
        <v>86627344</v>
      </c>
      <c r="H303" s="30">
        <f>(testdata[[#This Row],[high]]+testdata[[#This Row],[low]])/2</f>
        <v>265.36</v>
      </c>
      <c r="I303" s="23">
        <f>(4*testdata[[#This Row],[price]]+3*H302+2*H301+H300)/10</f>
        <v>266.45349999999996</v>
      </c>
      <c r="J303" s="9">
        <f>(0.0962*testdata[[#This Row],[smooth]]+0.5769*I301-0.5769*I299-0.0962*I297)*(0.075*$Z302+0.54)</f>
        <v>4.9072496272555899</v>
      </c>
      <c r="K303" s="14">
        <f t="shared" si="12"/>
        <v>3.4799224020904407</v>
      </c>
      <c r="L303" s="14">
        <f>(0.0962*testdata[[#This Row],[detrender]]+0.5769*J301-0.5769*J299-0.0962*J297)*(0.075*$Z302+0.54)</f>
        <v>5.8901136810628918</v>
      </c>
      <c r="M303" s="9">
        <f>(0.0962*testdata[[#This Row],[I1]]+0.5769*K301-0.5769*K299-0.0962*K297)*(0.075*$Z302+0.54)</f>
        <v>8.1032214244172742</v>
      </c>
      <c r="N303" s="9">
        <f>(0.0962*testdata[[#This Row],[Q1]]+0.5769*L301-0.5769*L299-0.0962*L297)*(0.075*$Z302+0.54)</f>
        <v>18.047405074325056</v>
      </c>
      <c r="O303" s="9">
        <f>testdata[[#This Row],[I1]]-testdata[[#This Row],[JQ]]</f>
        <v>-14.567482672234615</v>
      </c>
      <c r="P303" s="9">
        <f>testdata[[#This Row],[Q1]]+testdata[[#This Row],[jI]]</f>
        <v>13.993335105480167</v>
      </c>
      <c r="Q303" s="9">
        <f>0.2*testdata[[#This Row],[I2]]+0.8*Q302</f>
        <v>-6.2750790402994632</v>
      </c>
      <c r="R303" s="9">
        <f>0.2*testdata[[#This Row],[Q2]]+0.8*R302</f>
        <v>1.9678469716969142</v>
      </c>
      <c r="S303" s="9">
        <f>testdata[[#This Row],[I2'']]*Q302+testdata[[#This Row],[Q2'']]*R302</f>
        <v>24.324086508096851</v>
      </c>
      <c r="T303" s="9">
        <f>testdata[[#This Row],[I2'']]*R302-testdata[[#This Row],[Q2'']]*Q302</f>
        <v>14.785676790620277</v>
      </c>
      <c r="U303" s="9">
        <f>0.2*testdata[[#This Row],[Re]]+0.8*U302</f>
        <v>102.86932964140301</v>
      </c>
      <c r="V303" s="9">
        <f>0.2*testdata[[#This Row],[Im]]+0.8*V302</f>
        <v>35.710594620365846</v>
      </c>
      <c r="W303" s="9">
        <f>IF(AND(testdata[[#This Row],[Re'']]&lt;&gt;0,testdata[[#This Row],[Im'']]&lt;&gt;0),2*PI()/ATAN(testdata[[#This Row],[Im'']]/testdata[[#This Row],[Re'']]),0)</f>
        <v>18.804651581621499</v>
      </c>
      <c r="X303" s="9">
        <f>IF(testdata[[#This Row],[pd-atan]]&gt;1.5*Z302,1.5*Z302,IF(testdata[[#This Row],[pd-atan]]&lt;0.67*Z302,0.67*Z302,testdata[[#This Row],[pd-atan]]))</f>
        <v>18.804651581621499</v>
      </c>
      <c r="Y303" s="9">
        <f>IF(testdata[[#This Row],[pd-limit1]]&lt;6,6,IF(testdata[[#This Row],[pd-limit1]]&gt;50,50,testdata[[#This Row],[pd-limit1]]))</f>
        <v>18.804651581621499</v>
      </c>
      <c r="Z303" s="14">
        <f>0.2*testdata[[#This Row],[pd-limit2]]+0.8*Z302</f>
        <v>20.156416229716811</v>
      </c>
      <c r="AA303" s="14">
        <f>0.33*testdata[[#This Row],[period]]+0.67*AA302</f>
        <v>20.63729959075917</v>
      </c>
      <c r="AB303" s="31">
        <f>TRUNC(testdata[[#This Row],[SmPd]]+0.5,0)</f>
        <v>21</v>
      </c>
      <c r="AC303" s="14">
        <f ca="1">IF(testdata[[#This Row],[PdInt]]&lt;=0,0,AVERAGE(OFFSET(testdata[[#This Row],[price]],0,0,-testdata[[#This Row],[PdInt]],1)))</f>
        <v>263.17214285714283</v>
      </c>
      <c r="AD303" s="14">
        <f ca="1">IF(testdata[[#This Row],[i]]&lt;11,testdata[[#This Row],[price]],(4*testdata[[#This Row],[iTrend]]+3*AC302+2*AC301+AC300)/10)</f>
        <v>262.62497619047616</v>
      </c>
      <c r="AE303" s="14">
        <f>(4*testdata[[#This Row],[price]]+3*H302+2*H301+H300)/10</f>
        <v>266.45349999999996</v>
      </c>
      <c r="AF303" t="str">
        <f ca="1">IF(OR(ROUND(testdata[[#This Row],[Trendline]],4)&lt;&gt;Table3[[#This Row],[Trendline]],ROUND(testdata[[#This Row],[SmPrice]],4)&lt;&gt;Table3[[#This Row],[SmPrice]]),"ERR","")</f>
        <v/>
      </c>
      <c r="AG303" s="3">
        <v>43174</v>
      </c>
      <c r="AH303" s="14">
        <v>20.6373</v>
      </c>
      <c r="AI303" s="34">
        <v>21</v>
      </c>
      <c r="AJ303" s="14">
        <v>263.1721</v>
      </c>
      <c r="AK303" s="14">
        <v>262.625</v>
      </c>
      <c r="AL303" s="14">
        <v>266.45350000000002</v>
      </c>
      <c r="AN303" s="38">
        <f t="shared" si="13"/>
        <v>0</v>
      </c>
      <c r="AO303" s="38">
        <f t="shared" si="14"/>
        <v>0</v>
      </c>
      <c r="AQ303" s="37">
        <v>43174</v>
      </c>
      <c r="AR303">
        <v>21</v>
      </c>
      <c r="AS303">
        <v>262.62497619047599</v>
      </c>
      <c r="AT303">
        <v>266.453499999999</v>
      </c>
      <c r="AV303" s="37">
        <v>43174</v>
      </c>
      <c r="AW303">
        <v>21</v>
      </c>
      <c r="AX303">
        <v>262.62497619047599</v>
      </c>
      <c r="AY303">
        <v>266.453499999999</v>
      </c>
      <c r="BA303" s="38">
        <f>AX303-Table3[[#This Row],[Trendline]]</f>
        <v>-2.380952400926617E-5</v>
      </c>
      <c r="BB303" s="38">
        <f>AY303-Table3[[#This Row],[SmPrice]]</f>
        <v>-1.0231815394945443E-12</v>
      </c>
    </row>
    <row r="304" spans="1:54" x14ac:dyDescent="0.35">
      <c r="A304" s="6">
        <v>302</v>
      </c>
      <c r="B304" s="3">
        <v>43175</v>
      </c>
      <c r="C304" s="2">
        <v>265.44</v>
      </c>
      <c r="D304" s="2">
        <v>266.3</v>
      </c>
      <c r="E304" s="2">
        <v>265.08999999999997</v>
      </c>
      <c r="F304" s="2">
        <v>265.14999999999998</v>
      </c>
      <c r="G304" s="1">
        <v>103769888</v>
      </c>
      <c r="H304" s="30">
        <f>(testdata[[#This Row],[high]]+testdata[[#This Row],[low]])/2</f>
        <v>265.69499999999999</v>
      </c>
      <c r="I304" s="23">
        <f>(4*testdata[[#This Row],[price]]+3*H303+2*H302+H301)/10</f>
        <v>265.91300000000001</v>
      </c>
      <c r="J304" s="9">
        <f>(0.0962*testdata[[#This Row],[smooth]]+0.5769*I302-0.5769*I300-0.0962*I298)*(0.075*$Z303+0.54)</f>
        <v>1.7971438931104831</v>
      </c>
      <c r="K304" s="14">
        <f t="shared" si="12"/>
        <v>5.4067533050754015</v>
      </c>
      <c r="L304" s="14">
        <f>(0.0962*testdata[[#This Row],[detrender]]+0.5769*J302-0.5769*J300-0.0962*J298)*(0.075*$Z303+0.54)</f>
        <v>3.7829752250397903</v>
      </c>
      <c r="M304" s="9">
        <f>(0.0962*testdata[[#This Row],[I1]]+0.5769*K302-0.5769*K300-0.0962*K298)*(0.075*$Z303+0.54)</f>
        <v>10.019674895630018</v>
      </c>
      <c r="N304" s="9">
        <f>(0.0962*testdata[[#This Row],[Q1]]+0.5769*L302-0.5769*L300-0.0962*L298)*(0.075*$Z303+0.54)</f>
        <v>1.5499892317382462</v>
      </c>
      <c r="O304" s="9">
        <f>testdata[[#This Row],[I1]]-testdata[[#This Row],[JQ]]</f>
        <v>3.8567640733371551</v>
      </c>
      <c r="P304" s="9">
        <f>testdata[[#This Row],[Q1]]+testdata[[#This Row],[jI]]</f>
        <v>13.802650120669808</v>
      </c>
      <c r="Q304" s="9">
        <f>0.2*testdata[[#This Row],[I2]]+0.8*Q303</f>
        <v>-4.2487104175721395</v>
      </c>
      <c r="R304" s="9">
        <f>0.2*testdata[[#This Row],[Q2]]+0.8*R303</f>
        <v>4.3348076014914927</v>
      </c>
      <c r="S304" s="9">
        <f>testdata[[#This Row],[I2'']]*Q303+testdata[[#This Row],[Q2'']]*R303</f>
        <v>35.191231701092711</v>
      </c>
      <c r="T304" s="9">
        <f>testdata[[#This Row],[I2'']]*R303-testdata[[#This Row],[Q2'']]*Q303</f>
        <v>18.840448395013588</v>
      </c>
      <c r="U304" s="9">
        <f>0.2*testdata[[#This Row],[Re]]+0.8*U303</f>
        <v>89.333710053340951</v>
      </c>
      <c r="V304" s="9">
        <f>0.2*testdata[[#This Row],[Im]]+0.8*V303</f>
        <v>32.3365653752954</v>
      </c>
      <c r="W304" s="9">
        <f>IF(AND(testdata[[#This Row],[Re'']]&lt;&gt;0,testdata[[#This Row],[Im'']]&lt;&gt;0),2*PI()/ATAN(testdata[[#This Row],[Im'']]/testdata[[#This Row],[Re'']]),0)</f>
        <v>18.091373100869568</v>
      </c>
      <c r="X304" s="9">
        <f>IF(testdata[[#This Row],[pd-atan]]&gt;1.5*Z303,1.5*Z303,IF(testdata[[#This Row],[pd-atan]]&lt;0.67*Z303,0.67*Z303,testdata[[#This Row],[pd-atan]]))</f>
        <v>18.091373100869568</v>
      </c>
      <c r="Y304" s="9">
        <f>IF(testdata[[#This Row],[pd-limit1]]&lt;6,6,IF(testdata[[#This Row],[pd-limit1]]&gt;50,50,testdata[[#This Row],[pd-limit1]]))</f>
        <v>18.091373100869568</v>
      </c>
      <c r="Z304" s="14">
        <f>0.2*testdata[[#This Row],[pd-limit2]]+0.8*Z303</f>
        <v>19.743407603947364</v>
      </c>
      <c r="AA304" s="14">
        <f>0.33*testdata[[#This Row],[period]]+0.67*AA303</f>
        <v>20.342315235111275</v>
      </c>
      <c r="AB304" s="31">
        <f>TRUNC(testdata[[#This Row],[SmPd]]+0.5,0)</f>
        <v>20</v>
      </c>
      <c r="AC304" s="14">
        <f ca="1">IF(testdata[[#This Row],[PdInt]]&lt;=0,0,AVERAGE(OFFSET(testdata[[#This Row],[price]],0,0,-testdata[[#This Row],[PdInt]],1)))</f>
        <v>263.70499999999993</v>
      </c>
      <c r="AD304" s="14">
        <f ca="1">IF(testdata[[#This Row],[i]]&lt;11,testdata[[#This Row],[price]],(4*testdata[[#This Row],[iTrend]]+3*AC303+2*AC302+AC301)/10)</f>
        <v>263.185</v>
      </c>
      <c r="AE304" s="14">
        <f>(4*testdata[[#This Row],[price]]+3*H303+2*H302+H301)/10</f>
        <v>265.91300000000001</v>
      </c>
      <c r="AF304" t="str">
        <f ca="1">IF(OR(ROUND(testdata[[#This Row],[Trendline]],4)&lt;&gt;Table3[[#This Row],[Trendline]],ROUND(testdata[[#This Row],[SmPrice]],4)&lt;&gt;Table3[[#This Row],[SmPrice]]),"ERR","")</f>
        <v/>
      </c>
      <c r="AG304" s="3">
        <v>43175</v>
      </c>
      <c r="AH304" s="14">
        <v>20.342300000000002</v>
      </c>
      <c r="AI304" s="34">
        <v>20</v>
      </c>
      <c r="AJ304" s="14">
        <v>263.70499999999998</v>
      </c>
      <c r="AK304" s="14">
        <v>263.185</v>
      </c>
      <c r="AL304" s="14">
        <v>265.91300000000001</v>
      </c>
      <c r="AN304" s="38">
        <f t="shared" si="13"/>
        <v>0</v>
      </c>
      <c r="AO304" s="38">
        <f t="shared" si="14"/>
        <v>0</v>
      </c>
      <c r="AQ304" s="37">
        <v>43175</v>
      </c>
      <c r="AR304">
        <v>20</v>
      </c>
      <c r="AS304">
        <v>263.185</v>
      </c>
      <c r="AT304">
        <v>265.91300000000001</v>
      </c>
      <c r="AV304" s="37">
        <v>43175</v>
      </c>
      <c r="AW304">
        <v>20</v>
      </c>
      <c r="AX304">
        <v>263.185</v>
      </c>
      <c r="AY304">
        <v>265.91300000000001</v>
      </c>
      <c r="BA304" s="38">
        <f>AX304-Table3[[#This Row],[Trendline]]</f>
        <v>0</v>
      </c>
      <c r="BB304" s="38">
        <f>AY304-Table3[[#This Row],[SmPrice]]</f>
        <v>0</v>
      </c>
    </row>
    <row r="305" spans="1:54" x14ac:dyDescent="0.35">
      <c r="A305" s="6">
        <v>303</v>
      </c>
      <c r="B305" s="3">
        <v>43178</v>
      </c>
      <c r="C305" s="2">
        <v>264.32</v>
      </c>
      <c r="D305" s="2">
        <v>265.33999999999997</v>
      </c>
      <c r="E305" s="2">
        <v>259.75</v>
      </c>
      <c r="F305" s="2">
        <v>261.56</v>
      </c>
      <c r="G305" s="1">
        <v>112937344</v>
      </c>
      <c r="H305" s="30">
        <f>(testdata[[#This Row],[high]]+testdata[[#This Row],[low]])/2</f>
        <v>262.54499999999996</v>
      </c>
      <c r="I305" s="23">
        <f>(4*testdata[[#This Row],[price]]+3*H304+2*H303+H302)/10</f>
        <v>264.41399999999993</v>
      </c>
      <c r="J305" s="9">
        <f>(0.0962*testdata[[#This Row],[smooth]]+0.5769*I303-0.5769*I301-0.0962*I299)*(0.075*$Z304+0.54)</f>
        <v>-1.1959743836152839</v>
      </c>
      <c r="K305" s="14">
        <f t="shared" si="12"/>
        <v>6.325394145326638</v>
      </c>
      <c r="L305" s="14">
        <f>(0.0962*testdata[[#This Row],[detrender]]+0.5769*J303-0.5769*J301-0.0962*J299)*(0.075*$Z304+0.54)</f>
        <v>-1.2268635656774096</v>
      </c>
      <c r="M305" s="9">
        <f>(0.0962*testdata[[#This Row],[I1]]+0.5769*K303-0.5769*K301-0.0962*K299)*(0.075*$Z304+0.54)</f>
        <v>6.9339786688677059</v>
      </c>
      <c r="N305" s="9">
        <f>(0.0962*testdata[[#This Row],[Q1]]+0.5769*L303-0.5769*L301-0.0962*L299)*(0.075*$Z304+0.54)</f>
        <v>-4.9341165690654689</v>
      </c>
      <c r="O305" s="9">
        <f>testdata[[#This Row],[I1]]-testdata[[#This Row],[JQ]]</f>
        <v>11.259510714392107</v>
      </c>
      <c r="P305" s="9">
        <f>testdata[[#This Row],[Q1]]+testdata[[#This Row],[jI]]</f>
        <v>5.7071151031902962</v>
      </c>
      <c r="Q305" s="9">
        <f>0.2*testdata[[#This Row],[I2]]+0.8*Q304</f>
        <v>-1.1470661911792903</v>
      </c>
      <c r="R305" s="9">
        <f>0.2*testdata[[#This Row],[Q2]]+0.8*R304</f>
        <v>4.6092691018312539</v>
      </c>
      <c r="S305" s="9">
        <f>testdata[[#This Row],[I2'']]*Q304+testdata[[#This Row],[Q2'']]*R304</f>
        <v>24.853846816046232</v>
      </c>
      <c r="T305" s="9">
        <f>testdata[[#This Row],[I2'']]*R304-testdata[[#This Row],[Q2'']]*Q304</f>
        <v>14.611138405405946</v>
      </c>
      <c r="U305" s="9">
        <f>0.2*testdata[[#This Row],[Re]]+0.8*U304</f>
        <v>76.437737405882004</v>
      </c>
      <c r="V305" s="9">
        <f>0.2*testdata[[#This Row],[Im]]+0.8*V304</f>
        <v>28.791479981317512</v>
      </c>
      <c r="W305" s="9">
        <f>IF(AND(testdata[[#This Row],[Re'']]&lt;&gt;0,testdata[[#This Row],[Im'']]&lt;&gt;0),2*PI()/ATAN(testdata[[#This Row],[Im'']]/testdata[[#This Row],[Re'']]),0)</f>
        <v>17.44213538019633</v>
      </c>
      <c r="X305" s="9">
        <f>IF(testdata[[#This Row],[pd-atan]]&gt;1.5*Z304,1.5*Z304,IF(testdata[[#This Row],[pd-atan]]&lt;0.67*Z304,0.67*Z304,testdata[[#This Row],[pd-atan]]))</f>
        <v>17.44213538019633</v>
      </c>
      <c r="Y305" s="9">
        <f>IF(testdata[[#This Row],[pd-limit1]]&lt;6,6,IF(testdata[[#This Row],[pd-limit1]]&gt;50,50,testdata[[#This Row],[pd-limit1]]))</f>
        <v>17.44213538019633</v>
      </c>
      <c r="Z305" s="14">
        <f>0.2*testdata[[#This Row],[pd-limit2]]+0.8*Z304</f>
        <v>19.283153159197159</v>
      </c>
      <c r="AA305" s="14">
        <f>0.33*testdata[[#This Row],[period]]+0.67*AA304</f>
        <v>19.992791750059617</v>
      </c>
      <c r="AB305" s="31">
        <f>TRUNC(testdata[[#This Row],[SmPd]]+0.5,0)</f>
        <v>20</v>
      </c>
      <c r="AC305" s="14">
        <f ca="1">IF(testdata[[#This Row],[PdInt]]&lt;=0,0,AVERAGE(OFFSET(testdata[[#This Row],[price]],0,0,-testdata[[#This Row],[PdInt]],1)))</f>
        <v>263.64724999999993</v>
      </c>
      <c r="AD305" s="14">
        <f ca="1">IF(testdata[[#This Row],[i]]&lt;11,testdata[[#This Row],[price]],(4*testdata[[#This Row],[iTrend]]+3*AC304+2*AC303+AC302)/10)</f>
        <v>263.47363809523802</v>
      </c>
      <c r="AE305" s="14">
        <f>(4*testdata[[#This Row],[price]]+3*H304+2*H303+H302)/10</f>
        <v>264.41399999999993</v>
      </c>
      <c r="AF305" t="str">
        <f ca="1">IF(OR(ROUND(testdata[[#This Row],[Trendline]],4)&lt;&gt;Table3[[#This Row],[Trendline]],ROUND(testdata[[#This Row],[SmPrice]],4)&lt;&gt;Table3[[#This Row],[SmPrice]]),"ERR","")</f>
        <v/>
      </c>
      <c r="AG305" s="3">
        <v>43178</v>
      </c>
      <c r="AH305" s="14">
        <v>19.992799999999999</v>
      </c>
      <c r="AI305" s="34">
        <v>20</v>
      </c>
      <c r="AJ305" s="14">
        <v>263.6472</v>
      </c>
      <c r="AK305" s="14">
        <v>263.47359999999998</v>
      </c>
      <c r="AL305" s="14">
        <v>264.41399999999999</v>
      </c>
      <c r="AN305" s="38">
        <f t="shared" si="13"/>
        <v>0</v>
      </c>
      <c r="AO305" s="38">
        <f t="shared" si="14"/>
        <v>0</v>
      </c>
      <c r="AQ305" s="37">
        <v>43178</v>
      </c>
      <c r="AR305">
        <v>20</v>
      </c>
      <c r="AS305">
        <v>263.47363809523802</v>
      </c>
      <c r="AT305">
        <v>264.41399999999999</v>
      </c>
      <c r="AV305" s="37">
        <v>43178</v>
      </c>
      <c r="AW305">
        <v>20</v>
      </c>
      <c r="AX305">
        <v>263.47363809523802</v>
      </c>
      <c r="AY305">
        <v>264.41399999999999</v>
      </c>
      <c r="BA305" s="38">
        <f>AX305-Table3[[#This Row],[Trendline]]</f>
        <v>3.8095238039659307E-5</v>
      </c>
      <c r="BB305" s="38">
        <f>AY305-Table3[[#This Row],[SmPrice]]</f>
        <v>0</v>
      </c>
    </row>
    <row r="306" spans="1:54" x14ac:dyDescent="0.35">
      <c r="A306" s="6">
        <v>304</v>
      </c>
      <c r="B306" s="3">
        <v>43179</v>
      </c>
      <c r="C306" s="2">
        <v>261.99</v>
      </c>
      <c r="D306" s="2">
        <v>262.7</v>
      </c>
      <c r="E306" s="2">
        <v>261.26</v>
      </c>
      <c r="F306" s="2">
        <v>262</v>
      </c>
      <c r="G306" s="1">
        <v>61797672</v>
      </c>
      <c r="H306" s="30">
        <f>(testdata[[#This Row],[high]]+testdata[[#This Row],[low]])/2</f>
        <v>261.98</v>
      </c>
      <c r="I306" s="23">
        <f>(4*testdata[[#This Row],[price]]+3*H305+2*H304+H303)/10</f>
        <v>263.23050000000001</v>
      </c>
      <c r="J306" s="9">
        <f>(0.0962*testdata[[#This Row],[smooth]]+0.5769*I304-0.5769*I302-0.0962*I300)*(0.075*$Z305+0.54)</f>
        <v>-2.1671325777404835</v>
      </c>
      <c r="K306" s="14">
        <f t="shared" si="12"/>
        <v>4.9072496272555899</v>
      </c>
      <c r="L306" s="14">
        <f>(0.0962*testdata[[#This Row],[detrender]]+0.5769*J304-0.5769*J302-0.0962*J300)*(0.075*$Z305+0.54)</f>
        <v>-6.2677564563222363</v>
      </c>
      <c r="M306" s="9">
        <f>(0.0962*testdata[[#This Row],[I1]]+0.5769*K304-0.5769*K302-0.0962*K300)*(0.075*$Z305+0.54)</f>
        <v>5.6325113644699361</v>
      </c>
      <c r="N306" s="9">
        <f>(0.0962*testdata[[#This Row],[Q1]]+0.5769*L304-0.5769*L302-0.0962*L300)*(0.075*$Z305+0.54)</f>
        <v>-6.66926704581625</v>
      </c>
      <c r="O306" s="9">
        <f>testdata[[#This Row],[I1]]-testdata[[#This Row],[JQ]]</f>
        <v>11.57651667307184</v>
      </c>
      <c r="P306" s="9">
        <f>testdata[[#This Row],[Q1]]+testdata[[#This Row],[jI]]</f>
        <v>-0.63524509185230027</v>
      </c>
      <c r="Q306" s="9">
        <f>0.2*testdata[[#This Row],[I2]]+0.8*Q305</f>
        <v>1.3976503816709356</v>
      </c>
      <c r="R306" s="9">
        <f>0.2*testdata[[#This Row],[Q2]]+0.8*R305</f>
        <v>3.5603662630945432</v>
      </c>
      <c r="S306" s="9">
        <f>testdata[[#This Row],[I2'']]*Q305+testdata[[#This Row],[Q2'']]*R305</f>
        <v>14.807488707780522</v>
      </c>
      <c r="T306" s="9">
        <f>testdata[[#This Row],[I2'']]*R305-testdata[[#This Row],[Q2'']]*Q305</f>
        <v>10.526122488009603</v>
      </c>
      <c r="U306" s="9">
        <f>0.2*testdata[[#This Row],[Re]]+0.8*U305</f>
        <v>64.111687666261716</v>
      </c>
      <c r="V306" s="9">
        <f>0.2*testdata[[#This Row],[Im]]+0.8*V305</f>
        <v>25.13840848265593</v>
      </c>
      <c r="W306" s="9">
        <f>IF(AND(testdata[[#This Row],[Re'']]&lt;&gt;0,testdata[[#This Row],[Im'']]&lt;&gt;0),2*PI()/ATAN(testdata[[#This Row],[Im'']]/testdata[[#This Row],[Re'']]),0)</f>
        <v>16.814326973926804</v>
      </c>
      <c r="X306" s="9">
        <f>IF(testdata[[#This Row],[pd-atan]]&gt;1.5*Z305,1.5*Z305,IF(testdata[[#This Row],[pd-atan]]&lt;0.67*Z305,0.67*Z305,testdata[[#This Row],[pd-atan]]))</f>
        <v>16.814326973926804</v>
      </c>
      <c r="Y306" s="9">
        <f>IF(testdata[[#This Row],[pd-limit1]]&lt;6,6,IF(testdata[[#This Row],[pd-limit1]]&gt;50,50,testdata[[#This Row],[pd-limit1]]))</f>
        <v>16.814326973926804</v>
      </c>
      <c r="Z306" s="14">
        <f>0.2*testdata[[#This Row],[pd-limit2]]+0.8*Z305</f>
        <v>18.789387922143089</v>
      </c>
      <c r="AA306" s="14">
        <f>0.33*testdata[[#This Row],[period]]+0.67*AA305</f>
        <v>19.595668486847163</v>
      </c>
      <c r="AB306" s="31">
        <f>TRUNC(testdata[[#This Row],[SmPd]]+0.5,0)</f>
        <v>20</v>
      </c>
      <c r="AC306" s="14">
        <f ca="1">IF(testdata[[#This Row],[PdInt]]&lt;=0,0,AVERAGE(OFFSET(testdata[[#This Row],[price]],0,0,-testdata[[#This Row],[PdInt]],1)))</f>
        <v>263.64349999999996</v>
      </c>
      <c r="AD306" s="14">
        <f ca="1">IF(testdata[[#This Row],[i]]&lt;11,testdata[[#This Row],[price]],(4*testdata[[#This Row],[iTrend]]+3*AC305+2*AC304+AC303)/10)</f>
        <v>263.60978928571421</v>
      </c>
      <c r="AE306" s="14">
        <f>(4*testdata[[#This Row],[price]]+3*H305+2*H304+H303)/10</f>
        <v>263.23050000000001</v>
      </c>
      <c r="AF306" t="str">
        <f ca="1">IF(OR(ROUND(testdata[[#This Row],[Trendline]],4)&lt;&gt;Table3[[#This Row],[Trendline]],ROUND(testdata[[#This Row],[SmPrice]],4)&lt;&gt;Table3[[#This Row],[SmPrice]]),"ERR","")</f>
        <v/>
      </c>
      <c r="AG306" s="3">
        <v>43179</v>
      </c>
      <c r="AH306" s="14">
        <v>19.595700000000001</v>
      </c>
      <c r="AI306" s="34">
        <v>20</v>
      </c>
      <c r="AJ306" s="14">
        <v>263.64350000000002</v>
      </c>
      <c r="AK306" s="14">
        <v>263.60980000000001</v>
      </c>
      <c r="AL306" s="14">
        <v>263.23050000000001</v>
      </c>
      <c r="AN306" s="38">
        <f t="shared" si="13"/>
        <v>0</v>
      </c>
      <c r="AO306" s="38">
        <f t="shared" si="14"/>
        <v>0</v>
      </c>
      <c r="AQ306" s="37">
        <v>43179</v>
      </c>
      <c r="AR306">
        <v>20</v>
      </c>
      <c r="AS306">
        <v>263.60978928571399</v>
      </c>
      <c r="AT306">
        <v>263.23050000000001</v>
      </c>
      <c r="AV306" s="37">
        <v>43179</v>
      </c>
      <c r="AW306">
        <v>20</v>
      </c>
      <c r="AX306">
        <v>263.60978928571399</v>
      </c>
      <c r="AY306">
        <v>263.23050000000001</v>
      </c>
      <c r="BA306" s="38">
        <f>AX306-Table3[[#This Row],[Trendline]]</f>
        <v>-1.0714286020174768E-5</v>
      </c>
      <c r="BB306" s="38">
        <f>AY306-Table3[[#This Row],[SmPrice]]</f>
        <v>0</v>
      </c>
    </row>
    <row r="307" spans="1:54" x14ac:dyDescent="0.35">
      <c r="A307" s="6">
        <v>305</v>
      </c>
      <c r="B307" s="3">
        <v>43180</v>
      </c>
      <c r="C307" s="2">
        <v>261.95999999999998</v>
      </c>
      <c r="D307" s="2">
        <v>264.25</v>
      </c>
      <c r="E307" s="2">
        <v>261.27</v>
      </c>
      <c r="F307" s="2">
        <v>261.5</v>
      </c>
      <c r="G307" s="1">
        <v>81397104</v>
      </c>
      <c r="H307" s="30">
        <f>(testdata[[#This Row],[high]]+testdata[[#This Row],[low]])/2</f>
        <v>262.76</v>
      </c>
      <c r="I307" s="23">
        <f>(4*testdata[[#This Row],[price]]+3*H306+2*H305+H304)/10</f>
        <v>262.7765</v>
      </c>
      <c r="J307" s="9">
        <f>(0.0962*testdata[[#This Row],[smooth]]+0.5769*I305-0.5769*I303-0.0962*I301)*(0.075*$Z306+0.54)</f>
        <v>-3.1791289744280635</v>
      </c>
      <c r="K307" s="14">
        <f t="shared" si="12"/>
        <v>1.7971438931104831</v>
      </c>
      <c r="L307" s="14">
        <f>(0.0962*testdata[[#This Row],[detrender]]+0.5769*J305-0.5769*J303-0.0962*J301)*(0.075*$Z306+0.54)</f>
        <v>-8.4730182914711953</v>
      </c>
      <c r="M307" s="9">
        <f>(0.0962*testdata[[#This Row],[I1]]+0.5769*K305-0.5769*K303-0.0962*K301)*(0.075*$Z306+0.54)</f>
        <v>3.5939360549944896</v>
      </c>
      <c r="N307" s="9">
        <f>(0.0962*testdata[[#This Row],[Q1]]+0.5769*L305-0.5769*L303-0.0962*L301)*(0.075*$Z306+0.54)</f>
        <v>-11.515579327878855</v>
      </c>
      <c r="O307" s="9">
        <f>testdata[[#This Row],[I1]]-testdata[[#This Row],[JQ]]</f>
        <v>13.312723220989339</v>
      </c>
      <c r="P307" s="9">
        <f>testdata[[#This Row],[Q1]]+testdata[[#This Row],[jI]]</f>
        <v>-4.8790822364767052</v>
      </c>
      <c r="Q307" s="9">
        <f>0.2*testdata[[#This Row],[I2]]+0.8*Q306</f>
        <v>3.7806649495346165</v>
      </c>
      <c r="R307" s="9">
        <f>0.2*testdata[[#This Row],[Q2]]+0.8*R306</f>
        <v>1.8724765631802933</v>
      </c>
      <c r="S307" s="9">
        <f>testdata[[#This Row],[I2'']]*Q306+testdata[[#This Row],[Q2'']]*R306</f>
        <v>11.950750193669318</v>
      </c>
      <c r="T307" s="9">
        <f>testdata[[#This Row],[I2'']]*R306-testdata[[#This Row],[Q2'']]*Q306</f>
        <v>10.843484355188263</v>
      </c>
      <c r="U307" s="9">
        <f>0.2*testdata[[#This Row],[Re]]+0.8*U306</f>
        <v>53.679500171743243</v>
      </c>
      <c r="V307" s="9">
        <f>0.2*testdata[[#This Row],[Im]]+0.8*V306</f>
        <v>22.279423657162397</v>
      </c>
      <c r="W307" s="9">
        <f>IF(AND(testdata[[#This Row],[Re'']]&lt;&gt;0,testdata[[#This Row],[Im'']]&lt;&gt;0),2*PI()/ATAN(testdata[[#This Row],[Im'']]/testdata[[#This Row],[Re'']]),0)</f>
        <v>15.971135808130731</v>
      </c>
      <c r="X307" s="9">
        <f>IF(testdata[[#This Row],[pd-atan]]&gt;1.5*Z306,1.5*Z306,IF(testdata[[#This Row],[pd-atan]]&lt;0.67*Z306,0.67*Z306,testdata[[#This Row],[pd-atan]]))</f>
        <v>15.971135808130731</v>
      </c>
      <c r="Y307" s="9">
        <f>IF(testdata[[#This Row],[pd-limit1]]&lt;6,6,IF(testdata[[#This Row],[pd-limit1]]&gt;50,50,testdata[[#This Row],[pd-limit1]]))</f>
        <v>15.971135808130731</v>
      </c>
      <c r="Z307" s="14">
        <f>0.2*testdata[[#This Row],[pd-limit2]]+0.8*Z306</f>
        <v>18.225737499340617</v>
      </c>
      <c r="AA307" s="14">
        <f>0.33*testdata[[#This Row],[period]]+0.67*AA306</f>
        <v>19.143591260970005</v>
      </c>
      <c r="AB307" s="31">
        <f>TRUNC(testdata[[#This Row],[SmPd]]+0.5,0)</f>
        <v>19</v>
      </c>
      <c r="AC307" s="14">
        <f ca="1">IF(testdata[[#This Row],[PdInt]]&lt;=0,0,AVERAGE(OFFSET(testdata[[#This Row],[price]],0,0,-testdata[[#This Row],[PdInt]],1)))</f>
        <v>263.78947368421052</v>
      </c>
      <c r="AD307" s="14">
        <f ca="1">IF(testdata[[#This Row],[i]]&lt;11,testdata[[#This Row],[price]],(4*testdata[[#This Row],[iTrend]]+3*AC306+2*AC305+AC304)/10)</f>
        <v>263.70878947368419</v>
      </c>
      <c r="AE307" s="14">
        <f>(4*testdata[[#This Row],[price]]+3*H306+2*H305+H304)/10</f>
        <v>262.7765</v>
      </c>
      <c r="AF307" t="str">
        <f ca="1">IF(OR(ROUND(testdata[[#This Row],[Trendline]],4)&lt;&gt;Table3[[#This Row],[Trendline]],ROUND(testdata[[#This Row],[SmPrice]],4)&lt;&gt;Table3[[#This Row],[SmPrice]]),"ERR","")</f>
        <v/>
      </c>
      <c r="AG307" s="3">
        <v>43180</v>
      </c>
      <c r="AH307" s="14">
        <v>19.143599999999999</v>
      </c>
      <c r="AI307" s="34">
        <v>19</v>
      </c>
      <c r="AJ307" s="14">
        <v>263.78949999999998</v>
      </c>
      <c r="AK307" s="14">
        <v>263.7088</v>
      </c>
      <c r="AL307" s="14">
        <v>262.7765</v>
      </c>
      <c r="AN307" s="38">
        <f t="shared" si="13"/>
        <v>0</v>
      </c>
      <c r="AO307" s="38">
        <f t="shared" si="14"/>
        <v>0</v>
      </c>
      <c r="AQ307" s="37">
        <v>43180</v>
      </c>
      <c r="AR307">
        <v>19</v>
      </c>
      <c r="AS307">
        <v>263.70878947368402</v>
      </c>
      <c r="AT307">
        <v>262.7765</v>
      </c>
      <c r="AV307" s="37">
        <v>43180</v>
      </c>
      <c r="AW307">
        <v>19</v>
      </c>
      <c r="AX307">
        <v>263.70878947368402</v>
      </c>
      <c r="AY307">
        <v>262.7765</v>
      </c>
      <c r="BA307" s="38">
        <f>AX307-Table3[[#This Row],[Trendline]]</f>
        <v>-1.0526315975312173E-5</v>
      </c>
      <c r="BB307" s="38">
        <f>AY307-Table3[[#This Row],[SmPrice]]</f>
        <v>0</v>
      </c>
    </row>
    <row r="308" spans="1:54" x14ac:dyDescent="0.35">
      <c r="A308" s="6">
        <v>306</v>
      </c>
      <c r="B308" s="3">
        <v>43181</v>
      </c>
      <c r="C308" s="2">
        <v>259.06</v>
      </c>
      <c r="D308" s="2">
        <v>259.99</v>
      </c>
      <c r="E308" s="2">
        <v>254.66</v>
      </c>
      <c r="F308" s="2">
        <v>254.96</v>
      </c>
      <c r="G308" s="1">
        <v>153866192</v>
      </c>
      <c r="H308" s="30">
        <f>(testdata[[#This Row],[high]]+testdata[[#This Row],[low]])/2</f>
        <v>257.32499999999999</v>
      </c>
      <c r="I308" s="23">
        <f>(4*testdata[[#This Row],[price]]+3*H307+2*H306+H305)/10</f>
        <v>260.4085</v>
      </c>
      <c r="J308" s="9">
        <f>(0.0962*testdata[[#This Row],[smooth]]+0.5769*I306-0.5769*I304-0.0962*I302)*(0.075*$Z307+0.54)</f>
        <v>-4.2117773895372936</v>
      </c>
      <c r="K308" s="14">
        <f t="shared" si="12"/>
        <v>-1.1959743836152839</v>
      </c>
      <c r="L308" s="14">
        <f>(0.0962*testdata[[#This Row],[detrender]]+0.5769*J306-0.5769*J304-0.0962*J302)*(0.075*$Z307+0.54)</f>
        <v>-6.2941419491960664</v>
      </c>
      <c r="M308" s="9">
        <f>(0.0962*testdata[[#This Row],[I1]]+0.5769*K306-0.5769*K304-0.0962*K302)*(0.075*$Z307+0.54)</f>
        <v>-1.157756710916134</v>
      </c>
      <c r="N308" s="9">
        <f>(0.0962*testdata[[#This Row],[Q1]]+0.5769*L306-0.5769*L304-0.0962*L302)*(0.075*$Z307+0.54)</f>
        <v>-13.530962799819358</v>
      </c>
      <c r="O308" s="9">
        <f>testdata[[#This Row],[I1]]-testdata[[#This Row],[JQ]]</f>
        <v>12.334988416204075</v>
      </c>
      <c r="P308" s="9">
        <f>testdata[[#This Row],[Q1]]+testdata[[#This Row],[jI]]</f>
        <v>-7.4518986601122004</v>
      </c>
      <c r="Q308" s="9">
        <f>0.2*testdata[[#This Row],[I2]]+0.8*Q307</f>
        <v>5.4915296428685085</v>
      </c>
      <c r="R308" s="9">
        <f>0.2*testdata[[#This Row],[Q2]]+0.8*R307</f>
        <v>7.6015185217945813E-3</v>
      </c>
      <c r="S308" s="9">
        <f>testdata[[#This Row],[I2'']]*Q307+testdata[[#This Row],[Q2'']]*R307</f>
        <v>20.775867305399963</v>
      </c>
      <c r="T308" s="9">
        <f>testdata[[#This Row],[I2'']]*R307-testdata[[#This Row],[Q2'']]*Q307</f>
        <v>10.254021757642542</v>
      </c>
      <c r="U308" s="9">
        <f>0.2*testdata[[#This Row],[Re]]+0.8*U307</f>
        <v>47.098773598474587</v>
      </c>
      <c r="V308" s="9">
        <f>0.2*testdata[[#This Row],[Im]]+0.8*V307</f>
        <v>19.874343277258426</v>
      </c>
      <c r="W308" s="9">
        <f>IF(AND(testdata[[#This Row],[Re'']]&lt;&gt;0,testdata[[#This Row],[Im'']]&lt;&gt;0),2*PI()/ATAN(testdata[[#This Row],[Im'']]/testdata[[#This Row],[Re'']]),0)</f>
        <v>15.73539229022971</v>
      </c>
      <c r="X308" s="9">
        <f>IF(testdata[[#This Row],[pd-atan]]&gt;1.5*Z307,1.5*Z307,IF(testdata[[#This Row],[pd-atan]]&lt;0.67*Z307,0.67*Z307,testdata[[#This Row],[pd-atan]]))</f>
        <v>15.73539229022971</v>
      </c>
      <c r="Y308" s="9">
        <f>IF(testdata[[#This Row],[pd-limit1]]&lt;6,6,IF(testdata[[#This Row],[pd-limit1]]&gt;50,50,testdata[[#This Row],[pd-limit1]]))</f>
        <v>15.73539229022971</v>
      </c>
      <c r="Z308" s="14">
        <f>0.2*testdata[[#This Row],[pd-limit2]]+0.8*Z307</f>
        <v>17.727668457518437</v>
      </c>
      <c r="AA308" s="14">
        <f>0.33*testdata[[#This Row],[period]]+0.67*AA307</f>
        <v>18.676336735830986</v>
      </c>
      <c r="AB308" s="31">
        <f>TRUNC(testdata[[#This Row],[SmPd]]+0.5,0)</f>
        <v>19</v>
      </c>
      <c r="AC308" s="14">
        <f ca="1">IF(testdata[[#This Row],[PdInt]]&lt;=0,0,AVERAGE(OFFSET(testdata[[#This Row],[price]],0,0,-testdata[[#This Row],[PdInt]],1)))</f>
        <v>263.49526315789478</v>
      </c>
      <c r="AD308" s="14">
        <f ca="1">IF(testdata[[#This Row],[i]]&lt;11,testdata[[#This Row],[price]],(4*testdata[[#This Row],[iTrend]]+3*AC307+2*AC306+AC305)/10)</f>
        <v>263.62837236842108</v>
      </c>
      <c r="AE308" s="14">
        <f>(4*testdata[[#This Row],[price]]+3*H307+2*H306+H305)/10</f>
        <v>260.4085</v>
      </c>
      <c r="AF308" t="str">
        <f ca="1">IF(OR(ROUND(testdata[[#This Row],[Trendline]],4)&lt;&gt;Table3[[#This Row],[Trendline]],ROUND(testdata[[#This Row],[SmPrice]],4)&lt;&gt;Table3[[#This Row],[SmPrice]]),"ERR","")</f>
        <v/>
      </c>
      <c r="AG308" s="3">
        <v>43181</v>
      </c>
      <c r="AH308" s="14">
        <v>18.676300000000001</v>
      </c>
      <c r="AI308" s="34">
        <v>19</v>
      </c>
      <c r="AJ308" s="14">
        <v>263.49529999999999</v>
      </c>
      <c r="AK308" s="14">
        <v>263.6284</v>
      </c>
      <c r="AL308" s="14">
        <v>260.4085</v>
      </c>
      <c r="AN308" s="38">
        <f t="shared" si="13"/>
        <v>0</v>
      </c>
      <c r="AO308" s="38">
        <f t="shared" si="14"/>
        <v>0</v>
      </c>
      <c r="AQ308" s="37">
        <v>43181</v>
      </c>
      <c r="AR308">
        <v>19</v>
      </c>
      <c r="AS308">
        <v>263.62837236842103</v>
      </c>
      <c r="AT308">
        <v>260.4085</v>
      </c>
      <c r="AV308" s="37">
        <v>43181</v>
      </c>
      <c r="AW308">
        <v>19</v>
      </c>
      <c r="AX308">
        <v>263.62837236842103</v>
      </c>
      <c r="AY308">
        <v>260.4085</v>
      </c>
      <c r="BA308" s="38">
        <f>AX308-Table3[[#This Row],[Trendline]]</f>
        <v>-2.7631578973341675E-5</v>
      </c>
      <c r="BB308" s="38">
        <f>AY308-Table3[[#This Row],[SmPrice]]</f>
        <v>0</v>
      </c>
    </row>
    <row r="309" spans="1:54" x14ac:dyDescent="0.35">
      <c r="A309" s="6">
        <v>307</v>
      </c>
      <c r="B309" s="3">
        <v>43182</v>
      </c>
      <c r="C309" s="2">
        <v>255.45</v>
      </c>
      <c r="D309" s="2">
        <v>256.27</v>
      </c>
      <c r="E309" s="2">
        <v>249.32</v>
      </c>
      <c r="F309" s="2">
        <v>249.53</v>
      </c>
      <c r="G309" s="1">
        <v>189801520</v>
      </c>
      <c r="H309" s="30">
        <f>(testdata[[#This Row],[high]]+testdata[[#This Row],[low]])/2</f>
        <v>252.79499999999999</v>
      </c>
      <c r="I309" s="23">
        <f>(4*testdata[[#This Row],[price]]+3*H308+2*H307+H306)/10</f>
        <v>257.06549999999999</v>
      </c>
      <c r="J309" s="9">
        <f>(0.0962*testdata[[#This Row],[smooth]]+0.5769*I307-0.5769*I305-0.0962*I303)*(0.075*$Z308+0.54)</f>
        <v>-3.4545997179612802</v>
      </c>
      <c r="K309" s="14">
        <f t="shared" si="12"/>
        <v>-2.1671325777404835</v>
      </c>
      <c r="L309" s="14">
        <f>(0.0962*testdata[[#This Row],[detrender]]+0.5769*J307-0.5769*J305-0.0962*J303)*(0.075*$Z308+0.54)</f>
        <v>-3.6428518008395994</v>
      </c>
      <c r="M309" s="9">
        <f>(0.0962*testdata[[#This Row],[I1]]+0.5769*K307-0.5769*K305-0.0962*K303)*(0.075*$Z308+0.54)</f>
        <v>-5.8996205616630508</v>
      </c>
      <c r="N309" s="9">
        <f>(0.0962*testdata[[#This Row],[Q1]]+0.5769*L307-0.5769*L305-0.0962*L303)*(0.075*$Z308+0.54)</f>
        <v>-9.5299310480757171</v>
      </c>
      <c r="O309" s="9">
        <f>testdata[[#This Row],[I1]]-testdata[[#This Row],[JQ]]</f>
        <v>7.3627984703352336</v>
      </c>
      <c r="P309" s="9">
        <f>testdata[[#This Row],[Q1]]+testdata[[#This Row],[jI]]</f>
        <v>-9.5424723625026502</v>
      </c>
      <c r="Q309" s="9">
        <f>0.2*testdata[[#This Row],[I2]]+0.8*Q308</f>
        <v>5.8657834083618541</v>
      </c>
      <c r="R309" s="9">
        <f>0.2*testdata[[#This Row],[Q2]]+0.8*R308</f>
        <v>-1.9024132576830945</v>
      </c>
      <c r="S309" s="9">
        <f>testdata[[#This Row],[I2'']]*Q308+testdata[[#This Row],[Q2'']]*R308</f>
        <v>32.197662236051009</v>
      </c>
      <c r="T309" s="9">
        <f>testdata[[#This Row],[I2'']]*R308-testdata[[#This Row],[Q2'']]*Q308</f>
        <v>10.491747658776259</v>
      </c>
      <c r="U309" s="9">
        <f>0.2*testdata[[#This Row],[Re]]+0.8*U308</f>
        <v>44.118551325989877</v>
      </c>
      <c r="V309" s="9">
        <f>0.2*testdata[[#This Row],[Im]]+0.8*V308</f>
        <v>17.997824153561993</v>
      </c>
      <c r="W309" s="9">
        <f>IF(AND(testdata[[#This Row],[Re'']]&lt;&gt;0,testdata[[#This Row],[Im'']]&lt;&gt;0),2*PI()/ATAN(testdata[[#This Row],[Im'']]/testdata[[#This Row],[Re'']]),0)</f>
        <v>16.221604241589866</v>
      </c>
      <c r="X309" s="9">
        <f>IF(testdata[[#This Row],[pd-atan]]&gt;1.5*Z308,1.5*Z308,IF(testdata[[#This Row],[pd-atan]]&lt;0.67*Z308,0.67*Z308,testdata[[#This Row],[pd-atan]]))</f>
        <v>16.221604241589866</v>
      </c>
      <c r="Y309" s="9">
        <f>IF(testdata[[#This Row],[pd-limit1]]&lt;6,6,IF(testdata[[#This Row],[pd-limit1]]&gt;50,50,testdata[[#This Row],[pd-limit1]]))</f>
        <v>16.221604241589866</v>
      </c>
      <c r="Z309" s="14">
        <f>0.2*testdata[[#This Row],[pd-limit2]]+0.8*Z308</f>
        <v>17.426455614332724</v>
      </c>
      <c r="AA309" s="14">
        <f>0.33*testdata[[#This Row],[period]]+0.67*AA308</f>
        <v>18.26387596573656</v>
      </c>
      <c r="AB309" s="31">
        <f>TRUNC(testdata[[#This Row],[SmPd]]+0.5,0)</f>
        <v>18</v>
      </c>
      <c r="AC309" s="14">
        <f ca="1">IF(testdata[[#This Row],[PdInt]]&lt;=0,0,AVERAGE(OFFSET(testdata[[#This Row],[price]],0,0,-testdata[[#This Row],[PdInt]],1)))</f>
        <v>262.57416666666666</v>
      </c>
      <c r="AD309" s="14">
        <f ca="1">IF(testdata[[#This Row],[i]]&lt;11,testdata[[#This Row],[price]],(4*testdata[[#This Row],[iTrend]]+3*AC308+2*AC307+AC306)/10)</f>
        <v>263.2004903508772</v>
      </c>
      <c r="AE309" s="14">
        <f>(4*testdata[[#This Row],[price]]+3*H308+2*H307+H306)/10</f>
        <v>257.06549999999999</v>
      </c>
      <c r="AF309" t="str">
        <f ca="1">IF(OR(ROUND(testdata[[#This Row],[Trendline]],4)&lt;&gt;Table3[[#This Row],[Trendline]],ROUND(testdata[[#This Row],[SmPrice]],4)&lt;&gt;Table3[[#This Row],[SmPrice]]),"ERR","")</f>
        <v/>
      </c>
      <c r="AG309" s="3">
        <v>43182</v>
      </c>
      <c r="AH309" s="14">
        <v>18.2639</v>
      </c>
      <c r="AI309" s="34">
        <v>18</v>
      </c>
      <c r="AJ309" s="14">
        <v>262.57420000000002</v>
      </c>
      <c r="AK309" s="14">
        <v>263.20049999999998</v>
      </c>
      <c r="AL309" s="14">
        <v>257.06549999999999</v>
      </c>
      <c r="AN309" s="38">
        <f t="shared" si="13"/>
        <v>0</v>
      </c>
      <c r="AO309" s="38">
        <f t="shared" si="14"/>
        <v>0</v>
      </c>
      <c r="AQ309" s="37">
        <v>43182</v>
      </c>
      <c r="AR309">
        <v>18</v>
      </c>
      <c r="AS309">
        <v>263.20049035087698</v>
      </c>
      <c r="AT309">
        <v>257.06549999999999</v>
      </c>
      <c r="AV309" s="37">
        <v>43182</v>
      </c>
      <c r="AW309">
        <v>18</v>
      </c>
      <c r="AX309">
        <v>263.20049035087698</v>
      </c>
      <c r="AY309">
        <v>257.06549999999999</v>
      </c>
      <c r="BA309" s="38">
        <f>AX309-Table3[[#This Row],[Trendline]]</f>
        <v>-9.6491230010542495E-6</v>
      </c>
      <c r="BB309" s="38">
        <f>AY309-Table3[[#This Row],[SmPrice]]</f>
        <v>0</v>
      </c>
    </row>
    <row r="310" spans="1:54" x14ac:dyDescent="0.35">
      <c r="A310" s="6">
        <v>308</v>
      </c>
      <c r="B310" s="3">
        <v>43185</v>
      </c>
      <c r="C310" s="2">
        <v>253.48</v>
      </c>
      <c r="D310" s="2">
        <v>256.67</v>
      </c>
      <c r="E310" s="2">
        <v>250.84</v>
      </c>
      <c r="F310" s="2">
        <v>256.36</v>
      </c>
      <c r="G310" s="1">
        <v>146803168</v>
      </c>
      <c r="H310" s="30">
        <f>(testdata[[#This Row],[high]]+testdata[[#This Row],[low]])/2</f>
        <v>253.755</v>
      </c>
      <c r="I310" s="23">
        <f>(4*testdata[[#This Row],[price]]+3*H309+2*H308+H307)/10</f>
        <v>255.08149999999995</v>
      </c>
      <c r="J310" s="9">
        <f>(0.0962*testdata[[#This Row],[smooth]]+0.5769*I308-0.5769*I306-0.0962*I304)*(0.075*$Z309+0.54)</f>
        <v>-4.9314516154368704</v>
      </c>
      <c r="K310" s="14">
        <f t="shared" si="12"/>
        <v>-3.1791289744280635</v>
      </c>
      <c r="L310" s="14">
        <f>(0.0962*testdata[[#This Row],[detrender]]+0.5769*J308-0.5769*J306-0.0962*J304)*(0.075*$Z309+0.54)</f>
        <v>-3.3741565312629516</v>
      </c>
      <c r="M310" s="9">
        <f>(0.0962*testdata[[#This Row],[I1]]+0.5769*K308-0.5769*K306-0.0962*K304)*(0.075*$Z309+0.54)</f>
        <v>-8.0286773008826788</v>
      </c>
      <c r="N310" s="9">
        <f>(0.0962*testdata[[#This Row],[Q1]]+0.5769*L308-0.5769*L306-0.0962*L304)*(0.075*$Z309+0.54)</f>
        <v>-1.2997926987098727</v>
      </c>
      <c r="O310" s="9">
        <f>testdata[[#This Row],[I1]]-testdata[[#This Row],[JQ]]</f>
        <v>-1.8793362757181908</v>
      </c>
      <c r="P310" s="9">
        <f>testdata[[#This Row],[Q1]]+testdata[[#This Row],[jI]]</f>
        <v>-11.40283383214563</v>
      </c>
      <c r="Q310" s="9">
        <f>0.2*testdata[[#This Row],[I2]]+0.8*Q309</f>
        <v>4.3167594715458453</v>
      </c>
      <c r="R310" s="9">
        <f>0.2*testdata[[#This Row],[Q2]]+0.8*R309</f>
        <v>-3.8024973725756022</v>
      </c>
      <c r="S310" s="9">
        <f>testdata[[#This Row],[I2'']]*Q309+testdata[[#This Row],[Q2'']]*R309</f>
        <v>32.555097499975467</v>
      </c>
      <c r="T310" s="9">
        <f>testdata[[#This Row],[I2'']]*R309-testdata[[#This Row],[Q2'']]*Q309</f>
        <v>14.092365549495627</v>
      </c>
      <c r="U310" s="9">
        <f>0.2*testdata[[#This Row],[Re]]+0.8*U309</f>
        <v>41.805860560786996</v>
      </c>
      <c r="V310" s="9">
        <f>0.2*testdata[[#This Row],[Im]]+0.8*V309</f>
        <v>17.216732432748721</v>
      </c>
      <c r="W310" s="9">
        <f>IF(AND(testdata[[#This Row],[Re'']]&lt;&gt;0,testdata[[#This Row],[Im'']]&lt;&gt;0),2*PI()/ATAN(testdata[[#This Row],[Im'']]/testdata[[#This Row],[Re'']]),0)</f>
        <v>16.083542562685938</v>
      </c>
      <c r="X310" s="9">
        <f>IF(testdata[[#This Row],[pd-atan]]&gt;1.5*Z309,1.5*Z309,IF(testdata[[#This Row],[pd-atan]]&lt;0.67*Z309,0.67*Z309,testdata[[#This Row],[pd-atan]]))</f>
        <v>16.083542562685938</v>
      </c>
      <c r="Y310" s="9">
        <f>IF(testdata[[#This Row],[pd-limit1]]&lt;6,6,IF(testdata[[#This Row],[pd-limit1]]&gt;50,50,testdata[[#This Row],[pd-limit1]]))</f>
        <v>16.083542562685938</v>
      </c>
      <c r="Z310" s="14">
        <f>0.2*testdata[[#This Row],[pd-limit2]]+0.8*Z309</f>
        <v>17.157873004003367</v>
      </c>
      <c r="AA310" s="14">
        <f>0.33*testdata[[#This Row],[period]]+0.67*AA309</f>
        <v>17.898894988364606</v>
      </c>
      <c r="AB310" s="31">
        <f>TRUNC(testdata[[#This Row],[SmPd]]+0.5,0)</f>
        <v>18</v>
      </c>
      <c r="AC310" s="14">
        <f ca="1">IF(testdata[[#This Row],[PdInt]]&lt;=0,0,AVERAGE(OFFSET(testdata[[#This Row],[price]],0,0,-testdata[[#This Row],[PdInt]],1)))</f>
        <v>262.0244444444445</v>
      </c>
      <c r="AD310" s="14">
        <f ca="1">IF(testdata[[#This Row],[i]]&lt;11,testdata[[#This Row],[price]],(4*testdata[[#This Row],[iTrend]]+3*AC309+2*AC308+AC307)/10)</f>
        <v>262.66002777777783</v>
      </c>
      <c r="AE310" s="14">
        <f>(4*testdata[[#This Row],[price]]+3*H309+2*H308+H307)/10</f>
        <v>255.08149999999995</v>
      </c>
      <c r="AF310" t="str">
        <f ca="1">IF(OR(ROUND(testdata[[#This Row],[Trendline]],4)&lt;&gt;Table3[[#This Row],[Trendline]],ROUND(testdata[[#This Row],[SmPrice]],4)&lt;&gt;Table3[[#This Row],[SmPrice]]),"ERR","")</f>
        <v/>
      </c>
      <c r="AG310" s="3">
        <v>43185</v>
      </c>
      <c r="AH310" s="14">
        <v>17.898900000000001</v>
      </c>
      <c r="AI310" s="34">
        <v>18</v>
      </c>
      <c r="AJ310" s="14">
        <v>262.02440000000001</v>
      </c>
      <c r="AK310" s="14">
        <v>262.66000000000003</v>
      </c>
      <c r="AL310" s="14">
        <v>255.08150000000001</v>
      </c>
      <c r="AN310" s="38">
        <f t="shared" si="13"/>
        <v>0</v>
      </c>
      <c r="AO310" s="38">
        <f t="shared" si="14"/>
        <v>0</v>
      </c>
      <c r="AQ310" s="37">
        <v>43185</v>
      </c>
      <c r="AR310">
        <v>18</v>
      </c>
      <c r="AS310">
        <v>262.66002777777697</v>
      </c>
      <c r="AT310">
        <v>255.08149999999901</v>
      </c>
      <c r="AV310" s="37">
        <v>43185</v>
      </c>
      <c r="AW310">
        <v>18</v>
      </c>
      <c r="AX310">
        <v>262.66002777777697</v>
      </c>
      <c r="AY310">
        <v>255.08149999999901</v>
      </c>
      <c r="BA310" s="38">
        <f>AX310-Table3[[#This Row],[Trendline]]</f>
        <v>2.7777776949733379E-5</v>
      </c>
      <c r="BB310" s="38">
        <f>AY310-Table3[[#This Row],[SmPrice]]</f>
        <v>-9.9475983006414026E-13</v>
      </c>
    </row>
    <row r="311" spans="1:54" x14ac:dyDescent="0.35">
      <c r="A311" s="6">
        <v>309</v>
      </c>
      <c r="B311" s="3">
        <v>43186</v>
      </c>
      <c r="C311" s="2">
        <v>257.38</v>
      </c>
      <c r="D311" s="2">
        <v>257.95999999999998</v>
      </c>
      <c r="E311" s="2">
        <v>250.29</v>
      </c>
      <c r="F311" s="2">
        <v>252</v>
      </c>
      <c r="G311" s="1">
        <v>134378272</v>
      </c>
      <c r="H311" s="30">
        <f>(testdata[[#This Row],[high]]+testdata[[#This Row],[low]])/2</f>
        <v>254.125</v>
      </c>
      <c r="I311" s="23">
        <f>(4*testdata[[#This Row],[price]]+3*H310+2*H309+H308)/10</f>
        <v>254.06799999999998</v>
      </c>
      <c r="J311" s="9">
        <f>(0.0962*testdata[[#This Row],[smooth]]+0.5769*I309-0.5769*I307-0.0962*I305)*(0.075*$Z310+0.54)</f>
        <v>-7.8370745749436317</v>
      </c>
      <c r="K311" s="14">
        <f t="shared" si="12"/>
        <v>-4.2117773895372936</v>
      </c>
      <c r="L311" s="14">
        <f>(0.0962*testdata[[#This Row],[detrender]]+0.5769*J309-0.5769*J307-0.0962*J305)*(0.075*$Z310+0.54)</f>
        <v>-1.4574403795351476</v>
      </c>
      <c r="M311" s="9">
        <f>(0.0962*testdata[[#This Row],[I1]]+0.5769*K309-0.5769*K307-0.0962*K305)*(0.075*$Z310+0.54)</f>
        <v>-6.0297920668638989</v>
      </c>
      <c r="N311" s="9">
        <f>(0.0962*testdata[[#This Row],[Q1]]+0.5769*L309-0.5769*L307-0.0962*L305)*(0.075*$Z310+0.54)</f>
        <v>5.0500110474485744</v>
      </c>
      <c r="O311" s="9">
        <f>testdata[[#This Row],[I1]]-testdata[[#This Row],[JQ]]</f>
        <v>-9.2617884369858672</v>
      </c>
      <c r="P311" s="9">
        <f>testdata[[#This Row],[Q1]]+testdata[[#This Row],[jI]]</f>
        <v>-7.4872324463990463</v>
      </c>
      <c r="Q311" s="9">
        <f>0.2*testdata[[#This Row],[I2]]+0.8*Q310</f>
        <v>1.6010498898395031</v>
      </c>
      <c r="R311" s="9">
        <f>0.2*testdata[[#This Row],[Q2]]+0.8*R310</f>
        <v>-4.539444387340291</v>
      </c>
      <c r="S311" s="9">
        <f>testdata[[#This Row],[I2'']]*Q310+testdata[[#This Row],[Q2'']]*R310</f>
        <v>24.172572632196626</v>
      </c>
      <c r="T311" s="9">
        <f>testdata[[#This Row],[I2'']]*R310-testdata[[#This Row],[Q2'']]*Q310</f>
        <v>13.50770155512966</v>
      </c>
      <c r="U311" s="9">
        <f>0.2*testdata[[#This Row],[Re]]+0.8*U310</f>
        <v>38.279202975068927</v>
      </c>
      <c r="V311" s="9">
        <f>0.2*testdata[[#This Row],[Im]]+0.8*V310</f>
        <v>16.474926257224912</v>
      </c>
      <c r="W311" s="9">
        <f>IF(AND(testdata[[#This Row],[Re'']]&lt;&gt;0,testdata[[#This Row],[Im'']]&lt;&gt;0),2*PI()/ATAN(testdata[[#This Row],[Im'']]/testdata[[#This Row],[Re'']]),0)</f>
        <v>15.459611073494791</v>
      </c>
      <c r="X311" s="9">
        <f>IF(testdata[[#This Row],[pd-atan]]&gt;1.5*Z310,1.5*Z310,IF(testdata[[#This Row],[pd-atan]]&lt;0.67*Z310,0.67*Z310,testdata[[#This Row],[pd-atan]]))</f>
        <v>15.459611073494791</v>
      </c>
      <c r="Y311" s="9">
        <f>IF(testdata[[#This Row],[pd-limit1]]&lt;6,6,IF(testdata[[#This Row],[pd-limit1]]&gt;50,50,testdata[[#This Row],[pd-limit1]]))</f>
        <v>15.459611073494791</v>
      </c>
      <c r="Z311" s="14">
        <f>0.2*testdata[[#This Row],[pd-limit2]]+0.8*Z310</f>
        <v>16.818220617901652</v>
      </c>
      <c r="AA311" s="14">
        <f>0.33*testdata[[#This Row],[period]]+0.67*AA310</f>
        <v>17.542272446111831</v>
      </c>
      <c r="AB311" s="31">
        <f>TRUNC(testdata[[#This Row],[SmPd]]+0.5,0)</f>
        <v>18</v>
      </c>
      <c r="AC311" s="14">
        <f ca="1">IF(testdata[[#This Row],[PdInt]]&lt;=0,0,AVERAGE(OFFSET(testdata[[#This Row],[price]],0,0,-testdata[[#This Row],[PdInt]],1)))</f>
        <v>261.71777777777777</v>
      </c>
      <c r="AD311" s="14">
        <f ca="1">IF(testdata[[#This Row],[i]]&lt;11,testdata[[#This Row],[price]],(4*testdata[[#This Row],[iTrend]]+3*AC310+2*AC309+AC308)/10)</f>
        <v>262.15880409356726</v>
      </c>
      <c r="AE311" s="14">
        <f>(4*testdata[[#This Row],[price]]+3*H310+2*H309+H308)/10</f>
        <v>254.06799999999998</v>
      </c>
      <c r="AF311" t="str">
        <f ca="1">IF(OR(ROUND(testdata[[#This Row],[Trendline]],4)&lt;&gt;Table3[[#This Row],[Trendline]],ROUND(testdata[[#This Row],[SmPrice]],4)&lt;&gt;Table3[[#This Row],[SmPrice]]),"ERR","")</f>
        <v/>
      </c>
      <c r="AG311" s="3">
        <v>43186</v>
      </c>
      <c r="AH311" s="14">
        <v>17.542300000000001</v>
      </c>
      <c r="AI311" s="34">
        <v>18</v>
      </c>
      <c r="AJ311" s="14">
        <v>261.71780000000001</v>
      </c>
      <c r="AK311" s="14">
        <v>262.15879999999999</v>
      </c>
      <c r="AL311" s="14">
        <v>254.06800000000001</v>
      </c>
      <c r="AN311" s="38">
        <f t="shared" si="13"/>
        <v>0</v>
      </c>
      <c r="AO311" s="38">
        <f t="shared" si="14"/>
        <v>0</v>
      </c>
      <c r="AQ311" s="37">
        <v>43186</v>
      </c>
      <c r="AR311">
        <v>18</v>
      </c>
      <c r="AS311">
        <v>262.15880409356703</v>
      </c>
      <c r="AT311">
        <v>254.06799999999899</v>
      </c>
      <c r="AV311" s="37">
        <v>43186</v>
      </c>
      <c r="AW311">
        <v>18</v>
      </c>
      <c r="AX311">
        <v>262.15880409356703</v>
      </c>
      <c r="AY311">
        <v>254.06799999999899</v>
      </c>
      <c r="BA311" s="38">
        <f>AX311-Table3[[#This Row],[Trendline]]</f>
        <v>4.093567042673385E-6</v>
      </c>
      <c r="BB311" s="38">
        <f>AY311-Table3[[#This Row],[SmPrice]]</f>
        <v>-1.0231815394945443E-12</v>
      </c>
    </row>
    <row r="312" spans="1:54" x14ac:dyDescent="0.35">
      <c r="A312" s="6">
        <v>310</v>
      </c>
      <c r="B312" s="3">
        <v>43187</v>
      </c>
      <c r="C312" s="2">
        <v>252.14</v>
      </c>
      <c r="D312" s="2">
        <v>253.97</v>
      </c>
      <c r="E312" s="2">
        <v>250.04</v>
      </c>
      <c r="F312" s="2">
        <v>251.25</v>
      </c>
      <c r="G312" s="1">
        <v>151452896</v>
      </c>
      <c r="H312" s="30">
        <f>(testdata[[#This Row],[high]]+testdata[[#This Row],[low]])/2</f>
        <v>252.005</v>
      </c>
      <c r="I312" s="23">
        <f>(4*testdata[[#This Row],[price]]+3*H311+2*H310+H309)/10</f>
        <v>253.07</v>
      </c>
      <c r="J312" s="9">
        <f>(0.0962*testdata[[#This Row],[smooth]]+0.5769*I310-0.5769*I308-0.0962*I306)*(0.075*$Z311+0.54)</f>
        <v>-7.2965908340304217</v>
      </c>
      <c r="K312" s="14">
        <f t="shared" si="12"/>
        <v>-3.4545997179612802</v>
      </c>
      <c r="L312" s="14">
        <f>(0.0962*testdata[[#This Row],[detrender]]+0.5769*J310-0.5769*J308-0.0962*J306)*(0.075*$Z311+0.54)</f>
        <v>-1.6367827917123696</v>
      </c>
      <c r="M312" s="9">
        <f>(0.0962*testdata[[#This Row],[I1]]+0.5769*K310-0.5769*K308-0.0962*K306)*(0.075*$Z311+0.54)</f>
        <v>-3.5099479271394314</v>
      </c>
      <c r="N312" s="9">
        <f>(0.0962*testdata[[#This Row],[Q1]]+0.5769*L310-0.5769*L308-0.0962*L306)*(0.075*$Z311+0.54)</f>
        <v>3.8369814548063417</v>
      </c>
      <c r="O312" s="9">
        <f>testdata[[#This Row],[I1]]-testdata[[#This Row],[JQ]]</f>
        <v>-7.2915811727676214</v>
      </c>
      <c r="P312" s="9">
        <f>testdata[[#This Row],[Q1]]+testdata[[#This Row],[jI]]</f>
        <v>-5.146730718851801</v>
      </c>
      <c r="Q312" s="9">
        <f>0.2*testdata[[#This Row],[I2]]+0.8*Q311</f>
        <v>-0.17747632268192182</v>
      </c>
      <c r="R312" s="9">
        <f>0.2*testdata[[#This Row],[Q2]]+0.8*R311</f>
        <v>-4.6609016536425933</v>
      </c>
      <c r="S312" s="9">
        <f>testdata[[#This Row],[I2'']]*Q311+testdata[[#This Row],[Q2'']]*R311</f>
        <v>20.873755404693938</v>
      </c>
      <c r="T312" s="9">
        <f>testdata[[#This Row],[I2'']]*R311-testdata[[#This Row],[Q2'']]*Q311</f>
        <v>8.2679799760014774</v>
      </c>
      <c r="U312" s="9">
        <f>0.2*testdata[[#This Row],[Re]]+0.8*U311</f>
        <v>34.798113460993932</v>
      </c>
      <c r="V312" s="9">
        <f>0.2*testdata[[#This Row],[Im]]+0.8*V311</f>
        <v>14.833537000980225</v>
      </c>
      <c r="W312" s="9">
        <f>IF(AND(testdata[[#This Row],[Re'']]&lt;&gt;0,testdata[[#This Row],[Im'']]&lt;&gt;0),2*PI()/ATAN(testdata[[#This Row],[Im'']]/testdata[[#This Row],[Re'']]),0)</f>
        <v>15.592988858169914</v>
      </c>
      <c r="X312" s="9">
        <f>IF(testdata[[#This Row],[pd-atan]]&gt;1.5*Z311,1.5*Z311,IF(testdata[[#This Row],[pd-atan]]&lt;0.67*Z311,0.67*Z311,testdata[[#This Row],[pd-atan]]))</f>
        <v>15.592988858169914</v>
      </c>
      <c r="Y312" s="9">
        <f>IF(testdata[[#This Row],[pd-limit1]]&lt;6,6,IF(testdata[[#This Row],[pd-limit1]]&gt;50,50,testdata[[#This Row],[pd-limit1]]))</f>
        <v>15.592988858169914</v>
      </c>
      <c r="Z312" s="14">
        <f>0.2*testdata[[#This Row],[pd-limit2]]+0.8*Z311</f>
        <v>16.573174265955306</v>
      </c>
      <c r="AA312" s="14">
        <f>0.33*testdata[[#This Row],[period]]+0.67*AA311</f>
        <v>17.222470046660177</v>
      </c>
      <c r="AB312" s="31">
        <f>TRUNC(testdata[[#This Row],[SmPd]]+0.5,0)</f>
        <v>17</v>
      </c>
      <c r="AC312" s="14">
        <f ca="1">IF(testdata[[#This Row],[PdInt]]&lt;=0,0,AVERAGE(OFFSET(testdata[[#This Row],[price]],0,0,-testdata[[#This Row],[PdInt]],1)))</f>
        <v>261.48411764705884</v>
      </c>
      <c r="AD312" s="14">
        <f ca="1">IF(testdata[[#This Row],[i]]&lt;11,testdata[[#This Row],[price]],(4*testdata[[#This Row],[iTrend]]+3*AC311+2*AC310+AC309)/10)</f>
        <v>261.77128594771244</v>
      </c>
      <c r="AE312" s="14">
        <f>(4*testdata[[#This Row],[price]]+3*H311+2*H310+H309)/10</f>
        <v>253.07</v>
      </c>
      <c r="AF312" t="str">
        <f ca="1">IF(OR(ROUND(testdata[[#This Row],[Trendline]],4)&lt;&gt;Table3[[#This Row],[Trendline]],ROUND(testdata[[#This Row],[SmPrice]],4)&lt;&gt;Table3[[#This Row],[SmPrice]]),"ERR","")</f>
        <v/>
      </c>
      <c r="AG312" s="3">
        <v>43187</v>
      </c>
      <c r="AH312" s="14">
        <v>17.2225</v>
      </c>
      <c r="AI312" s="34">
        <v>17</v>
      </c>
      <c r="AJ312" s="14">
        <v>261.48410000000001</v>
      </c>
      <c r="AK312" s="14">
        <v>261.7713</v>
      </c>
      <c r="AL312" s="14">
        <v>253.07</v>
      </c>
      <c r="AN312" s="38">
        <f t="shared" si="13"/>
        <v>0</v>
      </c>
      <c r="AO312" s="38">
        <f t="shared" si="14"/>
        <v>0</v>
      </c>
      <c r="AQ312" s="37">
        <v>43187</v>
      </c>
      <c r="AR312">
        <v>17</v>
      </c>
      <c r="AS312">
        <v>261.77128594771199</v>
      </c>
      <c r="AT312">
        <v>253.07</v>
      </c>
      <c r="AV312" s="37">
        <v>43187</v>
      </c>
      <c r="AW312">
        <v>17</v>
      </c>
      <c r="AX312">
        <v>261.77128594771199</v>
      </c>
      <c r="AY312">
        <v>253.07</v>
      </c>
      <c r="BA312" s="38">
        <f>AX312-Table3[[#This Row],[Trendline]]</f>
        <v>-1.405228800877012E-5</v>
      </c>
      <c r="BB312" s="38">
        <f>AY312-Table3[[#This Row],[SmPrice]]</f>
        <v>0</v>
      </c>
    </row>
    <row r="313" spans="1:54" x14ac:dyDescent="0.35">
      <c r="A313" s="6">
        <v>311</v>
      </c>
      <c r="B313" s="3">
        <v>43188</v>
      </c>
      <c r="C313" s="2">
        <v>252.5</v>
      </c>
      <c r="D313" s="2">
        <v>256.5</v>
      </c>
      <c r="E313" s="2">
        <v>251.26</v>
      </c>
      <c r="F313" s="2">
        <v>254.46</v>
      </c>
      <c r="G313" s="1">
        <v>128487112</v>
      </c>
      <c r="H313" s="30">
        <f>(testdata[[#This Row],[high]]+testdata[[#This Row],[low]])/2</f>
        <v>253.88</v>
      </c>
      <c r="I313" s="23">
        <f>(4*testdata[[#This Row],[price]]+3*H312+2*H311+H310)/10</f>
        <v>253.35399999999998</v>
      </c>
      <c r="J313" s="9">
        <f>(0.0962*testdata[[#This Row],[smooth]]+0.5769*I311-0.5769*I309-0.0962*I307)*(0.075*$Z312+0.54)</f>
        <v>-4.6994256676815267</v>
      </c>
      <c r="K313" s="14">
        <f t="shared" si="12"/>
        <v>-4.9314516154368704</v>
      </c>
      <c r="L313" s="14">
        <f>(0.0962*testdata[[#This Row],[detrender]]+0.5769*J311-0.5769*J309-0.0962*J307)*(0.075*$Z312+0.54)</f>
        <v>-4.7686056705593804</v>
      </c>
      <c r="M313" s="9">
        <f>(0.0962*testdata[[#This Row],[I1]]+0.5769*K311-0.5769*K309-0.0962*K307)*(0.075*$Z312+0.54)</f>
        <v>-3.2572454791927186</v>
      </c>
      <c r="N313" s="9">
        <f>(0.0962*testdata[[#This Row],[Q1]]+0.5769*L311-0.5769*L309-0.0962*L307)*(0.075*$Z312+0.54)</f>
        <v>2.8833205432882498</v>
      </c>
      <c r="O313" s="9">
        <f>testdata[[#This Row],[I1]]-testdata[[#This Row],[JQ]]</f>
        <v>-7.8147721587251198</v>
      </c>
      <c r="P313" s="9">
        <f>testdata[[#This Row],[Q1]]+testdata[[#This Row],[jI]]</f>
        <v>-8.0258511497520999</v>
      </c>
      <c r="Q313" s="9">
        <f>0.2*testdata[[#This Row],[I2]]+0.8*Q312</f>
        <v>-1.7049354898905615</v>
      </c>
      <c r="R313" s="9">
        <f>0.2*testdata[[#This Row],[Q2]]+0.8*R312</f>
        <v>-5.333891552864495</v>
      </c>
      <c r="S313" s="9">
        <f>testdata[[#This Row],[I2'']]*Q312+testdata[[#This Row],[Q2'']]*R312</f>
        <v>25.163329640252062</v>
      </c>
      <c r="T313" s="9">
        <f>testdata[[#This Row],[I2'']]*R312-testdata[[#This Row],[Q2'']]*Q312</f>
        <v>6.9998971857983063</v>
      </c>
      <c r="U313" s="9">
        <f>0.2*testdata[[#This Row],[Re]]+0.8*U312</f>
        <v>32.87115669684556</v>
      </c>
      <c r="V313" s="9">
        <f>0.2*testdata[[#This Row],[Im]]+0.8*V312</f>
        <v>13.266809037943842</v>
      </c>
      <c r="W313" s="9">
        <f>IF(AND(testdata[[#This Row],[Re'']]&lt;&gt;0,testdata[[#This Row],[Im'']]&lt;&gt;0),2*PI()/ATAN(testdata[[#This Row],[Im'']]/testdata[[#This Row],[Re'']]),0)</f>
        <v>16.379257540398683</v>
      </c>
      <c r="X313" s="9">
        <f>IF(testdata[[#This Row],[pd-atan]]&gt;1.5*Z312,1.5*Z312,IF(testdata[[#This Row],[pd-atan]]&lt;0.67*Z312,0.67*Z312,testdata[[#This Row],[pd-atan]]))</f>
        <v>16.379257540398683</v>
      </c>
      <c r="Y313" s="9">
        <f>IF(testdata[[#This Row],[pd-limit1]]&lt;6,6,IF(testdata[[#This Row],[pd-limit1]]&gt;50,50,testdata[[#This Row],[pd-limit1]]))</f>
        <v>16.379257540398683</v>
      </c>
      <c r="Z313" s="14">
        <f>0.2*testdata[[#This Row],[pd-limit2]]+0.8*Z312</f>
        <v>16.534390920843983</v>
      </c>
      <c r="AA313" s="14">
        <f>0.33*testdata[[#This Row],[period]]+0.67*AA312</f>
        <v>16.995403935140835</v>
      </c>
      <c r="AB313" s="31">
        <f>TRUNC(testdata[[#This Row],[SmPd]]+0.5,0)</f>
        <v>17</v>
      </c>
      <c r="AC313" s="14">
        <f ca="1">IF(testdata[[#This Row],[PdInt]]&lt;=0,0,AVERAGE(OFFSET(testdata[[#This Row],[price]],0,0,-testdata[[#This Row],[PdInt]],1)))</f>
        <v>260.99205882352948</v>
      </c>
      <c r="AD313" s="14">
        <f ca="1">IF(testdata[[#This Row],[i]]&lt;11,testdata[[#This Row],[price]],(4*testdata[[#This Row],[iTrend]]+3*AC312+2*AC311+AC310)/10)</f>
        <v>261.38805882352943</v>
      </c>
      <c r="AE313" s="14">
        <f>(4*testdata[[#This Row],[price]]+3*H312+2*H311+H310)/10</f>
        <v>253.35399999999998</v>
      </c>
      <c r="AF313" t="str">
        <f ca="1">IF(OR(ROUND(testdata[[#This Row],[Trendline]],4)&lt;&gt;Table3[[#This Row],[Trendline]],ROUND(testdata[[#This Row],[SmPrice]],4)&lt;&gt;Table3[[#This Row],[SmPrice]]),"ERR","")</f>
        <v/>
      </c>
      <c r="AG313" s="3">
        <v>43188</v>
      </c>
      <c r="AH313" s="14">
        <v>16.9954</v>
      </c>
      <c r="AI313" s="34">
        <v>17</v>
      </c>
      <c r="AJ313" s="14">
        <v>260.99209999999999</v>
      </c>
      <c r="AK313" s="14">
        <v>261.38810000000001</v>
      </c>
      <c r="AL313" s="14">
        <v>253.35400000000001</v>
      </c>
      <c r="AN313" s="38">
        <f t="shared" si="13"/>
        <v>0</v>
      </c>
      <c r="AO313" s="38">
        <f t="shared" si="14"/>
        <v>0</v>
      </c>
      <c r="AQ313" s="37">
        <v>43188</v>
      </c>
      <c r="AR313">
        <v>17</v>
      </c>
      <c r="AS313">
        <v>261.38805882352898</v>
      </c>
      <c r="AT313">
        <v>253.35399999999899</v>
      </c>
      <c r="AV313" s="37">
        <v>43188</v>
      </c>
      <c r="AW313">
        <v>17</v>
      </c>
      <c r="AX313">
        <v>261.38805882352898</v>
      </c>
      <c r="AY313">
        <v>253.35399999999899</v>
      </c>
      <c r="BA313" s="38">
        <f>AX313-Table3[[#This Row],[Trendline]]</f>
        <v>-4.1176471029302775E-5</v>
      </c>
      <c r="BB313" s="38">
        <f>AY313-Table3[[#This Row],[SmPrice]]</f>
        <v>-1.0231815394945443E-12</v>
      </c>
    </row>
    <row r="314" spans="1:54" x14ac:dyDescent="0.35">
      <c r="A314" s="6">
        <v>312</v>
      </c>
      <c r="B314" s="3">
        <v>43192</v>
      </c>
      <c r="C314" s="2">
        <v>253.88</v>
      </c>
      <c r="D314" s="2">
        <v>254.44</v>
      </c>
      <c r="E314" s="2">
        <v>246.26</v>
      </c>
      <c r="F314" s="2">
        <v>248.97</v>
      </c>
      <c r="G314" s="1">
        <v>192647056</v>
      </c>
      <c r="H314" s="30">
        <f>(testdata[[#This Row],[high]]+testdata[[#This Row],[low]])/2</f>
        <v>250.35</v>
      </c>
      <c r="I314" s="23">
        <f>(4*testdata[[#This Row],[price]]+3*H313+2*H312+H311)/10</f>
        <v>252.11750000000001</v>
      </c>
      <c r="J314" s="9">
        <f>(0.0962*testdata[[#This Row],[smooth]]+0.5769*I312-0.5769*I310-0.0962*I308)*(0.075*$Z313+0.54)</f>
        <v>-3.4854461279904503</v>
      </c>
      <c r="K314" s="14">
        <f t="shared" si="12"/>
        <v>-7.8370745749436317</v>
      </c>
      <c r="L314" s="14">
        <f>(0.0962*testdata[[#This Row],[detrender]]+0.5769*J312-0.5769*J310-0.0962*J308)*(0.075*$Z313+0.54)</f>
        <v>-2.3044475157012352</v>
      </c>
      <c r="M314" s="9">
        <f>(0.0962*testdata[[#This Row],[I1]]+0.5769*K312-0.5769*K310-0.0962*K308)*(0.075*$Z313+0.54)</f>
        <v>-1.4201346606095324</v>
      </c>
      <c r="N314" s="9">
        <f>(0.0962*testdata[[#This Row],[Q1]]+0.5769*L312-0.5769*L310-0.0962*L308)*(0.075*$Z313+0.54)</f>
        <v>2.467367080546258</v>
      </c>
      <c r="O314" s="9">
        <f>testdata[[#This Row],[I1]]-testdata[[#This Row],[JQ]]</f>
        <v>-10.304441655489889</v>
      </c>
      <c r="P314" s="9">
        <f>testdata[[#This Row],[Q1]]+testdata[[#This Row],[jI]]</f>
        <v>-3.7245821763107676</v>
      </c>
      <c r="Q314" s="9">
        <f>0.2*testdata[[#This Row],[I2]]+0.8*Q313</f>
        <v>-3.4248367230104271</v>
      </c>
      <c r="R314" s="9">
        <f>0.2*testdata[[#This Row],[Q2]]+0.8*R313</f>
        <v>-5.0120296775537492</v>
      </c>
      <c r="S314" s="9">
        <f>testdata[[#This Row],[I2'']]*Q313+testdata[[#This Row],[Q2'']]*R313</f>
        <v>32.57274843595107</v>
      </c>
      <c r="T314" s="9">
        <f>testdata[[#This Row],[I2'']]*R313-testdata[[#This Row],[Q2'']]*Q313</f>
        <v>9.7225203931593001</v>
      </c>
      <c r="U314" s="9">
        <f>0.2*testdata[[#This Row],[Re]]+0.8*U313</f>
        <v>32.811475044666665</v>
      </c>
      <c r="V314" s="9">
        <f>0.2*testdata[[#This Row],[Im]]+0.8*V313</f>
        <v>12.557951308986935</v>
      </c>
      <c r="W314" s="9">
        <f>IF(AND(testdata[[#This Row],[Re'']]&lt;&gt;0,testdata[[#This Row],[Im'']]&lt;&gt;0),2*PI()/ATAN(testdata[[#This Row],[Im'']]/testdata[[#This Row],[Re'']]),0)</f>
        <v>17.18920965208239</v>
      </c>
      <c r="X314" s="9">
        <f>IF(testdata[[#This Row],[pd-atan]]&gt;1.5*Z313,1.5*Z313,IF(testdata[[#This Row],[pd-atan]]&lt;0.67*Z313,0.67*Z313,testdata[[#This Row],[pd-atan]]))</f>
        <v>17.18920965208239</v>
      </c>
      <c r="Y314" s="9">
        <f>IF(testdata[[#This Row],[pd-limit1]]&lt;6,6,IF(testdata[[#This Row],[pd-limit1]]&gt;50,50,testdata[[#This Row],[pd-limit1]]))</f>
        <v>17.18920965208239</v>
      </c>
      <c r="Z314" s="14">
        <f>0.2*testdata[[#This Row],[pd-limit2]]+0.8*Z313</f>
        <v>16.665354667091666</v>
      </c>
      <c r="AA314" s="14">
        <f>0.33*testdata[[#This Row],[period]]+0.67*AA313</f>
        <v>16.886487676684609</v>
      </c>
      <c r="AB314" s="31">
        <f>TRUNC(testdata[[#This Row],[SmPd]]+0.5,0)</f>
        <v>17</v>
      </c>
      <c r="AC314" s="14">
        <f ca="1">IF(testdata[[#This Row],[PdInt]]&lt;=0,0,AVERAGE(OFFSET(testdata[[#This Row],[price]],0,0,-testdata[[#This Row],[PdInt]],1)))</f>
        <v>260.32588235294116</v>
      </c>
      <c r="AD314" s="14">
        <f ca="1">IF(testdata[[#This Row],[i]]&lt;11,testdata[[#This Row],[price]],(4*testdata[[#This Row],[iTrend]]+3*AC313+2*AC312+AC311)/10)</f>
        <v>260.89657189542487</v>
      </c>
      <c r="AE314" s="14">
        <f>(4*testdata[[#This Row],[price]]+3*H313+2*H312+H311)/10</f>
        <v>252.11750000000001</v>
      </c>
      <c r="AF314" t="str">
        <f ca="1">IF(OR(ROUND(testdata[[#This Row],[Trendline]],4)&lt;&gt;Table3[[#This Row],[Trendline]],ROUND(testdata[[#This Row],[SmPrice]],4)&lt;&gt;Table3[[#This Row],[SmPrice]]),"ERR","")</f>
        <v/>
      </c>
      <c r="AG314" s="3">
        <v>43192</v>
      </c>
      <c r="AH314" s="14">
        <v>16.886500000000002</v>
      </c>
      <c r="AI314" s="34">
        <v>17</v>
      </c>
      <c r="AJ314" s="14">
        <v>260.32589999999999</v>
      </c>
      <c r="AK314" s="14">
        <v>260.89659999999998</v>
      </c>
      <c r="AL314" s="14">
        <v>252.11750000000001</v>
      </c>
      <c r="AN314" s="38">
        <f t="shared" si="13"/>
        <v>0</v>
      </c>
      <c r="AO314" s="38">
        <f t="shared" si="14"/>
        <v>0</v>
      </c>
      <c r="AQ314" s="37">
        <v>43192</v>
      </c>
      <c r="AR314">
        <v>17</v>
      </c>
      <c r="AS314">
        <v>260.89657189542402</v>
      </c>
      <c r="AT314">
        <v>252.11750000000001</v>
      </c>
      <c r="AV314" s="37">
        <v>43192</v>
      </c>
      <c r="AW314">
        <v>17</v>
      </c>
      <c r="AX314">
        <v>260.89657189542402</v>
      </c>
      <c r="AY314">
        <v>252.11750000000001</v>
      </c>
      <c r="BA314" s="38">
        <f>AX314-Table3[[#This Row],[Trendline]]</f>
        <v>-2.810457596069682E-5</v>
      </c>
      <c r="BB314" s="38">
        <f>AY314-Table3[[#This Row],[SmPrice]]</f>
        <v>0</v>
      </c>
    </row>
    <row r="315" spans="1:54" x14ac:dyDescent="0.35">
      <c r="A315" s="6">
        <v>313</v>
      </c>
      <c r="B315" s="3">
        <v>43193</v>
      </c>
      <c r="C315" s="2">
        <v>250.32</v>
      </c>
      <c r="D315" s="2">
        <v>252.68</v>
      </c>
      <c r="E315" s="2">
        <v>248.36</v>
      </c>
      <c r="F315" s="2">
        <v>252.16</v>
      </c>
      <c r="G315" s="1">
        <v>124052768</v>
      </c>
      <c r="H315" s="30">
        <f>(testdata[[#This Row],[high]]+testdata[[#This Row],[low]])/2</f>
        <v>250.52</v>
      </c>
      <c r="I315" s="23">
        <f>(4*testdata[[#This Row],[price]]+3*H314+2*H313+H312)/10</f>
        <v>251.28950000000003</v>
      </c>
      <c r="J315" s="9">
        <f>(0.0962*testdata[[#This Row],[smooth]]+0.5769*I313-0.5769*I311-0.0962*I309)*(0.075*$Z314+0.54)</f>
        <v>-1.7318332543433301</v>
      </c>
      <c r="K315" s="14">
        <f t="shared" si="12"/>
        <v>-7.2965908340304217</v>
      </c>
      <c r="L315" s="14">
        <f>(0.0962*testdata[[#This Row],[detrender]]+0.5769*J313-0.5769*J311-0.0962*J309)*(0.075*$Z314+0.54)</f>
        <v>3.5365587986630045</v>
      </c>
      <c r="M315" s="9">
        <f>(0.0962*testdata[[#This Row],[I1]]+0.5769*K313-0.5769*K311-0.0962*K309)*(0.075*$Z314+0.54)</f>
        <v>-1.6263653523147965</v>
      </c>
      <c r="N315" s="9">
        <f>(0.0962*testdata[[#This Row],[Q1]]+0.5769*L313-0.5769*L311-0.0962*L309)*(0.075*$Z314+0.54)</f>
        <v>-2.1828779986546478</v>
      </c>
      <c r="O315" s="9">
        <f>testdata[[#This Row],[I1]]-testdata[[#This Row],[JQ]]</f>
        <v>-5.1137128353757735</v>
      </c>
      <c r="P315" s="9">
        <f>testdata[[#This Row],[Q1]]+testdata[[#This Row],[jI]]</f>
        <v>1.910193446348208</v>
      </c>
      <c r="Q315" s="9">
        <f>0.2*testdata[[#This Row],[I2]]+0.8*Q314</f>
        <v>-3.7626119454834965</v>
      </c>
      <c r="R315" s="9">
        <f>0.2*testdata[[#This Row],[Q2]]+0.8*R314</f>
        <v>-3.6275850527733584</v>
      </c>
      <c r="S315" s="9">
        <f>testdata[[#This Row],[I2'']]*Q314+testdata[[#This Row],[Q2'']]*R314</f>
        <v>31.067895507680042</v>
      </c>
      <c r="T315" s="9">
        <f>testdata[[#This Row],[I2'']]*R314-testdata[[#This Row],[Q2'']]*Q314</f>
        <v>6.4344362312996175</v>
      </c>
      <c r="U315" s="9">
        <f>0.2*testdata[[#This Row],[Re]]+0.8*U314</f>
        <v>32.462759137269344</v>
      </c>
      <c r="V315" s="9">
        <f>0.2*testdata[[#This Row],[Im]]+0.8*V314</f>
        <v>11.333248293449472</v>
      </c>
      <c r="W315" s="9">
        <f>IF(AND(testdata[[#This Row],[Re'']]&lt;&gt;0,testdata[[#This Row],[Im'']]&lt;&gt;0),2*PI()/ATAN(testdata[[#This Row],[Im'']]/testdata[[#This Row],[Re'']]),0)</f>
        <v>18.706274288567958</v>
      </c>
      <c r="X315" s="9">
        <f>IF(testdata[[#This Row],[pd-atan]]&gt;1.5*Z314,1.5*Z314,IF(testdata[[#This Row],[pd-atan]]&lt;0.67*Z314,0.67*Z314,testdata[[#This Row],[pd-atan]]))</f>
        <v>18.706274288567958</v>
      </c>
      <c r="Y315" s="9">
        <f>IF(testdata[[#This Row],[pd-limit1]]&lt;6,6,IF(testdata[[#This Row],[pd-limit1]]&gt;50,50,testdata[[#This Row],[pd-limit1]]))</f>
        <v>18.706274288567958</v>
      </c>
      <c r="Z315" s="14">
        <f>0.2*testdata[[#This Row],[pd-limit2]]+0.8*Z314</f>
        <v>17.073538591386924</v>
      </c>
      <c r="AA315" s="14">
        <f>0.33*testdata[[#This Row],[period]]+0.67*AA314</f>
        <v>16.948214478536375</v>
      </c>
      <c r="AB315" s="31">
        <f>TRUNC(testdata[[#This Row],[SmPd]]+0.5,0)</f>
        <v>17</v>
      </c>
      <c r="AC315" s="14">
        <f ca="1">IF(testdata[[#This Row],[PdInt]]&lt;=0,0,AVERAGE(OFFSET(testdata[[#This Row],[price]],0,0,-testdata[[#This Row],[PdInt]],1)))</f>
        <v>259.57705882352946</v>
      </c>
      <c r="AD315" s="14">
        <f ca="1">IF(testdata[[#This Row],[i]]&lt;11,testdata[[#This Row],[price]],(4*testdata[[#This Row],[iTrend]]+3*AC314+2*AC313+AC312)/10)</f>
        <v>260.27541176470595</v>
      </c>
      <c r="AE315" s="14">
        <f>(4*testdata[[#This Row],[price]]+3*H314+2*H313+H312)/10</f>
        <v>251.28950000000003</v>
      </c>
      <c r="AF315" t="str">
        <f ca="1">IF(OR(ROUND(testdata[[#This Row],[Trendline]],4)&lt;&gt;Table3[[#This Row],[Trendline]],ROUND(testdata[[#This Row],[SmPrice]],4)&lt;&gt;Table3[[#This Row],[SmPrice]]),"ERR","")</f>
        <v/>
      </c>
      <c r="AG315" s="3">
        <v>43193</v>
      </c>
      <c r="AH315" s="14">
        <v>16.9482</v>
      </c>
      <c r="AI315" s="34">
        <v>17</v>
      </c>
      <c r="AJ315" s="14">
        <v>259.57709999999997</v>
      </c>
      <c r="AK315" s="14">
        <v>260.27539999999999</v>
      </c>
      <c r="AL315" s="14">
        <v>251.2895</v>
      </c>
      <c r="AN315" s="38">
        <f t="shared" si="13"/>
        <v>0</v>
      </c>
      <c r="AO315" s="38">
        <f t="shared" si="14"/>
        <v>0</v>
      </c>
      <c r="AQ315" s="37">
        <v>43193</v>
      </c>
      <c r="AR315">
        <v>17</v>
      </c>
      <c r="AS315">
        <v>260.27541176470498</v>
      </c>
      <c r="AT315">
        <v>251.2895</v>
      </c>
      <c r="AV315" s="37">
        <v>43193</v>
      </c>
      <c r="AW315">
        <v>17</v>
      </c>
      <c r="AX315">
        <v>260.27541176470498</v>
      </c>
      <c r="AY315">
        <v>251.2895</v>
      </c>
      <c r="BA315" s="38">
        <f>AX315-Table3[[#This Row],[Trendline]]</f>
        <v>1.176470499331117E-5</v>
      </c>
      <c r="BB315" s="38">
        <f>AY315-Table3[[#This Row],[SmPrice]]</f>
        <v>0</v>
      </c>
    </row>
    <row r="316" spans="1:54" x14ac:dyDescent="0.35">
      <c r="A316" s="6">
        <v>314</v>
      </c>
      <c r="B316" s="3">
        <v>43194</v>
      </c>
      <c r="C316" s="2">
        <v>248.27</v>
      </c>
      <c r="D316" s="2">
        <v>255.63</v>
      </c>
      <c r="E316" s="2">
        <v>248.13</v>
      </c>
      <c r="F316" s="2">
        <v>254.86</v>
      </c>
      <c r="G316" s="1">
        <v>127939576</v>
      </c>
      <c r="H316" s="30">
        <f>(testdata[[#This Row],[high]]+testdata[[#This Row],[low]])/2</f>
        <v>251.88</v>
      </c>
      <c r="I316" s="23">
        <f>(4*testdata[[#This Row],[price]]+3*H315+2*H314+H313)/10</f>
        <v>251.36599999999999</v>
      </c>
      <c r="J316" s="9">
        <f>(0.0962*testdata[[#This Row],[smooth]]+0.5769*I314-0.5769*I312-0.0962*I310)*(0.075*$Z315+0.54)</f>
        <v>-1.6510770227510987</v>
      </c>
      <c r="K316" s="14">
        <f t="shared" si="12"/>
        <v>-4.6994256676815267</v>
      </c>
      <c r="L316" s="14">
        <f>(0.0962*testdata[[#This Row],[detrender]]+0.5769*J314-0.5769*J312-0.0962*J310)*(0.075*$Z315+0.54)</f>
        <v>4.5771787939730491</v>
      </c>
      <c r="M316" s="9">
        <f>(0.0962*testdata[[#This Row],[I1]]+0.5769*K314-0.5769*K312-0.0962*K310)*(0.075*$Z315+0.54)</f>
        <v>-4.868972585507537</v>
      </c>
      <c r="N316" s="9">
        <f>(0.0962*testdata[[#This Row],[Q1]]+0.5769*L314-0.5769*L312-0.0962*L310)*(0.075*$Z315+0.54)</f>
        <v>0.69132739304646473</v>
      </c>
      <c r="O316" s="9">
        <f>testdata[[#This Row],[I1]]-testdata[[#This Row],[JQ]]</f>
        <v>-5.3907530607279917</v>
      </c>
      <c r="P316" s="9">
        <f>testdata[[#This Row],[Q1]]+testdata[[#This Row],[jI]]</f>
        <v>-0.29179379153448792</v>
      </c>
      <c r="Q316" s="9">
        <f>0.2*testdata[[#This Row],[I2]]+0.8*Q315</f>
        <v>-4.0882401685323959</v>
      </c>
      <c r="R316" s="9">
        <f>0.2*testdata[[#This Row],[Q2]]+0.8*R315</f>
        <v>-2.9604268005255845</v>
      </c>
      <c r="S316" s="9">
        <f>testdata[[#This Row],[I2'']]*Q315+testdata[[#This Row],[Q2'']]*R315</f>
        <v>26.121661305541721</v>
      </c>
      <c r="T316" s="9">
        <f>testdata[[#This Row],[I2'']]*R315-testdata[[#This Row],[Q2'']]*Q315</f>
        <v>3.6915016841287027</v>
      </c>
      <c r="U316" s="9">
        <f>0.2*testdata[[#This Row],[Re]]+0.8*U315</f>
        <v>31.194539570923823</v>
      </c>
      <c r="V316" s="9">
        <f>0.2*testdata[[#This Row],[Im]]+0.8*V315</f>
        <v>9.8048989715853185</v>
      </c>
      <c r="W316" s="9">
        <f>IF(AND(testdata[[#This Row],[Re'']]&lt;&gt;0,testdata[[#This Row],[Im'']]&lt;&gt;0),2*PI()/ATAN(testdata[[#This Row],[Im'']]/testdata[[#This Row],[Re'']]),0)</f>
        <v>20.631916360583858</v>
      </c>
      <c r="X316" s="9">
        <f>IF(testdata[[#This Row],[pd-atan]]&gt;1.5*Z315,1.5*Z315,IF(testdata[[#This Row],[pd-atan]]&lt;0.67*Z315,0.67*Z315,testdata[[#This Row],[pd-atan]]))</f>
        <v>20.631916360583858</v>
      </c>
      <c r="Y316" s="9">
        <f>IF(testdata[[#This Row],[pd-limit1]]&lt;6,6,IF(testdata[[#This Row],[pd-limit1]]&gt;50,50,testdata[[#This Row],[pd-limit1]]))</f>
        <v>20.631916360583858</v>
      </c>
      <c r="Z316" s="14">
        <f>0.2*testdata[[#This Row],[pd-limit2]]+0.8*Z315</f>
        <v>17.785214145226313</v>
      </c>
      <c r="AA316" s="14">
        <f>0.33*testdata[[#This Row],[period]]+0.67*AA315</f>
        <v>17.224424368544057</v>
      </c>
      <c r="AB316" s="31">
        <f>TRUNC(testdata[[#This Row],[SmPd]]+0.5,0)</f>
        <v>17</v>
      </c>
      <c r="AC316" s="14">
        <f ca="1">IF(testdata[[#This Row],[PdInt]]&lt;=0,0,AVERAGE(OFFSET(testdata[[#This Row],[price]],0,0,-testdata[[#This Row],[PdInt]],1)))</f>
        <v>258.69411764705882</v>
      </c>
      <c r="AD316" s="14">
        <f ca="1">IF(testdata[[#This Row],[i]]&lt;11,testdata[[#This Row],[price]],(4*testdata[[#This Row],[iTrend]]+3*AC315+2*AC314+AC313)/10)</f>
        <v>259.51514705882357</v>
      </c>
      <c r="AE316" s="14">
        <f>(4*testdata[[#This Row],[price]]+3*H315+2*H314+H313)/10</f>
        <v>251.36599999999999</v>
      </c>
      <c r="AF316" t="str">
        <f ca="1">IF(OR(ROUND(testdata[[#This Row],[Trendline]],4)&lt;&gt;Table3[[#This Row],[Trendline]],ROUND(testdata[[#This Row],[SmPrice]],4)&lt;&gt;Table3[[#This Row],[SmPrice]]),"ERR","")</f>
        <v/>
      </c>
      <c r="AG316" s="3">
        <v>43194</v>
      </c>
      <c r="AH316" s="14">
        <v>17.224399999999999</v>
      </c>
      <c r="AI316" s="34">
        <v>17</v>
      </c>
      <c r="AJ316" s="14">
        <v>258.69409999999999</v>
      </c>
      <c r="AK316" s="14">
        <v>259.51510000000002</v>
      </c>
      <c r="AL316" s="14">
        <v>251.36600000000001</v>
      </c>
      <c r="AN316" s="38">
        <f t="shared" si="13"/>
        <v>0</v>
      </c>
      <c r="AO316" s="38">
        <f t="shared" si="14"/>
        <v>0</v>
      </c>
      <c r="AQ316" s="37">
        <v>43194</v>
      </c>
      <c r="AR316">
        <v>17</v>
      </c>
      <c r="AS316">
        <v>259.515147058823</v>
      </c>
      <c r="AT316">
        <v>251.36599999999899</v>
      </c>
      <c r="AV316" s="37">
        <v>43194</v>
      </c>
      <c r="AW316">
        <v>17</v>
      </c>
      <c r="AX316">
        <v>259.515147058823</v>
      </c>
      <c r="AY316">
        <v>251.36599999999899</v>
      </c>
      <c r="BA316" s="38">
        <f>AX316-Table3[[#This Row],[Trendline]]</f>
        <v>4.7058822985945881E-5</v>
      </c>
      <c r="BB316" s="38">
        <f>AY316-Table3[[#This Row],[SmPrice]]</f>
        <v>-1.0231815394945443E-12</v>
      </c>
    </row>
    <row r="317" spans="1:54" x14ac:dyDescent="0.35">
      <c r="A317" s="6">
        <v>315</v>
      </c>
      <c r="B317" s="3">
        <v>43195</v>
      </c>
      <c r="C317" s="2">
        <v>256.77999999999997</v>
      </c>
      <c r="D317" s="2">
        <v>257.83999999999997</v>
      </c>
      <c r="E317" s="2">
        <v>255.59</v>
      </c>
      <c r="F317" s="2">
        <v>256.87</v>
      </c>
      <c r="G317" s="1">
        <v>85474776</v>
      </c>
      <c r="H317" s="30">
        <f>(testdata[[#This Row],[high]]+testdata[[#This Row],[low]])/2</f>
        <v>256.71499999999997</v>
      </c>
      <c r="I317" s="23">
        <f>(4*testdata[[#This Row],[price]]+3*H316+2*H315+H314)/10</f>
        <v>253.38899999999998</v>
      </c>
      <c r="J317" s="9">
        <f>(0.0962*testdata[[#This Row],[smooth]]+0.5769*I315-0.5769*I313-0.0962*I311)*(0.075*$Z316+0.54)</f>
        <v>-2.3542252754467476</v>
      </c>
      <c r="K317" s="14">
        <f t="shared" si="12"/>
        <v>-3.4854461279904503</v>
      </c>
      <c r="L317" s="14">
        <f>(0.0962*testdata[[#This Row],[detrender]]+0.5769*J315-0.5769*J313-0.0962*J311)*(0.075*$Z316+0.54)</f>
        <v>4.1964931426943481</v>
      </c>
      <c r="M317" s="9">
        <f>(0.0962*testdata[[#This Row],[I1]]+0.5769*K315-0.5769*K313-0.0962*K311)*(0.075*$Z316+0.54)</f>
        <v>-2.4258939215358102</v>
      </c>
      <c r="N317" s="9">
        <f>(0.0962*testdata[[#This Row],[Q1]]+0.5769*L315-0.5769*L313-0.0962*L311)*(0.075*$Z316+0.54)</f>
        <v>9.9975044857564903</v>
      </c>
      <c r="O317" s="9">
        <f>testdata[[#This Row],[I1]]-testdata[[#This Row],[JQ]]</f>
        <v>-13.48295061374694</v>
      </c>
      <c r="P317" s="9">
        <f>testdata[[#This Row],[Q1]]+testdata[[#This Row],[jI]]</f>
        <v>1.770599221158538</v>
      </c>
      <c r="Q317" s="9">
        <f>0.2*testdata[[#This Row],[I2]]+0.8*Q316</f>
        <v>-5.9671822575753044</v>
      </c>
      <c r="R317" s="9">
        <f>0.2*testdata[[#This Row],[Q2]]+0.8*R316</f>
        <v>-2.0142215961887602</v>
      </c>
      <c r="S317" s="9">
        <f>testdata[[#This Row],[I2'']]*Q316+testdata[[#This Row],[Q2'']]*R316</f>
        <v>30.358229793927812</v>
      </c>
      <c r="T317" s="9">
        <f>testdata[[#This Row],[I2'']]*R316-testdata[[#This Row],[Q2'']]*Q316</f>
        <v>9.430784641082365</v>
      </c>
      <c r="U317" s="9">
        <f>0.2*testdata[[#This Row],[Re]]+0.8*U316</f>
        <v>31.027277615524621</v>
      </c>
      <c r="V317" s="9">
        <f>0.2*testdata[[#This Row],[Im]]+0.8*V316</f>
        <v>9.7300761054847271</v>
      </c>
      <c r="W317" s="9">
        <f>IF(AND(testdata[[#This Row],[Re'']]&lt;&gt;0,testdata[[#This Row],[Im'']]&lt;&gt;0),2*PI()/ATAN(testdata[[#This Row],[Im'']]/testdata[[#This Row],[Re'']]),0)</f>
        <v>20.676235392164017</v>
      </c>
      <c r="X317" s="9">
        <f>IF(testdata[[#This Row],[pd-atan]]&gt;1.5*Z316,1.5*Z316,IF(testdata[[#This Row],[pd-atan]]&lt;0.67*Z316,0.67*Z316,testdata[[#This Row],[pd-atan]]))</f>
        <v>20.676235392164017</v>
      </c>
      <c r="Y317" s="9">
        <f>IF(testdata[[#This Row],[pd-limit1]]&lt;6,6,IF(testdata[[#This Row],[pd-limit1]]&gt;50,50,testdata[[#This Row],[pd-limit1]]))</f>
        <v>20.676235392164017</v>
      </c>
      <c r="Z317" s="14">
        <f>0.2*testdata[[#This Row],[pd-limit2]]+0.8*Z316</f>
        <v>18.363418394613856</v>
      </c>
      <c r="AA317" s="14">
        <f>0.33*testdata[[#This Row],[period]]+0.67*AA316</f>
        <v>17.60029239714709</v>
      </c>
      <c r="AB317" s="31">
        <f>TRUNC(testdata[[#This Row],[SmPd]]+0.5,0)</f>
        <v>18</v>
      </c>
      <c r="AC317" s="14">
        <f ca="1">IF(testdata[[#This Row],[PdInt]]&lt;=0,0,AVERAGE(OFFSET(testdata[[#This Row],[price]],0,0,-testdata[[#This Row],[PdInt]],1)))</f>
        <v>258.5841666666667</v>
      </c>
      <c r="AD317" s="14">
        <f ca="1">IF(testdata[[#This Row],[i]]&lt;11,testdata[[#This Row],[price]],(4*testdata[[#This Row],[iTrend]]+3*AC316+2*AC315+AC314)/10)</f>
        <v>258.98990196078432</v>
      </c>
      <c r="AE317" s="14">
        <f>(4*testdata[[#This Row],[price]]+3*H316+2*H315+H314)/10</f>
        <v>253.38899999999998</v>
      </c>
      <c r="AF317" t="str">
        <f ca="1">IF(OR(ROUND(testdata[[#This Row],[Trendline]],4)&lt;&gt;Table3[[#This Row],[Trendline]],ROUND(testdata[[#This Row],[SmPrice]],4)&lt;&gt;Table3[[#This Row],[SmPrice]]),"ERR","")</f>
        <v/>
      </c>
      <c r="AG317" s="3">
        <v>43195</v>
      </c>
      <c r="AH317" s="14">
        <v>17.600300000000001</v>
      </c>
      <c r="AI317" s="34">
        <v>18</v>
      </c>
      <c r="AJ317" s="14">
        <v>258.58420000000001</v>
      </c>
      <c r="AK317" s="14">
        <v>258.98989999999998</v>
      </c>
      <c r="AL317" s="14">
        <v>253.38900000000001</v>
      </c>
      <c r="AN317" s="38">
        <f t="shared" si="13"/>
        <v>0</v>
      </c>
      <c r="AO317" s="38">
        <f t="shared" si="14"/>
        <v>0</v>
      </c>
      <c r="AQ317" s="37">
        <v>43195</v>
      </c>
      <c r="AR317">
        <v>18</v>
      </c>
      <c r="AS317">
        <v>258.98990196078398</v>
      </c>
      <c r="AT317">
        <v>253.38899999999899</v>
      </c>
      <c r="AV317" s="37">
        <v>43195</v>
      </c>
      <c r="AW317">
        <v>18</v>
      </c>
      <c r="AX317">
        <v>258.98990196078398</v>
      </c>
      <c r="AY317">
        <v>253.38899999999899</v>
      </c>
      <c r="BA317" s="38">
        <f>AX317-Table3[[#This Row],[Trendline]]</f>
        <v>1.9607840044955083E-6</v>
      </c>
      <c r="BB317" s="38">
        <f>AY317-Table3[[#This Row],[SmPrice]]</f>
        <v>-1.0231815394945443E-12</v>
      </c>
    </row>
    <row r="318" spans="1:54" x14ac:dyDescent="0.35">
      <c r="A318" s="6">
        <v>316</v>
      </c>
      <c r="B318" s="3">
        <v>43196</v>
      </c>
      <c r="C318" s="2">
        <v>254.72</v>
      </c>
      <c r="D318" s="2">
        <v>256.36</v>
      </c>
      <c r="E318" s="2">
        <v>249.48</v>
      </c>
      <c r="F318" s="2">
        <v>251.14</v>
      </c>
      <c r="G318" s="1">
        <v>185650928</v>
      </c>
      <c r="H318" s="30">
        <f>(testdata[[#This Row],[high]]+testdata[[#This Row],[low]])/2</f>
        <v>252.92000000000002</v>
      </c>
      <c r="I318" s="23">
        <f>(4*testdata[[#This Row],[price]]+3*H317+2*H316+H315)/10</f>
        <v>253.6105</v>
      </c>
      <c r="J318" s="9">
        <f>(0.0962*testdata[[#This Row],[smooth]]+0.5769*I316-0.5769*I314-0.0962*I312)*(0.075*$Z317+0.54)</f>
        <v>-0.73151814741070165</v>
      </c>
      <c r="K318" s="14">
        <f t="shared" si="12"/>
        <v>-1.7318332543433301</v>
      </c>
      <c r="L318" s="14">
        <f>(0.0962*testdata[[#This Row],[detrender]]+0.5769*J316-0.5769*J314-0.0962*J312)*(0.075*$Z317+0.54)</f>
        <v>3.239794265773507</v>
      </c>
      <c r="M318" s="9">
        <f>(0.0962*testdata[[#This Row],[I1]]+0.5769*K316-0.5769*K314-0.0962*K312)*(0.075*$Z317+0.54)</f>
        <v>3.7881914393687341</v>
      </c>
      <c r="N318" s="9">
        <f>(0.0962*testdata[[#This Row],[Q1]]+0.5769*L316-0.5769*L314-0.0962*L312)*(0.075*$Z317+0.54)</f>
        <v>8.5109636008241552</v>
      </c>
      <c r="O318" s="9">
        <f>testdata[[#This Row],[I1]]-testdata[[#This Row],[JQ]]</f>
        <v>-10.242796855167486</v>
      </c>
      <c r="P318" s="9">
        <f>testdata[[#This Row],[Q1]]+testdata[[#This Row],[jI]]</f>
        <v>7.0279857051422407</v>
      </c>
      <c r="Q318" s="9">
        <f>0.2*testdata[[#This Row],[I2]]+0.8*Q317</f>
        <v>-6.8223051770937406</v>
      </c>
      <c r="R318" s="9">
        <f>0.2*testdata[[#This Row],[Q2]]+0.8*R317</f>
        <v>-0.20578013592255995</v>
      </c>
      <c r="S318" s="9">
        <f>testdata[[#This Row],[I2'']]*Q317+testdata[[#This Row],[Q2'']]*R317</f>
        <v>41.124425202359795</v>
      </c>
      <c r="T318" s="9">
        <f>testdata[[#This Row],[I2'']]*R317-testdata[[#This Row],[Q2'']]*Q317</f>
        <v>12.513706847454063</v>
      </c>
      <c r="U318" s="9">
        <f>0.2*testdata[[#This Row],[Re]]+0.8*U317</f>
        <v>33.046707132891655</v>
      </c>
      <c r="V318" s="9">
        <f>0.2*testdata[[#This Row],[Im]]+0.8*V317</f>
        <v>10.286802253878594</v>
      </c>
      <c r="W318" s="9">
        <f>IF(AND(testdata[[#This Row],[Re'']]&lt;&gt;0,testdata[[#This Row],[Im'']]&lt;&gt;0),2*PI()/ATAN(testdata[[#This Row],[Im'']]/testdata[[#This Row],[Re'']]),0)</f>
        <v>20.820853613048889</v>
      </c>
      <c r="X318" s="9">
        <f>IF(testdata[[#This Row],[pd-atan]]&gt;1.5*Z317,1.5*Z317,IF(testdata[[#This Row],[pd-atan]]&lt;0.67*Z317,0.67*Z317,testdata[[#This Row],[pd-atan]]))</f>
        <v>20.820853613048889</v>
      </c>
      <c r="Y318" s="9">
        <f>IF(testdata[[#This Row],[pd-limit1]]&lt;6,6,IF(testdata[[#This Row],[pd-limit1]]&gt;50,50,testdata[[#This Row],[pd-limit1]]))</f>
        <v>20.820853613048889</v>
      </c>
      <c r="Z318" s="14">
        <f>0.2*testdata[[#This Row],[pd-limit2]]+0.8*Z317</f>
        <v>18.854905438300865</v>
      </c>
      <c r="AA318" s="14">
        <f>0.33*testdata[[#This Row],[period]]+0.67*AA317</f>
        <v>18.014314700727837</v>
      </c>
      <c r="AB318" s="31">
        <f>TRUNC(testdata[[#This Row],[SmPd]]+0.5,0)</f>
        <v>18</v>
      </c>
      <c r="AC318" s="14">
        <f ca="1">IF(testdata[[#This Row],[PdInt]]&lt;=0,0,AVERAGE(OFFSET(testdata[[#This Row],[price]],0,0,-testdata[[#This Row],[PdInt]],1)))</f>
        <v>257.70694444444445</v>
      </c>
      <c r="AD318" s="14">
        <f ca="1">IF(testdata[[#This Row],[i]]&lt;11,testdata[[#This Row],[price]],(4*testdata[[#This Row],[iTrend]]+3*AC317+2*AC316+AC315)/10)</f>
        <v>258.3545571895425</v>
      </c>
      <c r="AE318" s="14">
        <f>(4*testdata[[#This Row],[price]]+3*H317+2*H316+H315)/10</f>
        <v>253.6105</v>
      </c>
      <c r="AF318" t="str">
        <f ca="1">IF(OR(ROUND(testdata[[#This Row],[Trendline]],4)&lt;&gt;Table3[[#This Row],[Trendline]],ROUND(testdata[[#This Row],[SmPrice]],4)&lt;&gt;Table3[[#This Row],[SmPrice]]),"ERR","")</f>
        <v/>
      </c>
      <c r="AG318" s="3">
        <v>43196</v>
      </c>
      <c r="AH318" s="14">
        <v>18.014299999999999</v>
      </c>
      <c r="AI318" s="34">
        <v>18</v>
      </c>
      <c r="AJ318" s="14">
        <v>257.70690000000002</v>
      </c>
      <c r="AK318" s="14">
        <v>258.3546</v>
      </c>
      <c r="AL318" s="14">
        <v>253.6105</v>
      </c>
      <c r="AN318" s="38">
        <f t="shared" si="13"/>
        <v>0</v>
      </c>
      <c r="AO318" s="38">
        <f t="shared" si="14"/>
        <v>0</v>
      </c>
      <c r="AQ318" s="37">
        <v>43196</v>
      </c>
      <c r="AR318">
        <v>18</v>
      </c>
      <c r="AS318">
        <v>258.35455718954199</v>
      </c>
      <c r="AT318">
        <v>253.6105</v>
      </c>
      <c r="AV318" s="37">
        <v>43196</v>
      </c>
      <c r="AW318">
        <v>18</v>
      </c>
      <c r="AX318">
        <v>258.35455718954199</v>
      </c>
      <c r="AY318">
        <v>253.6105</v>
      </c>
      <c r="BA318" s="38">
        <f>AX318-Table3[[#This Row],[Trendline]]</f>
        <v>-4.2810458012354502E-5</v>
      </c>
      <c r="BB318" s="38">
        <f>AY318-Table3[[#This Row],[SmPrice]]</f>
        <v>0</v>
      </c>
    </row>
    <row r="319" spans="1:54" x14ac:dyDescent="0.35">
      <c r="A319" s="6">
        <v>317</v>
      </c>
      <c r="B319" s="3">
        <v>43199</v>
      </c>
      <c r="C319" s="2">
        <v>252.74</v>
      </c>
      <c r="D319" s="2">
        <v>256.10000000000002</v>
      </c>
      <c r="E319" s="2">
        <v>251.35</v>
      </c>
      <c r="F319" s="2">
        <v>252.38</v>
      </c>
      <c r="G319" s="1">
        <v>109043264</v>
      </c>
      <c r="H319" s="30">
        <f>(testdata[[#This Row],[high]]+testdata[[#This Row],[low]])/2</f>
        <v>253.72500000000002</v>
      </c>
      <c r="I319" s="23">
        <f>(4*testdata[[#This Row],[price]]+3*H318+2*H317+H316)/10</f>
        <v>253.89700000000002</v>
      </c>
      <c r="J319" s="9">
        <f>(0.0962*testdata[[#This Row],[smooth]]+0.5769*I317-0.5769*I315-0.0962*I313)*(0.075*$Z318+0.54)</f>
        <v>2.4689071144043471</v>
      </c>
      <c r="K319" s="14">
        <f t="shared" si="12"/>
        <v>-1.6510770227510987</v>
      </c>
      <c r="L319" s="14">
        <f>(0.0962*testdata[[#This Row],[detrender]]+0.5769*J317-0.5769*J315-0.0962*J313)*(0.075*$Z318+0.54)</f>
        <v>0.64590564587382637</v>
      </c>
      <c r="M319" s="9">
        <f>(0.0962*testdata[[#This Row],[I1]]+0.5769*K317-0.5769*K315-0.0962*K313)*(0.075*$Z318+0.54)</f>
        <v>4.9130850947904463</v>
      </c>
      <c r="N319" s="9">
        <f>(0.0962*testdata[[#This Row],[Q1]]+0.5769*L317-0.5769*L315-0.0962*L313)*(0.075*$Z318+0.54)</f>
        <v>1.7618172910941481</v>
      </c>
      <c r="O319" s="9">
        <f>testdata[[#This Row],[I1]]-testdata[[#This Row],[JQ]]</f>
        <v>-3.4128943138452468</v>
      </c>
      <c r="P319" s="9">
        <f>testdata[[#This Row],[Q1]]+testdata[[#This Row],[jI]]</f>
        <v>5.5589907406642727</v>
      </c>
      <c r="Q319" s="9">
        <f>0.2*testdata[[#This Row],[I2]]+0.8*Q318</f>
        <v>-6.1404230044440427</v>
      </c>
      <c r="R319" s="9">
        <f>0.2*testdata[[#This Row],[Q2]]+0.8*R318</f>
        <v>0.94717403939480649</v>
      </c>
      <c r="S319" s="9">
        <f>testdata[[#This Row],[I2'']]*Q318+testdata[[#This Row],[Q2'']]*R318</f>
        <v>41.696930050195107</v>
      </c>
      <c r="T319" s="9">
        <f>testdata[[#This Row],[I2'']]*R318-testdata[[#This Row],[Q2'']]*Q318</f>
        <v>7.725487433048488</v>
      </c>
      <c r="U319" s="9">
        <f>0.2*testdata[[#This Row],[Re]]+0.8*U318</f>
        <v>34.776751716352351</v>
      </c>
      <c r="V319" s="9">
        <f>0.2*testdata[[#This Row],[Im]]+0.8*V318</f>
        <v>9.7745392897125747</v>
      </c>
      <c r="W319" s="9">
        <f>IF(AND(testdata[[#This Row],[Re'']]&lt;&gt;0,testdata[[#This Row],[Im'']]&lt;&gt;0),2*PI()/ATAN(testdata[[#This Row],[Im'']]/testdata[[#This Row],[Re'']]),0)</f>
        <v>22.931641874526818</v>
      </c>
      <c r="X319" s="9">
        <f>IF(testdata[[#This Row],[pd-atan]]&gt;1.5*Z318,1.5*Z318,IF(testdata[[#This Row],[pd-atan]]&lt;0.67*Z318,0.67*Z318,testdata[[#This Row],[pd-atan]]))</f>
        <v>22.931641874526818</v>
      </c>
      <c r="Y319" s="9">
        <f>IF(testdata[[#This Row],[pd-limit1]]&lt;6,6,IF(testdata[[#This Row],[pd-limit1]]&gt;50,50,testdata[[#This Row],[pd-limit1]]))</f>
        <v>22.931641874526818</v>
      </c>
      <c r="Z319" s="14">
        <f>0.2*testdata[[#This Row],[pd-limit2]]+0.8*Z318</f>
        <v>19.670252725546057</v>
      </c>
      <c r="AA319" s="14">
        <f>0.33*testdata[[#This Row],[period]]+0.67*AA318</f>
        <v>18.560774248917852</v>
      </c>
      <c r="AB319" s="31">
        <f>TRUNC(testdata[[#This Row],[SmPd]]+0.5,0)</f>
        <v>19</v>
      </c>
      <c r="AC319" s="14">
        <f ca="1">IF(testdata[[#This Row],[PdInt]]&lt;=0,0,AVERAGE(OFFSET(testdata[[#This Row],[price]],0,0,-testdata[[#This Row],[PdInt]],1)))</f>
        <v>257.49736842105267</v>
      </c>
      <c r="AD319" s="14">
        <f ca="1">IF(testdata[[#This Row],[i]]&lt;11,testdata[[#This Row],[price]],(4*testdata[[#This Row],[iTrend]]+3*AC318+2*AC317+AC316)/10)</f>
        <v>257.89727579979365</v>
      </c>
      <c r="AE319" s="14">
        <f>(4*testdata[[#This Row],[price]]+3*H318+2*H317+H316)/10</f>
        <v>253.89700000000002</v>
      </c>
      <c r="AF319" t="str">
        <f ca="1">IF(OR(ROUND(testdata[[#This Row],[Trendline]],4)&lt;&gt;Table3[[#This Row],[Trendline]],ROUND(testdata[[#This Row],[SmPrice]],4)&lt;&gt;Table3[[#This Row],[SmPrice]]),"ERR","")</f>
        <v/>
      </c>
      <c r="AG319" s="3">
        <v>43199</v>
      </c>
      <c r="AH319" s="14">
        <v>18.5608</v>
      </c>
      <c r="AI319" s="34">
        <v>19</v>
      </c>
      <c r="AJ319" s="14">
        <v>257.49740000000003</v>
      </c>
      <c r="AK319" s="14">
        <v>257.89729999999997</v>
      </c>
      <c r="AL319" s="14">
        <v>253.89699999999999</v>
      </c>
      <c r="AN319" s="38">
        <f t="shared" si="13"/>
        <v>0</v>
      </c>
      <c r="AO319" s="38">
        <f t="shared" si="14"/>
        <v>0</v>
      </c>
      <c r="AQ319" s="37">
        <v>43199</v>
      </c>
      <c r="AR319">
        <v>19</v>
      </c>
      <c r="AS319">
        <v>257.89727579979302</v>
      </c>
      <c r="AT319">
        <v>253.89699999999999</v>
      </c>
      <c r="AV319" s="37">
        <v>43199</v>
      </c>
      <c r="AW319">
        <v>19</v>
      </c>
      <c r="AX319">
        <v>257.89727579979302</v>
      </c>
      <c r="AY319">
        <v>253.89699999999999</v>
      </c>
      <c r="BA319" s="38">
        <f>AX319-Table3[[#This Row],[Trendline]]</f>
        <v>-2.4200206951263681E-5</v>
      </c>
      <c r="BB319" s="38">
        <f>AY319-Table3[[#This Row],[SmPrice]]</f>
        <v>0</v>
      </c>
    </row>
    <row r="320" spans="1:54" x14ac:dyDescent="0.35">
      <c r="A320" s="6">
        <v>318</v>
      </c>
      <c r="B320" s="3">
        <v>43200</v>
      </c>
      <c r="C320" s="2">
        <v>255.54</v>
      </c>
      <c r="D320" s="2">
        <v>257.26</v>
      </c>
      <c r="E320" s="2">
        <v>254.3</v>
      </c>
      <c r="F320" s="2">
        <v>256.39999999999998</v>
      </c>
      <c r="G320" s="1">
        <v>109178536</v>
      </c>
      <c r="H320" s="30">
        <f>(testdata[[#This Row],[high]]+testdata[[#This Row],[low]])/2</f>
        <v>255.78</v>
      </c>
      <c r="I320" s="23">
        <f>(4*testdata[[#This Row],[price]]+3*H319+2*H318+H317)/10</f>
        <v>254.68500000000003</v>
      </c>
      <c r="J320" s="9">
        <f>(0.0962*testdata[[#This Row],[smooth]]+0.5769*I318-0.5769*I316-0.0962*I314)*(0.075*$Z319+0.54)</f>
        <v>3.1072334694194019</v>
      </c>
      <c r="K320" s="14">
        <f t="shared" si="12"/>
        <v>-2.3542252754467476</v>
      </c>
      <c r="L320" s="14">
        <f>(0.0962*testdata[[#This Row],[detrender]]+0.5769*J318-0.5769*J316-0.0962*J314)*(0.075*$Z319+0.54)</f>
        <v>2.3472024780037346</v>
      </c>
      <c r="M320" s="9">
        <f>(0.0962*testdata[[#This Row],[I1]]+0.5769*K318-0.5769*K316-0.0962*K314)*(0.075*$Z319+0.54)</f>
        <v>4.5131024553080437</v>
      </c>
      <c r="N320" s="9">
        <f>(0.0962*testdata[[#This Row],[Q1]]+0.5769*L318-0.5769*L316-0.0962*L314)*(0.075*$Z319+0.54)</f>
        <v>-0.65304469017114108</v>
      </c>
      <c r="O320" s="9">
        <f>testdata[[#This Row],[I1]]-testdata[[#This Row],[JQ]]</f>
        <v>-1.7011805852756066</v>
      </c>
      <c r="P320" s="9">
        <f>testdata[[#This Row],[Q1]]+testdata[[#This Row],[jI]]</f>
        <v>6.8603049333117783</v>
      </c>
      <c r="Q320" s="9">
        <f>0.2*testdata[[#This Row],[I2]]+0.8*Q319</f>
        <v>-5.2525745206103558</v>
      </c>
      <c r="R320" s="9">
        <f>0.2*testdata[[#This Row],[Q2]]+0.8*R319</f>
        <v>2.1298002181782008</v>
      </c>
      <c r="S320" s="9">
        <f>testdata[[#This Row],[I2'']]*Q319+testdata[[#This Row],[Q2'']]*R319</f>
        <v>34.270320894668252</v>
      </c>
      <c r="T320" s="9">
        <f>testdata[[#This Row],[I2'']]*R319-testdata[[#This Row],[Q2'']]*Q319</f>
        <v>8.1027720286626135</v>
      </c>
      <c r="U320" s="9">
        <f>0.2*testdata[[#This Row],[Re]]+0.8*U319</f>
        <v>34.675465552015538</v>
      </c>
      <c r="V320" s="9">
        <f>0.2*testdata[[#This Row],[Im]]+0.8*V319</f>
        <v>9.4401858375025824</v>
      </c>
      <c r="W320" s="9">
        <f>IF(AND(testdata[[#This Row],[Re'']]&lt;&gt;0,testdata[[#This Row],[Im'']]&lt;&gt;0),2*PI()/ATAN(testdata[[#This Row],[Im'']]/testdata[[#This Row],[Re'']]),0)</f>
        <v>23.638580991013846</v>
      </c>
      <c r="X320" s="9">
        <f>IF(testdata[[#This Row],[pd-atan]]&gt;1.5*Z319,1.5*Z319,IF(testdata[[#This Row],[pd-atan]]&lt;0.67*Z319,0.67*Z319,testdata[[#This Row],[pd-atan]]))</f>
        <v>23.638580991013846</v>
      </c>
      <c r="Y320" s="9">
        <f>IF(testdata[[#This Row],[pd-limit1]]&lt;6,6,IF(testdata[[#This Row],[pd-limit1]]&gt;50,50,testdata[[#This Row],[pd-limit1]]))</f>
        <v>23.638580991013846</v>
      </c>
      <c r="Z320" s="14">
        <f>0.2*testdata[[#This Row],[pd-limit2]]+0.8*Z319</f>
        <v>20.463918378639615</v>
      </c>
      <c r="AA320" s="14">
        <f>0.33*testdata[[#This Row],[period]]+0.67*AA319</f>
        <v>19.188811811726033</v>
      </c>
      <c r="AB320" s="31">
        <f>TRUNC(testdata[[#This Row],[SmPd]]+0.5,0)</f>
        <v>19</v>
      </c>
      <c r="AC320" s="14">
        <f ca="1">IF(testdata[[#This Row],[PdInt]]&lt;=0,0,AVERAGE(OFFSET(testdata[[#This Row],[price]],0,0,-testdata[[#This Row],[PdInt]],1)))</f>
        <v>256.85631578947368</v>
      </c>
      <c r="AD320" s="14">
        <f ca="1">IF(testdata[[#This Row],[i]]&lt;11,testdata[[#This Row],[price]],(4*testdata[[#This Row],[iTrend]]+3*AC319+2*AC318+AC317)/10)</f>
        <v>257.39154239766083</v>
      </c>
      <c r="AE320" s="14">
        <f>(4*testdata[[#This Row],[price]]+3*H319+2*H318+H317)/10</f>
        <v>254.68500000000003</v>
      </c>
      <c r="AF320" t="str">
        <f ca="1">IF(OR(ROUND(testdata[[#This Row],[Trendline]],4)&lt;&gt;Table3[[#This Row],[Trendline]],ROUND(testdata[[#This Row],[SmPrice]],4)&lt;&gt;Table3[[#This Row],[SmPrice]]),"ERR","")</f>
        <v/>
      </c>
      <c r="AG320" s="3">
        <v>43200</v>
      </c>
      <c r="AH320" s="14">
        <v>19.188800000000001</v>
      </c>
      <c r="AI320" s="34">
        <v>19</v>
      </c>
      <c r="AJ320" s="14">
        <v>256.85629999999998</v>
      </c>
      <c r="AK320" s="14">
        <v>257.39150000000001</v>
      </c>
      <c r="AL320" s="14">
        <v>254.685</v>
      </c>
      <c r="AN320" s="38">
        <f t="shared" si="13"/>
        <v>0</v>
      </c>
      <c r="AO320" s="38">
        <f t="shared" si="14"/>
        <v>0</v>
      </c>
      <c r="AQ320" s="37">
        <v>43200</v>
      </c>
      <c r="AR320">
        <v>19</v>
      </c>
      <c r="AS320">
        <v>257.39154239765998</v>
      </c>
      <c r="AT320">
        <v>254.685</v>
      </c>
      <c r="AV320" s="37">
        <v>43200</v>
      </c>
      <c r="AW320">
        <v>19</v>
      </c>
      <c r="AX320">
        <v>257.39154239765998</v>
      </c>
      <c r="AY320">
        <v>254.685</v>
      </c>
      <c r="BA320" s="38">
        <f>AX320-Table3[[#This Row],[Trendline]]</f>
        <v>4.2397659967718937E-5</v>
      </c>
      <c r="BB320" s="38">
        <f>AY320-Table3[[#This Row],[SmPrice]]</f>
        <v>0</v>
      </c>
    </row>
    <row r="321" spans="1:54" x14ac:dyDescent="0.35">
      <c r="A321" s="6">
        <v>319</v>
      </c>
      <c r="B321" s="3">
        <v>43201</v>
      </c>
      <c r="C321" s="2">
        <v>254.77</v>
      </c>
      <c r="D321" s="2">
        <v>256.87</v>
      </c>
      <c r="E321" s="2">
        <v>254.69</v>
      </c>
      <c r="F321" s="2">
        <v>255.05</v>
      </c>
      <c r="G321" s="1">
        <v>94252208</v>
      </c>
      <c r="H321" s="30">
        <f>(testdata[[#This Row],[high]]+testdata[[#This Row],[low]])/2</f>
        <v>255.78</v>
      </c>
      <c r="I321" s="23">
        <f>(4*testdata[[#This Row],[price]]+3*H320+2*H319+H318)/10</f>
        <v>255.083</v>
      </c>
      <c r="J321" s="9">
        <f>(0.0962*testdata[[#This Row],[smooth]]+0.5769*I319-0.5769*I317-0.0962*I315)*(0.075*$Z320+0.54)</f>
        <v>1.3652141645065214</v>
      </c>
      <c r="K321" s="14">
        <f t="shared" si="12"/>
        <v>-0.73151814741070165</v>
      </c>
      <c r="L321" s="14">
        <f>(0.0962*testdata[[#This Row],[detrender]]+0.5769*J319-0.5769*J317-0.0962*J315)*(0.075*$Z320+0.54)</f>
        <v>6.3911972154050671</v>
      </c>
      <c r="M321" s="9">
        <f>(0.0962*testdata[[#This Row],[I1]]+0.5769*K319-0.5769*K317-0.0962*K315)*(0.075*$Z320+0.54)</f>
        <v>3.5060023173906503</v>
      </c>
      <c r="N321" s="9">
        <f>(0.0962*testdata[[#This Row],[Q1]]+0.5769*L319-0.5769*L317-0.0962*L315)*(0.075*$Z320+0.54)</f>
        <v>-3.6800986492560477</v>
      </c>
      <c r="O321" s="9">
        <f>testdata[[#This Row],[I1]]-testdata[[#This Row],[JQ]]</f>
        <v>2.9485805018453459</v>
      </c>
      <c r="P321" s="9">
        <f>testdata[[#This Row],[Q1]]+testdata[[#This Row],[jI]]</f>
        <v>9.8971995327957174</v>
      </c>
      <c r="Q321" s="9">
        <f>0.2*testdata[[#This Row],[I2]]+0.8*Q320</f>
        <v>-3.6123435161192154</v>
      </c>
      <c r="R321" s="9">
        <f>0.2*testdata[[#This Row],[Q2]]+0.8*R320</f>
        <v>3.6832800811017039</v>
      </c>
      <c r="S321" s="9">
        <f>testdata[[#This Row],[I2'']]*Q320+testdata[[#This Row],[Q2'']]*R320</f>
        <v>26.818754232801645</v>
      </c>
      <c r="T321" s="9">
        <f>testdata[[#This Row],[I2'']]*R320-testdata[[#This Row],[Q2'']]*Q320</f>
        <v>11.65313309750114</v>
      </c>
      <c r="U321" s="9">
        <f>0.2*testdata[[#This Row],[Re]]+0.8*U320</f>
        <v>33.104123288172758</v>
      </c>
      <c r="V321" s="9">
        <f>0.2*testdata[[#This Row],[Im]]+0.8*V320</f>
        <v>9.8827752895022947</v>
      </c>
      <c r="W321" s="9">
        <f>IF(AND(testdata[[#This Row],[Re'']]&lt;&gt;0,testdata[[#This Row],[Im'']]&lt;&gt;0),2*PI()/ATAN(testdata[[#This Row],[Im'']]/testdata[[#This Row],[Re'']]),0)</f>
        <v>21.657701468660715</v>
      </c>
      <c r="X321" s="9">
        <f>IF(testdata[[#This Row],[pd-atan]]&gt;1.5*Z320,1.5*Z320,IF(testdata[[#This Row],[pd-atan]]&lt;0.67*Z320,0.67*Z320,testdata[[#This Row],[pd-atan]]))</f>
        <v>21.657701468660715</v>
      </c>
      <c r="Y321" s="9">
        <f>IF(testdata[[#This Row],[pd-limit1]]&lt;6,6,IF(testdata[[#This Row],[pd-limit1]]&gt;50,50,testdata[[#This Row],[pd-limit1]]))</f>
        <v>21.657701468660715</v>
      </c>
      <c r="Z321" s="14">
        <f>0.2*testdata[[#This Row],[pd-limit2]]+0.8*Z320</f>
        <v>20.702674996643836</v>
      </c>
      <c r="AA321" s="14">
        <f>0.33*testdata[[#This Row],[period]]+0.67*AA320</f>
        <v>19.688386662748911</v>
      </c>
      <c r="AB321" s="31">
        <f>TRUNC(testdata[[#This Row],[SmPd]]+0.5,0)</f>
        <v>20</v>
      </c>
      <c r="AC321" s="14">
        <f ca="1">IF(testdata[[#This Row],[PdInt]]&lt;=0,0,AVERAGE(OFFSET(testdata[[#This Row],[price]],0,0,-testdata[[#This Row],[PdInt]],1)))</f>
        <v>256.80250000000001</v>
      </c>
      <c r="AD321" s="14">
        <f ca="1">IF(testdata[[#This Row],[i]]&lt;11,testdata[[#This Row],[price]],(4*testdata[[#This Row],[iTrend]]+3*AC320+2*AC319+AC318)/10)</f>
        <v>257.04806286549712</v>
      </c>
      <c r="AE321" s="14">
        <f>(4*testdata[[#This Row],[price]]+3*H320+2*H319+H318)/10</f>
        <v>255.083</v>
      </c>
      <c r="AF321" t="str">
        <f ca="1">IF(OR(ROUND(testdata[[#This Row],[Trendline]],4)&lt;&gt;Table3[[#This Row],[Trendline]],ROUND(testdata[[#This Row],[SmPrice]],4)&lt;&gt;Table3[[#This Row],[SmPrice]]),"ERR","")</f>
        <v/>
      </c>
      <c r="AG321" s="3">
        <v>43201</v>
      </c>
      <c r="AH321" s="14">
        <v>19.688400000000001</v>
      </c>
      <c r="AI321" s="34">
        <v>20</v>
      </c>
      <c r="AJ321" s="14">
        <v>256.80250000000001</v>
      </c>
      <c r="AK321" s="14">
        <v>257.04809999999998</v>
      </c>
      <c r="AL321" s="14">
        <v>255.083</v>
      </c>
      <c r="AN321" s="38">
        <f t="shared" si="13"/>
        <v>0</v>
      </c>
      <c r="AO321" s="38">
        <f t="shared" si="14"/>
        <v>0</v>
      </c>
      <c r="AQ321" s="37">
        <v>43201</v>
      </c>
      <c r="AR321">
        <v>20</v>
      </c>
      <c r="AS321">
        <v>257.048062865497</v>
      </c>
      <c r="AT321">
        <v>255.083</v>
      </c>
      <c r="AV321" s="37">
        <v>43201</v>
      </c>
      <c r="AW321">
        <v>20</v>
      </c>
      <c r="AX321">
        <v>257.048062865497</v>
      </c>
      <c r="AY321">
        <v>255.083</v>
      </c>
      <c r="BA321" s="38">
        <f>AX321-Table3[[#This Row],[Trendline]]</f>
        <v>-3.7134502974822681E-5</v>
      </c>
      <c r="BB321" s="38">
        <f>AY321-Table3[[#This Row],[SmPrice]]</f>
        <v>0</v>
      </c>
    </row>
    <row r="322" spans="1:54" x14ac:dyDescent="0.35">
      <c r="A322" s="6">
        <v>320</v>
      </c>
      <c r="B322" s="3">
        <v>43202</v>
      </c>
      <c r="C322" s="2">
        <v>256.5</v>
      </c>
      <c r="D322" s="2">
        <v>258.18</v>
      </c>
      <c r="E322" s="2">
        <v>256.31</v>
      </c>
      <c r="F322" s="2">
        <v>257.14999999999998</v>
      </c>
      <c r="G322" s="1">
        <v>71242736</v>
      </c>
      <c r="H322" s="30">
        <f>(testdata[[#This Row],[high]]+testdata[[#This Row],[low]])/2</f>
        <v>257.245</v>
      </c>
      <c r="I322" s="23">
        <f>(4*testdata[[#This Row],[price]]+3*H321+2*H320+H319)/10</f>
        <v>256.16050000000001</v>
      </c>
      <c r="J322" s="9">
        <f>(0.0962*testdata[[#This Row],[smooth]]+0.5769*I320-0.5769*I318-0.0962*I316)*(0.075*$Z321+0.54)</f>
        <v>2.2624394677866606</v>
      </c>
      <c r="K322" s="14">
        <f t="shared" si="12"/>
        <v>2.4689071144043471</v>
      </c>
      <c r="L322" s="14">
        <f>(0.0962*testdata[[#This Row],[detrender]]+0.5769*J320-0.5769*J318-0.0962*J316)*(0.075*$Z321+0.54)</f>
        <v>5.4223047069625823</v>
      </c>
      <c r="M322" s="9">
        <f>(0.0962*testdata[[#This Row],[I1]]+0.5769*K320-0.5769*K318-0.0962*K316)*(0.075*$Z321+0.54)</f>
        <v>0.69171217519836126</v>
      </c>
      <c r="N322" s="9">
        <f>(0.0962*testdata[[#This Row],[Q1]]+0.5769*L320-0.5769*L318-0.0962*L316)*(0.075*$Z321+0.54)</f>
        <v>-0.9074684227822315</v>
      </c>
      <c r="O322" s="9">
        <f>testdata[[#This Row],[I1]]-testdata[[#This Row],[JQ]]</f>
        <v>3.3763755371865787</v>
      </c>
      <c r="P322" s="9">
        <f>testdata[[#This Row],[Q1]]+testdata[[#This Row],[jI]]</f>
        <v>6.1140168821609437</v>
      </c>
      <c r="Q322" s="9">
        <f>0.2*testdata[[#This Row],[I2]]+0.8*Q321</f>
        <v>-2.2145997054580571</v>
      </c>
      <c r="R322" s="9">
        <f>0.2*testdata[[#This Row],[Q2]]+0.8*R321</f>
        <v>4.1694274413135517</v>
      </c>
      <c r="S322" s="9">
        <f>testdata[[#This Row],[I2'']]*Q321+testdata[[#This Row],[Q2'']]*R321</f>
        <v>23.357063930999985</v>
      </c>
      <c r="T322" s="9">
        <f>testdata[[#This Row],[I2'']]*R321-testdata[[#This Row],[Q2'']]*Q321</f>
        <v>6.9044132008311774</v>
      </c>
      <c r="U322" s="9">
        <f>0.2*testdata[[#This Row],[Re]]+0.8*U321</f>
        <v>31.154711416738206</v>
      </c>
      <c r="V322" s="9">
        <f>0.2*testdata[[#This Row],[Im]]+0.8*V321</f>
        <v>9.2871028717680719</v>
      </c>
      <c r="W322" s="9">
        <f>IF(AND(testdata[[#This Row],[Re'']]&lt;&gt;0,testdata[[#This Row],[Im'']]&lt;&gt;0),2*PI()/ATAN(testdata[[#This Row],[Im'']]/testdata[[#This Row],[Re'']]),0)</f>
        <v>21.687894401466625</v>
      </c>
      <c r="X322" s="9">
        <f>IF(testdata[[#This Row],[pd-atan]]&gt;1.5*Z321,1.5*Z321,IF(testdata[[#This Row],[pd-atan]]&lt;0.67*Z321,0.67*Z321,testdata[[#This Row],[pd-atan]]))</f>
        <v>21.687894401466625</v>
      </c>
      <c r="Y322" s="9">
        <f>IF(testdata[[#This Row],[pd-limit1]]&lt;6,6,IF(testdata[[#This Row],[pd-limit1]]&gt;50,50,testdata[[#This Row],[pd-limit1]]))</f>
        <v>21.687894401466625</v>
      </c>
      <c r="Z322" s="14">
        <f>0.2*testdata[[#This Row],[pd-limit2]]+0.8*Z321</f>
        <v>20.899718877608393</v>
      </c>
      <c r="AA322" s="14">
        <f>0.33*testdata[[#This Row],[period]]+0.67*AA321</f>
        <v>20.088126293652543</v>
      </c>
      <c r="AB322" s="31">
        <f>TRUNC(testdata[[#This Row],[SmPd]]+0.5,0)</f>
        <v>20</v>
      </c>
      <c r="AC322" s="14">
        <f ca="1">IF(testdata[[#This Row],[PdInt]]&lt;=0,0,AVERAGE(OFFSET(testdata[[#This Row],[price]],0,0,-testdata[[#This Row],[PdInt]],1)))</f>
        <v>256.35700000000003</v>
      </c>
      <c r="AD322" s="14">
        <f ca="1">IF(testdata[[#This Row],[i]]&lt;11,testdata[[#This Row],[price]],(4*testdata[[#This Row],[iTrend]]+3*AC321+2*AC320+AC319)/10)</f>
        <v>256.70455000000004</v>
      </c>
      <c r="AE322" s="14">
        <f>(4*testdata[[#This Row],[price]]+3*H321+2*H320+H319)/10</f>
        <v>256.16050000000001</v>
      </c>
      <c r="AF322" t="str">
        <f ca="1">IF(OR(ROUND(testdata[[#This Row],[Trendline]],4)&lt;&gt;Table3[[#This Row],[Trendline]],ROUND(testdata[[#This Row],[SmPrice]],4)&lt;&gt;Table3[[#This Row],[SmPrice]]),"ERR","")</f>
        <v/>
      </c>
      <c r="AG322" s="3">
        <v>43202</v>
      </c>
      <c r="AH322" s="14">
        <v>20.088100000000001</v>
      </c>
      <c r="AI322" s="34">
        <v>20</v>
      </c>
      <c r="AJ322" s="14">
        <v>256.35700000000003</v>
      </c>
      <c r="AK322" s="14">
        <v>256.70460000000003</v>
      </c>
      <c r="AL322" s="14">
        <v>256.16050000000001</v>
      </c>
      <c r="AN322" s="38">
        <f t="shared" si="13"/>
        <v>0</v>
      </c>
      <c r="AO322" s="38">
        <f t="shared" si="14"/>
        <v>0</v>
      </c>
      <c r="AQ322" s="37">
        <v>43202</v>
      </c>
      <c r="AR322">
        <v>20</v>
      </c>
      <c r="AS322">
        <v>256.70454999999998</v>
      </c>
      <c r="AT322">
        <v>256.16050000000001</v>
      </c>
      <c r="AV322" s="37">
        <v>43202</v>
      </c>
      <c r="AW322">
        <v>20</v>
      </c>
      <c r="AX322">
        <v>256.70454999999998</v>
      </c>
      <c r="AY322">
        <v>256.16050000000001</v>
      </c>
      <c r="BA322" s="38">
        <f>AX322-Table3[[#This Row],[Trendline]]</f>
        <v>-5.0000000044292392E-5</v>
      </c>
      <c r="BB322" s="38">
        <f>AY322-Table3[[#This Row],[SmPrice]]</f>
        <v>0</v>
      </c>
    </row>
    <row r="323" spans="1:54" x14ac:dyDescent="0.35">
      <c r="A323" s="6">
        <v>321</v>
      </c>
      <c r="B323" s="3">
        <v>43203</v>
      </c>
      <c r="C323" s="2">
        <v>258.58</v>
      </c>
      <c r="D323" s="2">
        <v>258.70999999999998</v>
      </c>
      <c r="E323" s="2">
        <v>255.29</v>
      </c>
      <c r="F323" s="2">
        <v>256.39999999999998</v>
      </c>
      <c r="G323" s="1">
        <v>87984192</v>
      </c>
      <c r="H323" s="30">
        <f>(testdata[[#This Row],[high]]+testdata[[#This Row],[low]])/2</f>
        <v>257</v>
      </c>
      <c r="I323" s="23">
        <f>(4*testdata[[#This Row],[price]]+3*H322+2*H321+H320)/10</f>
        <v>256.70750000000004</v>
      </c>
      <c r="J323" s="9">
        <f>(0.0962*testdata[[#This Row],[smooth]]+0.5769*I321-0.5769*I319-0.0962*I317)*(0.075*$Z322+0.54)</f>
        <v>2.1147351764756732</v>
      </c>
      <c r="K323" s="14">
        <f t="shared" si="12"/>
        <v>3.1072334694194019</v>
      </c>
      <c r="L323" s="14">
        <f>(0.0962*testdata[[#This Row],[detrender]]+0.5769*J321-0.5769*J319-0.0962*J317)*(0.075*$Z322+0.54)</f>
        <v>-0.43584026953460597</v>
      </c>
      <c r="M323" s="9">
        <f>(0.0962*testdata[[#This Row],[I1]]+0.5769*K321-0.5769*K319-0.0962*K317)*(0.075*$Z322+0.54)</f>
        <v>2.4546002769086499</v>
      </c>
      <c r="N323" s="9">
        <f>(0.0962*testdata[[#This Row],[Q1]]+0.5769*L321-0.5769*L319-0.0962*L317)*(0.075*$Z322+0.54)</f>
        <v>6.0459950124854247</v>
      </c>
      <c r="O323" s="9">
        <f>testdata[[#This Row],[I1]]-testdata[[#This Row],[JQ]]</f>
        <v>-2.9387615430660228</v>
      </c>
      <c r="P323" s="9">
        <f>testdata[[#This Row],[Q1]]+testdata[[#This Row],[jI]]</f>
        <v>2.0187600073740439</v>
      </c>
      <c r="Q323" s="9">
        <f>0.2*testdata[[#This Row],[I2]]+0.8*Q322</f>
        <v>-2.3594320729796503</v>
      </c>
      <c r="R323" s="9">
        <f>0.2*testdata[[#This Row],[Q2]]+0.8*R322</f>
        <v>3.7392939545256505</v>
      </c>
      <c r="S323" s="9">
        <f>testdata[[#This Row],[I2'']]*Q322+testdata[[#This Row],[Q2'']]*R322</f>
        <v>20.815912399006145</v>
      </c>
      <c r="T323" s="9">
        <f>testdata[[#This Row],[I2'']]*R322-testdata[[#This Row],[Q2'']]*Q322</f>
        <v>-1.5564415406830729</v>
      </c>
      <c r="U323" s="9">
        <f>0.2*testdata[[#This Row],[Re]]+0.8*U322</f>
        <v>29.086951613191793</v>
      </c>
      <c r="V323" s="9">
        <f>0.2*testdata[[#This Row],[Im]]+0.8*V322</f>
        <v>7.1183939892778438</v>
      </c>
      <c r="W323" s="9">
        <f>IF(AND(testdata[[#This Row],[Re'']]&lt;&gt;0,testdata[[#This Row],[Im'']]&lt;&gt;0),2*PI()/ATAN(testdata[[#This Row],[Im'']]/testdata[[#This Row],[Re'']]),0)</f>
        <v>26.178767295467992</v>
      </c>
      <c r="X323" s="9">
        <f>IF(testdata[[#This Row],[pd-atan]]&gt;1.5*Z322,1.5*Z322,IF(testdata[[#This Row],[pd-atan]]&lt;0.67*Z322,0.67*Z322,testdata[[#This Row],[pd-atan]]))</f>
        <v>26.178767295467992</v>
      </c>
      <c r="Y323" s="9">
        <f>IF(testdata[[#This Row],[pd-limit1]]&lt;6,6,IF(testdata[[#This Row],[pd-limit1]]&gt;50,50,testdata[[#This Row],[pd-limit1]]))</f>
        <v>26.178767295467992</v>
      </c>
      <c r="Z323" s="14">
        <f>0.2*testdata[[#This Row],[pd-limit2]]+0.8*Z322</f>
        <v>21.955528561180312</v>
      </c>
      <c r="AA323" s="14">
        <f>0.33*testdata[[#This Row],[period]]+0.67*AA322</f>
        <v>20.704369041936708</v>
      </c>
      <c r="AB323" s="31">
        <f>TRUNC(testdata[[#This Row],[SmPd]]+0.5,0)</f>
        <v>21</v>
      </c>
      <c r="AC323" s="14">
        <f ca="1">IF(testdata[[#This Row],[PdInt]]&lt;=0,0,AVERAGE(OFFSET(testdata[[#This Row],[price]],0,0,-testdata[[#This Row],[PdInt]],1)))</f>
        <v>256.38761904761907</v>
      </c>
      <c r="AD323" s="14">
        <f ca="1">IF(testdata[[#This Row],[i]]&lt;11,testdata[[#This Row],[price]],(4*testdata[[#This Row],[iTrend]]+3*AC322+2*AC321+AC320)/10)</f>
        <v>256.50827919799497</v>
      </c>
      <c r="AE323" s="14">
        <f>(4*testdata[[#This Row],[price]]+3*H322+2*H321+H320)/10</f>
        <v>256.70750000000004</v>
      </c>
      <c r="AF323" t="str">
        <f ca="1">IF(OR(ROUND(testdata[[#This Row],[Trendline]],4)&lt;&gt;Table3[[#This Row],[Trendline]],ROUND(testdata[[#This Row],[SmPrice]],4)&lt;&gt;Table3[[#This Row],[SmPrice]]),"ERR","")</f>
        <v/>
      </c>
      <c r="AG323" s="3">
        <v>43203</v>
      </c>
      <c r="AH323" s="14">
        <v>20.7044</v>
      </c>
      <c r="AI323" s="34">
        <v>21</v>
      </c>
      <c r="AJ323" s="14">
        <v>256.38760000000002</v>
      </c>
      <c r="AK323" s="14">
        <v>256.50830000000002</v>
      </c>
      <c r="AL323" s="14">
        <v>256.70749999999998</v>
      </c>
      <c r="AN323" s="38">
        <f t="shared" si="13"/>
        <v>0</v>
      </c>
      <c r="AO323" s="38">
        <f t="shared" si="14"/>
        <v>0</v>
      </c>
      <c r="AQ323" s="37">
        <v>43203</v>
      </c>
      <c r="AR323">
        <v>21</v>
      </c>
      <c r="AS323">
        <v>256.508279197994</v>
      </c>
      <c r="AT323">
        <v>256.70749999999998</v>
      </c>
      <c r="AV323" s="37">
        <v>43203</v>
      </c>
      <c r="AW323">
        <v>21</v>
      </c>
      <c r="AX323">
        <v>256.508279197994</v>
      </c>
      <c r="AY323">
        <v>256.70749999999998</v>
      </c>
      <c r="BA323" s="38">
        <f>AX323-Table3[[#This Row],[Trendline]]</f>
        <v>-2.0802006019948749E-5</v>
      </c>
      <c r="BB323" s="38">
        <f>AY323-Table3[[#This Row],[SmPrice]]</f>
        <v>0</v>
      </c>
    </row>
    <row r="324" spans="1:54" x14ac:dyDescent="0.35">
      <c r="A324" s="6">
        <v>322</v>
      </c>
      <c r="B324" s="3">
        <v>43206</v>
      </c>
      <c r="C324" s="2">
        <v>258.18</v>
      </c>
      <c r="D324" s="2">
        <v>259.33999999999997</v>
      </c>
      <c r="E324" s="2">
        <v>257.29000000000002</v>
      </c>
      <c r="F324" s="2">
        <v>258.5</v>
      </c>
      <c r="G324" s="1">
        <v>65570252</v>
      </c>
      <c r="H324" s="30">
        <f>(testdata[[#This Row],[high]]+testdata[[#This Row],[low]])/2</f>
        <v>258.315</v>
      </c>
      <c r="I324" s="23">
        <f>(4*testdata[[#This Row],[price]]+3*H323+2*H322+H321)/10</f>
        <v>257.45300000000003</v>
      </c>
      <c r="J324" s="9">
        <f>(0.0962*testdata[[#This Row],[smooth]]+0.5769*I322-0.5769*I320-0.0962*I318)*(0.075*$Z323+0.54)</f>
        <v>2.6696211255977906</v>
      </c>
      <c r="K324" s="14">
        <f t="shared" si="12"/>
        <v>1.3652141645065214</v>
      </c>
      <c r="L324" s="14">
        <f>(0.0962*testdata[[#This Row],[detrender]]+0.5769*J322-0.5769*J320-0.0962*J318)*(0.075*$Z323+0.54)</f>
        <v>-0.35024258348549026</v>
      </c>
      <c r="M324" s="9">
        <f>(0.0962*testdata[[#This Row],[I1]]+0.5769*K322-0.5769*K320-0.0962*K318)*(0.075*$Z323+0.54)</f>
        <v>6.7358040319320018</v>
      </c>
      <c r="N324" s="9">
        <f>(0.0962*testdata[[#This Row],[Q1]]+0.5769*L322-0.5769*L320-0.0962*L318)*(0.075*$Z323+0.54)</f>
        <v>3.1240110899825204</v>
      </c>
      <c r="O324" s="9">
        <f>testdata[[#This Row],[I1]]-testdata[[#This Row],[JQ]]</f>
        <v>-1.758796925475999</v>
      </c>
      <c r="P324" s="9">
        <f>testdata[[#This Row],[Q1]]+testdata[[#This Row],[jI]]</f>
        <v>6.385561448446512</v>
      </c>
      <c r="Q324" s="9">
        <f>0.2*testdata[[#This Row],[I2]]+0.8*Q323</f>
        <v>-2.2393050434789199</v>
      </c>
      <c r="R324" s="9">
        <f>0.2*testdata[[#This Row],[Q2]]+0.8*R323</f>
        <v>4.2685474533098233</v>
      </c>
      <c r="S324" s="9">
        <f>testdata[[#This Row],[I2'']]*Q323+testdata[[#This Row],[Q2'']]*R323</f>
        <v>21.24484182753654</v>
      </c>
      <c r="T324" s="9">
        <f>testdata[[#This Row],[I2'']]*R323-testdata[[#This Row],[Q2'']]*Q323</f>
        <v>1.6979279549552793</v>
      </c>
      <c r="U324" s="9">
        <f>0.2*testdata[[#This Row],[Re]]+0.8*U323</f>
        <v>27.518529656060746</v>
      </c>
      <c r="V324" s="9">
        <f>0.2*testdata[[#This Row],[Im]]+0.8*V323</f>
        <v>6.0343007824133315</v>
      </c>
      <c r="W324" s="9">
        <f>IF(AND(testdata[[#This Row],[Re'']]&lt;&gt;0,testdata[[#This Row],[Im'']]&lt;&gt;0),2*PI()/ATAN(testdata[[#This Row],[Im'']]/testdata[[#This Row],[Re'']]),0)</f>
        <v>29.107047244613454</v>
      </c>
      <c r="X324" s="9">
        <f>IF(testdata[[#This Row],[pd-atan]]&gt;1.5*Z323,1.5*Z323,IF(testdata[[#This Row],[pd-atan]]&lt;0.67*Z323,0.67*Z323,testdata[[#This Row],[pd-atan]]))</f>
        <v>29.107047244613454</v>
      </c>
      <c r="Y324" s="9">
        <f>IF(testdata[[#This Row],[pd-limit1]]&lt;6,6,IF(testdata[[#This Row],[pd-limit1]]&gt;50,50,testdata[[#This Row],[pd-limit1]]))</f>
        <v>29.107047244613454</v>
      </c>
      <c r="Z324" s="14">
        <f>0.2*testdata[[#This Row],[pd-limit2]]+0.8*Z323</f>
        <v>23.385832297866941</v>
      </c>
      <c r="AA324" s="14">
        <f>0.33*testdata[[#This Row],[period]]+0.67*AA323</f>
        <v>21.589251916393685</v>
      </c>
      <c r="AB324" s="31">
        <f>TRUNC(testdata[[#This Row],[SmPd]]+0.5,0)</f>
        <v>22</v>
      </c>
      <c r="AC324" s="14">
        <f ca="1">IF(testdata[[#This Row],[PdInt]]&lt;=0,0,AVERAGE(OFFSET(testdata[[#This Row],[price]],0,0,-testdata[[#This Row],[PdInt]],1)))</f>
        <v>256.4752272727273</v>
      </c>
      <c r="AD324" s="14">
        <f ca="1">IF(testdata[[#This Row],[i]]&lt;11,testdata[[#This Row],[price]],(4*testdata[[#This Row],[iTrend]]+3*AC323+2*AC322+AC321)/10)</f>
        <v>256.45802662337667</v>
      </c>
      <c r="AE324" s="14">
        <f>(4*testdata[[#This Row],[price]]+3*H323+2*H322+H321)/10</f>
        <v>257.45300000000003</v>
      </c>
      <c r="AF324" t="str">
        <f ca="1">IF(OR(ROUND(testdata[[#This Row],[Trendline]],4)&lt;&gt;Table3[[#This Row],[Trendline]],ROUND(testdata[[#This Row],[SmPrice]],4)&lt;&gt;Table3[[#This Row],[SmPrice]]),"ERR","")</f>
        <v/>
      </c>
      <c r="AG324" s="3">
        <v>43206</v>
      </c>
      <c r="AH324" s="14">
        <v>21.589300000000001</v>
      </c>
      <c r="AI324" s="34">
        <v>22</v>
      </c>
      <c r="AJ324" s="14">
        <v>256.47519999999997</v>
      </c>
      <c r="AK324" s="14">
        <v>256.45800000000003</v>
      </c>
      <c r="AL324" s="14">
        <v>257.45299999999997</v>
      </c>
      <c r="AN324" s="38">
        <f t="shared" si="13"/>
        <v>0</v>
      </c>
      <c r="AO324" s="38">
        <f t="shared" si="14"/>
        <v>0</v>
      </c>
      <c r="AQ324" s="37">
        <v>43206</v>
      </c>
      <c r="AR324">
        <v>22</v>
      </c>
      <c r="AS324">
        <v>256.45802662337599</v>
      </c>
      <c r="AT324">
        <v>257.45299999999997</v>
      </c>
      <c r="AV324" s="37">
        <v>43206</v>
      </c>
      <c r="AW324">
        <v>22</v>
      </c>
      <c r="AX324">
        <v>256.45802662337599</v>
      </c>
      <c r="AY324">
        <v>257.45299999999997</v>
      </c>
      <c r="BA324" s="38">
        <f>AX324-Table3[[#This Row],[Trendline]]</f>
        <v>2.6623375958934048E-5</v>
      </c>
      <c r="BB324" s="38">
        <f>AY324-Table3[[#This Row],[SmPrice]]</f>
        <v>0</v>
      </c>
    </row>
    <row r="325" spans="1:54" x14ac:dyDescent="0.35">
      <c r="A325" s="6">
        <v>323</v>
      </c>
      <c r="B325" s="3">
        <v>43207</v>
      </c>
      <c r="C325" s="2">
        <v>260.44</v>
      </c>
      <c r="D325" s="2">
        <v>261.93</v>
      </c>
      <c r="E325" s="2">
        <v>259.88</v>
      </c>
      <c r="F325" s="2">
        <v>261.27</v>
      </c>
      <c r="G325" s="1">
        <v>66890592</v>
      </c>
      <c r="H325" s="30">
        <f>(testdata[[#This Row],[high]]+testdata[[#This Row],[low]])/2</f>
        <v>260.90499999999997</v>
      </c>
      <c r="I325" s="23">
        <f>(4*testdata[[#This Row],[price]]+3*H324+2*H323+H322)/10</f>
        <v>258.98099999999994</v>
      </c>
      <c r="J325" s="9">
        <f>(0.0962*testdata[[#This Row],[smooth]]+0.5769*I323-0.5769*I321-0.0962*I319)*(0.075*$Z324+0.54)</f>
        <v>3.2717393742089511</v>
      </c>
      <c r="K325" s="14">
        <f t="shared" ref="K325:K388" si="15">J322</f>
        <v>2.2624394677866606</v>
      </c>
      <c r="L325" s="14">
        <f>(0.0962*testdata[[#This Row],[detrender]]+0.5769*J323-0.5769*J321-0.0962*J319)*(0.075*$Z324+0.54)</f>
        <v>1.1690619326207925</v>
      </c>
      <c r="M325" s="9">
        <f>(0.0962*testdata[[#This Row],[I1]]+0.5769*K323-0.5769*K321-0.0962*K319)*(0.075*$Z324+0.54)</f>
        <v>5.9437205377276623</v>
      </c>
      <c r="N325" s="9">
        <f>(0.0962*testdata[[#This Row],[Q1]]+0.5769*L323-0.5769*L321-0.0962*L319)*(0.075*$Z324+0.54)</f>
        <v>-8.9192652120446887</v>
      </c>
      <c r="O325" s="9">
        <f>testdata[[#This Row],[I1]]-testdata[[#This Row],[JQ]]</f>
        <v>11.181704679831348</v>
      </c>
      <c r="P325" s="9">
        <f>testdata[[#This Row],[Q1]]+testdata[[#This Row],[jI]]</f>
        <v>7.1127824703484546</v>
      </c>
      <c r="Q325" s="9">
        <f>0.2*testdata[[#This Row],[I2]]+0.8*Q324</f>
        <v>0.44489690118313363</v>
      </c>
      <c r="R325" s="9">
        <f>0.2*testdata[[#This Row],[Q2]]+0.8*R324</f>
        <v>4.8373944567175498</v>
      </c>
      <c r="S325" s="9">
        <f>testdata[[#This Row],[I2'']]*Q324+testdata[[#This Row],[Q2'']]*R324</f>
        <v>19.652387914229219</v>
      </c>
      <c r="T325" s="9">
        <f>testdata[[#This Row],[I2'']]*R324-testdata[[#This Row],[Q2'']]*Q324</f>
        <v>12.731465338755276</v>
      </c>
      <c r="U325" s="9">
        <f>0.2*testdata[[#This Row],[Re]]+0.8*U324</f>
        <v>25.945301307694443</v>
      </c>
      <c r="V325" s="9">
        <f>0.2*testdata[[#This Row],[Im]]+0.8*V324</f>
        <v>7.3737336936817215</v>
      </c>
      <c r="W325" s="9">
        <f>IF(AND(testdata[[#This Row],[Re'']]&lt;&gt;0,testdata[[#This Row],[Im'']]&lt;&gt;0),2*PI()/ATAN(testdata[[#This Row],[Im'']]/testdata[[#This Row],[Re'']]),0)</f>
        <v>22.691013933244907</v>
      </c>
      <c r="X325" s="9">
        <f>IF(testdata[[#This Row],[pd-atan]]&gt;1.5*Z324,1.5*Z324,IF(testdata[[#This Row],[pd-atan]]&lt;0.67*Z324,0.67*Z324,testdata[[#This Row],[pd-atan]]))</f>
        <v>22.691013933244907</v>
      </c>
      <c r="Y325" s="9">
        <f>IF(testdata[[#This Row],[pd-limit1]]&lt;6,6,IF(testdata[[#This Row],[pd-limit1]]&gt;50,50,testdata[[#This Row],[pd-limit1]]))</f>
        <v>22.691013933244907</v>
      </c>
      <c r="Z325" s="14">
        <f>0.2*testdata[[#This Row],[pd-limit2]]+0.8*Z324</f>
        <v>23.246868624942532</v>
      </c>
      <c r="AA325" s="14">
        <f>0.33*testdata[[#This Row],[period]]+0.67*AA324</f>
        <v>22.136265430214806</v>
      </c>
      <c r="AB325" s="31">
        <f>TRUNC(testdata[[#This Row],[SmPd]]+0.5,0)</f>
        <v>22</v>
      </c>
      <c r="AC325" s="14">
        <f ca="1">IF(testdata[[#This Row],[PdInt]]&lt;=0,0,AVERAGE(OFFSET(testdata[[#This Row],[price]],0,0,-testdata[[#This Row],[PdInt]],1)))</f>
        <v>256.27272727272725</v>
      </c>
      <c r="AD325" s="14">
        <f ca="1">IF(testdata[[#This Row],[i]]&lt;11,testdata[[#This Row],[price]],(4*testdata[[#This Row],[iTrend]]+3*AC324+2*AC323+AC322)/10)</f>
        <v>256.36488290043292</v>
      </c>
      <c r="AE325" s="14">
        <f>(4*testdata[[#This Row],[price]]+3*H324+2*H323+H322)/10</f>
        <v>258.98099999999994</v>
      </c>
      <c r="AF325" t="str">
        <f ca="1">IF(OR(ROUND(testdata[[#This Row],[Trendline]],4)&lt;&gt;Table3[[#This Row],[Trendline]],ROUND(testdata[[#This Row],[SmPrice]],4)&lt;&gt;Table3[[#This Row],[SmPrice]]),"ERR","")</f>
        <v/>
      </c>
      <c r="AG325" s="3">
        <v>43207</v>
      </c>
      <c r="AH325" s="14">
        <v>22.136299999999999</v>
      </c>
      <c r="AI325" s="34">
        <v>22</v>
      </c>
      <c r="AJ325" s="14">
        <v>256.27269999999999</v>
      </c>
      <c r="AK325" s="14">
        <v>256.36489999999998</v>
      </c>
      <c r="AL325" s="14">
        <v>258.98099999999999</v>
      </c>
      <c r="AN325" s="38">
        <f t="shared" si="13"/>
        <v>0</v>
      </c>
      <c r="AO325" s="38">
        <f t="shared" si="14"/>
        <v>0</v>
      </c>
      <c r="AQ325" s="37">
        <v>43207</v>
      </c>
      <c r="AR325">
        <v>22</v>
      </c>
      <c r="AS325">
        <v>256.36488290043201</v>
      </c>
      <c r="AT325">
        <v>258.98099999999903</v>
      </c>
      <c r="AV325" s="37">
        <v>43207</v>
      </c>
      <c r="AW325">
        <v>22</v>
      </c>
      <c r="AX325">
        <v>256.36488290043201</v>
      </c>
      <c r="AY325">
        <v>258.98099999999903</v>
      </c>
      <c r="BA325" s="38">
        <f>AX325-Table3[[#This Row],[Trendline]]</f>
        <v>-1.7099567969580676E-5</v>
      </c>
      <c r="BB325" s="38">
        <f>AY325-Table3[[#This Row],[SmPrice]]</f>
        <v>-9.6633812063373625E-13</v>
      </c>
    </row>
    <row r="326" spans="1:54" x14ac:dyDescent="0.35">
      <c r="A326" s="6">
        <v>324</v>
      </c>
      <c r="B326" s="3">
        <v>43208</v>
      </c>
      <c r="C326" s="2">
        <v>261.75</v>
      </c>
      <c r="D326" s="2">
        <v>262.33999999999997</v>
      </c>
      <c r="E326" s="2">
        <v>260.95999999999998</v>
      </c>
      <c r="F326" s="2">
        <v>261.45999999999998</v>
      </c>
      <c r="G326" s="1">
        <v>59260488</v>
      </c>
      <c r="H326" s="30">
        <f>(testdata[[#This Row],[high]]+testdata[[#This Row],[low]])/2</f>
        <v>261.64999999999998</v>
      </c>
      <c r="I326" s="23">
        <f>(4*testdata[[#This Row],[price]]+3*H325+2*H324+H323)/10</f>
        <v>260.29449999999997</v>
      </c>
      <c r="J326" s="9">
        <f>(0.0962*testdata[[#This Row],[smooth]]+0.5769*I324-0.5769*I322-0.0962*I320)*(0.075*$Z325+0.54)</f>
        <v>2.9349498399517571</v>
      </c>
      <c r="K326" s="14">
        <f t="shared" si="15"/>
        <v>2.1147351764756732</v>
      </c>
      <c r="L326" s="14">
        <f>(0.0962*testdata[[#This Row],[detrender]]+0.5769*J324-0.5769*J322-0.0962*J320)*(0.075*$Z325+0.54)</f>
        <v>0.49855852213283186</v>
      </c>
      <c r="M326" s="9">
        <f>(0.0962*testdata[[#This Row],[I1]]+0.5769*K324-0.5769*K322-0.0962*K320)*(0.075*$Z325+0.54)</f>
        <v>-0.47224570059859333</v>
      </c>
      <c r="N326" s="9">
        <f>(0.0962*testdata[[#This Row],[Q1]]+0.5769*L324-0.5769*L322-0.0962*L320)*(0.075*$Z325+0.54)</f>
        <v>-8.0106215561828247</v>
      </c>
      <c r="O326" s="9">
        <f>testdata[[#This Row],[I1]]-testdata[[#This Row],[JQ]]</f>
        <v>10.125356732658497</v>
      </c>
      <c r="P326" s="9">
        <f>testdata[[#This Row],[Q1]]+testdata[[#This Row],[jI]]</f>
        <v>2.6312821534238529E-2</v>
      </c>
      <c r="Q326" s="9">
        <f>0.2*testdata[[#This Row],[I2]]+0.8*Q325</f>
        <v>2.3809888674782065</v>
      </c>
      <c r="R326" s="9">
        <f>0.2*testdata[[#This Row],[Q2]]+0.8*R325</f>
        <v>3.8751781296808874</v>
      </c>
      <c r="S326" s="9">
        <f>testdata[[#This Row],[I2'']]*Q325+testdata[[#This Row],[Q2'']]*R325</f>
        <v>19.805059772204</v>
      </c>
      <c r="T326" s="9">
        <f>testdata[[#This Row],[I2'']]*R325-testdata[[#This Row],[Q2'']]*Q325</f>
        <v>9.7937276076175941</v>
      </c>
      <c r="U326" s="9">
        <f>0.2*testdata[[#This Row],[Re]]+0.8*U325</f>
        <v>24.717253000596354</v>
      </c>
      <c r="V326" s="9">
        <f>0.2*testdata[[#This Row],[Im]]+0.8*V325</f>
        <v>7.8577324764688967</v>
      </c>
      <c r="W326" s="9">
        <f>IF(AND(testdata[[#This Row],[Re'']]&lt;&gt;0,testdata[[#This Row],[Im'']]&lt;&gt;0),2*PI()/ATAN(testdata[[#This Row],[Im'']]/testdata[[#This Row],[Re'']]),0)</f>
        <v>20.41312958228777</v>
      </c>
      <c r="X326" s="9">
        <f>IF(testdata[[#This Row],[pd-atan]]&gt;1.5*Z325,1.5*Z325,IF(testdata[[#This Row],[pd-atan]]&lt;0.67*Z325,0.67*Z325,testdata[[#This Row],[pd-atan]]))</f>
        <v>20.41312958228777</v>
      </c>
      <c r="Y326" s="9">
        <f>IF(testdata[[#This Row],[pd-limit1]]&lt;6,6,IF(testdata[[#This Row],[pd-limit1]]&gt;50,50,testdata[[#This Row],[pd-limit1]]))</f>
        <v>20.41312958228777</v>
      </c>
      <c r="Z326" s="14">
        <f>0.2*testdata[[#This Row],[pd-limit2]]+0.8*Z325</f>
        <v>22.680120816411581</v>
      </c>
      <c r="AA326" s="14">
        <f>0.33*testdata[[#This Row],[period]]+0.67*AA325</f>
        <v>22.315737707659743</v>
      </c>
      <c r="AB326" s="31">
        <f>TRUNC(testdata[[#This Row],[SmPd]]+0.5,0)</f>
        <v>22</v>
      </c>
      <c r="AC326" s="14">
        <f ca="1">IF(testdata[[#This Row],[PdInt]]&lt;=0,0,AVERAGE(OFFSET(testdata[[#This Row],[price]],0,0,-testdata[[#This Row],[PdInt]],1)))</f>
        <v>256.08886363636361</v>
      </c>
      <c r="AD326" s="14">
        <f ca="1">IF(testdata[[#This Row],[i]]&lt;11,testdata[[#This Row],[price]],(4*testdata[[#This Row],[iTrend]]+3*AC325+2*AC324+AC323)/10)</f>
        <v>256.25117099567098</v>
      </c>
      <c r="AE326" s="14">
        <f>(4*testdata[[#This Row],[price]]+3*H325+2*H324+H323)/10</f>
        <v>260.29449999999997</v>
      </c>
      <c r="AF326" t="str">
        <f ca="1">IF(OR(ROUND(testdata[[#This Row],[Trendline]],4)&lt;&gt;Table3[[#This Row],[Trendline]],ROUND(testdata[[#This Row],[SmPrice]],4)&lt;&gt;Table3[[#This Row],[SmPrice]]),"ERR","")</f>
        <v/>
      </c>
      <c r="AG326" s="3">
        <v>43208</v>
      </c>
      <c r="AH326" s="14">
        <v>22.3157</v>
      </c>
      <c r="AI326" s="34">
        <v>22</v>
      </c>
      <c r="AJ326" s="14">
        <v>256.08890000000002</v>
      </c>
      <c r="AK326" s="14">
        <v>256.25119999999998</v>
      </c>
      <c r="AL326" s="14">
        <v>260.29450000000003</v>
      </c>
      <c r="AN326" s="38">
        <f t="shared" si="13"/>
        <v>0</v>
      </c>
      <c r="AO326" s="38">
        <f t="shared" si="14"/>
        <v>0</v>
      </c>
      <c r="AQ326" s="37">
        <v>43208</v>
      </c>
      <c r="AR326">
        <v>22</v>
      </c>
      <c r="AS326">
        <v>256.25117099567098</v>
      </c>
      <c r="AT326">
        <v>260.294499999999</v>
      </c>
      <c r="AV326" s="37">
        <v>43208</v>
      </c>
      <c r="AW326">
        <v>22</v>
      </c>
      <c r="AX326">
        <v>256.25117099567098</v>
      </c>
      <c r="AY326">
        <v>260.294499999999</v>
      </c>
      <c r="BA326" s="38">
        <f>AX326-Table3[[#This Row],[Trendline]]</f>
        <v>-2.900432900787564E-5</v>
      </c>
      <c r="BB326" s="38">
        <f>AY326-Table3[[#This Row],[SmPrice]]</f>
        <v>-1.0231815394945443E-12</v>
      </c>
    </row>
    <row r="327" spans="1:54" x14ac:dyDescent="0.35">
      <c r="A327" s="6">
        <v>325</v>
      </c>
      <c r="B327" s="3">
        <v>43209</v>
      </c>
      <c r="C327" s="2">
        <v>260.75</v>
      </c>
      <c r="D327" s="2">
        <v>260.97000000000003</v>
      </c>
      <c r="E327" s="2">
        <v>258.88</v>
      </c>
      <c r="F327" s="2">
        <v>260.01</v>
      </c>
      <c r="G327" s="1">
        <v>80307456</v>
      </c>
      <c r="H327" s="30">
        <f>(testdata[[#This Row],[high]]+testdata[[#This Row],[low]])/2</f>
        <v>259.92500000000001</v>
      </c>
      <c r="I327" s="23">
        <f>(4*testdata[[#This Row],[price]]+3*H326+2*H325+H324)/10</f>
        <v>260.47750000000002</v>
      </c>
      <c r="J327" s="9">
        <f>(0.0962*testdata[[#This Row],[smooth]]+0.5769*I325-0.5769*I323-0.0962*I321)*(0.075*$Z326+0.54)</f>
        <v>4.102241151932466</v>
      </c>
      <c r="K327" s="14">
        <f t="shared" si="15"/>
        <v>2.6696211255977906</v>
      </c>
      <c r="L327" s="14">
        <f>(0.0962*testdata[[#This Row],[detrender]]+0.5769*J325-0.5769*J323-0.0962*J321)*(0.075*$Z326+0.54)</f>
        <v>2.0858812997221077</v>
      </c>
      <c r="M327" s="9">
        <f>(0.0962*testdata[[#This Row],[I1]]+0.5769*K325-0.5769*K323-0.0962*K321)*(0.075*$Z326+0.54)</f>
        <v>-0.35894704112937198</v>
      </c>
      <c r="N327" s="9">
        <f>(0.0962*testdata[[#This Row],[Q1]]+0.5769*L325-0.5769*L323-0.0962*L321)*(0.075*$Z326+0.54)</f>
        <v>1.1467169174010083</v>
      </c>
      <c r="O327" s="9">
        <f>testdata[[#This Row],[I1]]-testdata[[#This Row],[JQ]]</f>
        <v>1.5229042081967823</v>
      </c>
      <c r="P327" s="9">
        <f>testdata[[#This Row],[Q1]]+testdata[[#This Row],[jI]]</f>
        <v>1.7269342585927356</v>
      </c>
      <c r="Q327" s="9">
        <f>0.2*testdata[[#This Row],[I2]]+0.8*Q326</f>
        <v>2.2093719356219217</v>
      </c>
      <c r="R327" s="9">
        <f>0.2*testdata[[#This Row],[Q2]]+0.8*R326</f>
        <v>3.4455293554632571</v>
      </c>
      <c r="S327" s="9">
        <f>testdata[[#This Row],[I2'']]*Q326+testdata[[#This Row],[Q2'']]*R326</f>
        <v>18.612529986299272</v>
      </c>
      <c r="T327" s="9">
        <f>testdata[[#This Row],[I2'']]*R326-testdata[[#This Row],[Q2'']]*Q326</f>
        <v>0.35794276732542407</v>
      </c>
      <c r="U327" s="9">
        <f>0.2*testdata[[#This Row],[Re]]+0.8*U326</f>
        <v>23.496308397736939</v>
      </c>
      <c r="V327" s="9">
        <f>0.2*testdata[[#This Row],[Im]]+0.8*V326</f>
        <v>6.3577745346402024</v>
      </c>
      <c r="W327" s="9">
        <f>IF(AND(testdata[[#This Row],[Re'']]&lt;&gt;0,testdata[[#This Row],[Im'']]&lt;&gt;0),2*PI()/ATAN(testdata[[#This Row],[Im'']]/testdata[[#This Row],[Re'']]),0)</f>
        <v>23.776705002718447</v>
      </c>
      <c r="X327" s="9">
        <f>IF(testdata[[#This Row],[pd-atan]]&gt;1.5*Z326,1.5*Z326,IF(testdata[[#This Row],[pd-atan]]&lt;0.67*Z326,0.67*Z326,testdata[[#This Row],[pd-atan]]))</f>
        <v>23.776705002718447</v>
      </c>
      <c r="Y327" s="9">
        <f>IF(testdata[[#This Row],[pd-limit1]]&lt;6,6,IF(testdata[[#This Row],[pd-limit1]]&gt;50,50,testdata[[#This Row],[pd-limit1]]))</f>
        <v>23.776705002718447</v>
      </c>
      <c r="Z327" s="14">
        <f>0.2*testdata[[#This Row],[pd-limit2]]+0.8*Z326</f>
        <v>22.899437653672955</v>
      </c>
      <c r="AA327" s="14">
        <f>0.33*testdata[[#This Row],[period]]+0.67*AA326</f>
        <v>22.508358689844105</v>
      </c>
      <c r="AB327" s="31">
        <f>TRUNC(testdata[[#This Row],[SmPd]]+0.5,0)</f>
        <v>23</v>
      </c>
      <c r="AC327" s="14">
        <f ca="1">IF(testdata[[#This Row],[PdInt]]&lt;=0,0,AVERAGE(OFFSET(testdata[[#This Row],[price]],0,0,-testdata[[#This Row],[PdInt]],1)))</f>
        <v>256.25565217391301</v>
      </c>
      <c r="AD327" s="14">
        <f ca="1">IF(testdata[[#This Row],[i]]&lt;11,testdata[[#This Row],[price]],(4*testdata[[#This Row],[iTrend]]+3*AC326+2*AC325+AC324)/10)</f>
        <v>256.23098814229246</v>
      </c>
      <c r="AE327" s="14">
        <f>(4*testdata[[#This Row],[price]]+3*H326+2*H325+H324)/10</f>
        <v>260.47750000000002</v>
      </c>
      <c r="AF327" t="str">
        <f ca="1">IF(OR(ROUND(testdata[[#This Row],[Trendline]],4)&lt;&gt;Table3[[#This Row],[Trendline]],ROUND(testdata[[#This Row],[SmPrice]],4)&lt;&gt;Table3[[#This Row],[SmPrice]]),"ERR","")</f>
        <v/>
      </c>
      <c r="AG327" s="3">
        <v>43209</v>
      </c>
      <c r="AH327" s="14">
        <v>22.508400000000002</v>
      </c>
      <c r="AI327" s="34">
        <v>23</v>
      </c>
      <c r="AJ327" s="14">
        <v>256.25569999999999</v>
      </c>
      <c r="AK327" s="14">
        <v>256.23099999999999</v>
      </c>
      <c r="AL327" s="14">
        <v>260.47750000000002</v>
      </c>
      <c r="AN327" s="38">
        <f t="shared" si="13"/>
        <v>0</v>
      </c>
      <c r="AO327" s="38">
        <f t="shared" si="14"/>
        <v>0</v>
      </c>
      <c r="AQ327" s="37">
        <v>43209</v>
      </c>
      <c r="AR327">
        <v>23</v>
      </c>
      <c r="AS327">
        <v>256.23098814229201</v>
      </c>
      <c r="AT327">
        <v>260.47750000000002</v>
      </c>
      <c r="AV327" s="37">
        <v>43209</v>
      </c>
      <c r="AW327">
        <v>23</v>
      </c>
      <c r="AX327">
        <v>256.23098814229201</v>
      </c>
      <c r="AY327">
        <v>260.47750000000002</v>
      </c>
      <c r="BA327" s="38">
        <f>AX327-Table3[[#This Row],[Trendline]]</f>
        <v>-1.1857707988838229E-5</v>
      </c>
      <c r="BB327" s="38">
        <f>AY327-Table3[[#This Row],[SmPrice]]</f>
        <v>0</v>
      </c>
    </row>
    <row r="328" spans="1:54" x14ac:dyDescent="0.35">
      <c r="A328" s="6">
        <v>326</v>
      </c>
      <c r="B328" s="3">
        <v>43210</v>
      </c>
      <c r="C328" s="2">
        <v>259.93</v>
      </c>
      <c r="D328" s="2">
        <v>260.18</v>
      </c>
      <c r="E328" s="2">
        <v>256.83999999999997</v>
      </c>
      <c r="F328" s="2">
        <v>257.81</v>
      </c>
      <c r="G328" s="1">
        <v>103366016</v>
      </c>
      <c r="H328" s="30">
        <f>(testdata[[#This Row],[high]]+testdata[[#This Row],[low]])/2</f>
        <v>258.51</v>
      </c>
      <c r="I328" s="23">
        <f>(4*testdata[[#This Row],[price]]+3*H327+2*H326+H325)/10</f>
        <v>259.80199999999996</v>
      </c>
      <c r="J328" s="9">
        <f>(0.0962*testdata[[#This Row],[smooth]]+0.5769*I326-0.5769*I324-0.0962*I322)*(0.075*$Z327+0.54)</f>
        <v>4.4913786026673597</v>
      </c>
      <c r="K328" s="14">
        <f t="shared" si="15"/>
        <v>3.2717393742089511</v>
      </c>
      <c r="L328" s="14">
        <f>(0.0962*testdata[[#This Row],[detrender]]+0.5769*J326-0.5769*J324-0.0962*J322)*(0.075*$Z327+0.54)</f>
        <v>0.82959787145827268</v>
      </c>
      <c r="M328" s="9">
        <f>(0.0962*testdata[[#This Row],[I1]]+0.5769*K326-0.5769*K324-0.0962*K322)*(0.075*$Z327+0.54)</f>
        <v>1.1504707935201743</v>
      </c>
      <c r="N328" s="9">
        <f>(0.0962*testdata[[#This Row],[Q1]]+0.5769*L326-0.5769*L324-0.0962*L322)*(0.075*$Z327+0.54)</f>
        <v>0.10803055444764771</v>
      </c>
      <c r="O328" s="9">
        <f>testdata[[#This Row],[I1]]-testdata[[#This Row],[JQ]]</f>
        <v>3.1637088197613035</v>
      </c>
      <c r="P328" s="9">
        <f>testdata[[#This Row],[Q1]]+testdata[[#This Row],[jI]]</f>
        <v>1.9800686649784471</v>
      </c>
      <c r="Q328" s="9">
        <f>0.2*testdata[[#This Row],[I2]]+0.8*Q327</f>
        <v>2.4002393124497985</v>
      </c>
      <c r="R328" s="9">
        <f>0.2*testdata[[#This Row],[Q2]]+0.8*R327</f>
        <v>3.1524372173662951</v>
      </c>
      <c r="S328" s="9">
        <f>testdata[[#This Row],[I2'']]*Q327+testdata[[#This Row],[Q2'']]*R327</f>
        <v>16.164836349393518</v>
      </c>
      <c r="T328" s="9">
        <f>testdata[[#This Row],[I2'']]*R327-testdata[[#This Row],[Q2'']]*Q327</f>
        <v>1.3051886943235695</v>
      </c>
      <c r="U328" s="9">
        <f>0.2*testdata[[#This Row],[Re]]+0.8*U327</f>
        <v>22.030013988068255</v>
      </c>
      <c r="V328" s="9">
        <f>0.2*testdata[[#This Row],[Im]]+0.8*V327</f>
        <v>5.3472573665768763</v>
      </c>
      <c r="W328" s="9">
        <f>IF(AND(testdata[[#This Row],[Re'']]&lt;&gt;0,testdata[[#This Row],[Im'']]&lt;&gt;0),2*PI()/ATAN(testdata[[#This Row],[Im'']]/testdata[[#This Row],[Re'']]),0)</f>
        <v>26.386531715970715</v>
      </c>
      <c r="X328" s="9">
        <f>IF(testdata[[#This Row],[pd-atan]]&gt;1.5*Z327,1.5*Z327,IF(testdata[[#This Row],[pd-atan]]&lt;0.67*Z327,0.67*Z327,testdata[[#This Row],[pd-atan]]))</f>
        <v>26.386531715970715</v>
      </c>
      <c r="Y328" s="9">
        <f>IF(testdata[[#This Row],[pd-limit1]]&lt;6,6,IF(testdata[[#This Row],[pd-limit1]]&gt;50,50,testdata[[#This Row],[pd-limit1]]))</f>
        <v>26.386531715970715</v>
      </c>
      <c r="Z328" s="14">
        <f>0.2*testdata[[#This Row],[pd-limit2]]+0.8*Z327</f>
        <v>23.596856466132508</v>
      </c>
      <c r="AA328" s="14">
        <f>0.33*testdata[[#This Row],[period]]+0.67*AA327</f>
        <v>22.867562956019277</v>
      </c>
      <c r="AB328" s="31">
        <f>TRUNC(testdata[[#This Row],[SmPd]]+0.5,0)</f>
        <v>23</v>
      </c>
      <c r="AC328" s="14">
        <f ca="1">IF(testdata[[#This Row],[PdInt]]&lt;=0,0,AVERAGE(OFFSET(testdata[[#This Row],[price]],0,0,-testdata[[#This Row],[PdInt]],1)))</f>
        <v>256.08021739130436</v>
      </c>
      <c r="AD328" s="14">
        <f ca="1">IF(testdata[[#This Row],[i]]&lt;11,testdata[[#This Row],[price]],(4*testdata[[#This Row],[iTrend]]+3*AC327+2*AC326+AC325)/10)</f>
        <v>256.15382806324106</v>
      </c>
      <c r="AE328" s="14">
        <f>(4*testdata[[#This Row],[price]]+3*H327+2*H326+H325)/10</f>
        <v>259.80199999999996</v>
      </c>
      <c r="AF328" t="str">
        <f ca="1">IF(OR(ROUND(testdata[[#This Row],[Trendline]],4)&lt;&gt;Table3[[#This Row],[Trendline]],ROUND(testdata[[#This Row],[SmPrice]],4)&lt;&gt;Table3[[#This Row],[SmPrice]]),"ERR","")</f>
        <v/>
      </c>
      <c r="AG328" s="3">
        <v>43210</v>
      </c>
      <c r="AH328" s="14">
        <v>22.867599999999999</v>
      </c>
      <c r="AI328" s="34">
        <v>23</v>
      </c>
      <c r="AJ328" s="14">
        <v>256.08019999999999</v>
      </c>
      <c r="AK328" s="14">
        <v>256.15379999999999</v>
      </c>
      <c r="AL328" s="14">
        <v>259.80200000000002</v>
      </c>
      <c r="AN328" s="38">
        <f t="shared" si="13"/>
        <v>0</v>
      </c>
      <c r="AO328" s="38">
        <f t="shared" si="14"/>
        <v>0</v>
      </c>
      <c r="AQ328" s="37">
        <v>43210</v>
      </c>
      <c r="AR328">
        <v>23</v>
      </c>
      <c r="AS328">
        <v>256.15382806324101</v>
      </c>
      <c r="AT328">
        <v>259.801999999999</v>
      </c>
      <c r="AV328" s="37">
        <v>43210</v>
      </c>
      <c r="AW328">
        <v>23</v>
      </c>
      <c r="AX328">
        <v>256.15382806324101</v>
      </c>
      <c r="AY328">
        <v>259.801999999999</v>
      </c>
      <c r="BA328" s="38">
        <f>AX328-Table3[[#This Row],[Trendline]]</f>
        <v>2.8063241018116969E-5</v>
      </c>
      <c r="BB328" s="38">
        <f>AY328-Table3[[#This Row],[SmPrice]]</f>
        <v>-1.0231815394945443E-12</v>
      </c>
    </row>
    <row r="329" spans="1:54" x14ac:dyDescent="0.35">
      <c r="A329" s="6">
        <v>327</v>
      </c>
      <c r="B329" s="3">
        <v>43213</v>
      </c>
      <c r="C329" s="2">
        <v>258.44</v>
      </c>
      <c r="D329" s="2">
        <v>259.04000000000002</v>
      </c>
      <c r="E329" s="2">
        <v>256.58999999999997</v>
      </c>
      <c r="F329" s="2">
        <v>257.77</v>
      </c>
      <c r="G329" s="1">
        <v>67796416</v>
      </c>
      <c r="H329" s="30">
        <f>(testdata[[#This Row],[high]]+testdata[[#This Row],[low]])/2</f>
        <v>257.815</v>
      </c>
      <c r="I329" s="23">
        <f>(4*testdata[[#This Row],[price]]+3*H328+2*H327+H326)/10</f>
        <v>258.82900000000001</v>
      </c>
      <c r="J329" s="9">
        <f>(0.0962*testdata[[#This Row],[smooth]]+0.5769*I327-0.5769*I325-0.0962*I323)*(0.075*$Z328+0.54)</f>
        <v>2.4654865763815161</v>
      </c>
      <c r="K329" s="14">
        <f t="shared" si="15"/>
        <v>2.9349498399517571</v>
      </c>
      <c r="L329" s="14">
        <f>(0.0962*testdata[[#This Row],[detrender]]+0.5769*J327-0.5769*J325-0.0962*J323)*(0.075*$Z328+0.54)</f>
        <v>1.1845828219874097</v>
      </c>
      <c r="M329" s="9">
        <f>(0.0962*testdata[[#This Row],[I1]]+0.5769*K327-0.5769*K325-0.0962*K323)*(0.075*$Z328+0.54)</f>
        <v>0.50428947013334935</v>
      </c>
      <c r="N329" s="9">
        <f>(0.0962*testdata[[#This Row],[Q1]]+0.5769*L327-0.5769*L325-0.0962*L323)*(0.075*$Z328+0.54)</f>
        <v>1.5817214534193307</v>
      </c>
      <c r="O329" s="9">
        <f>testdata[[#This Row],[I1]]-testdata[[#This Row],[JQ]]</f>
        <v>1.3532283865324264</v>
      </c>
      <c r="P329" s="9">
        <f>testdata[[#This Row],[Q1]]+testdata[[#This Row],[jI]]</f>
        <v>1.6888722921207591</v>
      </c>
      <c r="Q329" s="9">
        <f>0.2*testdata[[#This Row],[I2]]+0.8*Q328</f>
        <v>2.1908371272663243</v>
      </c>
      <c r="R329" s="9">
        <f>0.2*testdata[[#This Row],[Q2]]+0.8*R328</f>
        <v>2.8597242323171881</v>
      </c>
      <c r="S329" s="9">
        <f>testdata[[#This Row],[I2'']]*Q328+testdata[[#This Row],[Q2'']]*R328</f>
        <v>14.273634501400174</v>
      </c>
      <c r="T329" s="9">
        <f>testdata[[#This Row],[I2'']]*R328-testdata[[#This Row],[Q2'']]*Q328</f>
        <v>4.2453972009184326E-2</v>
      </c>
      <c r="U329" s="9">
        <f>0.2*testdata[[#This Row],[Re]]+0.8*U328</f>
        <v>20.478738090734641</v>
      </c>
      <c r="V329" s="9">
        <f>0.2*testdata[[#This Row],[Im]]+0.8*V328</f>
        <v>4.2862966876633379</v>
      </c>
      <c r="W329" s="9">
        <f>IF(AND(testdata[[#This Row],[Re'']]&lt;&gt;0,testdata[[#This Row],[Im'']]&lt;&gt;0),2*PI()/ATAN(testdata[[#This Row],[Im'']]/testdata[[#This Row],[Re'']]),0)</f>
        <v>30.452678653910347</v>
      </c>
      <c r="X329" s="9">
        <f>IF(testdata[[#This Row],[pd-atan]]&gt;1.5*Z328,1.5*Z328,IF(testdata[[#This Row],[pd-atan]]&lt;0.67*Z328,0.67*Z328,testdata[[#This Row],[pd-atan]]))</f>
        <v>30.452678653910347</v>
      </c>
      <c r="Y329" s="9">
        <f>IF(testdata[[#This Row],[pd-limit1]]&lt;6,6,IF(testdata[[#This Row],[pd-limit1]]&gt;50,50,testdata[[#This Row],[pd-limit1]]))</f>
        <v>30.452678653910347</v>
      </c>
      <c r="Z329" s="14">
        <f>0.2*testdata[[#This Row],[pd-limit2]]+0.8*Z328</f>
        <v>24.968020903688075</v>
      </c>
      <c r="AA329" s="14">
        <f>0.33*testdata[[#This Row],[period]]+0.67*AA328</f>
        <v>23.560714078749982</v>
      </c>
      <c r="AB329" s="31">
        <f>TRUNC(testdata[[#This Row],[SmPd]]+0.5,0)</f>
        <v>24</v>
      </c>
      <c r="AC329" s="14">
        <f ca="1">IF(testdata[[#This Row],[PdInt]]&lt;=0,0,AVERAGE(OFFSET(testdata[[#This Row],[price]],0,0,-testdata[[#This Row],[PdInt]],1)))</f>
        <v>256.15249999999997</v>
      </c>
      <c r="AD329" s="14">
        <f ca="1">IF(testdata[[#This Row],[i]]&lt;11,testdata[[#This Row],[price]],(4*testdata[[#This Row],[iTrend]]+3*AC328+2*AC327+AC326)/10)</f>
        <v>256.14508201581032</v>
      </c>
      <c r="AE329" s="14">
        <f>(4*testdata[[#This Row],[price]]+3*H328+2*H327+H326)/10</f>
        <v>258.82900000000001</v>
      </c>
      <c r="AF329" t="str">
        <f ca="1">IF(OR(ROUND(testdata[[#This Row],[Trendline]],4)&lt;&gt;Table3[[#This Row],[Trendline]],ROUND(testdata[[#This Row],[SmPrice]],4)&lt;&gt;Table3[[#This Row],[SmPrice]]),"ERR","")</f>
        <v/>
      </c>
      <c r="AG329" s="3">
        <v>43213</v>
      </c>
      <c r="AH329" s="14">
        <v>23.560700000000001</v>
      </c>
      <c r="AI329" s="34">
        <v>24</v>
      </c>
      <c r="AJ329" s="14">
        <v>256.15249999999997</v>
      </c>
      <c r="AK329" s="14">
        <v>256.14510000000001</v>
      </c>
      <c r="AL329" s="14">
        <v>258.82900000000001</v>
      </c>
      <c r="AN329" s="38">
        <f t="shared" ref="AN329:AN392" si="16">AX329-AS329</f>
        <v>0</v>
      </c>
      <c r="AO329" s="38">
        <f t="shared" ref="AO329:AO392" si="17">AY329-AT329</f>
        <v>0</v>
      </c>
      <c r="AQ329" s="37">
        <v>43213</v>
      </c>
      <c r="AR329">
        <v>24</v>
      </c>
      <c r="AS329">
        <v>256.14508201580998</v>
      </c>
      <c r="AT329">
        <v>258.82900000000001</v>
      </c>
      <c r="AV329" s="37">
        <v>43213</v>
      </c>
      <c r="AW329">
        <v>24</v>
      </c>
      <c r="AX329">
        <v>256.14508201580998</v>
      </c>
      <c r="AY329">
        <v>258.82900000000001</v>
      </c>
      <c r="BA329" s="38">
        <f>AX329-Table3[[#This Row],[Trendline]]</f>
        <v>-1.7984190037623193E-5</v>
      </c>
      <c r="BB329" s="38">
        <f>AY329-Table3[[#This Row],[SmPrice]]</f>
        <v>0</v>
      </c>
    </row>
    <row r="330" spans="1:54" x14ac:dyDescent="0.35">
      <c r="A330" s="6">
        <v>328</v>
      </c>
      <c r="B330" s="3">
        <v>43214</v>
      </c>
      <c r="C330" s="2">
        <v>258.89</v>
      </c>
      <c r="D330" s="2">
        <v>259.13</v>
      </c>
      <c r="E330" s="2">
        <v>252.65</v>
      </c>
      <c r="F330" s="2">
        <v>254.3</v>
      </c>
      <c r="G330" s="1">
        <v>116739904</v>
      </c>
      <c r="H330" s="30">
        <f>(testdata[[#This Row],[high]]+testdata[[#This Row],[low]])/2</f>
        <v>255.89</v>
      </c>
      <c r="I330" s="23">
        <f>(4*testdata[[#This Row],[price]]+3*H329+2*H328+H327)/10</f>
        <v>257.39499999999998</v>
      </c>
      <c r="J330" s="9">
        <f>(0.0962*testdata[[#This Row],[smooth]]+0.5769*I328-0.5769*I326-0.0962*I324)*(0.075*$Z329+0.54)</f>
        <v>-0.6989375500993108</v>
      </c>
      <c r="K330" s="14">
        <f t="shared" si="15"/>
        <v>4.102241151932466</v>
      </c>
      <c r="L330" s="14">
        <f>(0.0962*testdata[[#This Row],[detrender]]+0.5769*J328-0.5769*J326-0.0962*J324)*(0.075*$Z329+0.54)</f>
        <v>1.3844675702751466</v>
      </c>
      <c r="M330" s="9">
        <f>(0.0962*testdata[[#This Row],[I1]]+0.5769*K328-0.5769*K326-0.0962*K324)*(0.075*$Z329+0.54)</f>
        <v>2.2455957813670899</v>
      </c>
      <c r="N330" s="9">
        <f>(0.0962*testdata[[#This Row],[Q1]]+0.5769*L328-0.5769*L326-0.0962*L324)*(0.075*$Z329+0.54)</f>
        <v>0.86336326487957205</v>
      </c>
      <c r="O330" s="9">
        <f>testdata[[#This Row],[I1]]-testdata[[#This Row],[JQ]]</f>
        <v>3.2388778870528938</v>
      </c>
      <c r="P330" s="9">
        <f>testdata[[#This Row],[Q1]]+testdata[[#This Row],[jI]]</f>
        <v>3.6300633516422365</v>
      </c>
      <c r="Q330" s="9">
        <f>0.2*testdata[[#This Row],[I2]]+0.8*Q329</f>
        <v>2.4004452792236384</v>
      </c>
      <c r="R330" s="9">
        <f>0.2*testdata[[#This Row],[Q2]]+0.8*R329</f>
        <v>3.013792056182198</v>
      </c>
      <c r="S330" s="9">
        <f>testdata[[#This Row],[I2'']]*Q329+testdata[[#This Row],[Q2'']]*R329</f>
        <v>13.877598813923601</v>
      </c>
      <c r="T330" s="9">
        <f>testdata[[#This Row],[I2'']]*R329-testdata[[#This Row],[Q2'']]*Q329</f>
        <v>0.26188400280296253</v>
      </c>
      <c r="U330" s="9">
        <f>0.2*testdata[[#This Row],[Re]]+0.8*U329</f>
        <v>19.158510235372436</v>
      </c>
      <c r="V330" s="9">
        <f>0.2*testdata[[#This Row],[Im]]+0.8*V329</f>
        <v>3.481414150691263</v>
      </c>
      <c r="W330" s="9">
        <f>IF(AND(testdata[[#This Row],[Re'']]&lt;&gt;0,testdata[[#This Row],[Im'']]&lt;&gt;0),2*PI()/ATAN(testdata[[#This Row],[Im'']]/testdata[[#This Row],[Re'']]),0)</f>
        <v>34.954180092634054</v>
      </c>
      <c r="X330" s="9">
        <f>IF(testdata[[#This Row],[pd-atan]]&gt;1.5*Z329,1.5*Z329,IF(testdata[[#This Row],[pd-atan]]&lt;0.67*Z329,0.67*Z329,testdata[[#This Row],[pd-atan]]))</f>
        <v>34.954180092634054</v>
      </c>
      <c r="Y330" s="9">
        <f>IF(testdata[[#This Row],[pd-limit1]]&lt;6,6,IF(testdata[[#This Row],[pd-limit1]]&gt;50,50,testdata[[#This Row],[pd-limit1]]))</f>
        <v>34.954180092634054</v>
      </c>
      <c r="Z330" s="14">
        <f>0.2*testdata[[#This Row],[pd-limit2]]+0.8*Z329</f>
        <v>26.965252741477272</v>
      </c>
      <c r="AA330" s="14">
        <f>0.33*testdata[[#This Row],[period]]+0.67*AA329</f>
        <v>24.684211837449986</v>
      </c>
      <c r="AB330" s="31">
        <f>TRUNC(testdata[[#This Row],[SmPd]]+0.5,0)</f>
        <v>25</v>
      </c>
      <c r="AC330" s="14">
        <f ca="1">IF(testdata[[#This Row],[PdInt]]&lt;=0,0,AVERAGE(OFFSET(testdata[[#This Row],[price]],0,0,-testdata[[#This Row],[PdInt]],1)))</f>
        <v>256.142</v>
      </c>
      <c r="AD330" s="14">
        <f ca="1">IF(testdata[[#This Row],[i]]&lt;11,testdata[[#This Row],[price]],(4*testdata[[#This Row],[iTrend]]+3*AC329+2*AC328+AC327)/10)</f>
        <v>256.14415869565215</v>
      </c>
      <c r="AE330" s="14">
        <f>(4*testdata[[#This Row],[price]]+3*H329+2*H328+H327)/10</f>
        <v>257.39499999999998</v>
      </c>
      <c r="AF330" t="str">
        <f ca="1">IF(OR(ROUND(testdata[[#This Row],[Trendline]],4)&lt;&gt;Table3[[#This Row],[Trendline]],ROUND(testdata[[#This Row],[SmPrice]],4)&lt;&gt;Table3[[#This Row],[SmPrice]]),"ERR","")</f>
        <v/>
      </c>
      <c r="AG330" s="3">
        <v>43214</v>
      </c>
      <c r="AH330" s="14">
        <v>24.684200000000001</v>
      </c>
      <c r="AI330" s="34">
        <v>25</v>
      </c>
      <c r="AJ330" s="14">
        <v>256.142</v>
      </c>
      <c r="AK330" s="14">
        <v>256.14420000000001</v>
      </c>
      <c r="AL330" s="14">
        <v>257.39499999999998</v>
      </c>
      <c r="AN330" s="38">
        <f t="shared" si="16"/>
        <v>0</v>
      </c>
      <c r="AO330" s="38">
        <f t="shared" si="17"/>
        <v>0</v>
      </c>
      <c r="AQ330" s="37">
        <v>43214</v>
      </c>
      <c r="AR330">
        <v>25</v>
      </c>
      <c r="AS330">
        <v>256.14415869565198</v>
      </c>
      <c r="AT330">
        <v>257.39499999999998</v>
      </c>
      <c r="AV330" s="37">
        <v>43214</v>
      </c>
      <c r="AW330">
        <v>25</v>
      </c>
      <c r="AX330">
        <v>256.14415869565198</v>
      </c>
      <c r="AY330">
        <v>257.39499999999998</v>
      </c>
      <c r="BA330" s="38">
        <f>AX330-Table3[[#This Row],[Trendline]]</f>
        <v>-4.1304348030735127E-5</v>
      </c>
      <c r="BB330" s="38">
        <f>AY330-Table3[[#This Row],[SmPrice]]</f>
        <v>0</v>
      </c>
    </row>
    <row r="331" spans="1:54" x14ac:dyDescent="0.35">
      <c r="A331" s="6">
        <v>329</v>
      </c>
      <c r="B331" s="3">
        <v>43215</v>
      </c>
      <c r="C331" s="2">
        <v>254.23</v>
      </c>
      <c r="D331" s="2">
        <v>255.41</v>
      </c>
      <c r="E331" s="2">
        <v>252.24</v>
      </c>
      <c r="F331" s="2">
        <v>254.93</v>
      </c>
      <c r="G331" s="1">
        <v>107386584</v>
      </c>
      <c r="H331" s="30">
        <f>(testdata[[#This Row],[high]]+testdata[[#This Row],[low]])/2</f>
        <v>253.82499999999999</v>
      </c>
      <c r="I331" s="23">
        <f>(4*testdata[[#This Row],[price]]+3*H330+2*H329+H328)/10</f>
        <v>255.71099999999996</v>
      </c>
      <c r="J331" s="9">
        <f>(0.0962*testdata[[#This Row],[smooth]]+0.5769*I329-0.5769*I327-0.0962*I325)*(0.075*$Z330+0.54)</f>
        <v>-3.2429495190194126</v>
      </c>
      <c r="K331" s="14">
        <f t="shared" si="15"/>
        <v>4.4913786026673597</v>
      </c>
      <c r="L331" s="14">
        <f>(0.0962*testdata[[#This Row],[detrender]]+0.5769*J329-0.5769*J327-0.0962*J325)*(0.075*$Z330+0.54)</f>
        <v>-4.0254101733921681</v>
      </c>
      <c r="M331" s="9">
        <f>(0.0962*testdata[[#This Row],[I1]]+0.5769*K329-0.5769*K327-0.0962*K325)*(0.075*$Z330+0.54)</f>
        <v>0.94165948474804118</v>
      </c>
      <c r="N331" s="9">
        <f>(0.0962*testdata[[#This Row],[Q1]]+0.5769*L329-0.5769*L327-0.0962*L325)*(0.075*$Z330+0.54)</f>
        <v>-2.6127893477872979</v>
      </c>
      <c r="O331" s="9">
        <f>testdata[[#This Row],[I1]]-testdata[[#This Row],[JQ]]</f>
        <v>7.1041679504546575</v>
      </c>
      <c r="P331" s="9">
        <f>testdata[[#This Row],[Q1]]+testdata[[#This Row],[jI]]</f>
        <v>-3.0837506886441268</v>
      </c>
      <c r="Q331" s="9">
        <f>0.2*testdata[[#This Row],[I2]]+0.8*Q330</f>
        <v>3.3411898134698426</v>
      </c>
      <c r="R331" s="9">
        <f>0.2*testdata[[#This Row],[Q2]]+0.8*R330</f>
        <v>1.7942835072169334</v>
      </c>
      <c r="S331" s="9">
        <f>testdata[[#This Row],[I2'']]*Q330+testdata[[#This Row],[Q2'']]*R330</f>
        <v>13.427940695322921</v>
      </c>
      <c r="T331" s="9">
        <f>testdata[[#This Row],[I2'']]*R330-testdata[[#This Row],[Q2'']]*Q330</f>
        <v>5.7625719435445699</v>
      </c>
      <c r="U331" s="9">
        <f>0.2*testdata[[#This Row],[Re]]+0.8*U330</f>
        <v>18.012396327362534</v>
      </c>
      <c r="V331" s="9">
        <f>0.2*testdata[[#This Row],[Im]]+0.8*V330</f>
        <v>3.9376457092619246</v>
      </c>
      <c r="W331" s="9">
        <f>IF(AND(testdata[[#This Row],[Re'']]&lt;&gt;0,testdata[[#This Row],[Im'']]&lt;&gt;0),2*PI()/ATAN(testdata[[#This Row],[Im'']]/testdata[[#This Row],[Re'']]),0)</f>
        <v>29.194007905484245</v>
      </c>
      <c r="X331" s="9">
        <f>IF(testdata[[#This Row],[pd-atan]]&gt;1.5*Z330,1.5*Z330,IF(testdata[[#This Row],[pd-atan]]&lt;0.67*Z330,0.67*Z330,testdata[[#This Row],[pd-atan]]))</f>
        <v>29.194007905484245</v>
      </c>
      <c r="Y331" s="9">
        <f>IF(testdata[[#This Row],[pd-limit1]]&lt;6,6,IF(testdata[[#This Row],[pd-limit1]]&gt;50,50,testdata[[#This Row],[pd-limit1]]))</f>
        <v>29.194007905484245</v>
      </c>
      <c r="Z331" s="14">
        <f>0.2*testdata[[#This Row],[pd-limit2]]+0.8*Z330</f>
        <v>27.411003774278669</v>
      </c>
      <c r="AA331" s="14">
        <f>0.33*testdata[[#This Row],[period]]+0.67*AA330</f>
        <v>25.584053176603454</v>
      </c>
      <c r="AB331" s="31">
        <f>TRUNC(testdata[[#This Row],[SmPd]]+0.5,0)</f>
        <v>26</v>
      </c>
      <c r="AC331" s="14">
        <f ca="1">IF(testdata[[#This Row],[PdInt]]&lt;=0,0,AVERAGE(OFFSET(testdata[[#This Row],[price]],0,0,-testdata[[#This Row],[PdInt]],1)))</f>
        <v>256.05288461538464</v>
      </c>
      <c r="AD331" s="14">
        <f ca="1">IF(testdata[[#This Row],[i]]&lt;11,testdata[[#This Row],[price]],(4*testdata[[#This Row],[iTrend]]+3*AC330+2*AC329+AC328)/10)</f>
        <v>256.10227558528425</v>
      </c>
      <c r="AE331" s="14">
        <f>(4*testdata[[#This Row],[price]]+3*H330+2*H329+H328)/10</f>
        <v>255.71099999999996</v>
      </c>
      <c r="AF331" t="str">
        <f ca="1">IF(OR(ROUND(testdata[[#This Row],[Trendline]],4)&lt;&gt;Table3[[#This Row],[Trendline]],ROUND(testdata[[#This Row],[SmPrice]],4)&lt;&gt;Table3[[#This Row],[SmPrice]]),"ERR","")</f>
        <v/>
      </c>
      <c r="AG331" s="3">
        <v>43215</v>
      </c>
      <c r="AH331" s="14">
        <v>25.584099999999999</v>
      </c>
      <c r="AI331" s="34">
        <v>26</v>
      </c>
      <c r="AJ331" s="14">
        <v>256.05290000000002</v>
      </c>
      <c r="AK331" s="14">
        <v>256.10230000000001</v>
      </c>
      <c r="AL331" s="14">
        <v>255.71100000000001</v>
      </c>
      <c r="AN331" s="38">
        <f t="shared" si="16"/>
        <v>0</v>
      </c>
      <c r="AO331" s="38">
        <f t="shared" si="17"/>
        <v>0</v>
      </c>
      <c r="AQ331" s="37">
        <v>43215</v>
      </c>
      <c r="AR331">
        <v>26</v>
      </c>
      <c r="AS331">
        <v>256.10227558528402</v>
      </c>
      <c r="AT331">
        <v>255.71099999999899</v>
      </c>
      <c r="AV331" s="37">
        <v>43215</v>
      </c>
      <c r="AW331">
        <v>26</v>
      </c>
      <c r="AX331">
        <v>256.10227558528402</v>
      </c>
      <c r="AY331">
        <v>255.71099999999899</v>
      </c>
      <c r="BA331" s="38">
        <f>AX331-Table3[[#This Row],[Trendline]]</f>
        <v>-2.4414715994680591E-5</v>
      </c>
      <c r="BB331" s="38">
        <f>AY331-Table3[[#This Row],[SmPrice]]</f>
        <v>-1.0231815394945443E-12</v>
      </c>
    </row>
    <row r="332" spans="1:54" x14ac:dyDescent="0.35">
      <c r="A332" s="6">
        <v>330</v>
      </c>
      <c r="B332" s="3">
        <v>43216</v>
      </c>
      <c r="C332" s="2">
        <v>256.05</v>
      </c>
      <c r="D332" s="2">
        <v>258.42</v>
      </c>
      <c r="E332" s="2">
        <v>255.56</v>
      </c>
      <c r="F332" s="2">
        <v>257.52</v>
      </c>
      <c r="G332" s="1">
        <v>70044640</v>
      </c>
      <c r="H332" s="30">
        <f>(testdata[[#This Row],[high]]+testdata[[#This Row],[low]])/2</f>
        <v>256.99</v>
      </c>
      <c r="I332" s="23">
        <f>(4*testdata[[#This Row],[price]]+3*H331+2*H330+H329)/10</f>
        <v>255.90300000000002</v>
      </c>
      <c r="J332" s="9">
        <f>(0.0962*testdata[[#This Row],[smooth]]+0.5769*I330-0.5769*I328-0.0962*I326)*(0.075*$Z331+0.54)</f>
        <v>-4.7011968946535569</v>
      </c>
      <c r="K332" s="14">
        <f t="shared" si="15"/>
        <v>2.4654865763815161</v>
      </c>
      <c r="L332" s="14">
        <f>(0.0962*testdata[[#This Row],[detrender]]+0.5769*J330-0.5769*J328-0.0962*J326)*(0.075*$Z331+0.54)</f>
        <v>-9.679548768289898</v>
      </c>
      <c r="M332" s="9">
        <f>(0.0962*testdata[[#This Row],[I1]]+0.5769*K330-0.5769*K328-0.0962*K326)*(0.075*$Z331+0.54)</f>
        <v>1.331291736474449</v>
      </c>
      <c r="N332" s="9">
        <f>(0.0962*testdata[[#This Row],[Q1]]+0.5769*L330-0.5769*L328-0.0962*L326)*(0.075*$Z331+0.54)</f>
        <v>-1.7107256774422703</v>
      </c>
      <c r="O332" s="9">
        <f>testdata[[#This Row],[I1]]-testdata[[#This Row],[JQ]]</f>
        <v>4.1762122538237865</v>
      </c>
      <c r="P332" s="9">
        <f>testdata[[#This Row],[Q1]]+testdata[[#This Row],[jI]]</f>
        <v>-8.3482570318154483</v>
      </c>
      <c r="Q332" s="9">
        <f>0.2*testdata[[#This Row],[I2]]+0.8*Q331</f>
        <v>3.5081943015406312</v>
      </c>
      <c r="R332" s="9">
        <f>0.2*testdata[[#This Row],[Q2]]+0.8*R331</f>
        <v>-0.23422460058954298</v>
      </c>
      <c r="S332" s="9">
        <f>testdata[[#This Row],[I2'']]*Q331+testdata[[#This Row],[Q2'']]*R331</f>
        <v>11.301277726158217</v>
      </c>
      <c r="T332" s="9">
        <f>testdata[[#This Row],[I2'']]*R331-testdata[[#This Row],[Q2'']]*Q331</f>
        <v>7.0772840249206075</v>
      </c>
      <c r="U332" s="9">
        <f>0.2*testdata[[#This Row],[Re]]+0.8*U331</f>
        <v>16.670172607121671</v>
      </c>
      <c r="V332" s="9">
        <f>0.2*testdata[[#This Row],[Im]]+0.8*V331</f>
        <v>4.5655733723936613</v>
      </c>
      <c r="W332" s="9">
        <f>IF(AND(testdata[[#This Row],[Re'']]&lt;&gt;0,testdata[[#This Row],[Im'']]&lt;&gt;0),2*PI()/ATAN(testdata[[#This Row],[Im'']]/testdata[[#This Row],[Re'']]),0)</f>
        <v>23.504212167284084</v>
      </c>
      <c r="X332" s="9">
        <f>IF(testdata[[#This Row],[pd-atan]]&gt;1.5*Z331,1.5*Z331,IF(testdata[[#This Row],[pd-atan]]&lt;0.67*Z331,0.67*Z331,testdata[[#This Row],[pd-atan]]))</f>
        <v>23.504212167284084</v>
      </c>
      <c r="Y332" s="9">
        <f>IF(testdata[[#This Row],[pd-limit1]]&lt;6,6,IF(testdata[[#This Row],[pd-limit1]]&gt;50,50,testdata[[#This Row],[pd-limit1]]))</f>
        <v>23.504212167284084</v>
      </c>
      <c r="Z332" s="14">
        <f>0.2*testdata[[#This Row],[pd-limit2]]+0.8*Z331</f>
        <v>26.629645452879753</v>
      </c>
      <c r="AA332" s="14">
        <f>0.33*testdata[[#This Row],[period]]+0.67*AA331</f>
        <v>25.929098627774636</v>
      </c>
      <c r="AB332" s="31">
        <f>TRUNC(testdata[[#This Row],[SmPd]]+0.5,0)</f>
        <v>26</v>
      </c>
      <c r="AC332" s="14">
        <f ca="1">IF(testdata[[#This Row],[PdInt]]&lt;=0,0,AVERAGE(OFFSET(testdata[[#This Row],[price]],0,0,-testdata[[#This Row],[PdInt]],1)))</f>
        <v>255.86096153846151</v>
      </c>
      <c r="AD332" s="14">
        <f ca="1">IF(testdata[[#This Row],[i]]&lt;11,testdata[[#This Row],[price]],(4*testdata[[#This Row],[iTrend]]+3*AC331+2*AC330+AC329)/10)</f>
        <v>256.00390000000004</v>
      </c>
      <c r="AE332" s="14">
        <f>(4*testdata[[#This Row],[price]]+3*H331+2*H330+H329)/10</f>
        <v>255.90300000000002</v>
      </c>
      <c r="AF332" t="str">
        <f ca="1">IF(OR(ROUND(testdata[[#This Row],[Trendline]],4)&lt;&gt;Table3[[#This Row],[Trendline]],ROUND(testdata[[#This Row],[SmPrice]],4)&lt;&gt;Table3[[#This Row],[SmPrice]]),"ERR","")</f>
        <v/>
      </c>
      <c r="AG332" s="3">
        <v>43216</v>
      </c>
      <c r="AH332" s="14">
        <v>25.929099999999998</v>
      </c>
      <c r="AI332" s="34">
        <v>26</v>
      </c>
      <c r="AJ332" s="14">
        <v>255.86099999999999</v>
      </c>
      <c r="AK332" s="14">
        <v>256.00389999999999</v>
      </c>
      <c r="AL332" s="14">
        <v>255.90299999999999</v>
      </c>
      <c r="AN332" s="38">
        <f t="shared" si="16"/>
        <v>0</v>
      </c>
      <c r="AO332" s="38">
        <f t="shared" si="17"/>
        <v>0</v>
      </c>
      <c r="AQ332" s="37">
        <v>43216</v>
      </c>
      <c r="AR332">
        <v>26</v>
      </c>
      <c r="AS332">
        <v>256.00389999999999</v>
      </c>
      <c r="AT332">
        <v>255.90299999999999</v>
      </c>
      <c r="AV332" s="37">
        <v>43216</v>
      </c>
      <c r="AW332">
        <v>26</v>
      </c>
      <c r="AX332">
        <v>256.00389999999999</v>
      </c>
      <c r="AY332">
        <v>255.90299999999999</v>
      </c>
      <c r="BA332" s="38">
        <f>AX332-Table3[[#This Row],[Trendline]]</f>
        <v>0</v>
      </c>
      <c r="BB332" s="38">
        <f>AY332-Table3[[#This Row],[SmPrice]]</f>
        <v>0</v>
      </c>
    </row>
    <row r="333" spans="1:54" x14ac:dyDescent="0.35">
      <c r="A333" s="6">
        <v>331</v>
      </c>
      <c r="B333" s="3">
        <v>43217</v>
      </c>
      <c r="C333" s="2">
        <v>258.18</v>
      </c>
      <c r="D333" s="2">
        <v>258.51</v>
      </c>
      <c r="E333" s="2">
        <v>256.73</v>
      </c>
      <c r="F333" s="2">
        <v>257.76</v>
      </c>
      <c r="G333" s="1">
        <v>59001736</v>
      </c>
      <c r="H333" s="30">
        <f>(testdata[[#This Row],[high]]+testdata[[#This Row],[low]])/2</f>
        <v>257.62</v>
      </c>
      <c r="I333" s="23">
        <f>(4*testdata[[#This Row],[price]]+3*H332+2*H331+H330)/10</f>
        <v>256.49899999999997</v>
      </c>
      <c r="J333" s="9">
        <f>(0.0962*testdata[[#This Row],[smooth]]+0.5769*I331-0.5769*I329-0.0962*I327)*(0.075*$Z332+0.54)</f>
        <v>-5.5349678362775583</v>
      </c>
      <c r="K333" s="14">
        <f t="shared" si="15"/>
        <v>-0.6989375500993108</v>
      </c>
      <c r="L333" s="14">
        <f>(0.0962*testdata[[#This Row],[detrender]]+0.5769*J331-0.5769*J329-0.0962*J327)*(0.075*$Z332+0.54)</f>
        <v>-10.707834534946157</v>
      </c>
      <c r="M333" s="9">
        <f>(0.0962*testdata[[#This Row],[I1]]+0.5769*K331-0.5769*K329-0.0962*K327)*(0.075*$Z332+0.54)</f>
        <v>1.4559816155195398</v>
      </c>
      <c r="N333" s="9">
        <f>(0.0962*testdata[[#This Row],[Q1]]+0.5769*L331-0.5769*L329-0.0962*L327)*(0.075*$Z332+0.54)</f>
        <v>-10.748694321287944</v>
      </c>
      <c r="O333" s="9">
        <f>testdata[[#This Row],[I1]]-testdata[[#This Row],[JQ]]</f>
        <v>10.049756771188633</v>
      </c>
      <c r="P333" s="9">
        <f>testdata[[#This Row],[Q1]]+testdata[[#This Row],[jI]]</f>
        <v>-9.2518529194266179</v>
      </c>
      <c r="Q333" s="9">
        <f>0.2*testdata[[#This Row],[I2]]+0.8*Q332</f>
        <v>4.8165067954702323</v>
      </c>
      <c r="R333" s="9">
        <f>0.2*testdata[[#This Row],[Q2]]+0.8*R332</f>
        <v>-2.0377502643569581</v>
      </c>
      <c r="S333" s="9">
        <f>testdata[[#This Row],[I2'']]*Q332+testdata[[#This Row],[Q2'']]*R332</f>
        <v>17.374532934970642</v>
      </c>
      <c r="T333" s="9">
        <f>testdata[[#This Row],[I2'']]*R332-testdata[[#This Row],[Q2'']]*Q332</f>
        <v>6.0206794849741607</v>
      </c>
      <c r="U333" s="9">
        <f>0.2*testdata[[#This Row],[Re]]+0.8*U332</f>
        <v>16.811044672691466</v>
      </c>
      <c r="V333" s="9">
        <f>0.2*testdata[[#This Row],[Im]]+0.8*V332</f>
        <v>4.8565945949097618</v>
      </c>
      <c r="W333" s="9">
        <f>IF(AND(testdata[[#This Row],[Re'']]&lt;&gt;0,testdata[[#This Row],[Im'']]&lt;&gt;0),2*PI()/ATAN(testdata[[#This Row],[Im'']]/testdata[[#This Row],[Re'']]),0)</f>
        <v>22.341320421678571</v>
      </c>
      <c r="X333" s="9">
        <f>IF(testdata[[#This Row],[pd-atan]]&gt;1.5*Z332,1.5*Z332,IF(testdata[[#This Row],[pd-atan]]&lt;0.67*Z332,0.67*Z332,testdata[[#This Row],[pd-atan]]))</f>
        <v>22.341320421678571</v>
      </c>
      <c r="Y333" s="9">
        <f>IF(testdata[[#This Row],[pd-limit1]]&lt;6,6,IF(testdata[[#This Row],[pd-limit1]]&gt;50,50,testdata[[#This Row],[pd-limit1]]))</f>
        <v>22.341320421678571</v>
      </c>
      <c r="Z333" s="14">
        <f>0.2*testdata[[#This Row],[pd-limit2]]+0.8*Z332</f>
        <v>25.771980446639517</v>
      </c>
      <c r="AA333" s="14">
        <f>0.33*testdata[[#This Row],[period]]+0.67*AA332</f>
        <v>25.877249628000051</v>
      </c>
      <c r="AB333" s="31">
        <f>TRUNC(testdata[[#This Row],[SmPd]]+0.5,0)</f>
        <v>26</v>
      </c>
      <c r="AC333" s="14">
        <f ca="1">IF(testdata[[#This Row],[PdInt]]&lt;=0,0,AVERAGE(OFFSET(testdata[[#This Row],[price]],0,0,-testdata[[#This Row],[PdInt]],1)))</f>
        <v>255.66326923076923</v>
      </c>
      <c r="AD333" s="14">
        <f ca="1">IF(testdata[[#This Row],[i]]&lt;11,testdata[[#This Row],[price]],(4*testdata[[#This Row],[iTrend]]+3*AC332+2*AC331+AC330)/10)</f>
        <v>255.84837307692305</v>
      </c>
      <c r="AE333" s="14">
        <f>(4*testdata[[#This Row],[price]]+3*H332+2*H331+H330)/10</f>
        <v>256.49899999999997</v>
      </c>
      <c r="AF333" t="str">
        <f ca="1">IF(OR(ROUND(testdata[[#This Row],[Trendline]],4)&lt;&gt;Table3[[#This Row],[Trendline]],ROUND(testdata[[#This Row],[SmPrice]],4)&lt;&gt;Table3[[#This Row],[SmPrice]]),"ERR","")</f>
        <v/>
      </c>
      <c r="AG333" s="3">
        <v>43217</v>
      </c>
      <c r="AH333" s="14">
        <v>25.877199999999998</v>
      </c>
      <c r="AI333" s="34">
        <v>26</v>
      </c>
      <c r="AJ333" s="14">
        <v>255.66329999999999</v>
      </c>
      <c r="AK333" s="14">
        <v>255.8484</v>
      </c>
      <c r="AL333" s="14">
        <v>256.49900000000002</v>
      </c>
      <c r="AN333" s="38">
        <f t="shared" si="16"/>
        <v>0</v>
      </c>
      <c r="AO333" s="38">
        <f t="shared" si="17"/>
        <v>0</v>
      </c>
      <c r="AQ333" s="37">
        <v>43217</v>
      </c>
      <c r="AR333">
        <v>26</v>
      </c>
      <c r="AS333">
        <v>255.848373076923</v>
      </c>
      <c r="AT333">
        <v>256.498999999999</v>
      </c>
      <c r="AV333" s="37">
        <v>43217</v>
      </c>
      <c r="AW333">
        <v>26</v>
      </c>
      <c r="AX333">
        <v>255.848373076923</v>
      </c>
      <c r="AY333">
        <v>256.498999999999</v>
      </c>
      <c r="BA333" s="38">
        <f>AX333-Table3[[#This Row],[Trendline]]</f>
        <v>-2.6923077001583806E-5</v>
      </c>
      <c r="BB333" s="38">
        <f>AY333-Table3[[#This Row],[SmPrice]]</f>
        <v>-1.0231815394945443E-12</v>
      </c>
    </row>
    <row r="334" spans="1:54" x14ac:dyDescent="0.35">
      <c r="A334" s="6">
        <v>332</v>
      </c>
      <c r="B334" s="3">
        <v>43220</v>
      </c>
      <c r="C334" s="2">
        <v>258.44</v>
      </c>
      <c r="D334" s="2">
        <v>259.04000000000002</v>
      </c>
      <c r="E334" s="2">
        <v>255.7</v>
      </c>
      <c r="F334" s="2">
        <v>255.78</v>
      </c>
      <c r="G334" s="1">
        <v>84988424</v>
      </c>
      <c r="H334" s="30">
        <f>(testdata[[#This Row],[high]]+testdata[[#This Row],[low]])/2</f>
        <v>257.37</v>
      </c>
      <c r="I334" s="23">
        <f>(4*testdata[[#This Row],[price]]+3*H333+2*H332+H331)/10</f>
        <v>257.0145</v>
      </c>
      <c r="J334" s="9">
        <f>(0.0962*testdata[[#This Row],[smooth]]+0.5769*I332-0.5769*I330-0.0962*I328)*(0.075*$Z333+0.54)</f>
        <v>-2.7916361131470215</v>
      </c>
      <c r="K334" s="14">
        <f t="shared" si="15"/>
        <v>-3.2429495190194126</v>
      </c>
      <c r="L334" s="14">
        <f>(0.0962*testdata[[#This Row],[detrender]]+0.5769*J332-0.5769*J330-0.0962*J328)*(0.075*$Z333+0.54)</f>
        <v>-7.4422609177610912</v>
      </c>
      <c r="M334" s="9">
        <f>(0.0962*testdata[[#This Row],[I1]]+0.5769*K332-0.5769*K330-0.0962*K328)*(0.075*$Z333+0.54)</f>
        <v>-3.8848167326934111</v>
      </c>
      <c r="N334" s="9">
        <f>(0.0962*testdata[[#This Row],[Q1]]+0.5769*L332-0.5769*L330-0.0962*L328)*(0.075*$Z333+0.54)</f>
        <v>-17.751909453597239</v>
      </c>
      <c r="O334" s="9">
        <f>testdata[[#This Row],[I1]]-testdata[[#This Row],[JQ]]</f>
        <v>14.508959934577828</v>
      </c>
      <c r="P334" s="9">
        <f>testdata[[#This Row],[Q1]]+testdata[[#This Row],[jI]]</f>
        <v>-11.327077650454502</v>
      </c>
      <c r="Q334" s="9">
        <f>0.2*testdata[[#This Row],[I2]]+0.8*Q333</f>
        <v>6.7549974232917513</v>
      </c>
      <c r="R334" s="9">
        <f>0.2*testdata[[#This Row],[Q2]]+0.8*R333</f>
        <v>-3.8956157415764672</v>
      </c>
      <c r="S334" s="9">
        <f>testdata[[#This Row],[I2'']]*Q333+testdata[[#This Row],[Q2'']]*R333</f>
        <v>40.4737829998992</v>
      </c>
      <c r="T334" s="9">
        <f>testdata[[#This Row],[I2'']]*R333-testdata[[#This Row],[Q2'']]*Q333</f>
        <v>4.9982619068005274</v>
      </c>
      <c r="U334" s="9">
        <f>0.2*testdata[[#This Row],[Re]]+0.8*U333</f>
        <v>21.543592338133013</v>
      </c>
      <c r="V334" s="9">
        <f>0.2*testdata[[#This Row],[Im]]+0.8*V333</f>
        <v>4.8849280572879152</v>
      </c>
      <c r="W334" s="9">
        <f>IF(AND(testdata[[#This Row],[Re'']]&lt;&gt;0,testdata[[#This Row],[Im'']]&lt;&gt;0),2*PI()/ATAN(testdata[[#This Row],[Im'']]/testdata[[#This Row],[Re'']]),0)</f>
        <v>28.178764989948526</v>
      </c>
      <c r="X334" s="9">
        <f>IF(testdata[[#This Row],[pd-atan]]&gt;1.5*Z333,1.5*Z333,IF(testdata[[#This Row],[pd-atan]]&lt;0.67*Z333,0.67*Z333,testdata[[#This Row],[pd-atan]]))</f>
        <v>28.178764989948526</v>
      </c>
      <c r="Y334" s="9">
        <f>IF(testdata[[#This Row],[pd-limit1]]&lt;6,6,IF(testdata[[#This Row],[pd-limit1]]&gt;50,50,testdata[[#This Row],[pd-limit1]]))</f>
        <v>28.178764989948526</v>
      </c>
      <c r="Z334" s="14">
        <f>0.2*testdata[[#This Row],[pd-limit2]]+0.8*Z333</f>
        <v>26.253337355301319</v>
      </c>
      <c r="AA334" s="14">
        <f>0.33*testdata[[#This Row],[period]]+0.67*AA333</f>
        <v>26.001358578009473</v>
      </c>
      <c r="AB334" s="31">
        <f>TRUNC(testdata[[#This Row],[SmPd]]+0.5,0)</f>
        <v>26</v>
      </c>
      <c r="AC334" s="14">
        <f ca="1">IF(testdata[[#This Row],[PdInt]]&lt;=0,0,AVERAGE(OFFSET(testdata[[#This Row],[price]],0,0,-testdata[[#This Row],[PdInt]],1)))</f>
        <v>255.66499999999999</v>
      </c>
      <c r="AD334" s="14">
        <f ca="1">IF(testdata[[#This Row],[i]]&lt;11,testdata[[#This Row],[price]],(4*testdata[[#This Row],[iTrend]]+3*AC333+2*AC332+AC331)/10)</f>
        <v>255.74246153846153</v>
      </c>
      <c r="AE334" s="14">
        <f>(4*testdata[[#This Row],[price]]+3*H333+2*H332+H331)/10</f>
        <v>257.0145</v>
      </c>
      <c r="AF334" t="str">
        <f ca="1">IF(OR(ROUND(testdata[[#This Row],[Trendline]],4)&lt;&gt;Table3[[#This Row],[Trendline]],ROUND(testdata[[#This Row],[SmPrice]],4)&lt;&gt;Table3[[#This Row],[SmPrice]]),"ERR","")</f>
        <v/>
      </c>
      <c r="AG334" s="3">
        <v>43220</v>
      </c>
      <c r="AH334" s="14">
        <v>26.0014</v>
      </c>
      <c r="AI334" s="34">
        <v>26</v>
      </c>
      <c r="AJ334" s="14">
        <v>255.66499999999999</v>
      </c>
      <c r="AK334" s="14">
        <v>255.74250000000001</v>
      </c>
      <c r="AL334" s="14">
        <v>257.0145</v>
      </c>
      <c r="AN334" s="38">
        <f t="shared" si="16"/>
        <v>0</v>
      </c>
      <c r="AO334" s="38">
        <f t="shared" si="17"/>
        <v>0</v>
      </c>
      <c r="AQ334" s="37">
        <v>43220</v>
      </c>
      <c r="AR334">
        <v>26</v>
      </c>
      <c r="AS334">
        <v>255.74246153846099</v>
      </c>
      <c r="AT334">
        <v>257.0145</v>
      </c>
      <c r="AV334" s="37">
        <v>43220</v>
      </c>
      <c r="AW334">
        <v>26</v>
      </c>
      <c r="AX334">
        <v>255.74246153846099</v>
      </c>
      <c r="AY334">
        <v>257.0145</v>
      </c>
      <c r="BA334" s="38">
        <f>AX334-Table3[[#This Row],[Trendline]]</f>
        <v>-3.8461539020318014E-5</v>
      </c>
      <c r="BB334" s="38">
        <f>AY334-Table3[[#This Row],[SmPrice]]</f>
        <v>0</v>
      </c>
    </row>
    <row r="335" spans="1:54" x14ac:dyDescent="0.35">
      <c r="A335" s="6">
        <v>333</v>
      </c>
      <c r="B335" s="3">
        <v>43221</v>
      </c>
      <c r="C335" s="2">
        <v>255.16</v>
      </c>
      <c r="D335" s="2">
        <v>256.35000000000002</v>
      </c>
      <c r="E335" s="2">
        <v>253.46</v>
      </c>
      <c r="F335" s="2">
        <v>256.23</v>
      </c>
      <c r="G335" s="1">
        <v>76737024</v>
      </c>
      <c r="H335" s="30">
        <f>(testdata[[#This Row],[high]]+testdata[[#This Row],[low]])/2</f>
        <v>254.90500000000003</v>
      </c>
      <c r="I335" s="23">
        <f>(4*testdata[[#This Row],[price]]+3*H334+2*H333+H332)/10</f>
        <v>256.39600000000002</v>
      </c>
      <c r="J335" s="9">
        <f>(0.0962*testdata[[#This Row],[smooth]]+0.5769*I333-0.5769*I331-0.0962*I329)*(0.075*$Z334+0.54)</f>
        <v>0.55334144992621237</v>
      </c>
      <c r="K335" s="14">
        <f t="shared" si="15"/>
        <v>-4.7011968946535569</v>
      </c>
      <c r="L335" s="14">
        <f>(0.0962*testdata[[#This Row],[detrender]]+0.5769*J333-0.5769*J331-0.0962*J329)*(0.075*$Z334+0.54)</f>
        <v>-3.7790906988793362</v>
      </c>
      <c r="M335" s="9">
        <f>(0.0962*testdata[[#This Row],[I1]]+0.5769*K333-0.5769*K331-0.0962*K329)*(0.075*$Z334+0.54)</f>
        <v>-9.355787902150837</v>
      </c>
      <c r="N335" s="9">
        <f>(0.0962*testdata[[#This Row],[Q1]]+0.5769*L333-0.5769*L331-0.0962*L329)*(0.075*$Z334+0.54)</f>
        <v>-10.870484688198863</v>
      </c>
      <c r="O335" s="9">
        <f>testdata[[#This Row],[I1]]-testdata[[#This Row],[JQ]]</f>
        <v>6.1692877935453057</v>
      </c>
      <c r="P335" s="9">
        <f>testdata[[#This Row],[Q1]]+testdata[[#This Row],[jI]]</f>
        <v>-13.134878601030174</v>
      </c>
      <c r="Q335" s="9">
        <f>0.2*testdata[[#This Row],[I2]]+0.8*Q334</f>
        <v>6.6378554973424624</v>
      </c>
      <c r="R335" s="9">
        <f>0.2*testdata[[#This Row],[Q2]]+0.8*R334</f>
        <v>-5.7434683134672095</v>
      </c>
      <c r="S335" s="9">
        <f>testdata[[#This Row],[I2'']]*Q334+testdata[[#This Row],[Q2'']]*R334</f>
        <v>67.213042353919832</v>
      </c>
      <c r="T335" s="9">
        <f>testdata[[#This Row],[I2'']]*R334-testdata[[#This Row],[Q2'']]*Q334</f>
        <v>12.938579292471637</v>
      </c>
      <c r="U335" s="9">
        <f>0.2*testdata[[#This Row],[Re]]+0.8*U334</f>
        <v>30.677482341290379</v>
      </c>
      <c r="V335" s="9">
        <f>0.2*testdata[[#This Row],[Im]]+0.8*V334</f>
        <v>6.4956583043246603</v>
      </c>
      <c r="W335" s="9">
        <f>IF(AND(testdata[[#This Row],[Re'']]&lt;&gt;0,testdata[[#This Row],[Im'']]&lt;&gt;0),2*PI()/ATAN(testdata[[#This Row],[Im'']]/testdata[[#This Row],[Re'']]),0)</f>
        <v>30.112308637683487</v>
      </c>
      <c r="X335" s="9">
        <f>IF(testdata[[#This Row],[pd-atan]]&gt;1.5*Z334,1.5*Z334,IF(testdata[[#This Row],[pd-atan]]&lt;0.67*Z334,0.67*Z334,testdata[[#This Row],[pd-atan]]))</f>
        <v>30.112308637683487</v>
      </c>
      <c r="Y335" s="9">
        <f>IF(testdata[[#This Row],[pd-limit1]]&lt;6,6,IF(testdata[[#This Row],[pd-limit1]]&gt;50,50,testdata[[#This Row],[pd-limit1]]))</f>
        <v>30.112308637683487</v>
      </c>
      <c r="Z335" s="14">
        <f>0.2*testdata[[#This Row],[pd-limit2]]+0.8*Z334</f>
        <v>27.025131611777756</v>
      </c>
      <c r="AA335" s="14">
        <f>0.33*testdata[[#This Row],[period]]+0.67*AA334</f>
        <v>26.339203679153009</v>
      </c>
      <c r="AB335" s="31">
        <f>TRUNC(testdata[[#This Row],[SmPd]]+0.5,0)</f>
        <v>26</v>
      </c>
      <c r="AC335" s="14">
        <f ca="1">IF(testdata[[#This Row],[PdInt]]&lt;=0,0,AVERAGE(OFFSET(testdata[[#This Row],[price]],0,0,-testdata[[#This Row],[PdInt]],1)))</f>
        <v>255.74615384615379</v>
      </c>
      <c r="AD335" s="14">
        <f ca="1">IF(testdata[[#This Row],[i]]&lt;11,testdata[[#This Row],[price]],(4*testdata[[#This Row],[iTrend]]+3*AC334+2*AC333+AC332)/10)</f>
        <v>255.71671153846151</v>
      </c>
      <c r="AE335" s="14">
        <f>(4*testdata[[#This Row],[price]]+3*H334+2*H333+H332)/10</f>
        <v>256.39600000000002</v>
      </c>
      <c r="AF335" t="str">
        <f ca="1">IF(OR(ROUND(testdata[[#This Row],[Trendline]],4)&lt;&gt;Table3[[#This Row],[Trendline]],ROUND(testdata[[#This Row],[SmPrice]],4)&lt;&gt;Table3[[#This Row],[SmPrice]]),"ERR","")</f>
        <v/>
      </c>
      <c r="AG335" s="3">
        <v>43221</v>
      </c>
      <c r="AH335" s="14">
        <v>26.339200000000002</v>
      </c>
      <c r="AI335" s="34">
        <v>26</v>
      </c>
      <c r="AJ335" s="14">
        <v>255.74619999999999</v>
      </c>
      <c r="AK335" s="14">
        <v>255.7167</v>
      </c>
      <c r="AL335" s="14">
        <v>256.39600000000002</v>
      </c>
      <c r="AN335" s="38">
        <f t="shared" si="16"/>
        <v>0</v>
      </c>
      <c r="AO335" s="38">
        <f t="shared" si="17"/>
        <v>0</v>
      </c>
      <c r="AQ335" s="37">
        <v>43221</v>
      </c>
      <c r="AR335">
        <v>26</v>
      </c>
      <c r="AS335">
        <v>255.716711538461</v>
      </c>
      <c r="AT335">
        <v>256.39600000000002</v>
      </c>
      <c r="AV335" s="37">
        <v>43221</v>
      </c>
      <c r="AW335">
        <v>26</v>
      </c>
      <c r="AX335">
        <v>255.716711538461</v>
      </c>
      <c r="AY335">
        <v>256.39600000000002</v>
      </c>
      <c r="BA335" s="38">
        <f>AX335-Table3[[#This Row],[Trendline]]</f>
        <v>1.1538460995552668E-5</v>
      </c>
      <c r="BB335" s="38">
        <f>AY335-Table3[[#This Row],[SmPrice]]</f>
        <v>0</v>
      </c>
    </row>
    <row r="336" spans="1:54" x14ac:dyDescent="0.35">
      <c r="A336" s="6">
        <v>334</v>
      </c>
      <c r="B336" s="3">
        <v>43222</v>
      </c>
      <c r="C336" s="2">
        <v>256.02</v>
      </c>
      <c r="D336" s="2">
        <v>256.91000000000003</v>
      </c>
      <c r="E336" s="2">
        <v>254.08</v>
      </c>
      <c r="F336" s="2">
        <v>254.51</v>
      </c>
      <c r="G336" s="1">
        <v>89317992</v>
      </c>
      <c r="H336" s="30">
        <f>(testdata[[#This Row],[high]]+testdata[[#This Row],[low]])/2</f>
        <v>255.495</v>
      </c>
      <c r="I336" s="23">
        <f>(4*testdata[[#This Row],[price]]+3*H335+2*H334+H333)/10</f>
        <v>255.90550000000002</v>
      </c>
      <c r="J336" s="9">
        <f>(0.0962*testdata[[#This Row],[smooth]]+0.5769*I334-0.5769*I332-0.0962*I330)*(0.075*$Z335+0.54)</f>
        <v>1.2781404063965827</v>
      </c>
      <c r="K336" s="14">
        <f t="shared" si="15"/>
        <v>-5.5349678362775583</v>
      </c>
      <c r="L336" s="14">
        <f>(0.0962*testdata[[#This Row],[detrender]]+0.5769*J334-0.5769*J332-0.0962*J330)*(0.075*$Z335+0.54)</f>
        <v>3.3159545339661856</v>
      </c>
      <c r="M336" s="9">
        <f>(0.0962*testdata[[#This Row],[I1]]+0.5769*K334-0.5769*K332-0.0962*K330)*(0.075*$Z335+0.54)</f>
        <v>-10.833014692575645</v>
      </c>
      <c r="N336" s="9">
        <f>(0.0962*testdata[[#This Row],[Q1]]+0.5769*L334-0.5769*L332-0.0962*L330)*(0.075*$Z335+0.54)</f>
        <v>3.790006556266031</v>
      </c>
      <c r="O336" s="9">
        <f>testdata[[#This Row],[I1]]-testdata[[#This Row],[JQ]]</f>
        <v>-9.3249743925435897</v>
      </c>
      <c r="P336" s="9">
        <f>testdata[[#This Row],[Q1]]+testdata[[#This Row],[jI]]</f>
        <v>-7.5170601586094596</v>
      </c>
      <c r="Q336" s="9">
        <f>0.2*testdata[[#This Row],[I2]]+0.8*Q335</f>
        <v>3.4452895193652524</v>
      </c>
      <c r="R336" s="9">
        <f>0.2*testdata[[#This Row],[Q2]]+0.8*R335</f>
        <v>-6.0981866824956592</v>
      </c>
      <c r="S336" s="9">
        <f>testdata[[#This Row],[I2'']]*Q335+testdata[[#This Row],[Q2'']]*R335</f>
        <v>57.89407595657655</v>
      </c>
      <c r="T336" s="9">
        <f>testdata[[#This Row],[I2'']]*R335-testdata[[#This Row],[Q2'']]*Q335</f>
        <v>20.690970809029402</v>
      </c>
      <c r="U336" s="9">
        <f>0.2*testdata[[#This Row],[Re]]+0.8*U335</f>
        <v>36.120801064347617</v>
      </c>
      <c r="V336" s="9">
        <f>0.2*testdata[[#This Row],[Im]]+0.8*V335</f>
        <v>9.3347208052656079</v>
      </c>
      <c r="W336" s="9">
        <f>IF(AND(testdata[[#This Row],[Re'']]&lt;&gt;0,testdata[[#This Row],[Im'']]&lt;&gt;0),2*PI()/ATAN(testdata[[#This Row],[Im'']]/testdata[[#This Row],[Re'']]),0)</f>
        <v>24.844791619371275</v>
      </c>
      <c r="X336" s="9">
        <f>IF(testdata[[#This Row],[pd-atan]]&gt;1.5*Z335,1.5*Z335,IF(testdata[[#This Row],[pd-atan]]&lt;0.67*Z335,0.67*Z335,testdata[[#This Row],[pd-atan]]))</f>
        <v>24.844791619371275</v>
      </c>
      <c r="Y336" s="9">
        <f>IF(testdata[[#This Row],[pd-limit1]]&lt;6,6,IF(testdata[[#This Row],[pd-limit1]]&gt;50,50,testdata[[#This Row],[pd-limit1]]))</f>
        <v>24.844791619371275</v>
      </c>
      <c r="Z336" s="14">
        <f>0.2*testdata[[#This Row],[pd-limit2]]+0.8*Z335</f>
        <v>26.58906361329646</v>
      </c>
      <c r="AA336" s="14">
        <f>0.33*testdata[[#This Row],[period]]+0.67*AA335</f>
        <v>26.421657457420348</v>
      </c>
      <c r="AB336" s="31">
        <f>TRUNC(testdata[[#This Row],[SmPd]]+0.5,0)</f>
        <v>26</v>
      </c>
      <c r="AC336" s="14">
        <f ca="1">IF(testdata[[#This Row],[PdInt]]&lt;=0,0,AVERAGE(OFFSET(testdata[[#This Row],[price]],0,0,-testdata[[#This Row],[PdInt]],1)))</f>
        <v>255.81307692307689</v>
      </c>
      <c r="AD336" s="14">
        <f ca="1">IF(testdata[[#This Row],[i]]&lt;11,testdata[[#This Row],[price]],(4*testdata[[#This Row],[iTrend]]+3*AC335+2*AC334+AC333)/10)</f>
        <v>255.74840384615382</v>
      </c>
      <c r="AE336" s="14">
        <f>(4*testdata[[#This Row],[price]]+3*H335+2*H334+H333)/10</f>
        <v>255.90550000000002</v>
      </c>
      <c r="AF336" t="str">
        <f ca="1">IF(OR(ROUND(testdata[[#This Row],[Trendline]],4)&lt;&gt;Table3[[#This Row],[Trendline]],ROUND(testdata[[#This Row],[SmPrice]],4)&lt;&gt;Table3[[#This Row],[SmPrice]]),"ERR","")</f>
        <v/>
      </c>
      <c r="AG336" s="3">
        <v>43222</v>
      </c>
      <c r="AH336" s="14">
        <v>26.421700000000001</v>
      </c>
      <c r="AI336" s="34">
        <v>26</v>
      </c>
      <c r="AJ336" s="14">
        <v>255.81309999999999</v>
      </c>
      <c r="AK336" s="14">
        <v>255.7484</v>
      </c>
      <c r="AL336" s="14">
        <v>255.90549999999999</v>
      </c>
      <c r="AN336" s="38">
        <f t="shared" si="16"/>
        <v>0</v>
      </c>
      <c r="AO336" s="38">
        <f t="shared" si="17"/>
        <v>0</v>
      </c>
      <c r="AQ336" s="37">
        <v>43222</v>
      </c>
      <c r="AR336">
        <v>26</v>
      </c>
      <c r="AS336">
        <v>255.748403846153</v>
      </c>
      <c r="AT336">
        <v>255.90549999999999</v>
      </c>
      <c r="AV336" s="37">
        <v>43222</v>
      </c>
      <c r="AW336">
        <v>26</v>
      </c>
      <c r="AX336">
        <v>255.748403846153</v>
      </c>
      <c r="AY336">
        <v>255.90549999999999</v>
      </c>
      <c r="BA336" s="38">
        <f>AX336-Table3[[#This Row],[Trendline]]</f>
        <v>3.8461529925370996E-6</v>
      </c>
      <c r="BB336" s="38">
        <f>AY336-Table3[[#This Row],[SmPrice]]</f>
        <v>0</v>
      </c>
    </row>
    <row r="337" spans="1:54" x14ac:dyDescent="0.35">
      <c r="A337" s="6">
        <v>335</v>
      </c>
      <c r="B337" s="3">
        <v>43223</v>
      </c>
      <c r="C337" s="2">
        <v>253.6</v>
      </c>
      <c r="D337" s="2">
        <v>254.66</v>
      </c>
      <c r="E337" s="2">
        <v>250.5</v>
      </c>
      <c r="F337" s="2">
        <v>253.95</v>
      </c>
      <c r="G337" s="1">
        <v>140965808</v>
      </c>
      <c r="H337" s="30">
        <f>(testdata[[#This Row],[high]]+testdata[[#This Row],[low]])/2</f>
        <v>252.57999999999998</v>
      </c>
      <c r="I337" s="23">
        <f>(4*testdata[[#This Row],[price]]+3*H336+2*H335+H334)/10</f>
        <v>254.39849999999996</v>
      </c>
      <c r="J337" s="9">
        <f>(0.0962*testdata[[#This Row],[smooth]]+0.5769*I335-0.5769*I333-0.0962*I331)*(0.075*$Z336+0.54)</f>
        <v>-0.47055460925395193</v>
      </c>
      <c r="K337" s="14">
        <f t="shared" si="15"/>
        <v>-2.7916361131470215</v>
      </c>
      <c r="L337" s="14">
        <f>(0.0962*testdata[[#This Row],[detrender]]+0.5769*J335-0.5769*J333-0.0962*J331)*(0.075*$Z336+0.54)</f>
        <v>9.5767921080122651</v>
      </c>
      <c r="M337" s="9">
        <f>(0.0962*testdata[[#This Row],[I1]]+0.5769*K335-0.5769*K333-0.0962*K331)*(0.075*$Z336+0.54)</f>
        <v>-7.626688605616013</v>
      </c>
      <c r="N337" s="9">
        <f>(0.0962*testdata[[#This Row],[Q1]]+0.5769*L335-0.5769*L333-0.0962*L331)*(0.075*$Z336+0.54)</f>
        <v>13.445658883640691</v>
      </c>
      <c r="O337" s="9">
        <f>testdata[[#This Row],[I1]]-testdata[[#This Row],[JQ]]</f>
        <v>-16.237294996787714</v>
      </c>
      <c r="P337" s="9">
        <f>testdata[[#This Row],[Q1]]+testdata[[#This Row],[jI]]</f>
        <v>1.9501035023962521</v>
      </c>
      <c r="Q337" s="9">
        <f>0.2*testdata[[#This Row],[I2]]+0.8*Q336</f>
        <v>-0.49122738386534071</v>
      </c>
      <c r="R337" s="9">
        <f>0.2*testdata[[#This Row],[Q2]]+0.8*R336</f>
        <v>-4.4885286455172775</v>
      </c>
      <c r="S337" s="9">
        <f>testdata[[#This Row],[I2'']]*Q336+testdata[[#This Row],[Q2'']]*R336</f>
        <v>25.679465052837273</v>
      </c>
      <c r="T337" s="9">
        <f>testdata[[#This Row],[I2'']]*R336-testdata[[#This Row],[Q2'']]*Q336</f>
        <v>18.459876990136191</v>
      </c>
      <c r="U337" s="9">
        <f>0.2*testdata[[#This Row],[Re]]+0.8*U336</f>
        <v>34.032533862045554</v>
      </c>
      <c r="V337" s="9">
        <f>0.2*testdata[[#This Row],[Im]]+0.8*V336</f>
        <v>11.159752042239726</v>
      </c>
      <c r="W337" s="9">
        <f>IF(AND(testdata[[#This Row],[Re'']]&lt;&gt;0,testdata[[#This Row],[Im'']]&lt;&gt;0),2*PI()/ATAN(testdata[[#This Row],[Im'']]/testdata[[#This Row],[Re'']]),0)</f>
        <v>19.829189933055378</v>
      </c>
      <c r="X337" s="9">
        <f>IF(testdata[[#This Row],[pd-atan]]&gt;1.5*Z336,1.5*Z336,IF(testdata[[#This Row],[pd-atan]]&lt;0.67*Z336,0.67*Z336,testdata[[#This Row],[pd-atan]]))</f>
        <v>19.829189933055378</v>
      </c>
      <c r="Y337" s="9">
        <f>IF(testdata[[#This Row],[pd-limit1]]&lt;6,6,IF(testdata[[#This Row],[pd-limit1]]&gt;50,50,testdata[[#This Row],[pd-limit1]]))</f>
        <v>19.829189933055378</v>
      </c>
      <c r="Z337" s="14">
        <f>0.2*testdata[[#This Row],[pd-limit2]]+0.8*Z336</f>
        <v>25.237088877248247</v>
      </c>
      <c r="AA337" s="14">
        <f>0.33*testdata[[#This Row],[period]]+0.67*AA336</f>
        <v>26.030749825963557</v>
      </c>
      <c r="AB337" s="31">
        <f>TRUNC(testdata[[#This Row],[SmPd]]+0.5,0)</f>
        <v>26</v>
      </c>
      <c r="AC337" s="14">
        <f ca="1">IF(testdata[[#This Row],[PdInt]]&lt;=0,0,AVERAGE(OFFSET(testdata[[#This Row],[price]],0,0,-testdata[[#This Row],[PdInt]],1)))</f>
        <v>255.75365384615381</v>
      </c>
      <c r="AD337" s="14">
        <f ca="1">IF(testdata[[#This Row],[i]]&lt;11,testdata[[#This Row],[price]],(4*testdata[[#This Row],[iTrend]]+3*AC336+2*AC335+AC334)/10)</f>
        <v>255.76111538461538</v>
      </c>
      <c r="AE337" s="14">
        <f>(4*testdata[[#This Row],[price]]+3*H336+2*H335+H334)/10</f>
        <v>254.39849999999996</v>
      </c>
      <c r="AF337" t="str">
        <f ca="1">IF(OR(ROUND(testdata[[#This Row],[Trendline]],4)&lt;&gt;Table3[[#This Row],[Trendline]],ROUND(testdata[[#This Row],[SmPrice]],4)&lt;&gt;Table3[[#This Row],[SmPrice]]),"ERR","")</f>
        <v/>
      </c>
      <c r="AG337" s="3">
        <v>43223</v>
      </c>
      <c r="AH337" s="14">
        <v>26.030799999999999</v>
      </c>
      <c r="AI337" s="34">
        <v>26</v>
      </c>
      <c r="AJ337" s="14">
        <v>255.75370000000001</v>
      </c>
      <c r="AK337" s="14">
        <v>255.7611</v>
      </c>
      <c r="AL337" s="14">
        <v>254.39850000000001</v>
      </c>
      <c r="AN337" s="38">
        <f t="shared" si="16"/>
        <v>0</v>
      </c>
      <c r="AO337" s="38">
        <f t="shared" si="17"/>
        <v>0</v>
      </c>
      <c r="AQ337" s="37">
        <v>43223</v>
      </c>
      <c r="AR337">
        <v>26</v>
      </c>
      <c r="AS337">
        <v>255.76111538461501</v>
      </c>
      <c r="AT337">
        <v>254.39850000000001</v>
      </c>
      <c r="AV337" s="37">
        <v>43223</v>
      </c>
      <c r="AW337">
        <v>26</v>
      </c>
      <c r="AX337">
        <v>255.76111538461501</v>
      </c>
      <c r="AY337">
        <v>254.39850000000001</v>
      </c>
      <c r="BA337" s="38">
        <f>AX337-Table3[[#This Row],[Trendline]]</f>
        <v>1.5384615011271308E-5</v>
      </c>
      <c r="BB337" s="38">
        <f>AY337-Table3[[#This Row],[SmPrice]]</f>
        <v>0</v>
      </c>
    </row>
    <row r="338" spans="1:54" x14ac:dyDescent="0.35">
      <c r="A338" s="6">
        <v>336</v>
      </c>
      <c r="B338" s="3">
        <v>43224</v>
      </c>
      <c r="C338" s="2">
        <v>252.89</v>
      </c>
      <c r="D338" s="2">
        <v>257.98</v>
      </c>
      <c r="E338" s="2">
        <v>252.53</v>
      </c>
      <c r="F338" s="2">
        <v>257.24</v>
      </c>
      <c r="G338" s="1">
        <v>94336840</v>
      </c>
      <c r="H338" s="30">
        <f>(testdata[[#This Row],[high]]+testdata[[#This Row],[low]])/2</f>
        <v>255.255</v>
      </c>
      <c r="I338" s="23">
        <f>(4*testdata[[#This Row],[price]]+3*H337+2*H336+H335)/10</f>
        <v>254.46550000000002</v>
      </c>
      <c r="J338" s="9">
        <f>(0.0962*testdata[[#This Row],[smooth]]+0.5769*I336-0.5769*I334-0.0962*I332)*(0.075*$Z337+0.54)</f>
        <v>-1.8928734575913795</v>
      </c>
      <c r="K338" s="14">
        <f t="shared" si="15"/>
        <v>0.55334144992621237</v>
      </c>
      <c r="L338" s="14">
        <f>(0.0962*testdata[[#This Row],[detrender]]+0.5769*J336-0.5769*J334-0.0962*J332)*(0.075*$Z337+0.54)</f>
        <v>6.3690583788964199</v>
      </c>
      <c r="M338" s="9">
        <f>(0.0962*testdata[[#This Row],[I1]]+0.5769*K336-0.5769*K334-0.0962*K332)*(0.075*$Z337+0.54)</f>
        <v>-3.6642891431968199</v>
      </c>
      <c r="N338" s="9">
        <f>(0.0962*testdata[[#This Row],[Q1]]+0.5769*L336-0.5769*L334-0.0962*L332)*(0.075*$Z337+0.54)</f>
        <v>18.854764637014796</v>
      </c>
      <c r="O338" s="9">
        <f>testdata[[#This Row],[I1]]-testdata[[#This Row],[JQ]]</f>
        <v>-18.301423187088584</v>
      </c>
      <c r="P338" s="9">
        <f>testdata[[#This Row],[Q1]]+testdata[[#This Row],[jI]]</f>
        <v>2.7047692356996</v>
      </c>
      <c r="Q338" s="9">
        <f>0.2*testdata[[#This Row],[I2]]+0.8*Q337</f>
        <v>-4.0532665445099898</v>
      </c>
      <c r="R338" s="9">
        <f>0.2*testdata[[#This Row],[Q2]]+0.8*R337</f>
        <v>-3.0498690692739023</v>
      </c>
      <c r="S338" s="9">
        <f>testdata[[#This Row],[I2'']]*Q337+testdata[[#This Row],[Q2'']]*R337</f>
        <v>15.68050020328158</v>
      </c>
      <c r="T338" s="9">
        <f>testdata[[#This Row],[I2'']]*R337-testdata[[#This Row],[Q2'']]*Q337</f>
        <v>16.695023788918679</v>
      </c>
      <c r="U338" s="9">
        <f>0.2*testdata[[#This Row],[Re]]+0.8*U337</f>
        <v>30.362127130292762</v>
      </c>
      <c r="V338" s="9">
        <f>0.2*testdata[[#This Row],[Im]]+0.8*V337</f>
        <v>12.266806391575516</v>
      </c>
      <c r="W338" s="9">
        <f>IF(AND(testdata[[#This Row],[Re'']]&lt;&gt;0,testdata[[#This Row],[Im'']]&lt;&gt;0),2*PI()/ATAN(testdata[[#This Row],[Im'']]/testdata[[#This Row],[Re'']]),0)</f>
        <v>16.363985383511285</v>
      </c>
      <c r="X338" s="9">
        <f>IF(testdata[[#This Row],[pd-atan]]&gt;1.5*Z337,1.5*Z337,IF(testdata[[#This Row],[pd-atan]]&lt;0.67*Z337,0.67*Z337,testdata[[#This Row],[pd-atan]]))</f>
        <v>16.908849547756326</v>
      </c>
      <c r="Y338" s="9">
        <f>IF(testdata[[#This Row],[pd-limit1]]&lt;6,6,IF(testdata[[#This Row],[pd-limit1]]&gt;50,50,testdata[[#This Row],[pd-limit1]]))</f>
        <v>16.908849547756326</v>
      </c>
      <c r="Z338" s="14">
        <f>0.2*testdata[[#This Row],[pd-limit2]]+0.8*Z337</f>
        <v>23.571441011349865</v>
      </c>
      <c r="AA338" s="14">
        <f>0.33*testdata[[#This Row],[period]]+0.67*AA337</f>
        <v>25.219177917141042</v>
      </c>
      <c r="AB338" s="31">
        <f>TRUNC(testdata[[#This Row],[SmPd]]+0.5,0)</f>
        <v>25</v>
      </c>
      <c r="AC338" s="14">
        <f ca="1">IF(testdata[[#This Row],[PdInt]]&lt;=0,0,AVERAGE(OFFSET(testdata[[#This Row],[price]],0,0,-testdata[[#This Row],[PdInt]],1)))</f>
        <v>255.95859999999996</v>
      </c>
      <c r="AD338" s="14">
        <f ca="1">IF(testdata[[#This Row],[i]]&lt;11,testdata[[#This Row],[price]],(4*testdata[[#This Row],[iTrend]]+3*AC337+2*AC336+AC335)/10)</f>
        <v>255.8467669230769</v>
      </c>
      <c r="AE338" s="14">
        <f>(4*testdata[[#This Row],[price]]+3*H337+2*H336+H335)/10</f>
        <v>254.46550000000002</v>
      </c>
      <c r="AF338" t="str">
        <f ca="1">IF(OR(ROUND(testdata[[#This Row],[Trendline]],4)&lt;&gt;Table3[[#This Row],[Trendline]],ROUND(testdata[[#This Row],[SmPrice]],4)&lt;&gt;Table3[[#This Row],[SmPrice]]),"ERR","")</f>
        <v/>
      </c>
      <c r="AG338" s="3">
        <v>43224</v>
      </c>
      <c r="AH338" s="14">
        <v>25.219200000000001</v>
      </c>
      <c r="AI338" s="34">
        <v>25</v>
      </c>
      <c r="AJ338" s="14">
        <v>255.95859999999999</v>
      </c>
      <c r="AK338" s="14">
        <v>255.8468</v>
      </c>
      <c r="AL338" s="14">
        <v>254.46549999999999</v>
      </c>
      <c r="AN338" s="38">
        <f t="shared" si="16"/>
        <v>0</v>
      </c>
      <c r="AO338" s="38">
        <f t="shared" si="17"/>
        <v>0</v>
      </c>
      <c r="AQ338" s="37">
        <v>43224</v>
      </c>
      <c r="AR338">
        <v>25</v>
      </c>
      <c r="AS338">
        <v>255.84676692307599</v>
      </c>
      <c r="AT338">
        <v>254.46549999999999</v>
      </c>
      <c r="AV338" s="37">
        <v>43224</v>
      </c>
      <c r="AW338">
        <v>25</v>
      </c>
      <c r="AX338">
        <v>255.84676692307599</v>
      </c>
      <c r="AY338">
        <v>254.46549999999999</v>
      </c>
      <c r="BA338" s="38">
        <f>AX338-Table3[[#This Row],[Trendline]]</f>
        <v>-3.3076924012220843E-5</v>
      </c>
      <c r="BB338" s="38">
        <f>AY338-Table3[[#This Row],[SmPrice]]</f>
        <v>0</v>
      </c>
    </row>
    <row r="339" spans="1:54" x14ac:dyDescent="0.35">
      <c r="A339" s="6">
        <v>337</v>
      </c>
      <c r="B339" s="3">
        <v>43227</v>
      </c>
      <c r="C339" s="2">
        <v>258.08</v>
      </c>
      <c r="D339" s="2">
        <v>259.17</v>
      </c>
      <c r="E339" s="2">
        <v>257.32</v>
      </c>
      <c r="F339" s="2">
        <v>258.11</v>
      </c>
      <c r="G339" s="1">
        <v>57193284</v>
      </c>
      <c r="H339" s="30">
        <f>(testdata[[#This Row],[high]]+testdata[[#This Row],[low]])/2</f>
        <v>258.245</v>
      </c>
      <c r="I339" s="23">
        <f>(4*testdata[[#This Row],[price]]+3*H338+2*H337+H336)/10</f>
        <v>255.93999999999997</v>
      </c>
      <c r="J339" s="9">
        <f>(0.0962*testdata[[#This Row],[smooth]]+0.5769*I337-0.5769*I335-0.0962*I333)*(0.075*$Z338+0.54)</f>
        <v>-2.7835850539226428</v>
      </c>
      <c r="K339" s="14">
        <f t="shared" si="15"/>
        <v>1.2781404063965827</v>
      </c>
      <c r="L339" s="14">
        <f>(0.0962*testdata[[#This Row],[detrender]]+0.5769*J337-0.5769*J335-0.0962*J333)*(0.075*$Z338+0.54)</f>
        <v>-0.75236776288023743</v>
      </c>
      <c r="M339" s="9">
        <f>(0.0962*testdata[[#This Row],[I1]]+0.5769*K337-0.5769*K335-0.0962*K333)*(0.075*$Z338+0.54)</f>
        <v>2.9813384063991482</v>
      </c>
      <c r="N339" s="9">
        <f>(0.0962*testdata[[#This Row],[Q1]]+0.5769*L337-0.5769*L335-0.0962*L333)*(0.075*$Z338+0.54)</f>
        <v>19.992339145697464</v>
      </c>
      <c r="O339" s="9">
        <f>testdata[[#This Row],[I1]]-testdata[[#This Row],[JQ]]</f>
        <v>-18.714198739300883</v>
      </c>
      <c r="P339" s="9">
        <f>testdata[[#This Row],[Q1]]+testdata[[#This Row],[jI]]</f>
        <v>2.2289706435189105</v>
      </c>
      <c r="Q339" s="9">
        <f>0.2*testdata[[#This Row],[I2]]+0.8*Q338</f>
        <v>-6.9854529834681696</v>
      </c>
      <c r="R339" s="9">
        <f>0.2*testdata[[#This Row],[Q2]]+0.8*R338</f>
        <v>-1.9941011267153401</v>
      </c>
      <c r="S339" s="9">
        <f>testdata[[#This Row],[I2'']]*Q338+testdata[[#This Row],[Q2'']]*R338</f>
        <v>34.395650223512376</v>
      </c>
      <c r="T339" s="9">
        <f>testdata[[#This Row],[I2'']]*R338-testdata[[#This Row],[Q2'']]*Q338</f>
        <v>13.222093605861705</v>
      </c>
      <c r="U339" s="9">
        <f>0.2*testdata[[#This Row],[Re]]+0.8*U338</f>
        <v>31.168831748936686</v>
      </c>
      <c r="V339" s="9">
        <f>0.2*testdata[[#This Row],[Im]]+0.8*V338</f>
        <v>12.457863834432755</v>
      </c>
      <c r="W339" s="9">
        <f>IF(AND(testdata[[#This Row],[Re'']]&lt;&gt;0,testdata[[#This Row],[Im'']]&lt;&gt;0),2*PI()/ATAN(testdata[[#This Row],[Im'']]/testdata[[#This Row],[Re'']]),0)</f>
        <v>16.524308448352571</v>
      </c>
      <c r="X339" s="9">
        <f>IF(testdata[[#This Row],[pd-atan]]&gt;1.5*Z338,1.5*Z338,IF(testdata[[#This Row],[pd-atan]]&lt;0.67*Z338,0.67*Z338,testdata[[#This Row],[pd-atan]]))</f>
        <v>16.524308448352571</v>
      </c>
      <c r="Y339" s="9">
        <f>IF(testdata[[#This Row],[pd-limit1]]&lt;6,6,IF(testdata[[#This Row],[pd-limit1]]&gt;50,50,testdata[[#This Row],[pd-limit1]]))</f>
        <v>16.524308448352571</v>
      </c>
      <c r="Z339" s="14">
        <f>0.2*testdata[[#This Row],[pd-limit2]]+0.8*Z338</f>
        <v>22.162014498750406</v>
      </c>
      <c r="AA339" s="14">
        <f>0.33*testdata[[#This Row],[period]]+0.67*AA338</f>
        <v>24.210313989072134</v>
      </c>
      <c r="AB339" s="31">
        <f>TRUNC(testdata[[#This Row],[SmPd]]+0.5,0)</f>
        <v>24</v>
      </c>
      <c r="AC339" s="14">
        <f ca="1">IF(testdata[[#This Row],[PdInt]]&lt;=0,0,AVERAGE(OFFSET(testdata[[#This Row],[price]],0,0,-testdata[[#This Row],[PdInt]],1)))</f>
        <v>256.51416666666665</v>
      </c>
      <c r="AD339" s="14">
        <f ca="1">IF(testdata[[#This Row],[i]]&lt;11,testdata[[#This Row],[price]],(4*testdata[[#This Row],[iTrend]]+3*AC338+2*AC337+AC336)/10)</f>
        <v>256.12528512820512</v>
      </c>
      <c r="AE339" s="14">
        <f>(4*testdata[[#This Row],[price]]+3*H338+2*H337+H336)/10</f>
        <v>255.93999999999997</v>
      </c>
      <c r="AF339" t="str">
        <f ca="1">IF(OR(ROUND(testdata[[#This Row],[Trendline]],4)&lt;&gt;Table3[[#This Row],[Trendline]],ROUND(testdata[[#This Row],[SmPrice]],4)&lt;&gt;Table3[[#This Row],[SmPrice]]),"ERR","")</f>
        <v/>
      </c>
      <c r="AG339" s="3">
        <v>43227</v>
      </c>
      <c r="AH339" s="14">
        <v>24.2103</v>
      </c>
      <c r="AI339" s="34">
        <v>24</v>
      </c>
      <c r="AJ339" s="14">
        <v>256.51420000000002</v>
      </c>
      <c r="AK339" s="14">
        <v>256.12529999999998</v>
      </c>
      <c r="AL339" s="14">
        <v>255.94</v>
      </c>
      <c r="AN339" s="38">
        <f t="shared" si="16"/>
        <v>0</v>
      </c>
      <c r="AO339" s="38">
        <f t="shared" si="17"/>
        <v>0</v>
      </c>
      <c r="AQ339" s="37">
        <v>43227</v>
      </c>
      <c r="AR339">
        <v>24</v>
      </c>
      <c r="AS339">
        <v>256.12528512820501</v>
      </c>
      <c r="AT339">
        <v>255.939999999999</v>
      </c>
      <c r="AV339" s="37">
        <v>43227</v>
      </c>
      <c r="AW339">
        <v>24</v>
      </c>
      <c r="AX339">
        <v>256.12528512820501</v>
      </c>
      <c r="AY339">
        <v>255.939999999999</v>
      </c>
      <c r="BA339" s="38">
        <f>AX339-Table3[[#This Row],[Trendline]]</f>
        <v>-1.4871794974169461E-5</v>
      </c>
      <c r="BB339" s="38">
        <f>AY339-Table3[[#This Row],[SmPrice]]</f>
        <v>-9.9475983006414026E-13</v>
      </c>
    </row>
    <row r="340" spans="1:54" x14ac:dyDescent="0.35">
      <c r="A340" s="6">
        <v>338</v>
      </c>
      <c r="B340" s="3">
        <v>43228</v>
      </c>
      <c r="C340" s="2">
        <v>257.7</v>
      </c>
      <c r="D340" s="2">
        <v>258.5</v>
      </c>
      <c r="E340" s="2">
        <v>256.39999999999998</v>
      </c>
      <c r="F340" s="2">
        <v>258.11</v>
      </c>
      <c r="G340" s="1">
        <v>69804000</v>
      </c>
      <c r="H340" s="30">
        <f>(testdata[[#This Row],[high]]+testdata[[#This Row],[low]])/2</f>
        <v>257.45</v>
      </c>
      <c r="I340" s="23">
        <f>(4*testdata[[#This Row],[price]]+3*H339+2*H338+H337)/10</f>
        <v>256.76249999999999</v>
      </c>
      <c r="J340" s="9">
        <f>(0.0962*testdata[[#This Row],[smooth]]+0.5769*I338-0.5769*I336-0.0962*I334)*(0.075*$Z339+0.54)</f>
        <v>-1.8827916132689135</v>
      </c>
      <c r="K340" s="14">
        <f t="shared" si="15"/>
        <v>-0.47055460925395193</v>
      </c>
      <c r="L340" s="14">
        <f>(0.0962*testdata[[#This Row],[detrender]]+0.5769*J338-0.5769*J336-0.0962*J334)*(0.075*$Z339+0.54)</f>
        <v>-3.8359865632975398</v>
      </c>
      <c r="M340" s="9">
        <f>(0.0962*testdata[[#This Row],[I1]]+0.5769*K338-0.5769*K336-0.0962*K334)*(0.075*$Z339+0.54)</f>
        <v>8.322039105467276</v>
      </c>
      <c r="N340" s="9">
        <f>(0.0962*testdata[[#This Row],[Q1]]+0.5769*L338-0.5769*L336-0.0962*L334)*(0.075*$Z339+0.54)</f>
        <v>4.6427052921037504</v>
      </c>
      <c r="O340" s="9">
        <f>testdata[[#This Row],[I1]]-testdata[[#This Row],[JQ]]</f>
        <v>-5.1132599013577025</v>
      </c>
      <c r="P340" s="9">
        <f>testdata[[#This Row],[Q1]]+testdata[[#This Row],[jI]]</f>
        <v>4.4860525421697357</v>
      </c>
      <c r="Q340" s="9">
        <f>0.2*testdata[[#This Row],[I2]]+0.8*Q339</f>
        <v>-6.6110143670460761</v>
      </c>
      <c r="R340" s="9">
        <f>0.2*testdata[[#This Row],[Q2]]+0.8*R339</f>
        <v>-0.69807039293832496</v>
      </c>
      <c r="S340" s="9">
        <f>testdata[[#This Row],[I2'']]*Q339+testdata[[#This Row],[Q2'']]*R339</f>
        <v>47.57295299111788</v>
      </c>
      <c r="T340" s="9">
        <f>testdata[[#This Row],[I2'']]*R339-testdata[[#This Row],[Q2'']]*Q339</f>
        <v>8.3066932890360619</v>
      </c>
      <c r="U340" s="9">
        <f>0.2*testdata[[#This Row],[Re]]+0.8*U339</f>
        <v>34.449655997372929</v>
      </c>
      <c r="V340" s="9">
        <f>0.2*testdata[[#This Row],[Im]]+0.8*V339</f>
        <v>11.627629725353417</v>
      </c>
      <c r="W340" s="9">
        <f>IF(AND(testdata[[#This Row],[Re'']]&lt;&gt;0,testdata[[#This Row],[Im'']]&lt;&gt;0),2*PI()/ATAN(testdata[[#This Row],[Im'']]/testdata[[#This Row],[Re'']]),0)</f>
        <v>19.302080752259958</v>
      </c>
      <c r="X340" s="9">
        <f>IF(testdata[[#This Row],[pd-atan]]&gt;1.5*Z339,1.5*Z339,IF(testdata[[#This Row],[pd-atan]]&lt;0.67*Z339,0.67*Z339,testdata[[#This Row],[pd-atan]]))</f>
        <v>19.302080752259958</v>
      </c>
      <c r="Y340" s="9">
        <f>IF(testdata[[#This Row],[pd-limit1]]&lt;6,6,IF(testdata[[#This Row],[pd-limit1]]&gt;50,50,testdata[[#This Row],[pd-limit1]]))</f>
        <v>19.302080752259958</v>
      </c>
      <c r="Z340" s="14">
        <f>0.2*testdata[[#This Row],[pd-limit2]]+0.8*Z339</f>
        <v>21.590027749452318</v>
      </c>
      <c r="AA340" s="14">
        <f>0.33*testdata[[#This Row],[period]]+0.67*AA339</f>
        <v>23.345619529997595</v>
      </c>
      <c r="AB340" s="31">
        <f>TRUNC(testdata[[#This Row],[SmPd]]+0.5,0)</f>
        <v>23</v>
      </c>
      <c r="AC340" s="14">
        <f ca="1">IF(testdata[[#This Row],[PdInt]]&lt;=0,0,AVERAGE(OFFSET(testdata[[#This Row],[price]],0,0,-testdata[[#This Row],[PdInt]],1)))</f>
        <v>256.7476086956521</v>
      </c>
      <c r="AD340" s="14">
        <f ca="1">IF(testdata[[#This Row],[i]]&lt;11,testdata[[#This Row],[price]],(4*testdata[[#This Row],[iTrend]]+3*AC339+2*AC338+AC337)/10)</f>
        <v>256.42037886287619</v>
      </c>
      <c r="AE340" s="14">
        <f>(4*testdata[[#This Row],[price]]+3*H339+2*H338+H337)/10</f>
        <v>256.76249999999999</v>
      </c>
      <c r="AF340" t="str">
        <f ca="1">IF(OR(ROUND(testdata[[#This Row],[Trendline]],4)&lt;&gt;Table3[[#This Row],[Trendline]],ROUND(testdata[[#This Row],[SmPrice]],4)&lt;&gt;Table3[[#This Row],[SmPrice]]),"ERR","")</f>
        <v/>
      </c>
      <c r="AG340" s="3">
        <v>43228</v>
      </c>
      <c r="AH340" s="14">
        <v>23.345600000000001</v>
      </c>
      <c r="AI340" s="34">
        <v>23</v>
      </c>
      <c r="AJ340" s="14">
        <v>256.74759999999998</v>
      </c>
      <c r="AK340" s="14">
        <v>256.42039999999997</v>
      </c>
      <c r="AL340" s="14">
        <v>256.76249999999999</v>
      </c>
      <c r="AN340" s="38">
        <f t="shared" si="16"/>
        <v>0</v>
      </c>
      <c r="AO340" s="38">
        <f t="shared" si="17"/>
        <v>0</v>
      </c>
      <c r="AQ340" s="37">
        <v>43228</v>
      </c>
      <c r="AR340">
        <v>23</v>
      </c>
      <c r="AS340">
        <v>256.42037886287602</v>
      </c>
      <c r="AT340">
        <v>256.76249999999999</v>
      </c>
      <c r="AV340" s="37">
        <v>43228</v>
      </c>
      <c r="AW340">
        <v>23</v>
      </c>
      <c r="AX340">
        <v>256.42037886287602</v>
      </c>
      <c r="AY340">
        <v>256.76249999999999</v>
      </c>
      <c r="BA340" s="38">
        <f>AX340-Table3[[#This Row],[Trendline]]</f>
        <v>-2.1137123951575632E-5</v>
      </c>
      <c r="BB340" s="38">
        <f>AY340-Table3[[#This Row],[SmPrice]]</f>
        <v>0</v>
      </c>
    </row>
    <row r="341" spans="1:54" x14ac:dyDescent="0.35">
      <c r="A341" s="6">
        <v>339</v>
      </c>
      <c r="B341" s="3">
        <v>43229</v>
      </c>
      <c r="C341" s="2">
        <v>258.83999999999997</v>
      </c>
      <c r="D341" s="2">
        <v>260.95</v>
      </c>
      <c r="E341" s="2">
        <v>258.27</v>
      </c>
      <c r="F341" s="2">
        <v>260.60000000000002</v>
      </c>
      <c r="G341" s="1">
        <v>61703432</v>
      </c>
      <c r="H341" s="30">
        <f>(testdata[[#This Row],[high]]+testdata[[#This Row],[low]])/2</f>
        <v>259.61</v>
      </c>
      <c r="I341" s="23">
        <f>(4*testdata[[#This Row],[price]]+3*H340+2*H339+H338)/10</f>
        <v>258.25349999999997</v>
      </c>
      <c r="J341" s="9">
        <f>(0.0962*testdata[[#This Row],[smooth]]+0.5769*I339-0.5769*I337-0.0962*I335)*(0.075*$Z340+0.54)</f>
        <v>2.3060441915579299</v>
      </c>
      <c r="K341" s="14">
        <f t="shared" si="15"/>
        <v>-1.8928734575913795</v>
      </c>
      <c r="L341" s="14">
        <f>(0.0962*testdata[[#This Row],[detrender]]+0.5769*J339-0.5769*J337-0.0962*J335)*(0.075*$Z340+0.54)</f>
        <v>-2.5172069744154939</v>
      </c>
      <c r="M341" s="9">
        <f>(0.0962*testdata[[#This Row],[I1]]+0.5769*K339-0.5769*K337-0.0962*K335)*(0.075*$Z340+0.54)</f>
        <v>5.6529538812875497</v>
      </c>
      <c r="N341" s="9">
        <f>(0.0962*testdata[[#This Row],[Q1]]+0.5769*L339-0.5769*L337-0.0962*L335)*(0.075*$Z340+0.54)</f>
        <v>-12.604632113603671</v>
      </c>
      <c r="O341" s="9">
        <f>testdata[[#This Row],[I1]]-testdata[[#This Row],[JQ]]</f>
        <v>10.711758656012291</v>
      </c>
      <c r="P341" s="9">
        <f>testdata[[#This Row],[Q1]]+testdata[[#This Row],[jI]]</f>
        <v>3.1357469068720558</v>
      </c>
      <c r="Q341" s="9">
        <f>0.2*testdata[[#This Row],[I2]]+0.8*Q340</f>
        <v>-3.1464597624344028</v>
      </c>
      <c r="R341" s="9">
        <f>0.2*testdata[[#This Row],[Q2]]+0.8*R340</f>
        <v>6.869306702375122E-2</v>
      </c>
      <c r="S341" s="9">
        <f>testdata[[#This Row],[I2'']]*Q340+testdata[[#This Row],[Q2'']]*R340</f>
        <v>20.753338098496812</v>
      </c>
      <c r="T341" s="9">
        <f>testdata[[#This Row],[I2'']]*R340-testdata[[#This Row],[Q2'']]*Q340</f>
        <v>2.6505812557376904</v>
      </c>
      <c r="U341" s="9">
        <f>0.2*testdata[[#This Row],[Re]]+0.8*U340</f>
        <v>31.710392417597706</v>
      </c>
      <c r="V341" s="9">
        <f>0.2*testdata[[#This Row],[Im]]+0.8*V340</f>
        <v>9.8322200314302712</v>
      </c>
      <c r="W341" s="9">
        <f>IF(AND(testdata[[#This Row],[Re'']]&lt;&gt;0,testdata[[#This Row],[Im'']]&lt;&gt;0),2*PI()/ATAN(testdata[[#This Row],[Im'']]/testdata[[#This Row],[Re'']]),0)</f>
        <v>20.897755589811918</v>
      </c>
      <c r="X341" s="9">
        <f>IF(testdata[[#This Row],[pd-atan]]&gt;1.5*Z340,1.5*Z340,IF(testdata[[#This Row],[pd-atan]]&lt;0.67*Z340,0.67*Z340,testdata[[#This Row],[pd-atan]]))</f>
        <v>20.897755589811918</v>
      </c>
      <c r="Y341" s="9">
        <f>IF(testdata[[#This Row],[pd-limit1]]&lt;6,6,IF(testdata[[#This Row],[pd-limit1]]&gt;50,50,testdata[[#This Row],[pd-limit1]]))</f>
        <v>20.897755589811918</v>
      </c>
      <c r="Z341" s="14">
        <f>0.2*testdata[[#This Row],[pd-limit2]]+0.8*Z340</f>
        <v>21.45157331752424</v>
      </c>
      <c r="AA341" s="14">
        <f>0.33*testdata[[#This Row],[period]]+0.67*AA340</f>
        <v>22.72058427988139</v>
      </c>
      <c r="AB341" s="31">
        <f>TRUNC(testdata[[#This Row],[SmPd]]+0.5,0)</f>
        <v>23</v>
      </c>
      <c r="AC341" s="14">
        <f ca="1">IF(testdata[[#This Row],[PdInt]]&lt;=0,0,AVERAGE(OFFSET(testdata[[#This Row],[price]],0,0,-testdata[[#This Row],[PdInt]],1)))</f>
        <v>257.03847826086951</v>
      </c>
      <c r="AD341" s="14">
        <f ca="1">IF(testdata[[#This Row],[i]]&lt;11,testdata[[#This Row],[price]],(4*testdata[[#This Row],[iTrend]]+3*AC340+2*AC339+AC338)/10)</f>
        <v>256.73836724637675</v>
      </c>
      <c r="AE341" s="14">
        <f>(4*testdata[[#This Row],[price]]+3*H340+2*H339+H338)/10</f>
        <v>258.25349999999997</v>
      </c>
      <c r="AF341" t="str">
        <f ca="1">IF(OR(ROUND(testdata[[#This Row],[Trendline]],4)&lt;&gt;Table3[[#This Row],[Trendline]],ROUND(testdata[[#This Row],[SmPrice]],4)&lt;&gt;Table3[[#This Row],[SmPrice]]),"ERR","")</f>
        <v/>
      </c>
      <c r="AG341" s="3">
        <v>43229</v>
      </c>
      <c r="AH341" s="14">
        <v>22.720600000000001</v>
      </c>
      <c r="AI341" s="34">
        <v>23</v>
      </c>
      <c r="AJ341" s="14">
        <v>257.0385</v>
      </c>
      <c r="AK341" s="14">
        <v>256.73840000000001</v>
      </c>
      <c r="AL341" s="14">
        <v>258.25349999999997</v>
      </c>
      <c r="AN341" s="38">
        <f t="shared" si="16"/>
        <v>0</v>
      </c>
      <c r="AO341" s="38">
        <f t="shared" si="17"/>
        <v>0</v>
      </c>
      <c r="AQ341" s="37">
        <v>43229</v>
      </c>
      <c r="AR341">
        <v>23</v>
      </c>
      <c r="AS341">
        <v>256.73836724637601</v>
      </c>
      <c r="AT341">
        <v>258.25349999999997</v>
      </c>
      <c r="AV341" s="37">
        <v>43229</v>
      </c>
      <c r="AW341">
        <v>23</v>
      </c>
      <c r="AX341">
        <v>256.73836724637601</v>
      </c>
      <c r="AY341">
        <v>258.25349999999997</v>
      </c>
      <c r="BA341" s="38">
        <f>AX341-Table3[[#This Row],[Trendline]]</f>
        <v>-3.2753623997905379E-5</v>
      </c>
      <c r="BB341" s="38">
        <f>AY341-Table3[[#This Row],[SmPrice]]</f>
        <v>0</v>
      </c>
    </row>
    <row r="342" spans="1:54" x14ac:dyDescent="0.35">
      <c r="A342" s="6">
        <v>340</v>
      </c>
      <c r="B342" s="3">
        <v>43230</v>
      </c>
      <c r="C342" s="2">
        <v>261.41000000000003</v>
      </c>
      <c r="D342" s="2">
        <v>263.39999999999998</v>
      </c>
      <c r="E342" s="2">
        <v>261.3</v>
      </c>
      <c r="F342" s="2">
        <v>263.04000000000002</v>
      </c>
      <c r="G342" s="1">
        <v>74524544</v>
      </c>
      <c r="H342" s="30">
        <f>(testdata[[#This Row],[high]]+testdata[[#This Row],[low]])/2</f>
        <v>262.35000000000002</v>
      </c>
      <c r="I342" s="23">
        <f>(4*testdata[[#This Row],[price]]+3*H341+2*H340+H339)/10</f>
        <v>260.13749999999999</v>
      </c>
      <c r="J342" s="9">
        <f>(0.0962*testdata[[#This Row],[smooth]]+0.5769*I340-0.5769*I338-0.0962*I336)*(0.075*$Z341+0.54)</f>
        <v>3.7223931372296661</v>
      </c>
      <c r="K342" s="14">
        <f t="shared" si="15"/>
        <v>-2.7835850539226428</v>
      </c>
      <c r="L342" s="14">
        <f>(0.0962*testdata[[#This Row],[detrender]]+0.5769*J340-0.5769*J338-0.0962*J336)*(0.075*$Z341+0.54)</f>
        <v>0.51777689724213438</v>
      </c>
      <c r="M342" s="9">
        <f>(0.0962*testdata[[#This Row],[I1]]+0.5769*K340-0.5769*K338-0.0962*K336)*(0.075*$Z341+0.54)</f>
        <v>-0.70053658234444793</v>
      </c>
      <c r="N342" s="9">
        <f>(0.0962*testdata[[#This Row],[Q1]]+0.5769*L340-0.5769*L338-0.0962*L336)*(0.075*$Z341+0.54)</f>
        <v>-13.229452361849066</v>
      </c>
      <c r="O342" s="9">
        <f>testdata[[#This Row],[I1]]-testdata[[#This Row],[JQ]]</f>
        <v>10.445867307926424</v>
      </c>
      <c r="P342" s="9">
        <f>testdata[[#This Row],[Q1]]+testdata[[#This Row],[jI]]</f>
        <v>-0.18275968510231355</v>
      </c>
      <c r="Q342" s="9">
        <f>0.2*testdata[[#This Row],[I2]]+0.8*Q341</f>
        <v>-0.42799434836223771</v>
      </c>
      <c r="R342" s="9">
        <f>0.2*testdata[[#This Row],[Q2]]+0.8*R341</f>
        <v>1.8402516598538261E-2</v>
      </c>
      <c r="S342" s="9">
        <f>testdata[[#This Row],[I2'']]*Q341+testdata[[#This Row],[Q2'']]*R341</f>
        <v>1.3479311209772225</v>
      </c>
      <c r="T342" s="9">
        <f>testdata[[#This Row],[I2'']]*R341-testdata[[#This Row],[Q2'']]*Q341</f>
        <v>2.850253354699793E-2</v>
      </c>
      <c r="U342" s="9">
        <f>0.2*testdata[[#This Row],[Re]]+0.8*U341</f>
        <v>25.637900158273609</v>
      </c>
      <c r="V342" s="9">
        <f>0.2*testdata[[#This Row],[Im]]+0.8*V341</f>
        <v>7.8714765318536175</v>
      </c>
      <c r="W342" s="9">
        <f>IF(AND(testdata[[#This Row],[Re'']]&lt;&gt;0,testdata[[#This Row],[Im'']]&lt;&gt;0),2*PI()/ATAN(testdata[[#This Row],[Im'']]/testdata[[#This Row],[Re'']]),0)</f>
        <v>21.092354643993204</v>
      </c>
      <c r="X342" s="9">
        <f>IF(testdata[[#This Row],[pd-atan]]&gt;1.5*Z341,1.5*Z341,IF(testdata[[#This Row],[pd-atan]]&lt;0.67*Z341,0.67*Z341,testdata[[#This Row],[pd-atan]]))</f>
        <v>21.092354643993204</v>
      </c>
      <c r="Y342" s="9">
        <f>IF(testdata[[#This Row],[pd-limit1]]&lt;6,6,IF(testdata[[#This Row],[pd-limit1]]&gt;50,50,testdata[[#This Row],[pd-limit1]]))</f>
        <v>21.092354643993204</v>
      </c>
      <c r="Z342" s="14">
        <f>0.2*testdata[[#This Row],[pd-limit2]]+0.8*Z341</f>
        <v>21.379729582818033</v>
      </c>
      <c r="AA342" s="14">
        <f>0.33*testdata[[#This Row],[period]]+0.67*AA341</f>
        <v>22.278102229850482</v>
      </c>
      <c r="AB342" s="31">
        <f>TRUNC(testdata[[#This Row],[SmPd]]+0.5,0)</f>
        <v>22</v>
      </c>
      <c r="AC342" s="14">
        <f ca="1">IF(testdata[[#This Row],[PdInt]]&lt;=0,0,AVERAGE(OFFSET(testdata[[#This Row],[price]],0,0,-testdata[[#This Row],[PdInt]],1)))</f>
        <v>257.48772727272723</v>
      </c>
      <c r="AD342" s="14">
        <f ca="1">IF(testdata[[#This Row],[i]]&lt;11,testdata[[#This Row],[price]],(4*testdata[[#This Row],[iTrend]]+3*AC341+2*AC340+AC339)/10)</f>
        <v>257.10757279314885</v>
      </c>
      <c r="AE342" s="14">
        <f>(4*testdata[[#This Row],[price]]+3*H341+2*H340+H339)/10</f>
        <v>260.13749999999999</v>
      </c>
      <c r="AF342" t="str">
        <f ca="1">IF(OR(ROUND(testdata[[#This Row],[Trendline]],4)&lt;&gt;Table3[[#This Row],[Trendline]],ROUND(testdata[[#This Row],[SmPrice]],4)&lt;&gt;Table3[[#This Row],[SmPrice]]),"ERR","")</f>
        <v/>
      </c>
      <c r="AG342" s="3">
        <v>43230</v>
      </c>
      <c r="AH342" s="14">
        <v>22.278099999999998</v>
      </c>
      <c r="AI342" s="34">
        <v>22</v>
      </c>
      <c r="AJ342" s="14">
        <v>257.48770000000002</v>
      </c>
      <c r="AK342" s="14">
        <v>257.10759999999999</v>
      </c>
      <c r="AL342" s="14">
        <v>260.13749999999999</v>
      </c>
      <c r="AN342" s="38">
        <f t="shared" si="16"/>
        <v>0</v>
      </c>
      <c r="AO342" s="38">
        <f t="shared" si="17"/>
        <v>0</v>
      </c>
      <c r="AQ342" s="37">
        <v>43230</v>
      </c>
      <c r="AR342">
        <v>22</v>
      </c>
      <c r="AS342">
        <v>257.10757279314799</v>
      </c>
      <c r="AT342">
        <v>260.13749999999999</v>
      </c>
      <c r="AV342" s="37">
        <v>43230</v>
      </c>
      <c r="AW342">
        <v>22</v>
      </c>
      <c r="AX342">
        <v>257.10757279314799</v>
      </c>
      <c r="AY342">
        <v>260.13749999999999</v>
      </c>
      <c r="BA342" s="38">
        <f>AX342-Table3[[#This Row],[Trendline]]</f>
        <v>-2.7206851996197656E-5</v>
      </c>
      <c r="BB342" s="38">
        <f>AY342-Table3[[#This Row],[SmPrice]]</f>
        <v>0</v>
      </c>
    </row>
    <row r="343" spans="1:54" x14ac:dyDescent="0.35">
      <c r="A343" s="6">
        <v>341</v>
      </c>
      <c r="B343" s="3">
        <v>43231</v>
      </c>
      <c r="C343" s="2">
        <v>263.17</v>
      </c>
      <c r="D343" s="2">
        <v>264.13</v>
      </c>
      <c r="E343" s="2">
        <v>262.61</v>
      </c>
      <c r="F343" s="2">
        <v>263.83999999999997</v>
      </c>
      <c r="G343" s="1">
        <v>61915812</v>
      </c>
      <c r="H343" s="30">
        <f>(testdata[[#This Row],[high]]+testdata[[#This Row],[low]])/2</f>
        <v>263.37</v>
      </c>
      <c r="I343" s="23">
        <f>(4*testdata[[#This Row],[price]]+3*H342+2*H341+H340)/10</f>
        <v>261.71999999999997</v>
      </c>
      <c r="J343" s="9">
        <f>(0.0962*testdata[[#This Row],[smooth]]+0.5769*I341-0.5769*I339-0.0962*I337)*(0.075*$Z342+0.54)</f>
        <v>4.3705261023022359</v>
      </c>
      <c r="K343" s="14">
        <f t="shared" si="15"/>
        <v>-1.8827916132689135</v>
      </c>
      <c r="L343" s="14">
        <f>(0.0962*testdata[[#This Row],[detrender]]+0.5769*J341-0.5769*J339-0.0962*J337)*(0.075*$Z342+0.54)</f>
        <v>7.2919445444664728</v>
      </c>
      <c r="M343" s="9">
        <f>(0.0962*testdata[[#This Row],[I1]]+0.5769*K341-0.5769*K339-0.0962*K337)*(0.075*$Z342+0.54)</f>
        <v>-3.7337853186821679</v>
      </c>
      <c r="N343" s="9">
        <f>(0.0962*testdata[[#This Row],[Q1]]+0.5769*L341-0.5769*L339-0.0962*L337)*(0.075*$Z342+0.54)</f>
        <v>-2.6534951605294359</v>
      </c>
      <c r="O343" s="9">
        <f>testdata[[#This Row],[I1]]-testdata[[#This Row],[JQ]]</f>
        <v>0.77070354726052237</v>
      </c>
      <c r="P343" s="9">
        <f>testdata[[#This Row],[Q1]]+testdata[[#This Row],[jI]]</f>
        <v>3.5581592257843049</v>
      </c>
      <c r="Q343" s="9">
        <f>0.2*testdata[[#This Row],[I2]]+0.8*Q342</f>
        <v>-0.18825476923768572</v>
      </c>
      <c r="R343" s="9">
        <f>0.2*testdata[[#This Row],[Q2]]+0.8*R342</f>
        <v>0.72635385843569167</v>
      </c>
      <c r="S343" s="9">
        <f>testdata[[#This Row],[I2'']]*Q342+testdata[[#This Row],[Q2'']]*R342</f>
        <v>9.3938716222241869E-2</v>
      </c>
      <c r="T343" s="9">
        <f>testdata[[#This Row],[I2'']]*R342-testdata[[#This Row],[Q2'']]*Q342</f>
        <v>0.30741098480593043</v>
      </c>
      <c r="U343" s="9">
        <f>0.2*testdata[[#This Row],[Re]]+0.8*U342</f>
        <v>20.529107869863338</v>
      </c>
      <c r="V343" s="9">
        <f>0.2*testdata[[#This Row],[Im]]+0.8*V342</f>
        <v>6.3586634224440806</v>
      </c>
      <c r="W343" s="9">
        <f>IF(AND(testdata[[#This Row],[Re'']]&lt;&gt;0,testdata[[#This Row],[Im'']]&lt;&gt;0),2*PI()/ATAN(testdata[[#This Row],[Im'']]/testdata[[#This Row],[Re'']]),0)</f>
        <v>20.918329544954876</v>
      </c>
      <c r="X343" s="9">
        <f>IF(testdata[[#This Row],[pd-atan]]&gt;1.5*Z342,1.5*Z342,IF(testdata[[#This Row],[pd-atan]]&lt;0.67*Z342,0.67*Z342,testdata[[#This Row],[pd-atan]]))</f>
        <v>20.918329544954876</v>
      </c>
      <c r="Y343" s="9">
        <f>IF(testdata[[#This Row],[pd-limit1]]&lt;6,6,IF(testdata[[#This Row],[pd-limit1]]&gt;50,50,testdata[[#This Row],[pd-limit1]]))</f>
        <v>20.918329544954876</v>
      </c>
      <c r="Z343" s="14">
        <f>0.2*testdata[[#This Row],[pd-limit2]]+0.8*Z342</f>
        <v>21.2874495752454</v>
      </c>
      <c r="AA343" s="14">
        <f>0.33*testdata[[#This Row],[period]]+0.67*AA342</f>
        <v>21.951186853830805</v>
      </c>
      <c r="AB343" s="31">
        <f>TRUNC(testdata[[#This Row],[SmPd]]+0.5,0)</f>
        <v>22</v>
      </c>
      <c r="AC343" s="14">
        <f ca="1">IF(testdata[[#This Row],[PdInt]]&lt;=0,0,AVERAGE(OFFSET(testdata[[#This Row],[price]],0,0,-testdata[[#This Row],[PdInt]],1)))</f>
        <v>257.83272727272725</v>
      </c>
      <c r="AD343" s="14">
        <f ca="1">IF(testdata[[#This Row],[i]]&lt;11,testdata[[#This Row],[price]],(4*testdata[[#This Row],[iTrend]]+3*AC342+2*AC341+AC340)/10)</f>
        <v>257.46186561264824</v>
      </c>
      <c r="AE343" s="14">
        <f>(4*testdata[[#This Row],[price]]+3*H342+2*H341+H340)/10</f>
        <v>261.71999999999997</v>
      </c>
      <c r="AF343" t="str">
        <f ca="1">IF(OR(ROUND(testdata[[#This Row],[Trendline]],4)&lt;&gt;Table3[[#This Row],[Trendline]],ROUND(testdata[[#This Row],[SmPrice]],4)&lt;&gt;Table3[[#This Row],[SmPrice]]),"ERR","")</f>
        <v/>
      </c>
      <c r="AG343" s="3">
        <v>43231</v>
      </c>
      <c r="AH343" s="14">
        <v>21.9512</v>
      </c>
      <c r="AI343" s="34">
        <v>22</v>
      </c>
      <c r="AJ343" s="14">
        <v>257.83269999999999</v>
      </c>
      <c r="AK343" s="14">
        <v>257.46190000000001</v>
      </c>
      <c r="AL343" s="14">
        <v>261.72000000000003</v>
      </c>
      <c r="AN343" s="38">
        <f t="shared" si="16"/>
        <v>0</v>
      </c>
      <c r="AO343" s="38">
        <f t="shared" si="17"/>
        <v>0</v>
      </c>
      <c r="AQ343" s="37">
        <v>43231</v>
      </c>
      <c r="AR343">
        <v>22</v>
      </c>
      <c r="AS343">
        <v>257.46186561264801</v>
      </c>
      <c r="AT343">
        <v>261.719999999999</v>
      </c>
      <c r="AV343" s="37">
        <v>43231</v>
      </c>
      <c r="AW343">
        <v>22</v>
      </c>
      <c r="AX343">
        <v>257.46186561264801</v>
      </c>
      <c r="AY343">
        <v>261.719999999999</v>
      </c>
      <c r="BA343" s="38">
        <f>AX343-Table3[[#This Row],[Trendline]]</f>
        <v>-3.4387352002340776E-5</v>
      </c>
      <c r="BB343" s="38">
        <f>AY343-Table3[[#This Row],[SmPrice]]</f>
        <v>-1.0231815394945443E-12</v>
      </c>
    </row>
    <row r="344" spans="1:54" x14ac:dyDescent="0.35">
      <c r="A344" s="6">
        <v>342</v>
      </c>
      <c r="B344" s="3">
        <v>43234</v>
      </c>
      <c r="C344" s="2">
        <v>264.31</v>
      </c>
      <c r="D344" s="2">
        <v>265.02999999999997</v>
      </c>
      <c r="E344" s="2">
        <v>263.37</v>
      </c>
      <c r="F344" s="2">
        <v>263.97000000000003</v>
      </c>
      <c r="G344" s="1">
        <v>56661420</v>
      </c>
      <c r="H344" s="30">
        <f>(testdata[[#This Row],[high]]+testdata[[#This Row],[low]])/2</f>
        <v>264.2</v>
      </c>
      <c r="I344" s="23">
        <f>(4*testdata[[#This Row],[price]]+3*H343+2*H342+H341)/10</f>
        <v>263.12199999999996</v>
      </c>
      <c r="J344" s="9">
        <f>(0.0962*testdata[[#This Row],[smooth]]+0.5769*I342-0.5769*I340-0.0962*I338)*(0.075*$Z343+0.54)</f>
        <v>5.939190541472235</v>
      </c>
      <c r="K344" s="14">
        <f t="shared" si="15"/>
        <v>2.3060441915579299</v>
      </c>
      <c r="L344" s="14">
        <f>(0.0962*testdata[[#This Row],[detrender]]+0.5769*J342-0.5769*J340-0.0962*J338)*(0.075*$Z343+0.54)</f>
        <v>8.5186212169849593</v>
      </c>
      <c r="M344" s="9">
        <f>(0.0962*testdata[[#This Row],[I1]]+0.5769*K342-0.5769*K340-0.0962*K338)*(0.075*$Z343+0.54)</f>
        <v>-2.4907515678056815</v>
      </c>
      <c r="N344" s="9">
        <f>(0.0962*testdata[[#This Row],[Q1]]+0.5769*L342-0.5769*L340-0.0962*L338)*(0.075*$Z343+0.54)</f>
        <v>5.8081795072284921</v>
      </c>
      <c r="O344" s="9">
        <f>testdata[[#This Row],[I1]]-testdata[[#This Row],[JQ]]</f>
        <v>-3.5021353156705621</v>
      </c>
      <c r="P344" s="9">
        <f>testdata[[#This Row],[Q1]]+testdata[[#This Row],[jI]]</f>
        <v>6.0278696491792783</v>
      </c>
      <c r="Q344" s="9">
        <f>0.2*testdata[[#This Row],[I2]]+0.8*Q343</f>
        <v>-0.85103087852426107</v>
      </c>
      <c r="R344" s="9">
        <f>0.2*testdata[[#This Row],[Q2]]+0.8*R343</f>
        <v>1.7866570165844089</v>
      </c>
      <c r="S344" s="9">
        <f>testdata[[#This Row],[I2'']]*Q343+testdata[[#This Row],[Q2'']]*R343</f>
        <v>1.4579558393480168</v>
      </c>
      <c r="T344" s="9">
        <f>testdata[[#This Row],[I2'']]*R343-testdata[[#This Row],[Q2'']]*Q343</f>
        <v>-0.28180285790002346</v>
      </c>
      <c r="U344" s="9">
        <f>0.2*testdata[[#This Row],[Re]]+0.8*U343</f>
        <v>16.714877463760278</v>
      </c>
      <c r="V344" s="9">
        <f>0.2*testdata[[#This Row],[Im]]+0.8*V343</f>
        <v>5.0305701663752602</v>
      </c>
      <c r="W344" s="9">
        <f>IF(AND(testdata[[#This Row],[Re'']]&lt;&gt;0,testdata[[#This Row],[Im'']]&lt;&gt;0),2*PI()/ATAN(testdata[[#This Row],[Im'']]/testdata[[#This Row],[Re'']]),0)</f>
        <v>21.492686358305814</v>
      </c>
      <c r="X344" s="9">
        <f>IF(testdata[[#This Row],[pd-atan]]&gt;1.5*Z343,1.5*Z343,IF(testdata[[#This Row],[pd-atan]]&lt;0.67*Z343,0.67*Z343,testdata[[#This Row],[pd-atan]]))</f>
        <v>21.492686358305814</v>
      </c>
      <c r="Y344" s="9">
        <f>IF(testdata[[#This Row],[pd-limit1]]&lt;6,6,IF(testdata[[#This Row],[pd-limit1]]&gt;50,50,testdata[[#This Row],[pd-limit1]]))</f>
        <v>21.492686358305814</v>
      </c>
      <c r="Z344" s="14">
        <f>0.2*testdata[[#This Row],[pd-limit2]]+0.8*Z343</f>
        <v>21.328496931857487</v>
      </c>
      <c r="AA344" s="14">
        <f>0.33*testdata[[#This Row],[period]]+0.67*AA343</f>
        <v>21.74569917957961</v>
      </c>
      <c r="AB344" s="31">
        <f>TRUNC(testdata[[#This Row],[SmPd]]+0.5,0)</f>
        <v>22</v>
      </c>
      <c r="AC344" s="14">
        <f ca="1">IF(testdata[[#This Row],[PdInt]]&lt;=0,0,AVERAGE(OFFSET(testdata[[#This Row],[price]],0,0,-testdata[[#This Row],[PdInt]],1)))</f>
        <v>258.14886363636356</v>
      </c>
      <c r="AD344" s="14">
        <f ca="1">IF(testdata[[#This Row],[i]]&lt;11,testdata[[#This Row],[price]],(4*testdata[[#This Row],[iTrend]]+3*AC343+2*AC342+AC341)/10)</f>
        <v>257.81075691699596</v>
      </c>
      <c r="AE344" s="14">
        <f>(4*testdata[[#This Row],[price]]+3*H343+2*H342+H341)/10</f>
        <v>263.12199999999996</v>
      </c>
      <c r="AF344" t="str">
        <f ca="1">IF(OR(ROUND(testdata[[#This Row],[Trendline]],4)&lt;&gt;Table3[[#This Row],[Trendline]],ROUND(testdata[[#This Row],[SmPrice]],4)&lt;&gt;Table3[[#This Row],[SmPrice]]),"ERR","")</f>
        <v/>
      </c>
      <c r="AG344" s="3">
        <v>43234</v>
      </c>
      <c r="AH344" s="14">
        <v>21.745699999999999</v>
      </c>
      <c r="AI344" s="34">
        <v>22</v>
      </c>
      <c r="AJ344" s="14">
        <v>258.14890000000003</v>
      </c>
      <c r="AK344" s="14">
        <v>257.81079999999997</v>
      </c>
      <c r="AL344" s="14">
        <v>263.12200000000001</v>
      </c>
      <c r="AN344" s="38">
        <f t="shared" si="16"/>
        <v>0</v>
      </c>
      <c r="AO344" s="38">
        <f t="shared" si="17"/>
        <v>0</v>
      </c>
      <c r="AQ344" s="37">
        <v>43234</v>
      </c>
      <c r="AR344">
        <v>22</v>
      </c>
      <c r="AS344">
        <v>257.81075691699499</v>
      </c>
      <c r="AT344">
        <v>263.12199999999899</v>
      </c>
      <c r="AV344" s="37">
        <v>43234</v>
      </c>
      <c r="AW344">
        <v>22</v>
      </c>
      <c r="AX344">
        <v>257.81075691699499</v>
      </c>
      <c r="AY344">
        <v>263.12199999999899</v>
      </c>
      <c r="BA344" s="38">
        <f>AX344-Table3[[#This Row],[Trendline]]</f>
        <v>-4.3083004982236162E-5</v>
      </c>
      <c r="BB344" s="38">
        <f>AY344-Table3[[#This Row],[SmPrice]]</f>
        <v>-1.0231815394945443E-12</v>
      </c>
    </row>
    <row r="345" spans="1:54" x14ac:dyDescent="0.35">
      <c r="A345" s="6">
        <v>343</v>
      </c>
      <c r="B345" s="3">
        <v>43235</v>
      </c>
      <c r="C345" s="2">
        <v>262.62</v>
      </c>
      <c r="D345" s="2">
        <v>262.64</v>
      </c>
      <c r="E345" s="2">
        <v>261.11</v>
      </c>
      <c r="F345" s="2">
        <v>262.14999999999998</v>
      </c>
      <c r="G345" s="1">
        <v>90007968</v>
      </c>
      <c r="H345" s="30">
        <f>(testdata[[#This Row],[high]]+testdata[[#This Row],[low]])/2</f>
        <v>261.875</v>
      </c>
      <c r="I345" s="23">
        <f>(4*testdata[[#This Row],[price]]+3*H344+2*H343+H342)/10</f>
        <v>262.91899999999998</v>
      </c>
      <c r="J345" s="9">
        <f>(0.0962*testdata[[#This Row],[smooth]]+0.5769*I343-0.5769*I341-0.0962*I339)*(0.075*$Z344+0.54)</f>
        <v>5.7154068850043229</v>
      </c>
      <c r="K345" s="14">
        <f t="shared" si="15"/>
        <v>3.7223931372296661</v>
      </c>
      <c r="L345" s="14">
        <f>(0.0962*testdata[[#This Row],[detrender]]+0.5769*J343-0.5769*J341-0.0962*J339)*(0.075*$Z344+0.54)</f>
        <v>4.2976810664454579</v>
      </c>
      <c r="M345" s="9">
        <f>(0.0962*testdata[[#This Row],[I1]]+0.5769*K343-0.5769*K341-0.0962*K339)*(0.075*$Z344+0.54)</f>
        <v>0.51555272238136562</v>
      </c>
      <c r="N345" s="9">
        <f>(0.0962*testdata[[#This Row],[Q1]]+0.5769*L343-0.5769*L341-0.0962*L339)*(0.075*$Z344+0.54)</f>
        <v>13.147459533590613</v>
      </c>
      <c r="O345" s="9">
        <f>testdata[[#This Row],[I1]]-testdata[[#This Row],[JQ]]</f>
        <v>-9.4250663963609469</v>
      </c>
      <c r="P345" s="9">
        <f>testdata[[#This Row],[Q1]]+testdata[[#This Row],[jI]]</f>
        <v>4.8132337888268237</v>
      </c>
      <c r="Q345" s="9">
        <f>0.2*testdata[[#This Row],[I2]]+0.8*Q344</f>
        <v>-2.5658379820915984</v>
      </c>
      <c r="R345" s="9">
        <f>0.2*testdata[[#This Row],[Q2]]+0.8*R344</f>
        <v>2.391972371032892</v>
      </c>
      <c r="S345" s="9">
        <f>testdata[[#This Row],[I2'']]*Q344+testdata[[#This Row],[Q2'']]*R344</f>
        <v>6.4572415722322916</v>
      </c>
      <c r="T345" s="9">
        <f>testdata[[#This Row],[I2'']]*R344-testdata[[#This Row],[Q2'']]*Q344</f>
        <v>-2.5486300857968538</v>
      </c>
      <c r="U345" s="9">
        <f>0.2*testdata[[#This Row],[Re]]+0.8*U344</f>
        <v>14.663350285454682</v>
      </c>
      <c r="V345" s="9">
        <f>0.2*testdata[[#This Row],[Im]]+0.8*V344</f>
        <v>3.5147301159408371</v>
      </c>
      <c r="W345" s="9">
        <f>IF(AND(testdata[[#This Row],[Re'']]&lt;&gt;0,testdata[[#This Row],[Im'']]&lt;&gt;0),2*PI()/ATAN(testdata[[#This Row],[Im'']]/testdata[[#This Row],[Re'']]),0)</f>
        <v>26.70781123607048</v>
      </c>
      <c r="X345" s="9">
        <f>IF(testdata[[#This Row],[pd-atan]]&gt;1.5*Z344,1.5*Z344,IF(testdata[[#This Row],[pd-atan]]&lt;0.67*Z344,0.67*Z344,testdata[[#This Row],[pd-atan]]))</f>
        <v>26.70781123607048</v>
      </c>
      <c r="Y345" s="9">
        <f>IF(testdata[[#This Row],[pd-limit1]]&lt;6,6,IF(testdata[[#This Row],[pd-limit1]]&gt;50,50,testdata[[#This Row],[pd-limit1]]))</f>
        <v>26.70781123607048</v>
      </c>
      <c r="Z345" s="14">
        <f>0.2*testdata[[#This Row],[pd-limit2]]+0.8*Z344</f>
        <v>22.404359792700085</v>
      </c>
      <c r="AA345" s="14">
        <f>0.33*testdata[[#This Row],[period]]+0.67*AA344</f>
        <v>21.963057181909367</v>
      </c>
      <c r="AB345" s="31">
        <f>TRUNC(testdata[[#This Row],[SmPd]]+0.5,0)</f>
        <v>22</v>
      </c>
      <c r="AC345" s="14">
        <f ca="1">IF(testdata[[#This Row],[PdInt]]&lt;=0,0,AVERAGE(OFFSET(testdata[[#This Row],[price]],0,0,-testdata[[#This Row],[PdInt]],1)))</f>
        <v>258.37045454545455</v>
      </c>
      <c r="AD345" s="14">
        <f ca="1">IF(testdata[[#This Row],[i]]&lt;11,testdata[[#This Row],[price]],(4*testdata[[#This Row],[iTrend]]+3*AC344+2*AC343+AC342)/10)</f>
        <v>258.10815909090906</v>
      </c>
      <c r="AE345" s="14">
        <f>(4*testdata[[#This Row],[price]]+3*H344+2*H343+H342)/10</f>
        <v>262.91899999999998</v>
      </c>
      <c r="AF345" t="str">
        <f ca="1">IF(OR(ROUND(testdata[[#This Row],[Trendline]],4)&lt;&gt;Table3[[#This Row],[Trendline]],ROUND(testdata[[#This Row],[SmPrice]],4)&lt;&gt;Table3[[#This Row],[SmPrice]]),"ERR","")</f>
        <v/>
      </c>
      <c r="AG345" s="3">
        <v>43235</v>
      </c>
      <c r="AH345" s="14">
        <v>21.963100000000001</v>
      </c>
      <c r="AI345" s="34">
        <v>22</v>
      </c>
      <c r="AJ345" s="14">
        <v>258.37049999999999</v>
      </c>
      <c r="AK345" s="14">
        <v>258.10820000000001</v>
      </c>
      <c r="AL345" s="14">
        <v>262.91899999999998</v>
      </c>
      <c r="AN345" s="38">
        <f t="shared" si="16"/>
        <v>0</v>
      </c>
      <c r="AO345" s="38">
        <f t="shared" si="17"/>
        <v>0</v>
      </c>
      <c r="AQ345" s="37">
        <v>43235</v>
      </c>
      <c r="AR345">
        <v>22</v>
      </c>
      <c r="AS345">
        <v>258.108159090909</v>
      </c>
      <c r="AT345">
        <v>262.91899999999998</v>
      </c>
      <c r="AV345" s="37">
        <v>43235</v>
      </c>
      <c r="AW345">
        <v>22</v>
      </c>
      <c r="AX345">
        <v>258.108159090909</v>
      </c>
      <c r="AY345">
        <v>262.91899999999998</v>
      </c>
      <c r="BA345" s="38">
        <f>AX345-Table3[[#This Row],[Trendline]]</f>
        <v>-4.0909091012508725E-5</v>
      </c>
      <c r="BB345" s="38">
        <f>AY345-Table3[[#This Row],[SmPrice]]</f>
        <v>0</v>
      </c>
    </row>
    <row r="346" spans="1:54" x14ac:dyDescent="0.35">
      <c r="A346" s="6">
        <v>344</v>
      </c>
      <c r="B346" s="3">
        <v>43236</v>
      </c>
      <c r="C346" s="2">
        <v>262.19</v>
      </c>
      <c r="D346" s="2">
        <v>263.75</v>
      </c>
      <c r="E346" s="2">
        <v>262.16000000000003</v>
      </c>
      <c r="F346" s="2">
        <v>263.25</v>
      </c>
      <c r="G346" s="1">
        <v>55784492</v>
      </c>
      <c r="H346" s="30">
        <f>(testdata[[#This Row],[high]]+testdata[[#This Row],[low]])/2</f>
        <v>262.95500000000004</v>
      </c>
      <c r="I346" s="23">
        <f>(4*testdata[[#This Row],[price]]+3*H345+2*H344+H343)/10</f>
        <v>262.92150000000004</v>
      </c>
      <c r="J346" s="9">
        <f>(0.0962*testdata[[#This Row],[smooth]]+0.5769*I344-0.5769*I342-0.0962*I340)*(0.075*$Z345+0.54)</f>
        <v>5.138400272028079</v>
      </c>
      <c r="K346" s="14">
        <f t="shared" si="15"/>
        <v>4.3705261023022359</v>
      </c>
      <c r="L346" s="14">
        <f>(0.0962*testdata[[#This Row],[detrender]]+0.5769*J344-0.5769*J342-0.0962*J340)*(0.075*$Z345+0.54)</f>
        <v>4.3392051904434652</v>
      </c>
      <c r="M346" s="9">
        <f>(0.0962*testdata[[#This Row],[I1]]+0.5769*K344-0.5769*K342-0.0962*K340)*(0.075*$Z345+0.54)</f>
        <v>7.5533727237427648</v>
      </c>
      <c r="N346" s="9">
        <f>(0.0962*testdata[[#This Row],[Q1]]+0.5769*L344-0.5769*L342-0.0962*L340)*(0.075*$Z345+0.54)</f>
        <v>11.994518403153458</v>
      </c>
      <c r="O346" s="9">
        <f>testdata[[#This Row],[I1]]-testdata[[#This Row],[JQ]]</f>
        <v>-7.6239923008512225</v>
      </c>
      <c r="P346" s="9">
        <f>testdata[[#This Row],[Q1]]+testdata[[#This Row],[jI]]</f>
        <v>11.89257791418623</v>
      </c>
      <c r="Q346" s="9">
        <f>0.2*testdata[[#This Row],[I2]]+0.8*Q345</f>
        <v>-3.5774688458435233</v>
      </c>
      <c r="R346" s="9">
        <f>0.2*testdata[[#This Row],[Q2]]+0.8*R345</f>
        <v>4.2920934796635599</v>
      </c>
      <c r="S346" s="9">
        <f>testdata[[#This Row],[I2'']]*Q345+testdata[[#This Row],[Q2'']]*R345</f>
        <v>19.445774461660367</v>
      </c>
      <c r="T346" s="9">
        <f>testdata[[#This Row],[I2'']]*R345-testdata[[#This Row],[Q2'']]*Q345</f>
        <v>2.4556098353198212</v>
      </c>
      <c r="U346" s="9">
        <f>0.2*testdata[[#This Row],[Re]]+0.8*U345</f>
        <v>15.619835120695818</v>
      </c>
      <c r="V346" s="9">
        <f>0.2*testdata[[#This Row],[Im]]+0.8*V345</f>
        <v>3.302906059816634</v>
      </c>
      <c r="W346" s="9">
        <f>IF(AND(testdata[[#This Row],[Re'']]&lt;&gt;0,testdata[[#This Row],[Im'']]&lt;&gt;0),2*PI()/ATAN(testdata[[#This Row],[Im'']]/testdata[[#This Row],[Re'']]),0)</f>
        <v>30.151641453671893</v>
      </c>
      <c r="X346" s="9">
        <f>IF(testdata[[#This Row],[pd-atan]]&gt;1.5*Z345,1.5*Z345,IF(testdata[[#This Row],[pd-atan]]&lt;0.67*Z345,0.67*Z345,testdata[[#This Row],[pd-atan]]))</f>
        <v>30.151641453671893</v>
      </c>
      <c r="Y346" s="9">
        <f>IF(testdata[[#This Row],[pd-limit1]]&lt;6,6,IF(testdata[[#This Row],[pd-limit1]]&gt;50,50,testdata[[#This Row],[pd-limit1]]))</f>
        <v>30.151641453671893</v>
      </c>
      <c r="Z346" s="14">
        <f>0.2*testdata[[#This Row],[pd-limit2]]+0.8*Z345</f>
        <v>23.953816124894445</v>
      </c>
      <c r="AA346" s="14">
        <f>0.33*testdata[[#This Row],[period]]+0.67*AA345</f>
        <v>22.620007633094446</v>
      </c>
      <c r="AB346" s="31">
        <f>TRUNC(testdata[[#This Row],[SmPd]]+0.5,0)</f>
        <v>23</v>
      </c>
      <c r="AC346" s="14">
        <f ca="1">IF(testdata[[#This Row],[PdInt]]&lt;=0,0,AVERAGE(OFFSET(testdata[[#This Row],[price]],0,0,-testdata[[#This Row],[PdInt]],1)))</f>
        <v>258.56978260869562</v>
      </c>
      <c r="AD346" s="14">
        <f ca="1">IF(testdata[[#This Row],[i]]&lt;11,testdata[[#This Row],[price]],(4*testdata[[#This Row],[iTrend]]+3*AC345+2*AC344+AC343)/10)</f>
        <v>258.35209486166002</v>
      </c>
      <c r="AE346" s="14">
        <f>(4*testdata[[#This Row],[price]]+3*H345+2*H344+H343)/10</f>
        <v>262.92150000000004</v>
      </c>
      <c r="AF346" t="str">
        <f ca="1">IF(OR(ROUND(testdata[[#This Row],[Trendline]],4)&lt;&gt;Table3[[#This Row],[Trendline]],ROUND(testdata[[#This Row],[SmPrice]],4)&lt;&gt;Table3[[#This Row],[SmPrice]]),"ERR","")</f>
        <v/>
      </c>
      <c r="AG346" s="3">
        <v>43236</v>
      </c>
      <c r="AH346" s="14">
        <v>22.62</v>
      </c>
      <c r="AI346" s="34">
        <v>23</v>
      </c>
      <c r="AJ346" s="14">
        <v>258.56979999999999</v>
      </c>
      <c r="AK346" s="14">
        <v>258.35210000000001</v>
      </c>
      <c r="AL346" s="14">
        <v>262.92149999999998</v>
      </c>
      <c r="AN346" s="38">
        <f t="shared" si="16"/>
        <v>0</v>
      </c>
      <c r="AO346" s="38">
        <f t="shared" si="17"/>
        <v>0</v>
      </c>
      <c r="AQ346" s="37">
        <v>43236</v>
      </c>
      <c r="AR346">
        <v>23</v>
      </c>
      <c r="AS346">
        <v>258.35209486166002</v>
      </c>
      <c r="AT346">
        <v>262.92149999999998</v>
      </c>
      <c r="AV346" s="37">
        <v>43236</v>
      </c>
      <c r="AW346">
        <v>23</v>
      </c>
      <c r="AX346">
        <v>258.35209486166002</v>
      </c>
      <c r="AY346">
        <v>262.92149999999998</v>
      </c>
      <c r="BA346" s="38">
        <f>AX346-Table3[[#This Row],[Trendline]]</f>
        <v>-5.1383399863880186E-6</v>
      </c>
      <c r="BB346" s="38">
        <f>AY346-Table3[[#This Row],[SmPrice]]</f>
        <v>0</v>
      </c>
    </row>
    <row r="347" spans="1:54" x14ac:dyDescent="0.35">
      <c r="A347" s="6">
        <v>345</v>
      </c>
      <c r="B347" s="3">
        <v>43237</v>
      </c>
      <c r="C347" s="2">
        <v>262.95999999999998</v>
      </c>
      <c r="D347" s="2">
        <v>264.20999999999998</v>
      </c>
      <c r="E347" s="2">
        <v>262.18</v>
      </c>
      <c r="F347" s="2">
        <v>263.02999999999997</v>
      </c>
      <c r="G347" s="1">
        <v>58466824</v>
      </c>
      <c r="H347" s="30">
        <f>(testdata[[#This Row],[high]]+testdata[[#This Row],[low]])/2</f>
        <v>263.19499999999999</v>
      </c>
      <c r="I347" s="23">
        <f>(4*testdata[[#This Row],[price]]+3*H346+2*H345+H344)/10</f>
        <v>262.95949999999999</v>
      </c>
      <c r="J347" s="9">
        <f>(0.0962*testdata[[#This Row],[smooth]]+0.5769*I345-0.5769*I343-0.0962*I341)*(0.075*$Z346+0.54)</f>
        <v>2.6739794696848072</v>
      </c>
      <c r="K347" s="14">
        <f t="shared" si="15"/>
        <v>5.939190541472235</v>
      </c>
      <c r="L347" s="14">
        <f>(0.0962*testdata[[#This Row],[detrender]]+0.5769*J345-0.5769*J343-0.0962*J341)*(0.075*$Z346+0.54)</f>
        <v>1.8955315829396333</v>
      </c>
      <c r="M347" s="9">
        <f>(0.0962*testdata[[#This Row],[I1]]+0.5769*K345-0.5769*K343-0.0962*K341)*(0.075*$Z346+0.54)</f>
        <v>9.3159466006457272</v>
      </c>
      <c r="N347" s="9">
        <f>(0.0962*testdata[[#This Row],[Q1]]+0.5769*L345-0.5769*L343-0.0962*L341)*(0.075*$Z346+0.54)</f>
        <v>-3.0442383325487845</v>
      </c>
      <c r="O347" s="9">
        <f>testdata[[#This Row],[I1]]-testdata[[#This Row],[JQ]]</f>
        <v>8.9834288740210191</v>
      </c>
      <c r="P347" s="9">
        <f>testdata[[#This Row],[Q1]]+testdata[[#This Row],[jI]]</f>
        <v>11.21147818358536</v>
      </c>
      <c r="Q347" s="9">
        <f>0.2*testdata[[#This Row],[I2]]+0.8*Q346</f>
        <v>-1.0652893018706147</v>
      </c>
      <c r="R347" s="9">
        <f>0.2*testdata[[#This Row],[Q2]]+0.8*R346</f>
        <v>5.6759704204479196</v>
      </c>
      <c r="S347" s="9">
        <f>testdata[[#This Row],[I2'']]*Q346+testdata[[#This Row],[Q2'']]*R346</f>
        <v>28.172834921620272</v>
      </c>
      <c r="T347" s="9">
        <f>testdata[[#This Row],[I2'']]*R346-testdata[[#This Row],[Q2'']]*Q346</f>
        <v>15.733286082567584</v>
      </c>
      <c r="U347" s="9">
        <f>0.2*testdata[[#This Row],[Re]]+0.8*U346</f>
        <v>18.130435080880709</v>
      </c>
      <c r="V347" s="9">
        <f>0.2*testdata[[#This Row],[Im]]+0.8*V346</f>
        <v>5.7889820643668246</v>
      </c>
      <c r="W347" s="9">
        <f>IF(AND(testdata[[#This Row],[Re'']]&lt;&gt;0,testdata[[#This Row],[Im'']]&lt;&gt;0),2*PI()/ATAN(testdata[[#This Row],[Im'']]/testdata[[#This Row],[Re'']]),0)</f>
        <v>20.329686758998271</v>
      </c>
      <c r="X347" s="9">
        <f>IF(testdata[[#This Row],[pd-atan]]&gt;1.5*Z346,1.5*Z346,IF(testdata[[#This Row],[pd-atan]]&lt;0.67*Z346,0.67*Z346,testdata[[#This Row],[pd-atan]]))</f>
        <v>20.329686758998271</v>
      </c>
      <c r="Y347" s="9">
        <f>IF(testdata[[#This Row],[pd-limit1]]&lt;6,6,IF(testdata[[#This Row],[pd-limit1]]&gt;50,50,testdata[[#This Row],[pd-limit1]]))</f>
        <v>20.329686758998271</v>
      </c>
      <c r="Z347" s="14">
        <f>0.2*testdata[[#This Row],[pd-limit2]]+0.8*Z346</f>
        <v>23.22899025171521</v>
      </c>
      <c r="AA347" s="14">
        <f>0.33*testdata[[#This Row],[period]]+0.67*AA346</f>
        <v>22.820971897239296</v>
      </c>
      <c r="AB347" s="31">
        <f>TRUNC(testdata[[#This Row],[SmPd]]+0.5,0)</f>
        <v>23</v>
      </c>
      <c r="AC347" s="14">
        <f ca="1">IF(testdata[[#This Row],[PdInt]]&lt;=0,0,AVERAGE(OFFSET(testdata[[#This Row],[price]],0,0,-testdata[[#This Row],[PdInt]],1)))</f>
        <v>258.78195652173912</v>
      </c>
      <c r="AD347" s="14">
        <f ca="1">IF(testdata[[#This Row],[i]]&lt;11,testdata[[#This Row],[price]],(4*testdata[[#This Row],[iTrend]]+3*AC346+2*AC345+AC344)/10)</f>
        <v>258.57269466403159</v>
      </c>
      <c r="AE347" s="14">
        <f>(4*testdata[[#This Row],[price]]+3*H346+2*H345+H344)/10</f>
        <v>262.95949999999999</v>
      </c>
      <c r="AF347" t="str">
        <f ca="1">IF(OR(ROUND(testdata[[#This Row],[Trendline]],4)&lt;&gt;Table3[[#This Row],[Trendline]],ROUND(testdata[[#This Row],[SmPrice]],4)&lt;&gt;Table3[[#This Row],[SmPrice]]),"ERR","")</f>
        <v/>
      </c>
      <c r="AG347" s="3">
        <v>43237</v>
      </c>
      <c r="AH347" s="14">
        <v>22.821000000000002</v>
      </c>
      <c r="AI347" s="34">
        <v>23</v>
      </c>
      <c r="AJ347" s="14">
        <v>258.78199999999998</v>
      </c>
      <c r="AK347" s="14">
        <v>258.5727</v>
      </c>
      <c r="AL347" s="14">
        <v>262.95949999999999</v>
      </c>
      <c r="AN347" s="38">
        <f t="shared" si="16"/>
        <v>0</v>
      </c>
      <c r="AO347" s="38">
        <f t="shared" si="17"/>
        <v>0</v>
      </c>
      <c r="AQ347" s="37">
        <v>43237</v>
      </c>
      <c r="AR347">
        <v>23</v>
      </c>
      <c r="AS347">
        <v>258.57269466403102</v>
      </c>
      <c r="AT347">
        <v>262.95949999999999</v>
      </c>
      <c r="AV347" s="37">
        <v>43237</v>
      </c>
      <c r="AW347">
        <v>23</v>
      </c>
      <c r="AX347">
        <v>258.57269466403102</v>
      </c>
      <c r="AY347">
        <v>262.95949999999999</v>
      </c>
      <c r="BA347" s="38">
        <f>AX347-Table3[[#This Row],[Trendline]]</f>
        <v>-5.3359689786702802E-6</v>
      </c>
      <c r="BB347" s="38">
        <f>AY347-Table3[[#This Row],[SmPrice]]</f>
        <v>0</v>
      </c>
    </row>
    <row r="348" spans="1:54" x14ac:dyDescent="0.35">
      <c r="A348" s="6">
        <v>346</v>
      </c>
      <c r="B348" s="3">
        <v>43238</v>
      </c>
      <c r="C348" s="2">
        <v>262.64999999999998</v>
      </c>
      <c r="D348" s="2">
        <v>263.05</v>
      </c>
      <c r="E348" s="2">
        <v>261.98</v>
      </c>
      <c r="F348" s="2">
        <v>262.37</v>
      </c>
      <c r="G348" s="1">
        <v>66565792</v>
      </c>
      <c r="H348" s="30">
        <f>(testdata[[#This Row],[high]]+testdata[[#This Row],[low]])/2</f>
        <v>262.51499999999999</v>
      </c>
      <c r="I348" s="23">
        <f>(4*testdata[[#This Row],[price]]+3*H347+2*H346+H345)/10</f>
        <v>262.74300000000005</v>
      </c>
      <c r="J348" s="9">
        <f>(0.0962*testdata[[#This Row],[smooth]]+0.5769*I346-0.5769*I344-0.0962*I342)*(0.075*$Z347+0.54)</f>
        <v>0.30804936622662549</v>
      </c>
      <c r="K348" s="14">
        <f t="shared" si="15"/>
        <v>5.7154068850043229</v>
      </c>
      <c r="L348" s="14">
        <f>(0.0962*testdata[[#This Row],[detrender]]+0.5769*J346-0.5769*J344-0.0962*J342)*(0.075*$Z347+0.54)</f>
        <v>-1.8039121919562016</v>
      </c>
      <c r="M348" s="9">
        <f>(0.0962*testdata[[#This Row],[I1]]+0.5769*K346-0.5769*K344-0.0962*K342)*(0.075*$Z347+0.54)</f>
        <v>4.5839812587467854</v>
      </c>
      <c r="N348" s="9">
        <f>(0.0962*testdata[[#This Row],[Q1]]+0.5769*L346-0.5769*L344-0.0962*L342)*(0.075*$Z347+0.54)</f>
        <v>-6.0122776452089512</v>
      </c>
      <c r="O348" s="9">
        <f>testdata[[#This Row],[I1]]-testdata[[#This Row],[JQ]]</f>
        <v>11.727684530213274</v>
      </c>
      <c r="P348" s="9">
        <f>testdata[[#This Row],[Q1]]+testdata[[#This Row],[jI]]</f>
        <v>2.7800690667905839</v>
      </c>
      <c r="Q348" s="9">
        <f>0.2*testdata[[#This Row],[I2]]+0.8*Q347</f>
        <v>1.493305464546163</v>
      </c>
      <c r="R348" s="9">
        <f>0.2*testdata[[#This Row],[Q2]]+0.8*R347</f>
        <v>5.0967901497164529</v>
      </c>
      <c r="S348" s="9">
        <f>testdata[[#This Row],[I2'']]*Q347+testdata[[#This Row],[Q2'']]*R347</f>
        <v>27.338427793214954</v>
      </c>
      <c r="T348" s="9">
        <f>testdata[[#This Row],[I2'']]*R347-testdata[[#This Row],[Q2'']]*Q347</f>
        <v>13.905513665829726</v>
      </c>
      <c r="U348" s="9">
        <f>0.2*testdata[[#This Row],[Re]]+0.8*U347</f>
        <v>19.972033623347556</v>
      </c>
      <c r="V348" s="9">
        <f>0.2*testdata[[#This Row],[Im]]+0.8*V347</f>
        <v>7.412288384659405</v>
      </c>
      <c r="W348" s="9">
        <f>IF(AND(testdata[[#This Row],[Re'']]&lt;&gt;0,testdata[[#This Row],[Im'']]&lt;&gt;0),2*PI()/ATAN(testdata[[#This Row],[Im'']]/testdata[[#This Row],[Re'']]),0)</f>
        <v>17.680364542566874</v>
      </c>
      <c r="X348" s="9">
        <f>IF(testdata[[#This Row],[pd-atan]]&gt;1.5*Z347,1.5*Z347,IF(testdata[[#This Row],[pd-atan]]&lt;0.67*Z347,0.67*Z347,testdata[[#This Row],[pd-atan]]))</f>
        <v>17.680364542566874</v>
      </c>
      <c r="Y348" s="9">
        <f>IF(testdata[[#This Row],[pd-limit1]]&lt;6,6,IF(testdata[[#This Row],[pd-limit1]]&gt;50,50,testdata[[#This Row],[pd-limit1]]))</f>
        <v>17.680364542566874</v>
      </c>
      <c r="Z348" s="14">
        <f>0.2*testdata[[#This Row],[pd-limit2]]+0.8*Z347</f>
        <v>22.119265109885543</v>
      </c>
      <c r="AA348" s="14">
        <f>0.33*testdata[[#This Row],[period]]+0.67*AA347</f>
        <v>22.589408657412559</v>
      </c>
      <c r="AB348" s="31">
        <f>TRUNC(testdata[[#This Row],[SmPd]]+0.5,0)</f>
        <v>23</v>
      </c>
      <c r="AC348" s="14">
        <f ca="1">IF(testdata[[#This Row],[PdInt]]&lt;=0,0,AVERAGE(OFFSET(testdata[[#This Row],[price]],0,0,-testdata[[#This Row],[PdInt]],1)))</f>
        <v>258.85195652173911</v>
      </c>
      <c r="AD348" s="14">
        <f ca="1">IF(testdata[[#This Row],[i]]&lt;11,testdata[[#This Row],[price]],(4*testdata[[#This Row],[iTrend]]+3*AC347+2*AC346+AC345)/10)</f>
        <v>258.72637154150198</v>
      </c>
      <c r="AE348" s="14">
        <f>(4*testdata[[#This Row],[price]]+3*H347+2*H346+H345)/10</f>
        <v>262.74300000000005</v>
      </c>
      <c r="AF348" t="str">
        <f ca="1">IF(OR(ROUND(testdata[[#This Row],[Trendline]],4)&lt;&gt;Table3[[#This Row],[Trendline]],ROUND(testdata[[#This Row],[SmPrice]],4)&lt;&gt;Table3[[#This Row],[SmPrice]]),"ERR","")</f>
        <v/>
      </c>
      <c r="AG348" s="3">
        <v>43238</v>
      </c>
      <c r="AH348" s="14">
        <v>22.589400000000001</v>
      </c>
      <c r="AI348" s="34">
        <v>23</v>
      </c>
      <c r="AJ348" s="14">
        <v>258.85199999999998</v>
      </c>
      <c r="AK348" s="14">
        <v>258.72640000000001</v>
      </c>
      <c r="AL348" s="14">
        <v>262.74299999999999</v>
      </c>
      <c r="AN348" s="38">
        <f t="shared" si="16"/>
        <v>0</v>
      </c>
      <c r="AO348" s="38">
        <f t="shared" si="17"/>
        <v>0</v>
      </c>
      <c r="AQ348" s="37">
        <v>43238</v>
      </c>
      <c r="AR348">
        <v>23</v>
      </c>
      <c r="AS348">
        <v>258.72637154150198</v>
      </c>
      <c r="AT348">
        <v>262.74299999999999</v>
      </c>
      <c r="AV348" s="37">
        <v>43238</v>
      </c>
      <c r="AW348">
        <v>23</v>
      </c>
      <c r="AX348">
        <v>258.72637154150198</v>
      </c>
      <c r="AY348">
        <v>262.74299999999999</v>
      </c>
      <c r="BA348" s="38">
        <f>AX348-Table3[[#This Row],[Trendline]]</f>
        <v>-2.8458498036343371E-5</v>
      </c>
      <c r="BB348" s="38">
        <f>AY348-Table3[[#This Row],[SmPrice]]</f>
        <v>0</v>
      </c>
    </row>
    <row r="349" spans="1:54" x14ac:dyDescent="0.35">
      <c r="A349" s="6">
        <v>347</v>
      </c>
      <c r="B349" s="3">
        <v>43241</v>
      </c>
      <c r="C349" s="2">
        <v>264</v>
      </c>
      <c r="D349" s="2">
        <v>264.93</v>
      </c>
      <c r="E349" s="2">
        <v>262.39</v>
      </c>
      <c r="F349" s="2">
        <v>264.33999999999997</v>
      </c>
      <c r="G349" s="1">
        <v>60007156</v>
      </c>
      <c r="H349" s="30">
        <f>(testdata[[#This Row],[high]]+testdata[[#This Row],[low]])/2</f>
        <v>263.65999999999997</v>
      </c>
      <c r="I349" s="23">
        <f>(4*testdata[[#This Row],[price]]+3*H348+2*H347+H346)/10</f>
        <v>263.15299999999996</v>
      </c>
      <c r="J349" s="9">
        <f>(0.0962*testdata[[#This Row],[smooth]]+0.5769*I347-0.5769*I345-0.0962*I343)*(0.075*$Z348+0.54)</f>
        <v>0.35451180507851793</v>
      </c>
      <c r="K349" s="14">
        <f t="shared" si="15"/>
        <v>5.138400272028079</v>
      </c>
      <c r="L349" s="14">
        <f>(0.0962*testdata[[#This Row],[detrender]]+0.5769*J347-0.5769*J345-0.0962*J343)*(0.075*$Z348+0.54)</f>
        <v>-4.7078091711124106</v>
      </c>
      <c r="M349" s="9">
        <f>(0.0962*testdata[[#This Row],[I1]]+0.5769*K347-0.5769*K345-0.0962*K343)*(0.075*$Z348+0.54)</f>
        <v>4.2974179558571013</v>
      </c>
      <c r="N349" s="9">
        <f>(0.0962*testdata[[#This Row],[Q1]]+0.5769*L347-0.5769*L345-0.0962*L343)*(0.075*$Z348+0.54)</f>
        <v>-5.5857077752102251</v>
      </c>
      <c r="O349" s="9">
        <f>testdata[[#This Row],[I1]]-testdata[[#This Row],[JQ]]</f>
        <v>10.724108047238303</v>
      </c>
      <c r="P349" s="9">
        <f>testdata[[#This Row],[Q1]]+testdata[[#This Row],[jI]]</f>
        <v>-0.41039121525530931</v>
      </c>
      <c r="Q349" s="9">
        <f>0.2*testdata[[#This Row],[I2]]+0.8*Q348</f>
        <v>3.339465981084591</v>
      </c>
      <c r="R349" s="9">
        <f>0.2*testdata[[#This Row],[Q2]]+0.8*R348</f>
        <v>3.9953538767221008</v>
      </c>
      <c r="S349" s="9">
        <f>testdata[[#This Row],[I2'']]*Q348+testdata[[#This Row],[Q2'']]*R348</f>
        <v>25.350323081728281</v>
      </c>
      <c r="T349" s="9">
        <f>testdata[[#This Row],[I2'']]*R348-testdata[[#This Row],[Q2'']]*Q348</f>
        <v>11.054273540800324</v>
      </c>
      <c r="U349" s="9">
        <f>0.2*testdata[[#This Row],[Re]]+0.8*U348</f>
        <v>21.047691515023704</v>
      </c>
      <c r="V349" s="9">
        <f>0.2*testdata[[#This Row],[Im]]+0.8*V348</f>
        <v>8.1406854158875888</v>
      </c>
      <c r="W349" s="9">
        <f>IF(AND(testdata[[#This Row],[Re'']]&lt;&gt;0,testdata[[#This Row],[Im'']]&lt;&gt;0),2*PI()/ATAN(testdata[[#This Row],[Im'']]/testdata[[#This Row],[Re'']]),0)</f>
        <v>17.025188489066512</v>
      </c>
      <c r="X349" s="9">
        <f>IF(testdata[[#This Row],[pd-atan]]&gt;1.5*Z348,1.5*Z348,IF(testdata[[#This Row],[pd-atan]]&lt;0.67*Z348,0.67*Z348,testdata[[#This Row],[pd-atan]]))</f>
        <v>17.025188489066512</v>
      </c>
      <c r="Y349" s="9">
        <f>IF(testdata[[#This Row],[pd-limit1]]&lt;6,6,IF(testdata[[#This Row],[pd-limit1]]&gt;50,50,testdata[[#This Row],[pd-limit1]]))</f>
        <v>17.025188489066512</v>
      </c>
      <c r="Z349" s="14">
        <f>0.2*testdata[[#This Row],[pd-limit2]]+0.8*Z348</f>
        <v>21.100449785721736</v>
      </c>
      <c r="AA349" s="14">
        <f>0.33*testdata[[#This Row],[period]]+0.67*AA348</f>
        <v>22.098052229754586</v>
      </c>
      <c r="AB349" s="31">
        <f>TRUNC(testdata[[#This Row],[SmPd]]+0.5,0)</f>
        <v>22</v>
      </c>
      <c r="AC349" s="14">
        <f ca="1">IF(testdata[[#This Row],[PdInt]]&lt;=0,0,AVERAGE(OFFSET(testdata[[#This Row],[price]],0,0,-testdata[[#This Row],[PdInt]],1)))</f>
        <v>258.89454545454544</v>
      </c>
      <c r="AD349" s="14">
        <f ca="1">IF(testdata[[#This Row],[i]]&lt;11,testdata[[#This Row],[price]],(4*testdata[[#This Row],[iTrend]]+3*AC348+2*AC347+AC346)/10)</f>
        <v>258.82677470355731</v>
      </c>
      <c r="AE349" s="14">
        <f>(4*testdata[[#This Row],[price]]+3*H348+2*H347+H346)/10</f>
        <v>263.15299999999996</v>
      </c>
      <c r="AF349" t="str">
        <f ca="1">IF(OR(ROUND(testdata[[#This Row],[Trendline]],4)&lt;&gt;Table3[[#This Row],[Trendline]],ROUND(testdata[[#This Row],[SmPrice]],4)&lt;&gt;Table3[[#This Row],[SmPrice]]),"ERR","")</f>
        <v/>
      </c>
      <c r="AG349" s="3">
        <v>43241</v>
      </c>
      <c r="AH349" s="14">
        <v>22.098099999999999</v>
      </c>
      <c r="AI349" s="34">
        <v>22</v>
      </c>
      <c r="AJ349" s="14">
        <v>258.89449999999999</v>
      </c>
      <c r="AK349" s="14">
        <v>258.82679999999999</v>
      </c>
      <c r="AL349" s="14">
        <v>263.15300000000002</v>
      </c>
      <c r="AN349" s="38">
        <f t="shared" si="16"/>
        <v>0</v>
      </c>
      <c r="AO349" s="38">
        <f t="shared" si="17"/>
        <v>0</v>
      </c>
      <c r="AQ349" s="37">
        <v>43241</v>
      </c>
      <c r="AR349">
        <v>22</v>
      </c>
      <c r="AS349">
        <v>258.82677470355702</v>
      </c>
      <c r="AT349">
        <v>263.152999999999</v>
      </c>
      <c r="AV349" s="37">
        <v>43241</v>
      </c>
      <c r="AW349">
        <v>22</v>
      </c>
      <c r="AX349">
        <v>258.82677470355702</v>
      </c>
      <c r="AY349">
        <v>263.152999999999</v>
      </c>
      <c r="BA349" s="38">
        <f>AX349-Table3[[#This Row],[Trendline]]</f>
        <v>-2.5296442970557109E-5</v>
      </c>
      <c r="BB349" s="38">
        <f>AY349-Table3[[#This Row],[SmPrice]]</f>
        <v>-1.0231815394945443E-12</v>
      </c>
    </row>
    <row r="350" spans="1:54" x14ac:dyDescent="0.35">
      <c r="A350" s="6">
        <v>348</v>
      </c>
      <c r="B350" s="3">
        <v>43242</v>
      </c>
      <c r="C350" s="2">
        <v>264.91000000000003</v>
      </c>
      <c r="D350" s="2">
        <v>265.2</v>
      </c>
      <c r="E350" s="2">
        <v>263.25</v>
      </c>
      <c r="F350" s="2">
        <v>263.61</v>
      </c>
      <c r="G350" s="1">
        <v>54774884</v>
      </c>
      <c r="H350" s="30">
        <f>(testdata[[#This Row],[high]]+testdata[[#This Row],[low]])/2</f>
        <v>264.22500000000002</v>
      </c>
      <c r="I350" s="23">
        <f>(4*testdata[[#This Row],[price]]+3*H349+2*H348+H347)/10</f>
        <v>263.6105</v>
      </c>
      <c r="J350" s="9">
        <f>(0.0962*testdata[[#This Row],[smooth]]+0.5769*I348-0.5769*I346-0.0962*I344)*(0.075*$Z349+0.54)</f>
        <v>-0.11882569989984654</v>
      </c>
      <c r="K350" s="14">
        <f t="shared" si="15"/>
        <v>2.6739794696848072</v>
      </c>
      <c r="L350" s="14">
        <f>(0.0962*testdata[[#This Row],[detrender]]+0.5769*J348-0.5769*J346-0.0962*J344)*(0.075*$Z349+0.54)</f>
        <v>-7.1516876619092606</v>
      </c>
      <c r="M350" s="9">
        <f>(0.0962*testdata[[#This Row],[I1]]+0.5769*K348-0.5769*K346-0.0962*K344)*(0.075*$Z349+0.54)</f>
        <v>1.721920555901544</v>
      </c>
      <c r="N350" s="9">
        <f>(0.0962*testdata[[#This Row],[Q1]]+0.5769*L348-0.5769*L346-0.0962*L344)*(0.075*$Z349+0.54)</f>
        <v>-10.721869065482133</v>
      </c>
      <c r="O350" s="9">
        <f>testdata[[#This Row],[I1]]-testdata[[#This Row],[JQ]]</f>
        <v>13.395848535166941</v>
      </c>
      <c r="P350" s="9">
        <f>testdata[[#This Row],[Q1]]+testdata[[#This Row],[jI]]</f>
        <v>-5.4297671060077164</v>
      </c>
      <c r="Q350" s="9">
        <f>0.2*testdata[[#This Row],[I2]]+0.8*Q349</f>
        <v>5.3507424919010607</v>
      </c>
      <c r="R350" s="9">
        <f>0.2*testdata[[#This Row],[Q2]]+0.8*R349</f>
        <v>2.1103296801761373</v>
      </c>
      <c r="S350" s="9">
        <f>testdata[[#This Row],[I2'']]*Q349+testdata[[#This Row],[Q2'']]*R349</f>
        <v>26.300136394100825</v>
      </c>
      <c r="T350" s="9">
        <f>testdata[[#This Row],[I2'']]*R349-testdata[[#This Row],[Q2'']]*Q349</f>
        <v>14.33073558253724</v>
      </c>
      <c r="U350" s="9">
        <f>0.2*testdata[[#This Row],[Re]]+0.8*U349</f>
        <v>22.098180490839127</v>
      </c>
      <c r="V350" s="9">
        <f>0.2*testdata[[#This Row],[Im]]+0.8*V349</f>
        <v>9.3786954492175205</v>
      </c>
      <c r="W350" s="9">
        <f>IF(AND(testdata[[#This Row],[Re'']]&lt;&gt;0,testdata[[#This Row],[Im'']]&lt;&gt;0),2*PI()/ATAN(testdata[[#This Row],[Im'']]/testdata[[#This Row],[Re'']]),0)</f>
        <v>15.654305721723537</v>
      </c>
      <c r="X350" s="9">
        <f>IF(testdata[[#This Row],[pd-atan]]&gt;1.5*Z349,1.5*Z349,IF(testdata[[#This Row],[pd-atan]]&lt;0.67*Z349,0.67*Z349,testdata[[#This Row],[pd-atan]]))</f>
        <v>15.654305721723537</v>
      </c>
      <c r="Y350" s="9">
        <f>IF(testdata[[#This Row],[pd-limit1]]&lt;6,6,IF(testdata[[#This Row],[pd-limit1]]&gt;50,50,testdata[[#This Row],[pd-limit1]]))</f>
        <v>15.654305721723537</v>
      </c>
      <c r="Z350" s="14">
        <f>0.2*testdata[[#This Row],[pd-limit2]]+0.8*Z349</f>
        <v>20.011220972922096</v>
      </c>
      <c r="AA350" s="14">
        <f>0.33*testdata[[#This Row],[period]]+0.67*AA349</f>
        <v>21.409397914999865</v>
      </c>
      <c r="AB350" s="31">
        <f>TRUNC(testdata[[#This Row],[SmPd]]+0.5,0)</f>
        <v>21</v>
      </c>
      <c r="AC350" s="14">
        <f ca="1">IF(testdata[[#This Row],[PdInt]]&lt;=0,0,AVERAGE(OFFSET(testdata[[#This Row],[price]],0,0,-testdata[[#This Row],[PdInt]],1)))</f>
        <v>259.2180952380952</v>
      </c>
      <c r="AD350" s="14">
        <f ca="1">IF(testdata[[#This Row],[i]]&lt;11,testdata[[#This Row],[price]],(4*testdata[[#This Row],[iTrend]]+3*AC349+2*AC348+AC347)/10)</f>
        <v>259.00418868812346</v>
      </c>
      <c r="AE350" s="14">
        <f>(4*testdata[[#This Row],[price]]+3*H349+2*H348+H347)/10</f>
        <v>263.6105</v>
      </c>
      <c r="AF350" t="str">
        <f ca="1">IF(OR(ROUND(testdata[[#This Row],[Trendline]],4)&lt;&gt;Table3[[#This Row],[Trendline]],ROUND(testdata[[#This Row],[SmPrice]],4)&lt;&gt;Table3[[#This Row],[SmPrice]]),"ERR","")</f>
        <v/>
      </c>
      <c r="AG350" s="3">
        <v>43242</v>
      </c>
      <c r="AH350" s="14">
        <v>21.409400000000002</v>
      </c>
      <c r="AI350" s="34">
        <v>21</v>
      </c>
      <c r="AJ350" s="14">
        <v>259.21809999999999</v>
      </c>
      <c r="AK350" s="14">
        <v>259.00420000000003</v>
      </c>
      <c r="AL350" s="14">
        <v>263.6105</v>
      </c>
      <c r="AN350" s="38">
        <f t="shared" si="16"/>
        <v>0</v>
      </c>
      <c r="AO350" s="38">
        <f t="shared" si="17"/>
        <v>0</v>
      </c>
      <c r="AQ350" s="37">
        <v>43242</v>
      </c>
      <c r="AR350">
        <v>21</v>
      </c>
      <c r="AS350">
        <v>259.00418868812301</v>
      </c>
      <c r="AT350">
        <v>263.6105</v>
      </c>
      <c r="AV350" s="37">
        <v>43242</v>
      </c>
      <c r="AW350">
        <v>21</v>
      </c>
      <c r="AX350">
        <v>259.00418868812301</v>
      </c>
      <c r="AY350">
        <v>263.6105</v>
      </c>
      <c r="BA350" s="38">
        <f>AX350-Table3[[#This Row],[Trendline]]</f>
        <v>-1.131187701730596E-5</v>
      </c>
      <c r="BB350" s="38">
        <f>AY350-Table3[[#This Row],[SmPrice]]</f>
        <v>0</v>
      </c>
    </row>
    <row r="351" spans="1:54" x14ac:dyDescent="0.35">
      <c r="A351" s="6">
        <v>349</v>
      </c>
      <c r="B351" s="3">
        <v>43243</v>
      </c>
      <c r="C351" s="2">
        <v>262.22000000000003</v>
      </c>
      <c r="D351" s="2">
        <v>264.36</v>
      </c>
      <c r="E351" s="2">
        <v>262.04000000000002</v>
      </c>
      <c r="F351" s="2">
        <v>264.33</v>
      </c>
      <c r="G351" s="1">
        <v>66903156</v>
      </c>
      <c r="H351" s="30">
        <f>(testdata[[#This Row],[high]]+testdata[[#This Row],[low]])/2</f>
        <v>263.20000000000005</v>
      </c>
      <c r="I351" s="23">
        <f>(4*testdata[[#This Row],[price]]+3*H350+2*H349+H348)/10</f>
        <v>263.53100000000001</v>
      </c>
      <c r="J351" s="9">
        <f>(0.0962*testdata[[#This Row],[smooth]]+0.5769*I349-0.5769*I347-0.0962*I345)*(0.075*$Z350+0.54)</f>
        <v>0.34797277402039911</v>
      </c>
      <c r="K351" s="14">
        <f t="shared" si="15"/>
        <v>0.30804936622662549</v>
      </c>
      <c r="L351" s="14">
        <f>(0.0962*testdata[[#This Row],[detrender]]+0.5769*J349-0.5769*J347-0.0962*J345)*(0.075*$Z350+0.54)</f>
        <v>-3.7846346900211989</v>
      </c>
      <c r="M351" s="9">
        <f>(0.0962*testdata[[#This Row],[I1]]+0.5769*K349-0.5769*K347-0.0962*K345)*(0.075*$Z350+0.54)</f>
        <v>-1.6131541948981221</v>
      </c>
      <c r="N351" s="9">
        <f>(0.0962*testdata[[#This Row],[Q1]]+0.5769*L349-0.5769*L347-0.0962*L345)*(0.075*$Z350+0.54)</f>
        <v>-9.3613118393161106</v>
      </c>
      <c r="O351" s="9">
        <f>testdata[[#This Row],[I1]]-testdata[[#This Row],[JQ]]</f>
        <v>9.6693612055427351</v>
      </c>
      <c r="P351" s="9">
        <f>testdata[[#This Row],[Q1]]+testdata[[#This Row],[jI]]</f>
        <v>-5.3977888849193212</v>
      </c>
      <c r="Q351" s="9">
        <f>0.2*testdata[[#This Row],[I2]]+0.8*Q350</f>
        <v>6.2144662346293957</v>
      </c>
      <c r="R351" s="9">
        <f>0.2*testdata[[#This Row],[Q2]]+0.8*R350</f>
        <v>0.60870596715704561</v>
      </c>
      <c r="S351" s="9">
        <f>testdata[[#This Row],[I2'']]*Q350+testdata[[#This Row],[Q2'']]*R350</f>
        <v>34.536578815107731</v>
      </c>
      <c r="T351" s="9">
        <f>testdata[[#This Row],[I2'']]*R350-testdata[[#This Row],[Q2'']]*Q350</f>
        <v>9.85754365784992</v>
      </c>
      <c r="U351" s="9">
        <f>0.2*testdata[[#This Row],[Re]]+0.8*U350</f>
        <v>24.585860155692849</v>
      </c>
      <c r="V351" s="9">
        <f>0.2*testdata[[#This Row],[Im]]+0.8*V350</f>
        <v>9.4744650909440011</v>
      </c>
      <c r="W351" s="9">
        <f>IF(AND(testdata[[#This Row],[Re'']]&lt;&gt;0,testdata[[#This Row],[Im'']]&lt;&gt;0),2*PI()/ATAN(testdata[[#This Row],[Im'']]/testdata[[#This Row],[Re'']]),0)</f>
        <v>17.082024839052405</v>
      </c>
      <c r="X351" s="9">
        <f>IF(testdata[[#This Row],[pd-atan]]&gt;1.5*Z350,1.5*Z350,IF(testdata[[#This Row],[pd-atan]]&lt;0.67*Z350,0.67*Z350,testdata[[#This Row],[pd-atan]]))</f>
        <v>17.082024839052405</v>
      </c>
      <c r="Y351" s="9">
        <f>IF(testdata[[#This Row],[pd-limit1]]&lt;6,6,IF(testdata[[#This Row],[pd-limit1]]&gt;50,50,testdata[[#This Row],[pd-limit1]]))</f>
        <v>17.082024839052405</v>
      </c>
      <c r="Z351" s="14">
        <f>0.2*testdata[[#This Row],[pd-limit2]]+0.8*Z350</f>
        <v>19.425381746148162</v>
      </c>
      <c r="AA351" s="14">
        <f>0.33*testdata[[#This Row],[period]]+0.67*AA350</f>
        <v>20.754672579278804</v>
      </c>
      <c r="AB351" s="31">
        <f>TRUNC(testdata[[#This Row],[SmPd]]+0.5,0)</f>
        <v>21</v>
      </c>
      <c r="AC351" s="14">
        <f ca="1">IF(testdata[[#This Row],[PdInt]]&lt;=0,0,AVERAGE(OFFSET(testdata[[#This Row],[price]],0,0,-testdata[[#This Row],[PdInt]],1)))</f>
        <v>259.56619047619046</v>
      </c>
      <c r="AD351" s="14">
        <f ca="1">IF(testdata[[#This Row],[i]]&lt;11,testdata[[#This Row],[price]],(4*testdata[[#This Row],[iTrend]]+3*AC350+2*AC349+AC348)/10)</f>
        <v>259.25600950498773</v>
      </c>
      <c r="AE351" s="14">
        <f>(4*testdata[[#This Row],[price]]+3*H350+2*H349+H348)/10</f>
        <v>263.53100000000001</v>
      </c>
      <c r="AF351" t="str">
        <f ca="1">IF(OR(ROUND(testdata[[#This Row],[Trendline]],4)&lt;&gt;Table3[[#This Row],[Trendline]],ROUND(testdata[[#This Row],[SmPrice]],4)&lt;&gt;Table3[[#This Row],[SmPrice]]),"ERR","")</f>
        <v/>
      </c>
      <c r="AG351" s="3">
        <v>43243</v>
      </c>
      <c r="AH351" s="14">
        <v>20.7547</v>
      </c>
      <c r="AI351" s="34">
        <v>21</v>
      </c>
      <c r="AJ351" s="14">
        <v>259.56619999999998</v>
      </c>
      <c r="AK351" s="14">
        <v>259.25599999999997</v>
      </c>
      <c r="AL351" s="14">
        <v>263.53100000000001</v>
      </c>
      <c r="AN351" s="38">
        <f t="shared" si="16"/>
        <v>0</v>
      </c>
      <c r="AO351" s="38">
        <f t="shared" si="17"/>
        <v>0</v>
      </c>
      <c r="AQ351" s="37">
        <v>43243</v>
      </c>
      <c r="AR351">
        <v>21</v>
      </c>
      <c r="AS351">
        <v>259.25600950498699</v>
      </c>
      <c r="AT351">
        <v>263.53100000000001</v>
      </c>
      <c r="AV351" s="37">
        <v>43243</v>
      </c>
      <c r="AW351">
        <v>21</v>
      </c>
      <c r="AX351">
        <v>259.25600950498699</v>
      </c>
      <c r="AY351">
        <v>263.53100000000001</v>
      </c>
      <c r="BA351" s="38">
        <f>AX351-Table3[[#This Row],[Trendline]]</f>
        <v>9.504987019681721E-6</v>
      </c>
      <c r="BB351" s="38">
        <f>AY351-Table3[[#This Row],[SmPrice]]</f>
        <v>0</v>
      </c>
    </row>
    <row r="352" spans="1:54" x14ac:dyDescent="0.35">
      <c r="A352" s="6">
        <v>350</v>
      </c>
      <c r="B352" s="3">
        <v>43244</v>
      </c>
      <c r="C352" s="2">
        <v>263.89999999999998</v>
      </c>
      <c r="D352" s="2">
        <v>264.2</v>
      </c>
      <c r="E352" s="2">
        <v>261.83999999999997</v>
      </c>
      <c r="F352" s="2">
        <v>263.79000000000002</v>
      </c>
      <c r="G352" s="1">
        <v>78640328</v>
      </c>
      <c r="H352" s="30">
        <f>(testdata[[#This Row],[high]]+testdata[[#This Row],[low]])/2</f>
        <v>263.02</v>
      </c>
      <c r="I352" s="23">
        <f>(4*testdata[[#This Row],[price]]+3*H351+2*H350+H349)/10</f>
        <v>263.37900000000002</v>
      </c>
      <c r="J352" s="9">
        <f>(0.0962*testdata[[#This Row],[smooth]]+0.5769*I350-0.5769*I348-0.0962*I346)*(0.075*$Z351+0.54)</f>
        <v>1.0872586129824922</v>
      </c>
      <c r="K352" s="14">
        <f t="shared" si="15"/>
        <v>0.35451180507851793</v>
      </c>
      <c r="L352" s="14">
        <f>(0.0962*testdata[[#This Row],[detrender]]+0.5769*J350-0.5769*J348-0.0962*J346)*(0.075*$Z351+0.54)</f>
        <v>-1.2699988651653891</v>
      </c>
      <c r="M352" s="9">
        <f>(0.0962*testdata[[#This Row],[I1]]+0.5769*K350-0.5769*K348-0.0962*K346)*(0.075*$Z351+0.54)</f>
        <v>-4.2752509620925689</v>
      </c>
      <c r="N352" s="9">
        <f>(0.0962*testdata[[#This Row],[Q1]]+0.5769*L350-0.5769*L348-0.0962*L346)*(0.075*$Z351+0.54)</f>
        <v>-7.2382506738042558</v>
      </c>
      <c r="O352" s="9">
        <f>testdata[[#This Row],[I1]]-testdata[[#This Row],[JQ]]</f>
        <v>7.5927624788827739</v>
      </c>
      <c r="P352" s="9">
        <f>testdata[[#This Row],[Q1]]+testdata[[#This Row],[jI]]</f>
        <v>-5.5452498272579582</v>
      </c>
      <c r="Q352" s="9">
        <f>0.2*testdata[[#This Row],[I2]]+0.8*Q351</f>
        <v>6.4901254834800719</v>
      </c>
      <c r="R352" s="9">
        <f>0.2*testdata[[#This Row],[Q2]]+0.8*R351</f>
        <v>-0.62208519172595522</v>
      </c>
      <c r="S352" s="9">
        <f>testdata[[#This Row],[I2'']]*Q351+testdata[[#This Row],[Q2'']]*R351</f>
        <v>39.953998707311065</v>
      </c>
      <c r="T352" s="9">
        <f>testdata[[#This Row],[I2'']]*R351-testdata[[#This Row],[Q2'']]*Q351</f>
        <v>7.8165055284362284</v>
      </c>
      <c r="U352" s="9">
        <f>0.2*testdata[[#This Row],[Re]]+0.8*U351</f>
        <v>27.659487866016491</v>
      </c>
      <c r="V352" s="9">
        <f>0.2*testdata[[#This Row],[Im]]+0.8*V351</f>
        <v>9.1428731784424464</v>
      </c>
      <c r="W352" s="9">
        <f>IF(AND(testdata[[#This Row],[Re'']]&lt;&gt;0,testdata[[#This Row],[Im'']]&lt;&gt;0),2*PI()/ATAN(testdata[[#This Row],[Im'']]/testdata[[#This Row],[Re'']]),0)</f>
        <v>19.681425217278594</v>
      </c>
      <c r="X352" s="9">
        <f>IF(testdata[[#This Row],[pd-atan]]&gt;1.5*Z351,1.5*Z351,IF(testdata[[#This Row],[pd-atan]]&lt;0.67*Z351,0.67*Z351,testdata[[#This Row],[pd-atan]]))</f>
        <v>19.681425217278594</v>
      </c>
      <c r="Y352" s="9">
        <f>IF(testdata[[#This Row],[pd-limit1]]&lt;6,6,IF(testdata[[#This Row],[pd-limit1]]&gt;50,50,testdata[[#This Row],[pd-limit1]]))</f>
        <v>19.681425217278594</v>
      </c>
      <c r="Z352" s="14">
        <f>0.2*testdata[[#This Row],[pd-limit2]]+0.8*Z351</f>
        <v>19.476590440374249</v>
      </c>
      <c r="AA352" s="14">
        <f>0.33*testdata[[#This Row],[period]]+0.67*AA351</f>
        <v>20.332905473440302</v>
      </c>
      <c r="AB352" s="31">
        <f>TRUNC(testdata[[#This Row],[SmPd]]+0.5,0)</f>
        <v>20</v>
      </c>
      <c r="AC352" s="14">
        <f ca="1">IF(testdata[[#This Row],[PdInt]]&lt;=0,0,AVERAGE(OFFSET(testdata[[#This Row],[price]],0,0,-testdata[[#This Row],[PdInt]],1)))</f>
        <v>260.15474999999998</v>
      </c>
      <c r="AD352" s="14">
        <f ca="1">IF(testdata[[#This Row],[i]]&lt;11,testdata[[#This Row],[price]],(4*testdata[[#This Row],[iTrend]]+3*AC351+2*AC350+AC349)/10)</f>
        <v>259.66483073593071</v>
      </c>
      <c r="AE352" s="14">
        <f>(4*testdata[[#This Row],[price]]+3*H351+2*H350+H349)/10</f>
        <v>263.37900000000002</v>
      </c>
      <c r="AF352" t="str">
        <f ca="1">IF(OR(ROUND(testdata[[#This Row],[Trendline]],4)&lt;&gt;Table3[[#This Row],[Trendline]],ROUND(testdata[[#This Row],[SmPrice]],4)&lt;&gt;Table3[[#This Row],[SmPrice]]),"ERR","")</f>
        <v/>
      </c>
      <c r="AG352" s="3">
        <v>43244</v>
      </c>
      <c r="AH352" s="14">
        <v>20.332899999999999</v>
      </c>
      <c r="AI352" s="34">
        <v>20</v>
      </c>
      <c r="AJ352" s="14">
        <v>260.15469999999999</v>
      </c>
      <c r="AK352" s="14">
        <v>259.66480000000001</v>
      </c>
      <c r="AL352" s="14">
        <v>263.37900000000002</v>
      </c>
      <c r="AN352" s="38">
        <f t="shared" si="16"/>
        <v>0</v>
      </c>
      <c r="AO352" s="38">
        <f t="shared" si="17"/>
        <v>0</v>
      </c>
      <c r="AQ352" s="37">
        <v>43244</v>
      </c>
      <c r="AR352">
        <v>20</v>
      </c>
      <c r="AS352">
        <v>259.66483073593002</v>
      </c>
      <c r="AT352">
        <v>263.37900000000002</v>
      </c>
      <c r="AV352" s="37">
        <v>43244</v>
      </c>
      <c r="AW352">
        <v>20</v>
      </c>
      <c r="AX352">
        <v>259.66483073593002</v>
      </c>
      <c r="AY352">
        <v>263.37900000000002</v>
      </c>
      <c r="BA352" s="38">
        <f>AX352-Table3[[#This Row],[Trendline]]</f>
        <v>3.0735930010905577E-5</v>
      </c>
      <c r="BB352" s="38">
        <f>AY352-Table3[[#This Row],[SmPrice]]</f>
        <v>0</v>
      </c>
    </row>
    <row r="353" spans="1:54" x14ac:dyDescent="0.35">
      <c r="A353" s="6">
        <v>351</v>
      </c>
      <c r="B353" s="3">
        <v>43245</v>
      </c>
      <c r="C353" s="2">
        <v>263.16000000000003</v>
      </c>
      <c r="D353" s="2">
        <v>263.85000000000002</v>
      </c>
      <c r="E353" s="2">
        <v>262.61</v>
      </c>
      <c r="F353" s="2">
        <v>263.16000000000003</v>
      </c>
      <c r="G353" s="1">
        <v>58299660</v>
      </c>
      <c r="H353" s="30">
        <f>(testdata[[#This Row],[high]]+testdata[[#This Row],[low]])/2</f>
        <v>263.23</v>
      </c>
      <c r="I353" s="23">
        <f>(4*testdata[[#This Row],[price]]+3*H352+2*H351+H350)/10</f>
        <v>263.26049999999998</v>
      </c>
      <c r="J353" s="9">
        <f>(0.0962*testdata[[#This Row],[smooth]]+0.5769*I351-0.5769*I349-0.0962*I347)*(0.075*$Z352+0.54)</f>
        <v>0.49423265606844047</v>
      </c>
      <c r="K353" s="14">
        <f t="shared" si="15"/>
        <v>-0.11882569989984654</v>
      </c>
      <c r="L353" s="14">
        <f>(0.0962*testdata[[#This Row],[detrender]]+0.5769*J351-0.5769*J349-0.0962*J347)*(0.075*$Z352+0.54)</f>
        <v>-0.42708689861475563</v>
      </c>
      <c r="M353" s="9">
        <f>(0.0962*testdata[[#This Row],[I1]]+0.5769*K351-0.5769*K349-0.0962*K347)*(0.075*$Z352+0.54)</f>
        <v>-6.741328995077863</v>
      </c>
      <c r="N353" s="9">
        <f>(0.0962*testdata[[#This Row],[Q1]]+0.5769*L351-0.5769*L349-0.0962*L347)*(0.075*$Z352+0.54)</f>
        <v>0.61851701066265208</v>
      </c>
      <c r="O353" s="9">
        <f>testdata[[#This Row],[I1]]-testdata[[#This Row],[JQ]]</f>
        <v>-0.73734271056249856</v>
      </c>
      <c r="P353" s="9">
        <f>testdata[[#This Row],[Q1]]+testdata[[#This Row],[jI]]</f>
        <v>-7.168415893692619</v>
      </c>
      <c r="Q353" s="9">
        <f>0.2*testdata[[#This Row],[I2]]+0.8*Q352</f>
        <v>5.0446318446715583</v>
      </c>
      <c r="R353" s="9">
        <f>0.2*testdata[[#This Row],[Q2]]+0.8*R352</f>
        <v>-1.9313513321192879</v>
      </c>
      <c r="S353" s="9">
        <f>testdata[[#This Row],[I2'']]*Q352+testdata[[#This Row],[Q2'']]*R352</f>
        <v>33.94175875360957</v>
      </c>
      <c r="T353" s="9">
        <f>testdata[[#This Row],[I2'']]*R352-testdata[[#This Row],[Q2'']]*Q352</f>
        <v>9.3965217298612096</v>
      </c>
      <c r="U353" s="9">
        <f>0.2*testdata[[#This Row],[Re]]+0.8*U352</f>
        <v>28.915942043535111</v>
      </c>
      <c r="V353" s="9">
        <f>0.2*testdata[[#This Row],[Im]]+0.8*V352</f>
        <v>9.1936028887261987</v>
      </c>
      <c r="W353" s="9">
        <f>IF(AND(testdata[[#This Row],[Re'']]&lt;&gt;0,testdata[[#This Row],[Im'']]&lt;&gt;0),2*PI()/ATAN(testdata[[#This Row],[Im'']]/testdata[[#This Row],[Re'']]),0)</f>
        <v>20.410865293842988</v>
      </c>
      <c r="X353" s="9">
        <f>IF(testdata[[#This Row],[pd-atan]]&gt;1.5*Z352,1.5*Z352,IF(testdata[[#This Row],[pd-atan]]&lt;0.67*Z352,0.67*Z352,testdata[[#This Row],[pd-atan]]))</f>
        <v>20.410865293842988</v>
      </c>
      <c r="Y353" s="9">
        <f>IF(testdata[[#This Row],[pd-limit1]]&lt;6,6,IF(testdata[[#This Row],[pd-limit1]]&gt;50,50,testdata[[#This Row],[pd-limit1]]))</f>
        <v>20.410865293842988</v>
      </c>
      <c r="Z353" s="14">
        <f>0.2*testdata[[#This Row],[pd-limit2]]+0.8*Z352</f>
        <v>19.663445411067997</v>
      </c>
      <c r="AA353" s="14">
        <f>0.33*testdata[[#This Row],[period]]+0.67*AA352</f>
        <v>20.111983652857443</v>
      </c>
      <c r="AB353" s="31">
        <f>TRUNC(testdata[[#This Row],[SmPd]]+0.5,0)</f>
        <v>20</v>
      </c>
      <c r="AC353" s="14">
        <f ca="1">IF(testdata[[#This Row],[PdInt]]&lt;=0,0,AVERAGE(OFFSET(testdata[[#This Row],[price]],0,0,-testdata[[#This Row],[PdInt]],1)))</f>
        <v>260.43525</v>
      </c>
      <c r="AD353" s="14">
        <f ca="1">IF(testdata[[#This Row],[i]]&lt;11,testdata[[#This Row],[price]],(4*testdata[[#This Row],[iTrend]]+3*AC352+2*AC351+AC350)/10)</f>
        <v>260.05557261904761</v>
      </c>
      <c r="AE353" s="14">
        <f>(4*testdata[[#This Row],[price]]+3*H352+2*H351+H350)/10</f>
        <v>263.26049999999998</v>
      </c>
      <c r="AF353" t="str">
        <f ca="1">IF(OR(ROUND(testdata[[#This Row],[Trendline]],4)&lt;&gt;Table3[[#This Row],[Trendline]],ROUND(testdata[[#This Row],[SmPrice]],4)&lt;&gt;Table3[[#This Row],[SmPrice]]),"ERR","")</f>
        <v/>
      </c>
      <c r="AG353" s="3">
        <v>43245</v>
      </c>
      <c r="AH353" s="14">
        <v>20.111999999999998</v>
      </c>
      <c r="AI353" s="34">
        <v>20</v>
      </c>
      <c r="AJ353" s="14">
        <v>260.43520000000001</v>
      </c>
      <c r="AK353" s="14">
        <v>260.05560000000003</v>
      </c>
      <c r="AL353" s="14">
        <v>263.26049999999998</v>
      </c>
      <c r="AN353" s="38">
        <f t="shared" si="16"/>
        <v>0</v>
      </c>
      <c r="AO353" s="38">
        <f t="shared" si="17"/>
        <v>0</v>
      </c>
      <c r="AQ353" s="37">
        <v>43245</v>
      </c>
      <c r="AR353">
        <v>20</v>
      </c>
      <c r="AS353">
        <v>260.05557261904698</v>
      </c>
      <c r="AT353">
        <v>263.26049999999998</v>
      </c>
      <c r="AV353" s="37">
        <v>43245</v>
      </c>
      <c r="AW353">
        <v>20</v>
      </c>
      <c r="AX353">
        <v>260.05557261904698</v>
      </c>
      <c r="AY353">
        <v>263.26049999999998</v>
      </c>
      <c r="BA353" s="38">
        <f>AX353-Table3[[#This Row],[Trendline]]</f>
        <v>-2.7380953042666079E-5</v>
      </c>
      <c r="BB353" s="38">
        <f>AY353-Table3[[#This Row],[SmPrice]]</f>
        <v>0</v>
      </c>
    </row>
    <row r="354" spans="1:54" x14ac:dyDescent="0.35">
      <c r="A354" s="6">
        <v>352</v>
      </c>
      <c r="B354" s="3">
        <v>43249</v>
      </c>
      <c r="C354" s="2">
        <v>261.39</v>
      </c>
      <c r="D354" s="2">
        <v>262.22000000000003</v>
      </c>
      <c r="E354" s="2">
        <v>258.92</v>
      </c>
      <c r="F354" s="2">
        <v>260.14</v>
      </c>
      <c r="G354" s="1">
        <v>119866288</v>
      </c>
      <c r="H354" s="30">
        <f>(testdata[[#This Row],[high]]+testdata[[#This Row],[low]])/2</f>
        <v>260.57000000000005</v>
      </c>
      <c r="I354" s="23">
        <f>(4*testdata[[#This Row],[price]]+3*H353+2*H352+H351)/10</f>
        <v>262.12099999999998</v>
      </c>
      <c r="J354" s="9">
        <f>(0.0962*testdata[[#This Row],[smooth]]+0.5769*I352-0.5769*I350-0.0962*I348)*(0.075*$Z353+0.54)</f>
        <v>-0.38963160965546945</v>
      </c>
      <c r="K354" s="14">
        <f t="shared" si="15"/>
        <v>0.34797277402039911</v>
      </c>
      <c r="L354" s="14">
        <f>(0.0962*testdata[[#This Row],[detrender]]+0.5769*J352-0.5769*J350-0.0962*J348)*(0.075*$Z353+0.54)</f>
        <v>1.266624473634222</v>
      </c>
      <c r="M354" s="9">
        <f>(0.0962*testdata[[#This Row],[I1]]+0.5769*K352-0.5769*K350-0.0962*K348)*(0.075*$Z353+0.54)</f>
        <v>-3.736264811394864</v>
      </c>
      <c r="N354" s="9">
        <f>(0.0962*testdata[[#This Row],[Q1]]+0.5769*L352-0.5769*L350-0.0962*L348)*(0.075*$Z353+0.54)</f>
        <v>7.4315006387526461</v>
      </c>
      <c r="O354" s="9">
        <f>testdata[[#This Row],[I1]]-testdata[[#This Row],[JQ]]</f>
        <v>-7.0835278647322468</v>
      </c>
      <c r="P354" s="9">
        <f>testdata[[#This Row],[Q1]]+testdata[[#This Row],[jI]]</f>
        <v>-2.4696403377606417</v>
      </c>
      <c r="Q354" s="9">
        <f>0.2*testdata[[#This Row],[I2]]+0.8*Q353</f>
        <v>2.6189999027907973</v>
      </c>
      <c r="R354" s="9">
        <f>0.2*testdata[[#This Row],[Q2]]+0.8*R353</f>
        <v>-2.0390091332475588</v>
      </c>
      <c r="S354" s="9">
        <f>testdata[[#This Row],[I2'']]*Q353+testdata[[#This Row],[Q2'']]*R353</f>
        <v>17.149933316511241</v>
      </c>
      <c r="T354" s="9">
        <f>testdata[[#This Row],[I2'']]*R353-testdata[[#This Row],[Q2'']]*Q353</f>
        <v>5.2278414540814957</v>
      </c>
      <c r="U354" s="9">
        <f>0.2*testdata[[#This Row],[Re]]+0.8*U353</f>
        <v>26.56274029813034</v>
      </c>
      <c r="V354" s="9">
        <f>0.2*testdata[[#This Row],[Im]]+0.8*V353</f>
        <v>8.4004506017972584</v>
      </c>
      <c r="W354" s="9">
        <f>IF(AND(testdata[[#This Row],[Re'']]&lt;&gt;0,testdata[[#This Row],[Im'']]&lt;&gt;0),2*PI()/ATAN(testdata[[#This Row],[Im'']]/testdata[[#This Row],[Re'']]),0)</f>
        <v>20.513373028463587</v>
      </c>
      <c r="X354" s="9">
        <f>IF(testdata[[#This Row],[pd-atan]]&gt;1.5*Z353,1.5*Z353,IF(testdata[[#This Row],[pd-atan]]&lt;0.67*Z353,0.67*Z353,testdata[[#This Row],[pd-atan]]))</f>
        <v>20.513373028463587</v>
      </c>
      <c r="Y354" s="9">
        <f>IF(testdata[[#This Row],[pd-limit1]]&lt;6,6,IF(testdata[[#This Row],[pd-limit1]]&gt;50,50,testdata[[#This Row],[pd-limit1]]))</f>
        <v>20.513373028463587</v>
      </c>
      <c r="Z354" s="14">
        <f>0.2*testdata[[#This Row],[pd-limit2]]+0.8*Z353</f>
        <v>19.833430934547117</v>
      </c>
      <c r="AA354" s="14">
        <f>0.33*testdata[[#This Row],[period]]+0.67*AA353</f>
        <v>20.020061255815037</v>
      </c>
      <c r="AB354" s="31">
        <f>TRUNC(testdata[[#This Row],[SmPd]]+0.5,0)</f>
        <v>20</v>
      </c>
      <c r="AC354" s="14">
        <f ca="1">IF(testdata[[#This Row],[PdInt]]&lt;=0,0,AVERAGE(OFFSET(testdata[[#This Row],[price]],0,0,-testdata[[#This Row],[PdInt]],1)))</f>
        <v>260.59524999999996</v>
      </c>
      <c r="AD354" s="14">
        <f ca="1">IF(testdata[[#This Row],[i]]&lt;11,testdata[[#This Row],[price]],(4*testdata[[#This Row],[iTrend]]+3*AC353+2*AC352+AC351)/10)</f>
        <v>260.35624404761904</v>
      </c>
      <c r="AE354" s="14">
        <f>(4*testdata[[#This Row],[price]]+3*H353+2*H352+H351)/10</f>
        <v>262.12099999999998</v>
      </c>
      <c r="AF354" t="str">
        <f ca="1">IF(OR(ROUND(testdata[[#This Row],[Trendline]],4)&lt;&gt;Table3[[#This Row],[Trendline]],ROUND(testdata[[#This Row],[SmPrice]],4)&lt;&gt;Table3[[#This Row],[SmPrice]]),"ERR","")</f>
        <v/>
      </c>
      <c r="AG354" s="3">
        <v>43249</v>
      </c>
      <c r="AH354" s="14">
        <v>20.020099999999999</v>
      </c>
      <c r="AI354" s="34">
        <v>20</v>
      </c>
      <c r="AJ354" s="14">
        <v>260.59519999999998</v>
      </c>
      <c r="AK354" s="14">
        <v>260.3562</v>
      </c>
      <c r="AL354" s="14">
        <v>262.12099999999998</v>
      </c>
      <c r="AN354" s="38">
        <f t="shared" si="16"/>
        <v>0</v>
      </c>
      <c r="AO354" s="38">
        <f t="shared" si="17"/>
        <v>0</v>
      </c>
      <c r="AQ354" s="37">
        <v>43249</v>
      </c>
      <c r="AR354">
        <v>20</v>
      </c>
      <c r="AS354">
        <v>260.35624404761899</v>
      </c>
      <c r="AT354">
        <v>262.12099999999998</v>
      </c>
      <c r="AV354" s="37">
        <v>43249</v>
      </c>
      <c r="AW354">
        <v>20</v>
      </c>
      <c r="AX354">
        <v>260.35624404761899</v>
      </c>
      <c r="AY354">
        <v>262.12099999999998</v>
      </c>
      <c r="BA354" s="38">
        <f>AX354-Table3[[#This Row],[Trendline]]</f>
        <v>4.4047618985132431E-5</v>
      </c>
      <c r="BB354" s="38">
        <f>AY354-Table3[[#This Row],[SmPrice]]</f>
        <v>0</v>
      </c>
    </row>
    <row r="355" spans="1:54" x14ac:dyDescent="0.35">
      <c r="A355" s="6">
        <v>353</v>
      </c>
      <c r="B355" s="3">
        <v>43250</v>
      </c>
      <c r="C355" s="2">
        <v>261.57</v>
      </c>
      <c r="D355" s="2">
        <v>264.08999999999997</v>
      </c>
      <c r="E355" s="2">
        <v>261.49</v>
      </c>
      <c r="F355" s="2">
        <v>263.61</v>
      </c>
      <c r="G355" s="1">
        <v>72057608</v>
      </c>
      <c r="H355" s="30">
        <f>(testdata[[#This Row],[high]]+testdata[[#This Row],[low]])/2</f>
        <v>262.78999999999996</v>
      </c>
      <c r="I355" s="23">
        <f>(4*testdata[[#This Row],[price]]+3*H354+2*H353+H352)/10</f>
        <v>262.23500000000001</v>
      </c>
      <c r="J355" s="9">
        <f>(0.0962*testdata[[#This Row],[smooth]]+0.5769*I353-0.5769*I351-0.0962*I349)*(0.075*$Z354+0.54)</f>
        <v>-0.495447872634801</v>
      </c>
      <c r="K355" s="14">
        <f t="shared" si="15"/>
        <v>1.0872586129824922</v>
      </c>
      <c r="L355" s="14">
        <f>(0.0962*testdata[[#This Row],[detrender]]+0.5769*J353-0.5769*J351-0.0962*J349)*(0.075*$Z354+0.54)</f>
        <v>5.294237165576616E-3</v>
      </c>
      <c r="M355" s="9">
        <f>(0.0962*testdata[[#This Row],[I1]]+0.5769*K353-0.5769*K351-0.0962*K349)*(0.075*$Z354+0.54)</f>
        <v>-1.289462323422595</v>
      </c>
      <c r="N355" s="9">
        <f>(0.0962*testdata[[#This Row],[Q1]]+0.5769*L353-0.5769*L351-0.0962*L349)*(0.075*$Z354+0.54)</f>
        <v>4.8464924065927972</v>
      </c>
      <c r="O355" s="9">
        <f>testdata[[#This Row],[I1]]-testdata[[#This Row],[JQ]]</f>
        <v>-3.7592337936103051</v>
      </c>
      <c r="P355" s="9">
        <f>testdata[[#This Row],[Q1]]+testdata[[#This Row],[jI]]</f>
        <v>-1.2841680862570184</v>
      </c>
      <c r="Q355" s="9">
        <f>0.2*testdata[[#This Row],[I2]]+0.8*Q354</f>
        <v>1.3433531635105767</v>
      </c>
      <c r="R355" s="9">
        <f>0.2*testdata[[#This Row],[Q2]]+0.8*R354</f>
        <v>-1.8880409238494509</v>
      </c>
      <c r="S355" s="9">
        <f>testdata[[#This Row],[I2'']]*Q354+testdata[[#This Row],[Q2'']]*R354</f>
        <v>7.3679744923220998</v>
      </c>
      <c r="T355" s="9">
        <f>testdata[[#This Row],[I2'']]*R354-testdata[[#This Row],[Q2'']]*Q354</f>
        <v>2.2056696264516922</v>
      </c>
      <c r="U355" s="9">
        <f>0.2*testdata[[#This Row],[Re]]+0.8*U354</f>
        <v>22.723787136968692</v>
      </c>
      <c r="V355" s="9">
        <f>0.2*testdata[[#This Row],[Im]]+0.8*V354</f>
        <v>7.1614944067281456</v>
      </c>
      <c r="W355" s="9">
        <f>IF(AND(testdata[[#This Row],[Re'']]&lt;&gt;0,testdata[[#This Row],[Im'']]&lt;&gt;0),2*PI()/ATAN(testdata[[#This Row],[Im'']]/testdata[[#This Row],[Re'']]),0)</f>
        <v>20.580297374143168</v>
      </c>
      <c r="X355" s="9">
        <f>IF(testdata[[#This Row],[pd-atan]]&gt;1.5*Z354,1.5*Z354,IF(testdata[[#This Row],[pd-atan]]&lt;0.67*Z354,0.67*Z354,testdata[[#This Row],[pd-atan]]))</f>
        <v>20.580297374143168</v>
      </c>
      <c r="Y355" s="9">
        <f>IF(testdata[[#This Row],[pd-limit1]]&lt;6,6,IF(testdata[[#This Row],[pd-limit1]]&gt;50,50,testdata[[#This Row],[pd-limit1]]))</f>
        <v>20.580297374143168</v>
      </c>
      <c r="Z355" s="14">
        <f>0.2*testdata[[#This Row],[pd-limit2]]+0.8*Z354</f>
        <v>19.982804222466328</v>
      </c>
      <c r="AA355" s="14">
        <f>0.33*testdata[[#This Row],[period]]+0.67*AA354</f>
        <v>20.007766434809962</v>
      </c>
      <c r="AB355" s="31">
        <f>TRUNC(testdata[[#This Row],[SmPd]]+0.5,0)</f>
        <v>20</v>
      </c>
      <c r="AC355" s="14">
        <f ca="1">IF(testdata[[#This Row],[PdInt]]&lt;=0,0,AVERAGE(OFFSET(testdata[[#This Row],[price]],0,0,-testdata[[#This Row],[PdInt]],1)))</f>
        <v>260.98949999999991</v>
      </c>
      <c r="AD355" s="14">
        <f ca="1">IF(testdata[[#This Row],[i]]&lt;11,testdata[[#This Row],[price]],(4*testdata[[#This Row],[iTrend]]+3*AC354+2*AC353+AC352)/10)</f>
        <v>260.67689999999999</v>
      </c>
      <c r="AE355" s="14">
        <f>(4*testdata[[#This Row],[price]]+3*H354+2*H353+H352)/10</f>
        <v>262.23500000000001</v>
      </c>
      <c r="AF355" t="str">
        <f ca="1">IF(OR(ROUND(testdata[[#This Row],[Trendline]],4)&lt;&gt;Table3[[#This Row],[Trendline]],ROUND(testdata[[#This Row],[SmPrice]],4)&lt;&gt;Table3[[#This Row],[SmPrice]]),"ERR","")</f>
        <v/>
      </c>
      <c r="AG355" s="3">
        <v>43250</v>
      </c>
      <c r="AH355" s="14">
        <v>20.0078</v>
      </c>
      <c r="AI355" s="34">
        <v>20</v>
      </c>
      <c r="AJ355" s="14">
        <v>260.98950000000002</v>
      </c>
      <c r="AK355" s="14">
        <v>260.67689999999999</v>
      </c>
      <c r="AL355" s="14">
        <v>262.23500000000001</v>
      </c>
      <c r="AN355" s="38">
        <f t="shared" si="16"/>
        <v>0</v>
      </c>
      <c r="AO355" s="38">
        <f t="shared" si="17"/>
        <v>0</v>
      </c>
      <c r="AQ355" s="37">
        <v>43250</v>
      </c>
      <c r="AR355">
        <v>20</v>
      </c>
      <c r="AS355">
        <v>260.67689999999999</v>
      </c>
      <c r="AT355">
        <v>262.23500000000001</v>
      </c>
      <c r="AV355" s="37">
        <v>43250</v>
      </c>
      <c r="AW355">
        <v>20</v>
      </c>
      <c r="AX355">
        <v>260.67689999999999</v>
      </c>
      <c r="AY355">
        <v>262.23500000000001</v>
      </c>
      <c r="BA355" s="38">
        <f>AX355-Table3[[#This Row],[Trendline]]</f>
        <v>0</v>
      </c>
      <c r="BB355" s="38">
        <f>AY355-Table3[[#This Row],[SmPrice]]</f>
        <v>0</v>
      </c>
    </row>
    <row r="356" spans="1:54" x14ac:dyDescent="0.35">
      <c r="A356" s="6">
        <v>354</v>
      </c>
      <c r="B356" s="3">
        <v>43251</v>
      </c>
      <c r="C356" s="2">
        <v>263.16000000000003</v>
      </c>
      <c r="D356" s="2">
        <v>263.49</v>
      </c>
      <c r="E356" s="2">
        <v>261.33</v>
      </c>
      <c r="F356" s="2">
        <v>261.99</v>
      </c>
      <c r="G356" s="1">
        <v>96713160</v>
      </c>
      <c r="H356" s="30">
        <f>(testdata[[#This Row],[high]]+testdata[[#This Row],[low]])/2</f>
        <v>262.40999999999997</v>
      </c>
      <c r="I356" s="23">
        <f>(4*testdata[[#This Row],[price]]+3*H355+2*H354+H353)/10</f>
        <v>262.23799999999994</v>
      </c>
      <c r="J356" s="9">
        <f>(0.0962*testdata[[#This Row],[smooth]]+0.5769*I354-0.5769*I352-0.0962*I350)*(0.075*$Z355+0.54)</f>
        <v>-1.748754130281468</v>
      </c>
      <c r="K356" s="14">
        <f t="shared" si="15"/>
        <v>0.49423265606844047</v>
      </c>
      <c r="L356" s="14">
        <f>(0.0962*testdata[[#This Row],[detrender]]+0.5769*J354-0.5769*J352-0.0962*J350)*(0.075*$Z355+0.54)</f>
        <v>-2.0566857977010873</v>
      </c>
      <c r="M356" s="9">
        <f>(0.0962*testdata[[#This Row],[I1]]+0.5769*K354-0.5769*K352-0.0962*K350)*(0.075*$Z355+0.54)</f>
        <v>-0.43519128042145538</v>
      </c>
      <c r="N356" s="9">
        <f>(0.0962*testdata[[#This Row],[Q1]]+0.5769*L354-0.5769*L352-0.0962*L350)*(0.075*$Z355+0.54)</f>
        <v>3.9826556358030927</v>
      </c>
      <c r="O356" s="9">
        <f>testdata[[#This Row],[I1]]-testdata[[#This Row],[JQ]]</f>
        <v>-3.4884229797346524</v>
      </c>
      <c r="P356" s="9">
        <f>testdata[[#This Row],[Q1]]+testdata[[#This Row],[jI]]</f>
        <v>-2.4918770781225428</v>
      </c>
      <c r="Q356" s="9">
        <f>0.2*testdata[[#This Row],[I2]]+0.8*Q355</f>
        <v>0.37699793486153077</v>
      </c>
      <c r="R356" s="9">
        <f>0.2*testdata[[#This Row],[Q2]]+0.8*R355</f>
        <v>-2.0088081547040693</v>
      </c>
      <c r="S356" s="9">
        <f>testdata[[#This Row],[I2'']]*Q355+testdata[[#This Row],[Q2'']]*R355</f>
        <v>4.2991533726769733</v>
      </c>
      <c r="T356" s="9">
        <f>testdata[[#This Row],[I2'']]*R355-testdata[[#This Row],[Q2'']]*Q355</f>
        <v>1.9867512602822557</v>
      </c>
      <c r="U356" s="9">
        <f>0.2*testdata[[#This Row],[Re]]+0.8*U355</f>
        <v>19.03886038411035</v>
      </c>
      <c r="V356" s="9">
        <f>0.2*testdata[[#This Row],[Im]]+0.8*V355</f>
        <v>6.1265457774389684</v>
      </c>
      <c r="W356" s="9">
        <f>IF(AND(testdata[[#This Row],[Re'']]&lt;&gt;0,testdata[[#This Row],[Im'']]&lt;&gt;0),2*PI()/ATAN(testdata[[#This Row],[Im'']]/testdata[[#This Row],[Re'']]),0)</f>
        <v>20.181928471752116</v>
      </c>
      <c r="X356" s="9">
        <f>IF(testdata[[#This Row],[pd-atan]]&gt;1.5*Z355,1.5*Z355,IF(testdata[[#This Row],[pd-atan]]&lt;0.67*Z355,0.67*Z355,testdata[[#This Row],[pd-atan]]))</f>
        <v>20.181928471752116</v>
      </c>
      <c r="Y356" s="9">
        <f>IF(testdata[[#This Row],[pd-limit1]]&lt;6,6,IF(testdata[[#This Row],[pd-limit1]]&gt;50,50,testdata[[#This Row],[pd-limit1]]))</f>
        <v>20.181928471752116</v>
      </c>
      <c r="Z356" s="14">
        <f>0.2*testdata[[#This Row],[pd-limit2]]+0.8*Z355</f>
        <v>20.022629072323486</v>
      </c>
      <c r="AA356" s="14">
        <f>0.33*testdata[[#This Row],[period]]+0.67*AA355</f>
        <v>20.012671105189426</v>
      </c>
      <c r="AB356" s="31">
        <f>TRUNC(testdata[[#This Row],[SmPd]]+0.5,0)</f>
        <v>20</v>
      </c>
      <c r="AC356" s="14">
        <f ca="1">IF(testdata[[#This Row],[PdInt]]&lt;=0,0,AVERAGE(OFFSET(testdata[[#This Row],[price]],0,0,-testdata[[#This Row],[PdInt]],1)))</f>
        <v>261.33524999999997</v>
      </c>
      <c r="AD356" s="14">
        <f ca="1">IF(testdata[[#This Row],[i]]&lt;11,testdata[[#This Row],[price]],(4*testdata[[#This Row],[iTrend]]+3*AC355+2*AC354+AC353)/10)</f>
        <v>260.99352499999998</v>
      </c>
      <c r="AE356" s="14">
        <f>(4*testdata[[#This Row],[price]]+3*H355+2*H354+H353)/10</f>
        <v>262.23799999999994</v>
      </c>
      <c r="AF356" t="str">
        <f ca="1">IF(OR(ROUND(testdata[[#This Row],[Trendline]],4)&lt;&gt;Table3[[#This Row],[Trendline]],ROUND(testdata[[#This Row],[SmPrice]],4)&lt;&gt;Table3[[#This Row],[SmPrice]]),"ERR","")</f>
        <v/>
      </c>
      <c r="AG356" s="3">
        <v>43251</v>
      </c>
      <c r="AH356" s="14">
        <v>20.012699999999999</v>
      </c>
      <c r="AI356" s="34">
        <v>20</v>
      </c>
      <c r="AJ356" s="14">
        <v>261.33519999999999</v>
      </c>
      <c r="AK356" s="14">
        <v>260.99349999999998</v>
      </c>
      <c r="AL356" s="14">
        <v>262.238</v>
      </c>
      <c r="AN356" s="38">
        <f t="shared" si="16"/>
        <v>0</v>
      </c>
      <c r="AO356" s="38">
        <f t="shared" si="17"/>
        <v>0</v>
      </c>
      <c r="AQ356" s="37">
        <v>43251</v>
      </c>
      <c r="AR356">
        <v>20</v>
      </c>
      <c r="AS356">
        <v>260.99352499999998</v>
      </c>
      <c r="AT356">
        <v>262.238</v>
      </c>
      <c r="AV356" s="37">
        <v>43251</v>
      </c>
      <c r="AW356">
        <v>20</v>
      </c>
      <c r="AX356">
        <v>260.99352499999998</v>
      </c>
      <c r="AY356">
        <v>262.238</v>
      </c>
      <c r="BA356" s="38">
        <f>AX356-Table3[[#This Row],[Trendline]]</f>
        <v>2.4999999993724487E-5</v>
      </c>
      <c r="BB356" s="38">
        <f>AY356-Table3[[#This Row],[SmPrice]]</f>
        <v>0</v>
      </c>
    </row>
    <row r="357" spans="1:54" x14ac:dyDescent="0.35">
      <c r="A357" s="6">
        <v>355</v>
      </c>
      <c r="B357" s="3">
        <v>43252</v>
      </c>
      <c r="C357" s="2">
        <v>263.42</v>
      </c>
      <c r="D357" s="2">
        <v>264.89999999999998</v>
      </c>
      <c r="E357" s="2">
        <v>263.33999999999997</v>
      </c>
      <c r="F357" s="2">
        <v>264.57</v>
      </c>
      <c r="G357" s="1">
        <v>73691520</v>
      </c>
      <c r="H357" s="30">
        <f>(testdata[[#This Row],[high]]+testdata[[#This Row],[low]])/2</f>
        <v>264.12</v>
      </c>
      <c r="I357" s="23">
        <f>(4*testdata[[#This Row],[price]]+3*H356+2*H355+H354)/10</f>
        <v>262.98599999999999</v>
      </c>
      <c r="J357" s="9">
        <f>(0.0962*testdata[[#This Row],[smooth]]+0.5769*I355-0.5769*I353-0.0962*I351)*(0.075*$Z356+0.54)</f>
        <v>-1.3149345499955383</v>
      </c>
      <c r="K357" s="14">
        <f t="shared" si="15"/>
        <v>-0.38963160965546945</v>
      </c>
      <c r="L357" s="14">
        <f>(0.0962*testdata[[#This Row],[detrender]]+0.5769*J355-0.5769*J353-0.0962*J351)*(0.075*$Z356+0.54)</f>
        <v>-1.4923139987905847</v>
      </c>
      <c r="M357" s="9">
        <f>(0.0962*testdata[[#This Row],[I1]]+0.5769*K355-0.5769*K353-0.0962*K351)*(0.075*$Z356+0.54)</f>
        <v>1.2835601573826776</v>
      </c>
      <c r="N357" s="9">
        <f>(0.0962*testdata[[#This Row],[Q1]]+0.5769*L355-0.5769*L353-0.0962*L351)*(0.075*$Z356+0.54)</f>
        <v>0.95951994274912811</v>
      </c>
      <c r="O357" s="9">
        <f>testdata[[#This Row],[I1]]-testdata[[#This Row],[JQ]]</f>
        <v>-1.3491515524045976</v>
      </c>
      <c r="P357" s="9">
        <f>testdata[[#This Row],[Q1]]+testdata[[#This Row],[jI]]</f>
        <v>-0.20875384140790709</v>
      </c>
      <c r="Q357" s="9">
        <f>0.2*testdata[[#This Row],[I2]]+0.8*Q356</f>
        <v>3.1768037408305083E-2</v>
      </c>
      <c r="R357" s="9">
        <f>0.2*testdata[[#This Row],[Q2]]+0.8*R356</f>
        <v>-1.6487972920448368</v>
      </c>
      <c r="S357" s="9">
        <f>testdata[[#This Row],[I2'']]*Q356+testdata[[#This Row],[Q2'']]*R356</f>
        <v>3.3240939302111898</v>
      </c>
      <c r="T357" s="9">
        <f>testdata[[#This Row],[I2'']]*R356-testdata[[#This Row],[Q2'']]*Q356</f>
        <v>0.55777728150144057</v>
      </c>
      <c r="U357" s="9">
        <f>0.2*testdata[[#This Row],[Re]]+0.8*U356</f>
        <v>15.89590709333052</v>
      </c>
      <c r="V357" s="9">
        <f>0.2*testdata[[#This Row],[Im]]+0.8*V356</f>
        <v>5.0127920782514632</v>
      </c>
      <c r="W357" s="9">
        <f>IF(AND(testdata[[#This Row],[Re'']]&lt;&gt;0,testdata[[#This Row],[Im'']]&lt;&gt;0),2*PI()/ATAN(testdata[[#This Row],[Im'']]/testdata[[#This Row],[Re'']]),0)</f>
        <v>20.568223337244788</v>
      </c>
      <c r="X357" s="9">
        <f>IF(testdata[[#This Row],[pd-atan]]&gt;1.5*Z356,1.5*Z356,IF(testdata[[#This Row],[pd-atan]]&lt;0.67*Z356,0.67*Z356,testdata[[#This Row],[pd-atan]]))</f>
        <v>20.568223337244788</v>
      </c>
      <c r="Y357" s="9">
        <f>IF(testdata[[#This Row],[pd-limit1]]&lt;6,6,IF(testdata[[#This Row],[pd-limit1]]&gt;50,50,testdata[[#This Row],[pd-limit1]]))</f>
        <v>20.568223337244788</v>
      </c>
      <c r="Z357" s="14">
        <f>0.2*testdata[[#This Row],[pd-limit2]]+0.8*Z356</f>
        <v>20.131747925307749</v>
      </c>
      <c r="AA357" s="14">
        <f>0.33*testdata[[#This Row],[period]]+0.67*AA356</f>
        <v>20.051966455828474</v>
      </c>
      <c r="AB357" s="31">
        <f>TRUNC(testdata[[#This Row],[SmPd]]+0.5,0)</f>
        <v>20</v>
      </c>
      <c r="AC357" s="14">
        <f ca="1">IF(testdata[[#This Row],[PdInt]]&lt;=0,0,AVERAGE(OFFSET(testdata[[#This Row],[price]],0,0,-testdata[[#This Row],[PdInt]],1)))</f>
        <v>261.91224999999997</v>
      </c>
      <c r="AD357" s="14">
        <f ca="1">IF(testdata[[#This Row],[i]]&lt;11,testdata[[#This Row],[price]],(4*testdata[[#This Row],[iTrend]]+3*AC356+2*AC355+AC354)/10)</f>
        <v>261.42289999999991</v>
      </c>
      <c r="AE357" s="14">
        <f>(4*testdata[[#This Row],[price]]+3*H356+2*H355+H354)/10</f>
        <v>262.98599999999999</v>
      </c>
      <c r="AF357" t="str">
        <f ca="1">IF(OR(ROUND(testdata[[#This Row],[Trendline]],4)&lt;&gt;Table3[[#This Row],[Trendline]],ROUND(testdata[[#This Row],[SmPrice]],4)&lt;&gt;Table3[[#This Row],[SmPrice]]),"ERR","")</f>
        <v/>
      </c>
      <c r="AG357" s="3">
        <v>43252</v>
      </c>
      <c r="AH357" s="14">
        <v>20.052</v>
      </c>
      <c r="AI357" s="34">
        <v>20</v>
      </c>
      <c r="AJ357" s="14">
        <v>261.91219999999998</v>
      </c>
      <c r="AK357" s="14">
        <v>261.42290000000003</v>
      </c>
      <c r="AL357" s="14">
        <v>262.98599999999999</v>
      </c>
      <c r="AN357" s="38">
        <f t="shared" si="16"/>
        <v>0</v>
      </c>
      <c r="AO357" s="38">
        <f t="shared" si="17"/>
        <v>0</v>
      </c>
      <c r="AQ357" s="37">
        <v>43252</v>
      </c>
      <c r="AR357">
        <v>20</v>
      </c>
      <c r="AS357">
        <v>261.422899999999</v>
      </c>
      <c r="AT357">
        <v>262.98599999999999</v>
      </c>
      <c r="AV357" s="37">
        <v>43252</v>
      </c>
      <c r="AW357">
        <v>20</v>
      </c>
      <c r="AX357">
        <v>261.422899999999</v>
      </c>
      <c r="AY357">
        <v>262.98599999999999</v>
      </c>
      <c r="BA357" s="38">
        <f>AX357-Table3[[#This Row],[Trendline]]</f>
        <v>-1.0231815394945443E-12</v>
      </c>
      <c r="BB357" s="38">
        <f>AY357-Table3[[#This Row],[SmPrice]]</f>
        <v>0</v>
      </c>
    </row>
    <row r="358" spans="1:54" x14ac:dyDescent="0.35">
      <c r="A358" s="6">
        <v>356</v>
      </c>
      <c r="B358" s="3">
        <v>43255</v>
      </c>
      <c r="C358" s="2">
        <v>265.47000000000003</v>
      </c>
      <c r="D358" s="2">
        <v>266.10000000000002</v>
      </c>
      <c r="E358" s="2">
        <v>265.2</v>
      </c>
      <c r="F358" s="2">
        <v>265.82</v>
      </c>
      <c r="G358" s="1">
        <v>46934832</v>
      </c>
      <c r="H358" s="30">
        <f>(testdata[[#This Row],[high]]+testdata[[#This Row],[low]])/2</f>
        <v>265.64999999999998</v>
      </c>
      <c r="I358" s="23">
        <f>(4*testdata[[#This Row],[price]]+3*H357+2*H356+H355)/10</f>
        <v>264.25699999999995</v>
      </c>
      <c r="J358" s="9">
        <f>(0.0962*testdata[[#This Row],[smooth]]+0.5769*I356-0.5769*I354-0.0962*I352)*(0.075*$Z357+0.54)</f>
        <v>0.31150177599765677</v>
      </c>
      <c r="K358" s="14">
        <f t="shared" si="15"/>
        <v>-0.495447872634801</v>
      </c>
      <c r="L358" s="14">
        <f>(0.0962*testdata[[#This Row],[detrender]]+0.5769*J356-0.5769*J354-0.0962*J352)*(0.075*$Z357+0.54)</f>
        <v>-1.7602443543224793</v>
      </c>
      <c r="M358" s="9">
        <f>(0.0962*testdata[[#This Row],[I1]]+0.5769*K356-0.5769*K354-0.0962*K352)*(0.075*$Z357+0.54)</f>
        <v>5.3526596759650262E-3</v>
      </c>
      <c r="N358" s="9">
        <f>(0.0962*testdata[[#This Row],[Q1]]+0.5769*L356-0.5769*L354-0.0962*L352)*(0.075*$Z357+0.54)</f>
        <v>-4.0267440130555752</v>
      </c>
      <c r="O358" s="9">
        <f>testdata[[#This Row],[I1]]-testdata[[#This Row],[JQ]]</f>
        <v>3.5312961404207743</v>
      </c>
      <c r="P358" s="9">
        <f>testdata[[#This Row],[Q1]]+testdata[[#This Row],[jI]]</f>
        <v>-1.7548916946465143</v>
      </c>
      <c r="Q358" s="9">
        <f>0.2*testdata[[#This Row],[I2]]+0.8*Q357</f>
        <v>0.73167365801079898</v>
      </c>
      <c r="R358" s="9">
        <f>0.2*testdata[[#This Row],[Q2]]+0.8*R357</f>
        <v>-1.6700161725651723</v>
      </c>
      <c r="S358" s="9">
        <f>testdata[[#This Row],[I2'']]*Q357+testdata[[#This Row],[Q2'']]*R357</f>
        <v>2.7767619791348976</v>
      </c>
      <c r="T358" s="9">
        <f>testdata[[#This Row],[I2'']]*R357-testdata[[#This Row],[Q2'']]*Q357</f>
        <v>-1.1533284097462206</v>
      </c>
      <c r="U358" s="9">
        <f>0.2*testdata[[#This Row],[Re]]+0.8*U357</f>
        <v>13.272078070491396</v>
      </c>
      <c r="V358" s="9">
        <f>0.2*testdata[[#This Row],[Im]]+0.8*V357</f>
        <v>3.7795679806519265</v>
      </c>
      <c r="W358" s="9">
        <f>IF(AND(testdata[[#This Row],[Re'']]&lt;&gt;0,testdata[[#This Row],[Im'']]&lt;&gt;0),2*PI()/ATAN(testdata[[#This Row],[Im'']]/testdata[[#This Row],[Re'']]),0)</f>
        <v>22.647668691497344</v>
      </c>
      <c r="X358" s="9">
        <f>IF(testdata[[#This Row],[pd-atan]]&gt;1.5*Z357,1.5*Z357,IF(testdata[[#This Row],[pd-atan]]&lt;0.67*Z357,0.67*Z357,testdata[[#This Row],[pd-atan]]))</f>
        <v>22.647668691497344</v>
      </c>
      <c r="Y358" s="9">
        <f>IF(testdata[[#This Row],[pd-limit1]]&lt;6,6,IF(testdata[[#This Row],[pd-limit1]]&gt;50,50,testdata[[#This Row],[pd-limit1]]))</f>
        <v>22.647668691497344</v>
      </c>
      <c r="Z358" s="14">
        <f>0.2*testdata[[#This Row],[pd-limit2]]+0.8*Z357</f>
        <v>20.63493207854567</v>
      </c>
      <c r="AA358" s="14">
        <f>0.33*testdata[[#This Row],[period]]+0.67*AA357</f>
        <v>20.244345111325149</v>
      </c>
      <c r="AB358" s="31">
        <f>TRUNC(testdata[[#This Row],[SmPd]]+0.5,0)</f>
        <v>20</v>
      </c>
      <c r="AC358" s="14">
        <f ca="1">IF(testdata[[#This Row],[PdInt]]&lt;=0,0,AVERAGE(OFFSET(testdata[[#This Row],[price]],0,0,-testdata[[#This Row],[PdInt]],1)))</f>
        <v>262.43199999999996</v>
      </c>
      <c r="AD358" s="14">
        <f ca="1">IF(testdata[[#This Row],[i]]&lt;11,testdata[[#This Row],[price]],(4*testdata[[#This Row],[iTrend]]+3*AC357+2*AC356+AC355)/10)</f>
        <v>261.91247499999992</v>
      </c>
      <c r="AE358" s="14">
        <f>(4*testdata[[#This Row],[price]]+3*H357+2*H356+H355)/10</f>
        <v>264.25699999999995</v>
      </c>
      <c r="AF358" t="str">
        <f ca="1">IF(OR(ROUND(testdata[[#This Row],[Trendline]],4)&lt;&gt;Table3[[#This Row],[Trendline]],ROUND(testdata[[#This Row],[SmPrice]],4)&lt;&gt;Table3[[#This Row],[SmPrice]]),"ERR","")</f>
        <v/>
      </c>
      <c r="AG358" s="3">
        <v>43255</v>
      </c>
      <c r="AH358" s="14">
        <v>20.244299999999999</v>
      </c>
      <c r="AI358" s="34">
        <v>20</v>
      </c>
      <c r="AJ358" s="14">
        <v>262.43200000000002</v>
      </c>
      <c r="AK358" s="14">
        <v>261.91250000000002</v>
      </c>
      <c r="AL358" s="14">
        <v>264.25700000000001</v>
      </c>
      <c r="AN358" s="38">
        <f t="shared" si="16"/>
        <v>0</v>
      </c>
      <c r="AO358" s="38">
        <f t="shared" si="17"/>
        <v>0</v>
      </c>
      <c r="AQ358" s="37">
        <v>43255</v>
      </c>
      <c r="AR358">
        <v>20</v>
      </c>
      <c r="AS358">
        <v>261.91247499999901</v>
      </c>
      <c r="AT358">
        <v>264.25700000000001</v>
      </c>
      <c r="AV358" s="37">
        <v>43255</v>
      </c>
      <c r="AW358">
        <v>20</v>
      </c>
      <c r="AX358">
        <v>261.91247499999901</v>
      </c>
      <c r="AY358">
        <v>264.25700000000001</v>
      </c>
      <c r="BA358" s="38">
        <f>AX358-Table3[[#This Row],[Trendline]]</f>
        <v>-2.5000001016906026E-5</v>
      </c>
      <c r="BB358" s="38">
        <f>AY358-Table3[[#This Row],[SmPrice]]</f>
        <v>0</v>
      </c>
    </row>
    <row r="359" spans="1:54" x14ac:dyDescent="0.35">
      <c r="A359" s="6">
        <v>357</v>
      </c>
      <c r="B359" s="3">
        <v>43256</v>
      </c>
      <c r="C359" s="2">
        <v>265.97000000000003</v>
      </c>
      <c r="D359" s="2">
        <v>266.43</v>
      </c>
      <c r="E359" s="2">
        <v>265.13</v>
      </c>
      <c r="F359" s="2">
        <v>266.02</v>
      </c>
      <c r="G359" s="1">
        <v>52881036</v>
      </c>
      <c r="H359" s="30">
        <f>(testdata[[#This Row],[high]]+testdata[[#This Row],[low]])/2</f>
        <v>265.77999999999997</v>
      </c>
      <c r="I359" s="23">
        <f>(4*testdata[[#This Row],[price]]+3*H358+2*H357+H356)/10</f>
        <v>265.07199999999995</v>
      </c>
      <c r="J359" s="9">
        <f>(0.0962*testdata[[#This Row],[smooth]]+0.5769*I357-0.5769*I355-0.0962*I353)*(0.075*$Z358+0.54)</f>
        <v>1.2682670875109896</v>
      </c>
      <c r="K359" s="14">
        <f t="shared" si="15"/>
        <v>-1.748754130281468</v>
      </c>
      <c r="L359" s="14">
        <f>(0.0962*testdata[[#This Row],[detrender]]+0.5769*J357-0.5769*J355-0.0962*J353)*(0.075*$Z358+0.54)</f>
        <v>-0.83149849050403024</v>
      </c>
      <c r="M359" s="9">
        <f>(0.0962*testdata[[#This Row],[I1]]+0.5769*K357-0.5769*K355-0.0962*K353)*(0.075*$Z358+0.54)</f>
        <v>-2.1060266268851175</v>
      </c>
      <c r="N359" s="9">
        <f>(0.0962*testdata[[#This Row],[Q1]]+0.5769*L357-0.5769*L355-0.0962*L353)*(0.075*$Z358+0.54)</f>
        <v>-1.8848589592228988</v>
      </c>
      <c r="O359" s="9">
        <f>testdata[[#This Row],[I1]]-testdata[[#This Row],[JQ]]</f>
        <v>0.13610482894143083</v>
      </c>
      <c r="P359" s="9">
        <f>testdata[[#This Row],[Q1]]+testdata[[#This Row],[jI]]</f>
        <v>-2.9375251173891477</v>
      </c>
      <c r="Q359" s="9">
        <f>0.2*testdata[[#This Row],[I2]]+0.8*Q358</f>
        <v>0.6125598921969253</v>
      </c>
      <c r="R359" s="9">
        <f>0.2*testdata[[#This Row],[Q2]]+0.8*R358</f>
        <v>-1.9235179615299676</v>
      </c>
      <c r="S359" s="9">
        <f>testdata[[#This Row],[I2'']]*Q358+testdata[[#This Row],[Q2'']]*R358</f>
        <v>3.660500041049064</v>
      </c>
      <c r="T359" s="9">
        <f>testdata[[#This Row],[I2'']]*R358-testdata[[#This Row],[Q2'']]*Q358</f>
        <v>0.38440249652846292</v>
      </c>
      <c r="U359" s="9">
        <f>0.2*testdata[[#This Row],[Re]]+0.8*U358</f>
        <v>11.34976246460293</v>
      </c>
      <c r="V359" s="9">
        <f>0.2*testdata[[#This Row],[Im]]+0.8*V358</f>
        <v>3.1005348838272337</v>
      </c>
      <c r="W359" s="9">
        <f>IF(AND(testdata[[#This Row],[Re'']]&lt;&gt;0,testdata[[#This Row],[Im'']]&lt;&gt;0),2*PI()/ATAN(testdata[[#This Row],[Im'']]/testdata[[#This Row],[Re'']]),0)</f>
        <v>23.561302206221551</v>
      </c>
      <c r="X359" s="9">
        <f>IF(testdata[[#This Row],[pd-atan]]&gt;1.5*Z358,1.5*Z358,IF(testdata[[#This Row],[pd-atan]]&lt;0.67*Z358,0.67*Z358,testdata[[#This Row],[pd-atan]]))</f>
        <v>23.561302206221551</v>
      </c>
      <c r="Y359" s="9">
        <f>IF(testdata[[#This Row],[pd-limit1]]&lt;6,6,IF(testdata[[#This Row],[pd-limit1]]&gt;50,50,testdata[[#This Row],[pd-limit1]]))</f>
        <v>23.561302206221551</v>
      </c>
      <c r="Z359" s="14">
        <f>0.2*testdata[[#This Row],[pd-limit2]]+0.8*Z358</f>
        <v>21.220206104080848</v>
      </c>
      <c r="AA359" s="14">
        <f>0.33*testdata[[#This Row],[period]]+0.67*AA358</f>
        <v>20.56637923893453</v>
      </c>
      <c r="AB359" s="31">
        <f>TRUNC(testdata[[#This Row],[SmPd]]+0.5,0)</f>
        <v>21</v>
      </c>
      <c r="AC359" s="14">
        <f ca="1">IF(testdata[[#This Row],[PdInt]]&lt;=0,0,AVERAGE(OFFSET(testdata[[#This Row],[price]],0,0,-testdata[[#This Row],[PdInt]],1)))</f>
        <v>262.59142857142854</v>
      </c>
      <c r="AD359" s="14">
        <f ca="1">IF(testdata[[#This Row],[i]]&lt;11,testdata[[#This Row],[price]],(4*testdata[[#This Row],[iTrend]]+3*AC358+2*AC357+AC356)/10)</f>
        <v>262.28214642857137</v>
      </c>
      <c r="AE359" s="14">
        <f>(4*testdata[[#This Row],[price]]+3*H358+2*H357+H356)/10</f>
        <v>265.07199999999995</v>
      </c>
      <c r="AF359" t="str">
        <f ca="1">IF(OR(ROUND(testdata[[#This Row],[Trendline]],4)&lt;&gt;Table3[[#This Row],[Trendline]],ROUND(testdata[[#This Row],[SmPrice]],4)&lt;&gt;Table3[[#This Row],[SmPrice]]),"ERR","")</f>
        <v/>
      </c>
      <c r="AG359" s="3">
        <v>43256</v>
      </c>
      <c r="AH359" s="14">
        <v>20.566400000000002</v>
      </c>
      <c r="AI359" s="34">
        <v>21</v>
      </c>
      <c r="AJ359" s="14">
        <v>262.59140000000002</v>
      </c>
      <c r="AK359" s="14">
        <v>262.28210000000001</v>
      </c>
      <c r="AL359" s="14">
        <v>265.072</v>
      </c>
      <c r="AN359" s="38">
        <f t="shared" si="16"/>
        <v>0</v>
      </c>
      <c r="AO359" s="38">
        <f t="shared" si="17"/>
        <v>0</v>
      </c>
      <c r="AQ359" s="37">
        <v>43256</v>
      </c>
      <c r="AR359">
        <v>21</v>
      </c>
      <c r="AS359">
        <v>262.28214642857102</v>
      </c>
      <c r="AT359">
        <v>265.07199999999898</v>
      </c>
      <c r="AV359" s="37">
        <v>43256</v>
      </c>
      <c r="AW359">
        <v>21</v>
      </c>
      <c r="AX359">
        <v>262.28214642857102</v>
      </c>
      <c r="AY359">
        <v>265.07199999999898</v>
      </c>
      <c r="BA359" s="38">
        <f>AX359-Table3[[#This Row],[Trendline]]</f>
        <v>4.6428571010892483E-5</v>
      </c>
      <c r="BB359" s="38">
        <f>AY359-Table3[[#This Row],[SmPrice]]</f>
        <v>-1.0231815394945443E-12</v>
      </c>
    </row>
    <row r="360" spans="1:54" x14ac:dyDescent="0.35">
      <c r="A360" s="6">
        <v>358</v>
      </c>
      <c r="B360" s="3">
        <v>43257</v>
      </c>
      <c r="C360" s="2">
        <v>266.68</v>
      </c>
      <c r="D360" s="2">
        <v>268.36</v>
      </c>
      <c r="E360" s="2">
        <v>266.01</v>
      </c>
      <c r="F360" s="2">
        <v>268.24</v>
      </c>
      <c r="G360" s="1">
        <v>64874192</v>
      </c>
      <c r="H360" s="30">
        <f>(testdata[[#This Row],[high]]+testdata[[#This Row],[low]])/2</f>
        <v>267.185</v>
      </c>
      <c r="I360" s="23">
        <f>(4*testdata[[#This Row],[price]]+3*H359+2*H358+H357)/10</f>
        <v>266.14999999999998</v>
      </c>
      <c r="J360" s="9">
        <f>(0.0962*testdata[[#This Row],[smooth]]+0.5769*I358-0.5769*I356-0.0962*I354)*(0.075*$Z359+0.54)</f>
        <v>3.3088599392891709</v>
      </c>
      <c r="K360" s="14">
        <f t="shared" si="15"/>
        <v>-1.3149345499955383</v>
      </c>
      <c r="L360" s="14">
        <f>(0.0962*testdata[[#This Row],[detrender]]+0.5769*J358-0.5769*J356-0.0962*J354)*(0.075*$Z359+0.54)</f>
        <v>3.2918197933387008</v>
      </c>
      <c r="M360" s="9">
        <f>(0.0962*testdata[[#This Row],[I1]]+0.5769*K358-0.5769*K356-0.0962*K354)*(0.075*$Z359+0.54)</f>
        <v>-1.5579638287307263</v>
      </c>
      <c r="N360" s="9">
        <f>(0.0962*testdata[[#This Row],[Q1]]+0.5769*L358-0.5769*L356-0.0962*L354)*(0.075*$Z359+0.54)</f>
        <v>0.77979544486337027</v>
      </c>
      <c r="O360" s="9">
        <f>testdata[[#This Row],[I1]]-testdata[[#This Row],[JQ]]</f>
        <v>-2.0947299948589087</v>
      </c>
      <c r="P360" s="9">
        <f>testdata[[#This Row],[Q1]]+testdata[[#This Row],[jI]]</f>
        <v>1.7338559646079745</v>
      </c>
      <c r="Q360" s="9">
        <f>0.2*testdata[[#This Row],[I2]]+0.8*Q359</f>
        <v>7.1101914785758502E-2</v>
      </c>
      <c r="R360" s="9">
        <f>0.2*testdata[[#This Row],[Q2]]+0.8*R359</f>
        <v>-1.1920431763023793</v>
      </c>
      <c r="S360" s="9">
        <f>testdata[[#This Row],[I2'']]*Q359+testdata[[#This Row],[Q2'']]*R359</f>
        <v>2.3364706417930199</v>
      </c>
      <c r="T360" s="9">
        <f>testdata[[#This Row],[I2'']]*R359-testdata[[#This Row],[Q2'']]*Q359</f>
        <v>0.59343202938028627</v>
      </c>
      <c r="U360" s="9">
        <f>0.2*testdata[[#This Row],[Re]]+0.8*U359</f>
        <v>9.5471041000409489</v>
      </c>
      <c r="V360" s="9">
        <f>0.2*testdata[[#This Row],[Im]]+0.8*V359</f>
        <v>2.5991143129378442</v>
      </c>
      <c r="W360" s="9">
        <f>IF(AND(testdata[[#This Row],[Re'']]&lt;&gt;0,testdata[[#This Row],[Im'']]&lt;&gt;0),2*PI()/ATAN(testdata[[#This Row],[Im'']]/testdata[[#This Row],[Re'']]),0)</f>
        <v>23.638815611952662</v>
      </c>
      <c r="X360" s="9">
        <f>IF(testdata[[#This Row],[pd-atan]]&gt;1.5*Z359,1.5*Z359,IF(testdata[[#This Row],[pd-atan]]&lt;0.67*Z359,0.67*Z359,testdata[[#This Row],[pd-atan]]))</f>
        <v>23.638815611952662</v>
      </c>
      <c r="Y360" s="9">
        <f>IF(testdata[[#This Row],[pd-limit1]]&lt;6,6,IF(testdata[[#This Row],[pd-limit1]]&gt;50,50,testdata[[#This Row],[pd-limit1]]))</f>
        <v>23.638815611952662</v>
      </c>
      <c r="Z360" s="14">
        <f>0.2*testdata[[#This Row],[pd-limit2]]+0.8*Z359</f>
        <v>21.703928005655214</v>
      </c>
      <c r="AA360" s="14">
        <f>0.33*testdata[[#This Row],[period]]+0.67*AA359</f>
        <v>20.941770331952355</v>
      </c>
      <c r="AB360" s="31">
        <f>TRUNC(testdata[[#This Row],[SmPd]]+0.5,0)</f>
        <v>21</v>
      </c>
      <c r="AC360" s="14">
        <f ca="1">IF(testdata[[#This Row],[PdInt]]&lt;=0,0,AVERAGE(OFFSET(testdata[[#This Row],[price]],0,0,-testdata[[#This Row],[PdInt]],1)))</f>
        <v>263.01714285714286</v>
      </c>
      <c r="AD360" s="14">
        <f ca="1">IF(testdata[[#This Row],[i]]&lt;11,testdata[[#This Row],[price]],(4*testdata[[#This Row],[iTrend]]+3*AC359+2*AC358+AC357)/10)</f>
        <v>262.66191071428568</v>
      </c>
      <c r="AE360" s="14">
        <f>(4*testdata[[#This Row],[price]]+3*H359+2*H358+H357)/10</f>
        <v>266.14999999999998</v>
      </c>
      <c r="AF360" t="str">
        <f ca="1">IF(OR(ROUND(testdata[[#This Row],[Trendline]],4)&lt;&gt;Table3[[#This Row],[Trendline]],ROUND(testdata[[#This Row],[SmPrice]],4)&lt;&gt;Table3[[#This Row],[SmPrice]]),"ERR","")</f>
        <v/>
      </c>
      <c r="AG360" s="3">
        <v>43257</v>
      </c>
      <c r="AH360" s="14">
        <v>20.941800000000001</v>
      </c>
      <c r="AI360" s="34">
        <v>21</v>
      </c>
      <c r="AJ360" s="14">
        <v>263.01710000000003</v>
      </c>
      <c r="AK360" s="14">
        <v>262.6619</v>
      </c>
      <c r="AL360" s="14">
        <v>266.14999999999998</v>
      </c>
      <c r="AN360" s="38">
        <f t="shared" si="16"/>
        <v>0</v>
      </c>
      <c r="AO360" s="38">
        <f t="shared" si="17"/>
        <v>0</v>
      </c>
      <c r="AQ360" s="37">
        <v>43257</v>
      </c>
      <c r="AR360">
        <v>21</v>
      </c>
      <c r="AS360">
        <v>262.661910714285</v>
      </c>
      <c r="AT360">
        <v>266.14999999999998</v>
      </c>
      <c r="AV360" s="37">
        <v>43257</v>
      </c>
      <c r="AW360">
        <v>21</v>
      </c>
      <c r="AX360">
        <v>262.661910714285</v>
      </c>
      <c r="AY360">
        <v>266.14999999999998</v>
      </c>
      <c r="BA360" s="38">
        <f>AX360-Table3[[#This Row],[Trendline]]</f>
        <v>1.0714284996993229E-5</v>
      </c>
      <c r="BB360" s="38">
        <f>AY360-Table3[[#This Row],[SmPrice]]</f>
        <v>0</v>
      </c>
    </row>
    <row r="361" spans="1:54" x14ac:dyDescent="0.35">
      <c r="A361" s="6">
        <v>359</v>
      </c>
      <c r="B361" s="3">
        <v>43258</v>
      </c>
      <c r="C361" s="2">
        <v>268.77</v>
      </c>
      <c r="D361" s="2">
        <v>269.08999999999997</v>
      </c>
      <c r="E361" s="2">
        <v>267.22000000000003</v>
      </c>
      <c r="F361" s="2">
        <v>268.20999999999998</v>
      </c>
      <c r="G361" s="1">
        <v>75460928</v>
      </c>
      <c r="H361" s="30">
        <f>(testdata[[#This Row],[high]]+testdata[[#This Row],[low]])/2</f>
        <v>268.15499999999997</v>
      </c>
      <c r="I361" s="23">
        <f>(4*testdata[[#This Row],[price]]+3*H360+2*H359+H358)/10</f>
        <v>267.13849999999996</v>
      </c>
      <c r="J361" s="9">
        <f>(0.0962*testdata[[#This Row],[smooth]]+0.5769*I359-0.5769*I357-0.0962*I355)*(0.075*$Z360+0.54)</f>
        <v>3.6313379857878991</v>
      </c>
      <c r="K361" s="14">
        <f t="shared" si="15"/>
        <v>0.31150177599765677</v>
      </c>
      <c r="L361" s="14">
        <f>(0.0962*testdata[[#This Row],[detrender]]+0.5769*J359-0.5769*J357-0.0962*J355)*(0.075*$Z360+0.54)</f>
        <v>4.0911613074990223</v>
      </c>
      <c r="M361" s="9">
        <f>(0.0962*testdata[[#This Row],[I1]]+0.5769*K359-0.5769*K357-0.0962*K355)*(0.075*$Z360+0.54)</f>
        <v>-1.8614973410678826</v>
      </c>
      <c r="N361" s="9">
        <f>(0.0962*testdata[[#This Row],[Q1]]+0.5769*L359-0.5769*L357-0.0962*L355)*(0.075*$Z360+0.54)</f>
        <v>1.6784905796620895</v>
      </c>
      <c r="O361" s="9">
        <f>testdata[[#This Row],[I1]]-testdata[[#This Row],[JQ]]</f>
        <v>-1.3669888036644327</v>
      </c>
      <c r="P361" s="9">
        <f>testdata[[#This Row],[Q1]]+testdata[[#This Row],[jI]]</f>
        <v>2.22966396643114</v>
      </c>
      <c r="Q361" s="9">
        <f>0.2*testdata[[#This Row],[I2]]+0.8*Q360</f>
        <v>-0.21651622890427971</v>
      </c>
      <c r="R361" s="9">
        <f>0.2*testdata[[#This Row],[Q2]]+0.8*R360</f>
        <v>-0.50770174775567545</v>
      </c>
      <c r="S361" s="9">
        <f>testdata[[#This Row],[I2'']]*Q360+testdata[[#This Row],[Q2'']]*R360</f>
        <v>0.58980768555165886</v>
      </c>
      <c r="T361" s="9">
        <f>testdata[[#This Row],[I2'']]*R360-testdata[[#This Row],[Q2'']]*Q360</f>
        <v>0.29419525962957532</v>
      </c>
      <c r="U361" s="9">
        <f>0.2*testdata[[#This Row],[Re]]+0.8*U360</f>
        <v>7.7556448171430912</v>
      </c>
      <c r="V361" s="9">
        <f>0.2*testdata[[#This Row],[Im]]+0.8*V360</f>
        <v>2.1381305022761903</v>
      </c>
      <c r="W361" s="9">
        <f>IF(AND(testdata[[#This Row],[Re'']]&lt;&gt;0,testdata[[#This Row],[Im'']]&lt;&gt;0),2*PI()/ATAN(testdata[[#This Row],[Im'']]/testdata[[#This Row],[Re'']]),0)</f>
        <v>23.357149152935083</v>
      </c>
      <c r="X361" s="9">
        <f>IF(testdata[[#This Row],[pd-atan]]&gt;1.5*Z360,1.5*Z360,IF(testdata[[#This Row],[pd-atan]]&lt;0.67*Z360,0.67*Z360,testdata[[#This Row],[pd-atan]]))</f>
        <v>23.357149152935083</v>
      </c>
      <c r="Y361" s="9">
        <f>IF(testdata[[#This Row],[pd-limit1]]&lt;6,6,IF(testdata[[#This Row],[pd-limit1]]&gt;50,50,testdata[[#This Row],[pd-limit1]]))</f>
        <v>23.357149152935083</v>
      </c>
      <c r="Z361" s="14">
        <f>0.2*testdata[[#This Row],[pd-limit2]]+0.8*Z360</f>
        <v>22.034572235111188</v>
      </c>
      <c r="AA361" s="14">
        <f>0.33*testdata[[#This Row],[period]]+0.67*AA360</f>
        <v>21.302394959994771</v>
      </c>
      <c r="AB361" s="31">
        <f>TRUNC(testdata[[#This Row],[SmPd]]+0.5,0)</f>
        <v>21</v>
      </c>
      <c r="AC361" s="14">
        <f ca="1">IF(testdata[[#This Row],[PdInt]]&lt;=0,0,AVERAGE(OFFSET(testdata[[#This Row],[price]],0,0,-testdata[[#This Row],[PdInt]],1)))</f>
        <v>263.52690476190475</v>
      </c>
      <c r="AD361" s="14">
        <f ca="1">IF(testdata[[#This Row],[i]]&lt;11,testdata[[#This Row],[price]],(4*testdata[[#This Row],[iTrend]]+3*AC360+2*AC359+AC358)/10)</f>
        <v>263.07739047619043</v>
      </c>
      <c r="AE361" s="14">
        <f>(4*testdata[[#This Row],[price]]+3*H360+2*H359+H358)/10</f>
        <v>267.13849999999996</v>
      </c>
      <c r="AF361" t="str">
        <f ca="1">IF(OR(ROUND(testdata[[#This Row],[Trendline]],4)&lt;&gt;Table3[[#This Row],[Trendline]],ROUND(testdata[[#This Row],[SmPrice]],4)&lt;&gt;Table3[[#This Row],[SmPrice]]),"ERR","")</f>
        <v/>
      </c>
      <c r="AG361" s="3">
        <v>43258</v>
      </c>
      <c r="AH361" s="14">
        <v>21.302399999999999</v>
      </c>
      <c r="AI361" s="34">
        <v>21</v>
      </c>
      <c r="AJ361" s="14">
        <v>263.52690000000001</v>
      </c>
      <c r="AK361" s="14">
        <v>263.07740000000001</v>
      </c>
      <c r="AL361" s="14">
        <v>267.13850000000002</v>
      </c>
      <c r="AN361" s="38">
        <f t="shared" si="16"/>
        <v>0</v>
      </c>
      <c r="AO361" s="38">
        <f t="shared" si="17"/>
        <v>0</v>
      </c>
      <c r="AQ361" s="37">
        <v>43258</v>
      </c>
      <c r="AR361">
        <v>21</v>
      </c>
      <c r="AS361">
        <v>263.07739047618998</v>
      </c>
      <c r="AT361">
        <v>267.138499999999</v>
      </c>
      <c r="AV361" s="37">
        <v>43258</v>
      </c>
      <c r="AW361">
        <v>21</v>
      </c>
      <c r="AX361">
        <v>263.07739047618998</v>
      </c>
      <c r="AY361">
        <v>267.138499999999</v>
      </c>
      <c r="BA361" s="38">
        <f>AX361-Table3[[#This Row],[Trendline]]</f>
        <v>-9.5238100357164512E-6</v>
      </c>
      <c r="BB361" s="38">
        <f>AY361-Table3[[#This Row],[SmPrice]]</f>
        <v>-1.0231815394945443E-12</v>
      </c>
    </row>
    <row r="362" spans="1:54" x14ac:dyDescent="0.35">
      <c r="A362" s="6">
        <v>360</v>
      </c>
      <c r="B362" s="3">
        <v>43259</v>
      </c>
      <c r="C362" s="2">
        <v>267.70999999999998</v>
      </c>
      <c r="D362" s="2">
        <v>269.06</v>
      </c>
      <c r="E362" s="2">
        <v>267.52999999999997</v>
      </c>
      <c r="F362" s="2">
        <v>269</v>
      </c>
      <c r="G362" s="1">
        <v>74602920</v>
      </c>
      <c r="H362" s="30">
        <f>(testdata[[#This Row],[high]]+testdata[[#This Row],[low]])/2</f>
        <v>268.29499999999996</v>
      </c>
      <c r="I362" s="23">
        <f>(4*testdata[[#This Row],[price]]+3*H361+2*H360+H359)/10</f>
        <v>267.77949999999998</v>
      </c>
      <c r="J362" s="9">
        <f>(0.0962*testdata[[#This Row],[smooth]]+0.5769*I360-0.5769*I358-0.0962*I356)*(0.075*$Z361+0.54)</f>
        <v>3.5633230763926873</v>
      </c>
      <c r="K362" s="14">
        <f t="shared" si="15"/>
        <v>1.2682670875109896</v>
      </c>
      <c r="L362" s="14">
        <f>(0.0962*testdata[[#This Row],[detrender]]+0.5769*J360-0.5769*J358-0.0962*J356)*(0.075*$Z361+0.54)</f>
        <v>4.9118417244425032</v>
      </c>
      <c r="M362" s="9">
        <f>(0.0962*testdata[[#This Row],[I1]]+0.5769*K360-0.5769*K358-0.0962*K356)*(0.075*$Z361+0.54)</f>
        <v>-0.87330921503351744</v>
      </c>
      <c r="N362" s="9">
        <f>(0.0962*testdata[[#This Row],[Q1]]+0.5769*L360-0.5769*L358-0.0962*L356)*(0.075*$Z361+0.54)</f>
        <v>7.860244229738413</v>
      </c>
      <c r="O362" s="9">
        <f>testdata[[#This Row],[I1]]-testdata[[#This Row],[JQ]]</f>
        <v>-6.5919771422274236</v>
      </c>
      <c r="P362" s="9">
        <f>testdata[[#This Row],[Q1]]+testdata[[#This Row],[jI]]</f>
        <v>4.0385325094089861</v>
      </c>
      <c r="Q362" s="9">
        <f>0.2*testdata[[#This Row],[I2]]+0.8*Q361</f>
        <v>-1.4916084115689086</v>
      </c>
      <c r="R362" s="9">
        <f>0.2*testdata[[#This Row],[Q2]]+0.8*R361</f>
        <v>0.40154510367725688</v>
      </c>
      <c r="S362" s="9">
        <f>testdata[[#This Row],[I2'']]*Q361+testdata[[#This Row],[Q2'']]*R361</f>
        <v>0.11909227733512567</v>
      </c>
      <c r="T362" s="9">
        <f>testdata[[#This Row],[I2'']]*R361-testdata[[#This Row],[Q2'']]*Q361</f>
        <v>0.8442332291037794</v>
      </c>
      <c r="U362" s="9">
        <f>0.2*testdata[[#This Row],[Re]]+0.8*U361</f>
        <v>6.2283343091814984</v>
      </c>
      <c r="V362" s="9">
        <f>0.2*testdata[[#This Row],[Im]]+0.8*V361</f>
        <v>1.8793510476417081</v>
      </c>
      <c r="W362" s="9">
        <f>IF(AND(testdata[[#This Row],[Re'']]&lt;&gt;0,testdata[[#This Row],[Im'']]&lt;&gt;0),2*PI()/ATAN(testdata[[#This Row],[Im'']]/testdata[[#This Row],[Re'']]),0)</f>
        <v>21.440342183519796</v>
      </c>
      <c r="X362" s="9">
        <f>IF(testdata[[#This Row],[pd-atan]]&gt;1.5*Z361,1.5*Z361,IF(testdata[[#This Row],[pd-atan]]&lt;0.67*Z361,0.67*Z361,testdata[[#This Row],[pd-atan]]))</f>
        <v>21.440342183519796</v>
      </c>
      <c r="Y362" s="9">
        <f>IF(testdata[[#This Row],[pd-limit1]]&lt;6,6,IF(testdata[[#This Row],[pd-limit1]]&gt;50,50,testdata[[#This Row],[pd-limit1]]))</f>
        <v>21.440342183519796</v>
      </c>
      <c r="Z362" s="14">
        <f>0.2*testdata[[#This Row],[pd-limit2]]+0.8*Z361</f>
        <v>21.915726224792909</v>
      </c>
      <c r="AA362" s="14">
        <f>0.33*testdata[[#This Row],[period]]+0.67*AA361</f>
        <v>21.50479427737816</v>
      </c>
      <c r="AB362" s="31">
        <f>TRUNC(testdata[[#This Row],[SmPd]]+0.5,0)</f>
        <v>22</v>
      </c>
      <c r="AC362" s="14">
        <f ca="1">IF(testdata[[#This Row],[PdInt]]&lt;=0,0,AVERAGE(OFFSET(testdata[[#This Row],[price]],0,0,-testdata[[#This Row],[PdInt]],1)))</f>
        <v>263.74363636363637</v>
      </c>
      <c r="AD362" s="14">
        <f ca="1">IF(testdata[[#This Row],[i]]&lt;11,testdata[[#This Row],[price]],(4*testdata[[#This Row],[iTrend]]+3*AC361+2*AC360+AC359)/10)</f>
        <v>263.41809740259737</v>
      </c>
      <c r="AE362" s="14">
        <f>(4*testdata[[#This Row],[price]]+3*H361+2*H360+H359)/10</f>
        <v>267.77949999999998</v>
      </c>
      <c r="AF362" t="str">
        <f ca="1">IF(OR(ROUND(testdata[[#This Row],[Trendline]],4)&lt;&gt;Table3[[#This Row],[Trendline]],ROUND(testdata[[#This Row],[SmPrice]],4)&lt;&gt;Table3[[#This Row],[SmPrice]]),"ERR","")</f>
        <v/>
      </c>
      <c r="AG362" s="3">
        <v>43259</v>
      </c>
      <c r="AH362" s="14">
        <v>21.504799999999999</v>
      </c>
      <c r="AI362" s="34">
        <v>22</v>
      </c>
      <c r="AJ362" s="14">
        <v>263.74360000000001</v>
      </c>
      <c r="AK362" s="14">
        <v>263.41809999999998</v>
      </c>
      <c r="AL362" s="14">
        <v>267.77949999999998</v>
      </c>
      <c r="AN362" s="38">
        <f t="shared" si="16"/>
        <v>0</v>
      </c>
      <c r="AO362" s="38">
        <f t="shared" si="17"/>
        <v>0</v>
      </c>
      <c r="AQ362" s="37">
        <v>43259</v>
      </c>
      <c r="AR362">
        <v>22</v>
      </c>
      <c r="AS362">
        <v>263.41809740259703</v>
      </c>
      <c r="AT362">
        <v>267.77949999999998</v>
      </c>
      <c r="AV362" s="37">
        <v>43259</v>
      </c>
      <c r="AW362">
        <v>22</v>
      </c>
      <c r="AX362">
        <v>263.41809740259703</v>
      </c>
      <c r="AY362">
        <v>267.77949999999998</v>
      </c>
      <c r="BA362" s="38">
        <f>AX362-Table3[[#This Row],[Trendline]]</f>
        <v>-2.597402954052086E-6</v>
      </c>
      <c r="BB362" s="38">
        <f>AY362-Table3[[#This Row],[SmPrice]]</f>
        <v>0</v>
      </c>
    </row>
    <row r="363" spans="1:54" x14ac:dyDescent="0.35">
      <c r="A363" s="6">
        <v>361</v>
      </c>
      <c r="B363" s="3">
        <v>43262</v>
      </c>
      <c r="C363" s="2">
        <v>269.25</v>
      </c>
      <c r="D363" s="2">
        <v>270.14999999999998</v>
      </c>
      <c r="E363" s="2">
        <v>269.12</v>
      </c>
      <c r="F363" s="2">
        <v>269.36</v>
      </c>
      <c r="G363" s="1">
        <v>60903392</v>
      </c>
      <c r="H363" s="30">
        <f>(testdata[[#This Row],[high]]+testdata[[#This Row],[low]])/2</f>
        <v>269.63499999999999</v>
      </c>
      <c r="I363" s="23">
        <f>(4*testdata[[#This Row],[price]]+3*H362+2*H361+H360)/10</f>
        <v>268.69199999999995</v>
      </c>
      <c r="J363" s="9">
        <f>(0.0962*testdata[[#This Row],[smooth]]+0.5769*I361-0.5769*I359-0.0962*I357)*(0.075*$Z362+0.54)</f>
        <v>3.8019629390231269</v>
      </c>
      <c r="K363" s="14">
        <f t="shared" si="15"/>
        <v>3.3088599392891709</v>
      </c>
      <c r="L363" s="14">
        <f>(0.0962*testdata[[#This Row],[detrender]]+0.5769*J361-0.5769*J359-0.0962*J357)*(0.075*$Z362+0.54)</f>
        <v>4.0518197394088906</v>
      </c>
      <c r="M363" s="9">
        <f>(0.0962*testdata[[#This Row],[I1]]+0.5769*K361-0.5769*K359-0.0962*K357)*(0.075*$Z362+0.54)</f>
        <v>3.3723796207952841</v>
      </c>
      <c r="N363" s="9">
        <f>(0.0962*testdata[[#This Row],[Q1]]+0.5769*L361-0.5769*L359-0.0962*L357)*(0.075*$Z362+0.54)</f>
        <v>7.3660489457351153</v>
      </c>
      <c r="O363" s="9">
        <f>testdata[[#This Row],[I1]]-testdata[[#This Row],[JQ]]</f>
        <v>-4.0571890064459444</v>
      </c>
      <c r="P363" s="9">
        <f>testdata[[#This Row],[Q1]]+testdata[[#This Row],[jI]]</f>
        <v>7.4241993602041747</v>
      </c>
      <c r="Q363" s="9">
        <f>0.2*testdata[[#This Row],[I2]]+0.8*Q362</f>
        <v>-2.0047245305443155</v>
      </c>
      <c r="R363" s="9">
        <f>0.2*testdata[[#This Row],[Q2]]+0.8*R362</f>
        <v>1.8060759549826406</v>
      </c>
      <c r="S363" s="9">
        <f>testdata[[#This Row],[I2'']]*Q362+testdata[[#This Row],[Q2'']]*R362</f>
        <v>3.7154849292309375</v>
      </c>
      <c r="T363" s="9">
        <f>testdata[[#This Row],[I2'']]*R362-testdata[[#This Row],[Q2'']]*Q362</f>
        <v>1.8889707669226992</v>
      </c>
      <c r="U363" s="9">
        <f>0.2*testdata[[#This Row],[Re]]+0.8*U362</f>
        <v>5.7257644331913866</v>
      </c>
      <c r="V363" s="9">
        <f>0.2*testdata[[#This Row],[Im]]+0.8*V362</f>
        <v>1.8812749914979066</v>
      </c>
      <c r="W363" s="9">
        <f>IF(AND(testdata[[#This Row],[Re'']]&lt;&gt;0,testdata[[#This Row],[Im'']]&lt;&gt;0),2*PI()/ATAN(testdata[[#This Row],[Im'']]/testdata[[#This Row],[Re'']]),0)</f>
        <v>19.792600245604834</v>
      </c>
      <c r="X363" s="9">
        <f>IF(testdata[[#This Row],[pd-atan]]&gt;1.5*Z362,1.5*Z362,IF(testdata[[#This Row],[pd-atan]]&lt;0.67*Z362,0.67*Z362,testdata[[#This Row],[pd-atan]]))</f>
        <v>19.792600245604834</v>
      </c>
      <c r="Y363" s="9">
        <f>IF(testdata[[#This Row],[pd-limit1]]&lt;6,6,IF(testdata[[#This Row],[pd-limit1]]&gt;50,50,testdata[[#This Row],[pd-limit1]]))</f>
        <v>19.792600245604834</v>
      </c>
      <c r="Z363" s="14">
        <f>0.2*testdata[[#This Row],[pd-limit2]]+0.8*Z362</f>
        <v>21.491101028955296</v>
      </c>
      <c r="AA363" s="14">
        <f>0.33*testdata[[#This Row],[period]]+0.67*AA362</f>
        <v>21.500275505398616</v>
      </c>
      <c r="AB363" s="31">
        <f>TRUNC(testdata[[#This Row],[SmPd]]+0.5,0)</f>
        <v>22</v>
      </c>
      <c r="AC363" s="14">
        <f ca="1">IF(testdata[[#This Row],[PdInt]]&lt;=0,0,AVERAGE(OFFSET(testdata[[#This Row],[price]],0,0,-testdata[[#This Row],[PdInt]],1)))</f>
        <v>264.19931818181817</v>
      </c>
      <c r="AD363" s="14">
        <f ca="1">IF(testdata[[#This Row],[i]]&lt;11,testdata[[#This Row],[price]],(4*testdata[[#This Row],[iTrend]]+3*AC362+2*AC361+AC360)/10)</f>
        <v>263.80991341991341</v>
      </c>
      <c r="AE363" s="14">
        <f>(4*testdata[[#This Row],[price]]+3*H362+2*H361+H360)/10</f>
        <v>268.69199999999995</v>
      </c>
      <c r="AF363" t="str">
        <f ca="1">IF(OR(ROUND(testdata[[#This Row],[Trendline]],4)&lt;&gt;Table3[[#This Row],[Trendline]],ROUND(testdata[[#This Row],[SmPrice]],4)&lt;&gt;Table3[[#This Row],[SmPrice]]),"ERR","")</f>
        <v/>
      </c>
      <c r="AG363" s="3">
        <v>43262</v>
      </c>
      <c r="AH363" s="14">
        <v>21.500299999999999</v>
      </c>
      <c r="AI363" s="34">
        <v>22</v>
      </c>
      <c r="AJ363" s="14">
        <v>264.19929999999999</v>
      </c>
      <c r="AK363" s="14">
        <v>263.80990000000003</v>
      </c>
      <c r="AL363" s="14">
        <v>268.69200000000001</v>
      </c>
      <c r="AN363" s="38">
        <f t="shared" si="16"/>
        <v>0</v>
      </c>
      <c r="AO363" s="38">
        <f t="shared" si="17"/>
        <v>0</v>
      </c>
      <c r="AQ363" s="37">
        <v>43262</v>
      </c>
      <c r="AR363">
        <v>22</v>
      </c>
      <c r="AS363">
        <v>263.80991341991302</v>
      </c>
      <c r="AT363">
        <v>268.69199999999898</v>
      </c>
      <c r="AV363" s="37">
        <v>43262</v>
      </c>
      <c r="AW363">
        <v>22</v>
      </c>
      <c r="AX363">
        <v>263.80991341991302</v>
      </c>
      <c r="AY363">
        <v>268.69199999999898</v>
      </c>
      <c r="BA363" s="38">
        <f>AX363-Table3[[#This Row],[Trendline]]</f>
        <v>1.341991298886569E-5</v>
      </c>
      <c r="BB363" s="38">
        <f>AY363-Table3[[#This Row],[SmPrice]]</f>
        <v>-1.0231815394945443E-12</v>
      </c>
    </row>
    <row r="364" spans="1:54" x14ac:dyDescent="0.35">
      <c r="A364" s="6">
        <v>362</v>
      </c>
      <c r="B364" s="3">
        <v>43263</v>
      </c>
      <c r="C364" s="2">
        <v>269.82</v>
      </c>
      <c r="D364" s="2">
        <v>270.11</v>
      </c>
      <c r="E364" s="2">
        <v>269</v>
      </c>
      <c r="F364" s="2">
        <v>269.70999999999998</v>
      </c>
      <c r="G364" s="1">
        <v>74798688</v>
      </c>
      <c r="H364" s="30">
        <f>(testdata[[#This Row],[high]]+testdata[[#This Row],[low]])/2</f>
        <v>269.55500000000001</v>
      </c>
      <c r="I364" s="23">
        <f>(4*testdata[[#This Row],[price]]+3*H363+2*H362+H361)/10</f>
        <v>269.18700000000001</v>
      </c>
      <c r="J364" s="9">
        <f>(0.0962*testdata[[#This Row],[smooth]]+0.5769*I362-0.5769*I360-0.0962*I358)*(0.075*$Z363+0.54)</f>
        <v>3.0433896413836758</v>
      </c>
      <c r="K364" s="14">
        <f t="shared" si="15"/>
        <v>3.6313379857878991</v>
      </c>
      <c r="L364" s="14">
        <f>(0.0962*testdata[[#This Row],[detrender]]+0.5769*J362-0.5769*J360-0.0962*J358)*(0.075*$Z363+0.54)</f>
        <v>0.88140653952114356</v>
      </c>
      <c r="M364" s="9">
        <f>(0.0962*testdata[[#This Row],[I1]]+0.5769*K362-0.5769*K360-0.0962*K358)*(0.075*$Z363+0.54)</f>
        <v>4.061037045769047</v>
      </c>
      <c r="N364" s="9">
        <f>(0.0962*testdata[[#This Row],[Q1]]+0.5769*L362-0.5769*L360-0.0962*L358)*(0.075*$Z363+0.54)</f>
        <v>2.5579209727847823</v>
      </c>
      <c r="O364" s="9">
        <f>testdata[[#This Row],[I1]]-testdata[[#This Row],[JQ]]</f>
        <v>1.0734170130031169</v>
      </c>
      <c r="P364" s="9">
        <f>testdata[[#This Row],[Q1]]+testdata[[#This Row],[jI]]</f>
        <v>4.9424435852901905</v>
      </c>
      <c r="Q364" s="9">
        <f>0.2*testdata[[#This Row],[I2]]+0.8*Q363</f>
        <v>-1.3890962218348291</v>
      </c>
      <c r="R364" s="9">
        <f>0.2*testdata[[#This Row],[Q2]]+0.8*R363</f>
        <v>2.4333494810441509</v>
      </c>
      <c r="S364" s="9">
        <f>testdata[[#This Row],[I2'']]*Q363+testdata[[#This Row],[Q2'']]*R363</f>
        <v>7.1795692589820383</v>
      </c>
      <c r="T364" s="9">
        <f>testdata[[#This Row],[I2'']]*R363-testdata[[#This Row],[Q2'']]*Q363</f>
        <v>2.3693821106233726</v>
      </c>
      <c r="U364" s="9">
        <f>0.2*testdata[[#This Row],[Re]]+0.8*U363</f>
        <v>6.0165253983495175</v>
      </c>
      <c r="V364" s="9">
        <f>0.2*testdata[[#This Row],[Im]]+0.8*V363</f>
        <v>1.9788964153229998</v>
      </c>
      <c r="W364" s="9">
        <f>IF(AND(testdata[[#This Row],[Re'']]&lt;&gt;0,testdata[[#This Row],[Im'']]&lt;&gt;0),2*PI()/ATAN(testdata[[#This Row],[Im'']]/testdata[[#This Row],[Re'']]),0)</f>
        <v>19.773091206761169</v>
      </c>
      <c r="X364" s="9">
        <f>IF(testdata[[#This Row],[pd-atan]]&gt;1.5*Z363,1.5*Z363,IF(testdata[[#This Row],[pd-atan]]&lt;0.67*Z363,0.67*Z363,testdata[[#This Row],[pd-atan]]))</f>
        <v>19.773091206761169</v>
      </c>
      <c r="Y364" s="9">
        <f>IF(testdata[[#This Row],[pd-limit1]]&lt;6,6,IF(testdata[[#This Row],[pd-limit1]]&gt;50,50,testdata[[#This Row],[pd-limit1]]))</f>
        <v>19.773091206761169</v>
      </c>
      <c r="Z364" s="14">
        <f>0.2*testdata[[#This Row],[pd-limit2]]+0.8*Z363</f>
        <v>21.147499064516474</v>
      </c>
      <c r="AA364" s="14">
        <f>0.33*testdata[[#This Row],[period]]+0.67*AA363</f>
        <v>21.383859279907512</v>
      </c>
      <c r="AB364" s="31">
        <f>TRUNC(testdata[[#This Row],[SmPd]]+0.5,0)</f>
        <v>21</v>
      </c>
      <c r="AC364" s="14">
        <f ca="1">IF(testdata[[#This Row],[PdInt]]&lt;=0,0,AVERAGE(OFFSET(testdata[[#This Row],[price]],0,0,-testdata[[#This Row],[PdInt]],1)))</f>
        <v>264.58190476190475</v>
      </c>
      <c r="AD364" s="14">
        <f ca="1">IF(testdata[[#This Row],[i]]&lt;11,testdata[[#This Row],[price]],(4*testdata[[#This Row],[iTrend]]+3*AC363+2*AC362+AC361)/10)</f>
        <v>264.19397510822512</v>
      </c>
      <c r="AE364" s="14">
        <f>(4*testdata[[#This Row],[price]]+3*H363+2*H362+H361)/10</f>
        <v>269.18700000000001</v>
      </c>
      <c r="AF364" t="str">
        <f ca="1">IF(OR(ROUND(testdata[[#This Row],[Trendline]],4)&lt;&gt;Table3[[#This Row],[Trendline]],ROUND(testdata[[#This Row],[SmPrice]],4)&lt;&gt;Table3[[#This Row],[SmPrice]]),"ERR","")</f>
        <v/>
      </c>
      <c r="AG364" s="3">
        <v>43263</v>
      </c>
      <c r="AH364" s="14">
        <v>21.383900000000001</v>
      </c>
      <c r="AI364" s="34">
        <v>21</v>
      </c>
      <c r="AJ364" s="14">
        <v>264.58190000000002</v>
      </c>
      <c r="AK364" s="14">
        <v>264.19400000000002</v>
      </c>
      <c r="AL364" s="14">
        <v>269.18700000000001</v>
      </c>
      <c r="AN364" s="38">
        <f t="shared" si="16"/>
        <v>0</v>
      </c>
      <c r="AO364" s="38">
        <f t="shared" si="17"/>
        <v>0</v>
      </c>
      <c r="AQ364" s="37">
        <v>43263</v>
      </c>
      <c r="AR364">
        <v>21</v>
      </c>
      <c r="AS364">
        <v>264.193975108225</v>
      </c>
      <c r="AT364">
        <v>269.18700000000001</v>
      </c>
      <c r="AV364" s="37">
        <v>43263</v>
      </c>
      <c r="AW364">
        <v>21</v>
      </c>
      <c r="AX364">
        <v>264.193975108225</v>
      </c>
      <c r="AY364">
        <v>269.18700000000001</v>
      </c>
      <c r="BA364" s="38">
        <f>AX364-Table3[[#This Row],[Trendline]]</f>
        <v>-2.489177501274753E-5</v>
      </c>
      <c r="BB364" s="38">
        <f>AY364-Table3[[#This Row],[SmPrice]]</f>
        <v>0</v>
      </c>
    </row>
    <row r="365" spans="1:54" x14ac:dyDescent="0.35">
      <c r="A365" s="6">
        <v>363</v>
      </c>
      <c r="B365" s="3">
        <v>43264</v>
      </c>
      <c r="C365" s="2">
        <v>269.97000000000003</v>
      </c>
      <c r="D365" s="2">
        <v>270.25</v>
      </c>
      <c r="E365" s="2">
        <v>268.63</v>
      </c>
      <c r="F365" s="2">
        <v>268.85000000000002</v>
      </c>
      <c r="G365" s="1">
        <v>81770464</v>
      </c>
      <c r="H365" s="30">
        <f>(testdata[[#This Row],[high]]+testdata[[#This Row],[low]])/2</f>
        <v>269.44</v>
      </c>
      <c r="I365" s="23">
        <f>(4*testdata[[#This Row],[price]]+3*H364+2*H363+H362)/10</f>
        <v>269.399</v>
      </c>
      <c r="J365" s="9">
        <f>(0.0962*testdata[[#This Row],[smooth]]+0.5769*I363-0.5769*I361-0.0962*I359)*(0.075*$Z364+0.54)</f>
        <v>2.7903964526872067</v>
      </c>
      <c r="K365" s="14">
        <f t="shared" si="15"/>
        <v>3.5633230763926873</v>
      </c>
      <c r="L365" s="14">
        <f>(0.0962*testdata[[#This Row],[detrender]]+0.5769*J363-0.5769*J361-0.0962*J359)*(0.075*$Z364+0.54)</f>
        <v>0.52059270755850384</v>
      </c>
      <c r="M365" s="9">
        <f>(0.0962*testdata[[#This Row],[I1]]+0.5769*K363-0.5769*K361-0.0962*K359)*(0.075*$Z364+0.54)</f>
        <v>4.7628002752665299</v>
      </c>
      <c r="N365" s="9">
        <f>(0.0962*testdata[[#This Row],[Q1]]+0.5769*L363-0.5769*L361-0.0962*L359)*(0.075*$Z364+0.54)</f>
        <v>0.2282860015006091</v>
      </c>
      <c r="O365" s="9">
        <f>testdata[[#This Row],[I1]]-testdata[[#This Row],[JQ]]</f>
        <v>3.3350370748920781</v>
      </c>
      <c r="P365" s="9">
        <f>testdata[[#This Row],[Q1]]+testdata[[#This Row],[jI]]</f>
        <v>5.2833929828250339</v>
      </c>
      <c r="Q365" s="9">
        <f>0.2*testdata[[#This Row],[I2]]+0.8*Q364</f>
        <v>-0.4442695624894476</v>
      </c>
      <c r="R365" s="9">
        <f>0.2*testdata[[#This Row],[Q2]]+0.8*R364</f>
        <v>3.0033581814003276</v>
      </c>
      <c r="S365" s="9">
        <f>testdata[[#This Row],[I2'']]*Q364+testdata[[#This Row],[Q2'']]*R364</f>
        <v>7.9253532428304965</v>
      </c>
      <c r="T365" s="9">
        <f>testdata[[#This Row],[I2'']]*R364-testdata[[#This Row],[Q2'']]*Q364</f>
        <v>3.0908903932725091</v>
      </c>
      <c r="U365" s="9">
        <f>0.2*testdata[[#This Row],[Re]]+0.8*U364</f>
        <v>6.398290967245714</v>
      </c>
      <c r="V365" s="9">
        <f>0.2*testdata[[#This Row],[Im]]+0.8*V364</f>
        <v>2.2012952109129018</v>
      </c>
      <c r="W365" s="9">
        <f>IF(AND(testdata[[#This Row],[Re'']]&lt;&gt;0,testdata[[#This Row],[Im'']]&lt;&gt;0),2*PI()/ATAN(testdata[[#This Row],[Im'']]/testdata[[#This Row],[Re'']]),0)</f>
        <v>18.961855236704757</v>
      </c>
      <c r="X365" s="9">
        <f>IF(testdata[[#This Row],[pd-atan]]&gt;1.5*Z364,1.5*Z364,IF(testdata[[#This Row],[pd-atan]]&lt;0.67*Z364,0.67*Z364,testdata[[#This Row],[pd-atan]]))</f>
        <v>18.961855236704757</v>
      </c>
      <c r="Y365" s="9">
        <f>IF(testdata[[#This Row],[pd-limit1]]&lt;6,6,IF(testdata[[#This Row],[pd-limit1]]&gt;50,50,testdata[[#This Row],[pd-limit1]]))</f>
        <v>18.961855236704757</v>
      </c>
      <c r="Z365" s="14">
        <f>0.2*testdata[[#This Row],[pd-limit2]]+0.8*Z364</f>
        <v>20.710370298954132</v>
      </c>
      <c r="AA365" s="14">
        <f>0.33*testdata[[#This Row],[period]]+0.67*AA364</f>
        <v>21.161607916192899</v>
      </c>
      <c r="AB365" s="31">
        <f>TRUNC(testdata[[#This Row],[SmPd]]+0.5,0)</f>
        <v>21</v>
      </c>
      <c r="AC365" s="14">
        <f ca="1">IF(testdata[[#This Row],[PdInt]]&lt;=0,0,AVERAGE(OFFSET(testdata[[#This Row],[price]],0,0,-testdata[[#This Row],[PdInt]],1)))</f>
        <v>264.83142857142855</v>
      </c>
      <c r="AD365" s="14">
        <f ca="1">IF(testdata[[#This Row],[i]]&lt;11,testdata[[#This Row],[price]],(4*testdata[[#This Row],[iTrend]]+3*AC364+2*AC363+AC362)/10)</f>
        <v>264.52137012987015</v>
      </c>
      <c r="AE365" s="14">
        <f>(4*testdata[[#This Row],[price]]+3*H364+2*H363+H362)/10</f>
        <v>269.399</v>
      </c>
      <c r="AF365" t="str">
        <f ca="1">IF(OR(ROUND(testdata[[#This Row],[Trendline]],4)&lt;&gt;Table3[[#This Row],[Trendline]],ROUND(testdata[[#This Row],[SmPrice]],4)&lt;&gt;Table3[[#This Row],[SmPrice]]),"ERR","")</f>
        <v/>
      </c>
      <c r="AG365" s="3">
        <v>43264</v>
      </c>
      <c r="AH365" s="14">
        <v>21.1616</v>
      </c>
      <c r="AI365" s="34">
        <v>21</v>
      </c>
      <c r="AJ365" s="14">
        <v>264.83139999999997</v>
      </c>
      <c r="AK365" s="14">
        <v>264.52140000000003</v>
      </c>
      <c r="AL365" s="14">
        <v>269.399</v>
      </c>
      <c r="AN365" s="38">
        <f t="shared" si="16"/>
        <v>0</v>
      </c>
      <c r="AO365" s="38">
        <f t="shared" si="17"/>
        <v>0</v>
      </c>
      <c r="AQ365" s="37">
        <v>43264</v>
      </c>
      <c r="AR365">
        <v>21</v>
      </c>
      <c r="AS365">
        <v>264.52137012986998</v>
      </c>
      <c r="AT365">
        <v>269.399</v>
      </c>
      <c r="AV365" s="37">
        <v>43264</v>
      </c>
      <c r="AW365">
        <v>21</v>
      </c>
      <c r="AX365">
        <v>264.52137012986998</v>
      </c>
      <c r="AY365">
        <v>269.399</v>
      </c>
      <c r="BA365" s="38">
        <f>AX365-Table3[[#This Row],[Trendline]]</f>
        <v>-2.9870130049403087E-5</v>
      </c>
      <c r="BB365" s="38">
        <f>AY365-Table3[[#This Row],[SmPrice]]</f>
        <v>0</v>
      </c>
    </row>
    <row r="366" spans="1:54" x14ac:dyDescent="0.35">
      <c r="A366" s="6">
        <v>364</v>
      </c>
      <c r="B366" s="3">
        <v>43265</v>
      </c>
      <c r="C366" s="2">
        <v>269.8</v>
      </c>
      <c r="D366" s="2">
        <v>270.11</v>
      </c>
      <c r="E366" s="2">
        <v>268.88</v>
      </c>
      <c r="F366" s="2">
        <v>269.52999999999997</v>
      </c>
      <c r="G366" s="1">
        <v>79730104</v>
      </c>
      <c r="H366" s="30">
        <f>(testdata[[#This Row],[high]]+testdata[[#This Row],[low]])/2</f>
        <v>269.495</v>
      </c>
      <c r="I366" s="23">
        <f>(4*testdata[[#This Row],[price]]+3*H365+2*H364+H363)/10</f>
        <v>269.50450000000001</v>
      </c>
      <c r="J366" s="9">
        <f>(0.0962*testdata[[#This Row],[smooth]]+0.5769*I364-0.5769*I362-0.0962*I360)*(0.075*$Z365+0.54)</f>
        <v>2.375220622941856</v>
      </c>
      <c r="K366" s="14">
        <f t="shared" si="15"/>
        <v>3.8019629390231269</v>
      </c>
      <c r="L366" s="14">
        <f>(0.0962*testdata[[#This Row],[detrender]]+0.5769*J364-0.5769*J362-0.0962*J360)*(0.075*$Z365+0.54)</f>
        <v>-0.81588787812390373</v>
      </c>
      <c r="M366" s="9">
        <f>(0.0962*testdata[[#This Row],[I1]]+0.5769*K364-0.5769*K362-0.0962*K360)*(0.075*$Z365+0.54)</f>
        <v>3.8840792923521983</v>
      </c>
      <c r="N366" s="9">
        <f>(0.0962*testdata[[#This Row],[Q1]]+0.5769*L364-0.5769*L362-0.0962*L360)*(0.075*$Z365+0.54)</f>
        <v>-5.6943844189610031</v>
      </c>
      <c r="O366" s="9">
        <f>testdata[[#This Row],[I1]]-testdata[[#This Row],[JQ]]</f>
        <v>9.4963473579841295</v>
      </c>
      <c r="P366" s="9">
        <f>testdata[[#This Row],[Q1]]+testdata[[#This Row],[jI]]</f>
        <v>3.0681914142282944</v>
      </c>
      <c r="Q366" s="9">
        <f>0.2*testdata[[#This Row],[I2]]+0.8*Q365</f>
        <v>1.5438538216052677</v>
      </c>
      <c r="R366" s="9">
        <f>0.2*testdata[[#This Row],[Q2]]+0.8*R365</f>
        <v>3.0163248279659212</v>
      </c>
      <c r="S366" s="9">
        <f>testdata[[#This Row],[I2'']]*Q365+testdata[[#This Row],[Q2'']]*R365</f>
        <v>8.373216587960151</v>
      </c>
      <c r="T366" s="9">
        <f>testdata[[#This Row],[I2'']]*R365-testdata[[#This Row],[Q2'']]*Q365</f>
        <v>5.9768073176508203</v>
      </c>
      <c r="U366" s="9">
        <f>0.2*testdata[[#This Row],[Re]]+0.8*U365</f>
        <v>6.7932760913886021</v>
      </c>
      <c r="V366" s="9">
        <f>0.2*testdata[[#This Row],[Im]]+0.8*V365</f>
        <v>2.9563976322604857</v>
      </c>
      <c r="W366" s="9">
        <f>IF(AND(testdata[[#This Row],[Re'']]&lt;&gt;0,testdata[[#This Row],[Im'']]&lt;&gt;0),2*PI()/ATAN(testdata[[#This Row],[Im'']]/testdata[[#This Row],[Re'']]),0)</f>
        <v>15.307151265337541</v>
      </c>
      <c r="X366" s="9">
        <f>IF(testdata[[#This Row],[pd-atan]]&gt;1.5*Z365,1.5*Z365,IF(testdata[[#This Row],[pd-atan]]&lt;0.67*Z365,0.67*Z365,testdata[[#This Row],[pd-atan]]))</f>
        <v>15.307151265337541</v>
      </c>
      <c r="Y366" s="9">
        <f>IF(testdata[[#This Row],[pd-limit1]]&lt;6,6,IF(testdata[[#This Row],[pd-limit1]]&gt;50,50,testdata[[#This Row],[pd-limit1]]))</f>
        <v>15.307151265337541</v>
      </c>
      <c r="Z366" s="14">
        <f>0.2*testdata[[#This Row],[pd-limit2]]+0.8*Z365</f>
        <v>19.629726492230816</v>
      </c>
      <c r="AA366" s="14">
        <f>0.33*testdata[[#This Row],[period]]+0.67*AA365</f>
        <v>20.656087046285414</v>
      </c>
      <c r="AB366" s="31">
        <f>TRUNC(testdata[[#This Row],[SmPd]]+0.5,0)</f>
        <v>21</v>
      </c>
      <c r="AC366" s="14">
        <f ca="1">IF(testdata[[#This Row],[PdInt]]&lt;=0,0,AVERAGE(OFFSET(testdata[[#This Row],[price]],0,0,-testdata[[#This Row],[PdInt]],1)))</f>
        <v>265.19428571428568</v>
      </c>
      <c r="AD366" s="14">
        <f ca="1">IF(testdata[[#This Row],[i]]&lt;11,testdata[[#This Row],[price]],(4*testdata[[#This Row],[iTrend]]+3*AC365+2*AC364+AC363)/10)</f>
        <v>264.86345562770555</v>
      </c>
      <c r="AE366" s="14">
        <f>(4*testdata[[#This Row],[price]]+3*H365+2*H364+H363)/10</f>
        <v>269.50450000000001</v>
      </c>
      <c r="AF366" t="str">
        <f ca="1">IF(OR(ROUND(testdata[[#This Row],[Trendline]],4)&lt;&gt;Table3[[#This Row],[Trendline]],ROUND(testdata[[#This Row],[SmPrice]],4)&lt;&gt;Table3[[#This Row],[SmPrice]]),"ERR","")</f>
        <v/>
      </c>
      <c r="AG366" s="3">
        <v>43265</v>
      </c>
      <c r="AH366" s="14">
        <v>20.656099999999999</v>
      </c>
      <c r="AI366" s="34">
        <v>21</v>
      </c>
      <c r="AJ366" s="14">
        <v>265.1943</v>
      </c>
      <c r="AK366" s="14">
        <v>264.86349999999999</v>
      </c>
      <c r="AL366" s="14">
        <v>269.50450000000001</v>
      </c>
      <c r="AN366" s="38">
        <f t="shared" si="16"/>
        <v>0</v>
      </c>
      <c r="AO366" s="38">
        <f t="shared" si="17"/>
        <v>0</v>
      </c>
      <c r="AQ366" s="37">
        <v>43265</v>
      </c>
      <c r="AR366">
        <v>21</v>
      </c>
      <c r="AS366">
        <v>264.86345562770498</v>
      </c>
      <c r="AT366">
        <v>269.50450000000001</v>
      </c>
      <c r="AV366" s="37">
        <v>43265</v>
      </c>
      <c r="AW366">
        <v>21</v>
      </c>
      <c r="AX366">
        <v>264.86345562770498</v>
      </c>
      <c r="AY366">
        <v>269.50450000000001</v>
      </c>
      <c r="BA366" s="38">
        <f>AX366-Table3[[#This Row],[Trendline]]</f>
        <v>-4.4372295008088258E-5</v>
      </c>
      <c r="BB366" s="38">
        <f>AY366-Table3[[#This Row],[SmPrice]]</f>
        <v>0</v>
      </c>
    </row>
    <row r="367" spans="1:54" x14ac:dyDescent="0.35">
      <c r="A367" s="6">
        <v>365</v>
      </c>
      <c r="B367" s="3">
        <v>43266</v>
      </c>
      <c r="C367" s="2">
        <v>268.67</v>
      </c>
      <c r="D367" s="2">
        <v>269.55</v>
      </c>
      <c r="E367" s="2">
        <v>267.45</v>
      </c>
      <c r="F367" s="2">
        <v>269.18</v>
      </c>
      <c r="G367" s="1">
        <v>123585600</v>
      </c>
      <c r="H367" s="30">
        <f>(testdata[[#This Row],[high]]+testdata[[#This Row],[low]])/2</f>
        <v>268.5</v>
      </c>
      <c r="I367" s="23">
        <f>(4*testdata[[#This Row],[price]]+3*H366+2*H365+H364)/10</f>
        <v>269.09199999999998</v>
      </c>
      <c r="J367" s="9">
        <f>(0.0962*testdata[[#This Row],[smooth]]+0.5769*I365-0.5769*I363-0.0962*I361)*(0.075*$Z366+0.54)</f>
        <v>1.1988762671579618</v>
      </c>
      <c r="K367" s="14">
        <f t="shared" si="15"/>
        <v>3.0433896413836758</v>
      </c>
      <c r="L367" s="14">
        <f>(0.0962*testdata[[#This Row],[detrender]]+0.5769*J365-0.5769*J363-0.0962*J361)*(0.075*$Z366+0.54)</f>
        <v>-1.6451495757648884</v>
      </c>
      <c r="M367" s="9">
        <f>(0.0962*testdata[[#This Row],[I1]]+0.5769*K365-0.5769*K363-0.0962*K361)*(0.075*$Z366+0.54)</f>
        <v>0.82422408118636725</v>
      </c>
      <c r="N367" s="9">
        <f>(0.0962*testdata[[#This Row],[Q1]]+0.5769*L365-0.5769*L363-0.0962*L361)*(0.075*$Z366+0.54)</f>
        <v>-5.2096580802344201</v>
      </c>
      <c r="O367" s="9">
        <f>testdata[[#This Row],[I1]]-testdata[[#This Row],[JQ]]</f>
        <v>8.2530477216180955</v>
      </c>
      <c r="P367" s="9">
        <f>testdata[[#This Row],[Q1]]+testdata[[#This Row],[jI]]</f>
        <v>-0.82092549457852115</v>
      </c>
      <c r="Q367" s="9">
        <f>0.2*testdata[[#This Row],[I2]]+0.8*Q366</f>
        <v>2.8856926016078335</v>
      </c>
      <c r="R367" s="9">
        <f>0.2*testdata[[#This Row],[Q2]]+0.8*R366</f>
        <v>2.248874763457033</v>
      </c>
      <c r="S367" s="9">
        <f>testdata[[#This Row],[I2'']]*Q366+testdata[[#This Row],[Q2'']]*R366</f>
        <v>11.238424334971738</v>
      </c>
      <c r="T367" s="9">
        <f>testdata[[#This Row],[I2'']]*R366-testdata[[#This Row],[Q2'']]*Q366</f>
        <v>5.2322523422324974</v>
      </c>
      <c r="U367" s="9">
        <f>0.2*testdata[[#This Row],[Re]]+0.8*U366</f>
        <v>7.6823057401052299</v>
      </c>
      <c r="V367" s="9">
        <f>0.2*testdata[[#This Row],[Im]]+0.8*V366</f>
        <v>3.411568574254888</v>
      </c>
      <c r="W367" s="9">
        <f>IF(AND(testdata[[#This Row],[Re'']]&lt;&gt;0,testdata[[#This Row],[Im'']]&lt;&gt;0),2*PI()/ATAN(testdata[[#This Row],[Im'']]/testdata[[#This Row],[Re'']]),0)</f>
        <v>15.034382633058733</v>
      </c>
      <c r="X367" s="9">
        <f>IF(testdata[[#This Row],[pd-atan]]&gt;1.5*Z366,1.5*Z366,IF(testdata[[#This Row],[pd-atan]]&lt;0.67*Z366,0.67*Z366,testdata[[#This Row],[pd-atan]]))</f>
        <v>15.034382633058733</v>
      </c>
      <c r="Y367" s="9">
        <f>IF(testdata[[#This Row],[pd-limit1]]&lt;6,6,IF(testdata[[#This Row],[pd-limit1]]&gt;50,50,testdata[[#This Row],[pd-limit1]]))</f>
        <v>15.034382633058733</v>
      </c>
      <c r="Z367" s="14">
        <f>0.2*testdata[[#This Row],[pd-limit2]]+0.8*Z366</f>
        <v>18.710657720396402</v>
      </c>
      <c r="AA367" s="14">
        <f>0.33*testdata[[#This Row],[period]]+0.67*AA366</f>
        <v>20.014095368742041</v>
      </c>
      <c r="AB367" s="31">
        <f>TRUNC(testdata[[#This Row],[SmPd]]+0.5,0)</f>
        <v>20</v>
      </c>
      <c r="AC367" s="14">
        <f ca="1">IF(testdata[[#This Row],[PdInt]]&lt;=0,0,AVERAGE(OFFSET(testdata[[#This Row],[price]],0,0,-testdata[[#This Row],[PdInt]],1)))</f>
        <v>265.57150000000001</v>
      </c>
      <c r="AD367" s="14">
        <f ca="1">IF(testdata[[#This Row],[i]]&lt;11,testdata[[#This Row],[price]],(4*testdata[[#This Row],[iTrend]]+3*AC366+2*AC365+AC364)/10)</f>
        <v>265.21136190476187</v>
      </c>
      <c r="AE367" s="14">
        <f>(4*testdata[[#This Row],[price]]+3*H366+2*H365+H364)/10</f>
        <v>269.09199999999998</v>
      </c>
      <c r="AF367" t="str">
        <f ca="1">IF(OR(ROUND(testdata[[#This Row],[Trendline]],4)&lt;&gt;Table3[[#This Row],[Trendline]],ROUND(testdata[[#This Row],[SmPrice]],4)&lt;&gt;Table3[[#This Row],[SmPrice]]),"ERR","")</f>
        <v/>
      </c>
      <c r="AG367" s="3">
        <v>43266</v>
      </c>
      <c r="AH367" s="14">
        <v>20.014099999999999</v>
      </c>
      <c r="AI367" s="34">
        <v>20</v>
      </c>
      <c r="AJ367" s="14">
        <v>265.57150000000001</v>
      </c>
      <c r="AK367" s="14">
        <v>265.21140000000003</v>
      </c>
      <c r="AL367" s="14">
        <v>269.09199999999998</v>
      </c>
      <c r="AN367" s="38">
        <f t="shared" si="16"/>
        <v>0</v>
      </c>
      <c r="AO367" s="38">
        <f t="shared" si="17"/>
        <v>0</v>
      </c>
      <c r="AQ367" s="37">
        <v>43266</v>
      </c>
      <c r="AR367">
        <v>20</v>
      </c>
      <c r="AS367">
        <v>265.21136190476102</v>
      </c>
      <c r="AT367">
        <v>269.09199999999998</v>
      </c>
      <c r="AV367" s="37">
        <v>43266</v>
      </c>
      <c r="AW367">
        <v>20</v>
      </c>
      <c r="AX367">
        <v>265.21136190476102</v>
      </c>
      <c r="AY367">
        <v>269.09199999999998</v>
      </c>
      <c r="BA367" s="38">
        <f>AX367-Table3[[#This Row],[Trendline]]</f>
        <v>-3.8095239005997428E-5</v>
      </c>
      <c r="BB367" s="38">
        <f>AY367-Table3[[#This Row],[SmPrice]]</f>
        <v>0</v>
      </c>
    </row>
    <row r="368" spans="1:54" x14ac:dyDescent="0.35">
      <c r="A368" s="6">
        <v>366</v>
      </c>
      <c r="B368" s="3">
        <v>43269</v>
      </c>
      <c r="C368" s="2">
        <v>267.58999999999997</v>
      </c>
      <c r="D368" s="2">
        <v>268.77</v>
      </c>
      <c r="E368" s="2">
        <v>267.07</v>
      </c>
      <c r="F368" s="2">
        <v>268.63</v>
      </c>
      <c r="G368" s="1">
        <v>54479888</v>
      </c>
      <c r="H368" s="30">
        <f>(testdata[[#This Row],[high]]+testdata[[#This Row],[low]])/2</f>
        <v>267.91999999999996</v>
      </c>
      <c r="I368" s="23">
        <f>(4*testdata[[#This Row],[price]]+3*H367+2*H366+H365)/10</f>
        <v>268.56100000000004</v>
      </c>
      <c r="J368" s="9">
        <f>(0.0962*testdata[[#This Row],[smooth]]+0.5769*I366-0.5769*I364-0.0962*I362)*(0.075*$Z367+0.54)</f>
        <v>0.50204370562250888</v>
      </c>
      <c r="K368" s="14">
        <f t="shared" si="15"/>
        <v>2.7903964526872067</v>
      </c>
      <c r="L368" s="14">
        <f>(0.0962*testdata[[#This Row],[detrender]]+0.5769*J366-0.5769*J364-0.0962*J362)*(0.075*$Z367+0.54)</f>
        <v>-1.3213692751290667</v>
      </c>
      <c r="M368" s="9">
        <f>(0.0962*testdata[[#This Row],[I1]]+0.5769*K366-0.5769*K364-0.0962*K362)*(0.075*$Z367+0.54)</f>
        <v>0.47584089963573989</v>
      </c>
      <c r="N368" s="9">
        <f>(0.0962*testdata[[#This Row],[Q1]]+0.5769*L366-0.5769*L364-0.0962*L362)*(0.075*$Z367+0.54)</f>
        <v>-3.0680888465613583</v>
      </c>
      <c r="O368" s="9">
        <f>testdata[[#This Row],[I1]]-testdata[[#This Row],[JQ]]</f>
        <v>5.8584852992485654</v>
      </c>
      <c r="P368" s="9">
        <f>testdata[[#This Row],[Q1]]+testdata[[#This Row],[jI]]</f>
        <v>-0.84552837549332671</v>
      </c>
      <c r="Q368" s="9">
        <f>0.2*testdata[[#This Row],[I2]]+0.8*Q367</f>
        <v>3.4802511411359802</v>
      </c>
      <c r="R368" s="9">
        <f>0.2*testdata[[#This Row],[Q2]]+0.8*R367</f>
        <v>1.6299941356669612</v>
      </c>
      <c r="S368" s="9">
        <f>testdata[[#This Row],[I2'']]*Q367+testdata[[#This Row],[Q2'']]*R367</f>
        <v>13.708587645997707</v>
      </c>
      <c r="T368" s="9">
        <f>testdata[[#This Row],[I2'']]*R367-testdata[[#This Row],[Q2'']]*Q367</f>
        <v>3.1229869438349418</v>
      </c>
      <c r="U368" s="9">
        <f>0.2*testdata[[#This Row],[Re]]+0.8*U367</f>
        <v>8.8875621212837252</v>
      </c>
      <c r="V368" s="9">
        <f>0.2*testdata[[#This Row],[Im]]+0.8*V367</f>
        <v>3.3538522481708992</v>
      </c>
      <c r="W368" s="9">
        <f>IF(AND(testdata[[#This Row],[Re'']]&lt;&gt;0,testdata[[#This Row],[Im'']]&lt;&gt;0),2*PI()/ATAN(testdata[[#This Row],[Im'']]/testdata[[#This Row],[Re'']]),0)</f>
        <v>17.412555756002192</v>
      </c>
      <c r="X368" s="9">
        <f>IF(testdata[[#This Row],[pd-atan]]&gt;1.5*Z367,1.5*Z367,IF(testdata[[#This Row],[pd-atan]]&lt;0.67*Z367,0.67*Z367,testdata[[#This Row],[pd-atan]]))</f>
        <v>17.412555756002192</v>
      </c>
      <c r="Y368" s="9">
        <f>IF(testdata[[#This Row],[pd-limit1]]&lt;6,6,IF(testdata[[#This Row],[pd-limit1]]&gt;50,50,testdata[[#This Row],[pd-limit1]]))</f>
        <v>17.412555756002192</v>
      </c>
      <c r="Z368" s="14">
        <f>0.2*testdata[[#This Row],[pd-limit2]]+0.8*Z367</f>
        <v>18.451037327517561</v>
      </c>
      <c r="AA368" s="14">
        <f>0.33*testdata[[#This Row],[period]]+0.67*AA367</f>
        <v>19.498286215137963</v>
      </c>
      <c r="AB368" s="31">
        <f>TRUNC(testdata[[#This Row],[SmPd]]+0.5,0)</f>
        <v>19</v>
      </c>
      <c r="AC368" s="14">
        <f ca="1">IF(testdata[[#This Row],[PdInt]]&lt;=0,0,AVERAGE(OFFSET(testdata[[#This Row],[price]],0,0,-testdata[[#This Row],[PdInt]],1)))</f>
        <v>265.95657894736843</v>
      </c>
      <c r="AD368" s="14">
        <f ca="1">IF(testdata[[#This Row],[i]]&lt;11,testdata[[#This Row],[price]],(4*testdata[[#This Row],[iTrend]]+3*AC367+2*AC366+AC365)/10)</f>
        <v>265.57608157894737</v>
      </c>
      <c r="AE368" s="14">
        <f>(4*testdata[[#This Row],[price]]+3*H367+2*H366+H365)/10</f>
        <v>268.56100000000004</v>
      </c>
      <c r="AF368" t="str">
        <f ca="1">IF(OR(ROUND(testdata[[#This Row],[Trendline]],4)&lt;&gt;Table3[[#This Row],[Trendline]],ROUND(testdata[[#This Row],[SmPrice]],4)&lt;&gt;Table3[[#This Row],[SmPrice]]),"ERR","")</f>
        <v/>
      </c>
      <c r="AG368" s="3">
        <v>43269</v>
      </c>
      <c r="AH368" s="14">
        <v>19.4983</v>
      </c>
      <c r="AI368" s="34">
        <v>19</v>
      </c>
      <c r="AJ368" s="14">
        <v>265.95659999999998</v>
      </c>
      <c r="AK368" s="14">
        <v>265.5761</v>
      </c>
      <c r="AL368" s="14">
        <v>268.56099999999998</v>
      </c>
      <c r="AN368" s="38">
        <f t="shared" si="16"/>
        <v>0</v>
      </c>
      <c r="AO368" s="38">
        <f t="shared" si="17"/>
        <v>0</v>
      </c>
      <c r="AQ368" s="37">
        <v>43269</v>
      </c>
      <c r="AR368">
        <v>19</v>
      </c>
      <c r="AS368">
        <v>265.57608157894703</v>
      </c>
      <c r="AT368">
        <v>268.56099999999998</v>
      </c>
      <c r="AV368" s="37">
        <v>43269</v>
      </c>
      <c r="AW368">
        <v>19</v>
      </c>
      <c r="AX368">
        <v>265.57608157894703</v>
      </c>
      <c r="AY368">
        <v>268.56099999999998</v>
      </c>
      <c r="BA368" s="38">
        <f>AX368-Table3[[#This Row],[Trendline]]</f>
        <v>-1.8421052971007157E-5</v>
      </c>
      <c r="BB368" s="38">
        <f>AY368-Table3[[#This Row],[SmPrice]]</f>
        <v>0</v>
      </c>
    </row>
    <row r="369" spans="1:54" x14ac:dyDescent="0.35">
      <c r="A369" s="6">
        <v>367</v>
      </c>
      <c r="B369" s="3">
        <v>43270</v>
      </c>
      <c r="C369" s="2">
        <v>266.14</v>
      </c>
      <c r="D369" s="2">
        <v>267.83999999999997</v>
      </c>
      <c r="E369" s="2">
        <v>265.69</v>
      </c>
      <c r="F369" s="2">
        <v>267.60000000000002</v>
      </c>
      <c r="G369" s="1">
        <v>100410976</v>
      </c>
      <c r="H369" s="30">
        <f>(testdata[[#This Row],[high]]+testdata[[#This Row],[low]])/2</f>
        <v>266.76499999999999</v>
      </c>
      <c r="I369" s="23">
        <f>(4*testdata[[#This Row],[price]]+3*H368+2*H367+H366)/10</f>
        <v>267.73149999999998</v>
      </c>
      <c r="J369" s="9">
        <f>(0.0962*testdata[[#This Row],[smooth]]+0.5769*I367-0.5769*I365-0.0962*I363)*(0.075*$Z368+0.54)</f>
        <v>-0.5184877521359913</v>
      </c>
      <c r="K369" s="14">
        <f t="shared" si="15"/>
        <v>2.375220622941856</v>
      </c>
      <c r="L369" s="14">
        <f>(0.0962*testdata[[#This Row],[detrender]]+0.5769*J367-0.5769*J365-0.0962*J363)*(0.075*$Z368+0.54)</f>
        <v>-2.5659540996297339</v>
      </c>
      <c r="M369" s="9">
        <f>(0.0962*testdata[[#This Row],[I1]]+0.5769*K367-0.5769*K365-0.0962*K363)*(0.075*$Z368+0.54)</f>
        <v>-0.74984209068733099</v>
      </c>
      <c r="N369" s="9">
        <f>(0.0962*testdata[[#This Row],[Q1]]+0.5769*L367-0.5769*L365-0.0962*L363)*(0.075*$Z368+0.54)</f>
        <v>-3.6284288160292144</v>
      </c>
      <c r="O369" s="9">
        <f>testdata[[#This Row],[I1]]-testdata[[#This Row],[JQ]]</f>
        <v>6.0036494389710704</v>
      </c>
      <c r="P369" s="9">
        <f>testdata[[#This Row],[Q1]]+testdata[[#This Row],[jI]]</f>
        <v>-3.315796190317065</v>
      </c>
      <c r="Q369" s="9">
        <f>0.2*testdata[[#This Row],[I2]]+0.8*Q368</f>
        <v>3.9849308007029984</v>
      </c>
      <c r="R369" s="9">
        <f>0.2*testdata[[#This Row],[Q2]]+0.8*R368</f>
        <v>0.64083607047015589</v>
      </c>
      <c r="S369" s="9">
        <f>testdata[[#This Row],[I2'']]*Q368+testdata[[#This Row],[Q2'']]*R368</f>
        <v>14.91311900328474</v>
      </c>
      <c r="T369" s="9">
        <f>testdata[[#This Row],[I2'']]*R368-testdata[[#This Row],[Q2'']]*Q368</f>
        <v>4.2651433706496782</v>
      </c>
      <c r="U369" s="9">
        <f>0.2*testdata[[#This Row],[Re]]+0.8*U368</f>
        <v>10.092673497683929</v>
      </c>
      <c r="V369" s="9">
        <f>0.2*testdata[[#This Row],[Im]]+0.8*V368</f>
        <v>3.536110472666655</v>
      </c>
      <c r="W369" s="9">
        <f>IF(AND(testdata[[#This Row],[Re'']]&lt;&gt;0,testdata[[#This Row],[Im'']]&lt;&gt;0),2*PI()/ATAN(testdata[[#This Row],[Im'']]/testdata[[#This Row],[Re'']]),0)</f>
        <v>18.644513904630468</v>
      </c>
      <c r="X369" s="9">
        <f>IF(testdata[[#This Row],[pd-atan]]&gt;1.5*Z368,1.5*Z368,IF(testdata[[#This Row],[pd-atan]]&lt;0.67*Z368,0.67*Z368,testdata[[#This Row],[pd-atan]]))</f>
        <v>18.644513904630468</v>
      </c>
      <c r="Y369" s="9">
        <f>IF(testdata[[#This Row],[pd-limit1]]&lt;6,6,IF(testdata[[#This Row],[pd-limit1]]&gt;50,50,testdata[[#This Row],[pd-limit1]]))</f>
        <v>18.644513904630468</v>
      </c>
      <c r="Z369" s="14">
        <f>0.2*testdata[[#This Row],[pd-limit2]]+0.8*Z368</f>
        <v>18.489732642940144</v>
      </c>
      <c r="AA369" s="14">
        <f>0.33*testdata[[#This Row],[period]]+0.67*AA368</f>
        <v>19.165463536312686</v>
      </c>
      <c r="AB369" s="31">
        <f>TRUNC(testdata[[#This Row],[SmPd]]+0.5,0)</f>
        <v>19</v>
      </c>
      <c r="AC369" s="14">
        <f ca="1">IF(testdata[[#This Row],[PdInt]]&lt;=0,0,AVERAGE(OFFSET(testdata[[#This Row],[price]],0,0,-testdata[[#This Row],[PdInt]],1)))</f>
        <v>266.09026315789475</v>
      </c>
      <c r="AD369" s="14">
        <f ca="1">IF(testdata[[#This Row],[i]]&lt;11,testdata[[#This Row],[price]],(4*testdata[[#This Row],[iTrend]]+3*AC368+2*AC367+AC366)/10)</f>
        <v>265.85680751879698</v>
      </c>
      <c r="AE369" s="14">
        <f>(4*testdata[[#This Row],[price]]+3*H368+2*H367+H366)/10</f>
        <v>267.73149999999998</v>
      </c>
      <c r="AF369" t="str">
        <f ca="1">IF(OR(ROUND(testdata[[#This Row],[Trendline]],4)&lt;&gt;Table3[[#This Row],[Trendline]],ROUND(testdata[[#This Row],[SmPrice]],4)&lt;&gt;Table3[[#This Row],[SmPrice]]),"ERR","")</f>
        <v/>
      </c>
      <c r="AG369" s="3">
        <v>43270</v>
      </c>
      <c r="AH369" s="14">
        <v>19.165500000000002</v>
      </c>
      <c r="AI369" s="34">
        <v>19</v>
      </c>
      <c r="AJ369" s="14">
        <v>266.09030000000001</v>
      </c>
      <c r="AK369" s="14">
        <v>265.85680000000002</v>
      </c>
      <c r="AL369" s="14">
        <v>267.73149999999998</v>
      </c>
      <c r="AN369" s="38">
        <f t="shared" si="16"/>
        <v>0</v>
      </c>
      <c r="AO369" s="38">
        <f t="shared" si="17"/>
        <v>0</v>
      </c>
      <c r="AQ369" s="37">
        <v>43270</v>
      </c>
      <c r="AR369">
        <v>19</v>
      </c>
      <c r="AS369">
        <v>265.85680751879698</v>
      </c>
      <c r="AT369">
        <v>267.73149999999998</v>
      </c>
      <c r="AV369" s="37">
        <v>43270</v>
      </c>
      <c r="AW369">
        <v>19</v>
      </c>
      <c r="AX369">
        <v>265.85680751879698</v>
      </c>
      <c r="AY369">
        <v>267.73149999999998</v>
      </c>
      <c r="BA369" s="38">
        <f>AX369-Table3[[#This Row],[Trendline]]</f>
        <v>7.5187969628132123E-6</v>
      </c>
      <c r="BB369" s="38">
        <f>AY369-Table3[[#This Row],[SmPrice]]</f>
        <v>0</v>
      </c>
    </row>
    <row r="370" spans="1:54" x14ac:dyDescent="0.35">
      <c r="A370" s="6">
        <v>368</v>
      </c>
      <c r="B370" s="3">
        <v>43271</v>
      </c>
      <c r="C370" s="2">
        <v>268.35000000000002</v>
      </c>
      <c r="D370" s="2">
        <v>268.77999999999997</v>
      </c>
      <c r="E370" s="2">
        <v>267.69</v>
      </c>
      <c r="F370" s="2">
        <v>268.06</v>
      </c>
      <c r="G370" s="1">
        <v>55373416</v>
      </c>
      <c r="H370" s="30">
        <f>(testdata[[#This Row],[high]]+testdata[[#This Row],[low]])/2</f>
        <v>268.23500000000001</v>
      </c>
      <c r="I370" s="23">
        <f>(4*testdata[[#This Row],[price]]+3*H369+2*H368+H367)/10</f>
        <v>267.75749999999999</v>
      </c>
      <c r="J370" s="9">
        <f>(0.0962*testdata[[#This Row],[smooth]]+0.5769*I368-0.5769*I366-0.0962*I364)*(0.075*$Z369+0.54)</f>
        <v>-1.3136888898220065</v>
      </c>
      <c r="K370" s="14">
        <f t="shared" si="15"/>
        <v>1.1988762671579618</v>
      </c>
      <c r="L370" s="14">
        <f>(0.0962*testdata[[#This Row],[detrender]]+0.5769*J368-0.5769*J366-0.0962*J364)*(0.075*$Z369+0.54)</f>
        <v>-2.8896839860987464</v>
      </c>
      <c r="M370" s="9">
        <f>(0.0962*testdata[[#This Row],[I1]]+0.5769*K368-0.5769*K366-0.0962*K364)*(0.075*$Z369+0.54)</f>
        <v>-1.5752472456729949</v>
      </c>
      <c r="N370" s="9">
        <f>(0.0962*testdata[[#This Row],[Q1]]+0.5769*L368-0.5769*L366-0.0962*L364)*(0.075*$Z369+0.54)</f>
        <v>-1.2608349812713566</v>
      </c>
      <c r="O370" s="9">
        <f>testdata[[#This Row],[I1]]-testdata[[#This Row],[JQ]]</f>
        <v>2.4597112484293184</v>
      </c>
      <c r="P370" s="9">
        <f>testdata[[#This Row],[Q1]]+testdata[[#This Row],[jI]]</f>
        <v>-4.4649312317717413</v>
      </c>
      <c r="Q370" s="9">
        <f>0.2*testdata[[#This Row],[I2]]+0.8*Q369</f>
        <v>3.6798868902482629</v>
      </c>
      <c r="R370" s="9">
        <f>0.2*testdata[[#This Row],[Q2]]+0.8*R369</f>
        <v>-0.38031738997822362</v>
      </c>
      <c r="S370" s="9">
        <f>testdata[[#This Row],[I2'']]*Q369+testdata[[#This Row],[Q2'']]*R369</f>
        <v>14.420373510328366</v>
      </c>
      <c r="T370" s="9">
        <f>testdata[[#This Row],[I2'']]*R369-testdata[[#This Row],[Q2'']]*Q369</f>
        <v>3.8737427358885359</v>
      </c>
      <c r="U370" s="9">
        <f>0.2*testdata[[#This Row],[Re]]+0.8*U369</f>
        <v>10.958213500212818</v>
      </c>
      <c r="V370" s="9">
        <f>0.2*testdata[[#This Row],[Im]]+0.8*V369</f>
        <v>3.6036369253110316</v>
      </c>
      <c r="W370" s="9">
        <f>IF(AND(testdata[[#This Row],[Re'']]&lt;&gt;0,testdata[[#This Row],[Im'']]&lt;&gt;0),2*PI()/ATAN(testdata[[#This Row],[Im'']]/testdata[[#This Row],[Re'']]),0)</f>
        <v>19.776325018163675</v>
      </c>
      <c r="X370" s="9">
        <f>IF(testdata[[#This Row],[pd-atan]]&gt;1.5*Z369,1.5*Z369,IF(testdata[[#This Row],[pd-atan]]&lt;0.67*Z369,0.67*Z369,testdata[[#This Row],[pd-atan]]))</f>
        <v>19.776325018163675</v>
      </c>
      <c r="Y370" s="9">
        <f>IF(testdata[[#This Row],[pd-limit1]]&lt;6,6,IF(testdata[[#This Row],[pd-limit1]]&gt;50,50,testdata[[#This Row],[pd-limit1]]))</f>
        <v>19.776325018163675</v>
      </c>
      <c r="Z370" s="14">
        <f>0.2*testdata[[#This Row],[pd-limit2]]+0.8*Z369</f>
        <v>18.747051117984849</v>
      </c>
      <c r="AA370" s="14">
        <f>0.33*testdata[[#This Row],[period]]+0.67*AA369</f>
        <v>19.027387438264501</v>
      </c>
      <c r="AB370" s="31">
        <f>TRUNC(testdata[[#This Row],[SmPd]]+0.5,0)</f>
        <v>19</v>
      </c>
      <c r="AC370" s="14">
        <f ca="1">IF(testdata[[#This Row],[PdInt]]&lt;=0,0,AVERAGE(OFFSET(testdata[[#This Row],[price]],0,0,-testdata[[#This Row],[PdInt]],1)))</f>
        <v>266.35526315789474</v>
      </c>
      <c r="AD370" s="14">
        <f ca="1">IF(testdata[[#This Row],[i]]&lt;11,testdata[[#This Row],[price]],(4*testdata[[#This Row],[iTrend]]+3*AC369+2*AC368+AC367)/10)</f>
        <v>266.11765000000003</v>
      </c>
      <c r="AE370" s="14">
        <f>(4*testdata[[#This Row],[price]]+3*H369+2*H368+H367)/10</f>
        <v>267.75749999999999</v>
      </c>
      <c r="AF370" t="str">
        <f ca="1">IF(OR(ROUND(testdata[[#This Row],[Trendline]],4)&lt;&gt;Table3[[#This Row],[Trendline]],ROUND(testdata[[#This Row],[SmPrice]],4)&lt;&gt;Table3[[#This Row],[SmPrice]]),"ERR","")</f>
        <v/>
      </c>
      <c r="AG370" s="3">
        <v>43271</v>
      </c>
      <c r="AH370" s="14">
        <v>19.0274</v>
      </c>
      <c r="AI370" s="34">
        <v>19</v>
      </c>
      <c r="AJ370" s="14">
        <v>266.3553</v>
      </c>
      <c r="AK370" s="14">
        <v>266.11770000000001</v>
      </c>
      <c r="AL370" s="14">
        <v>267.75749999999999</v>
      </c>
      <c r="AN370" s="38">
        <f t="shared" si="16"/>
        <v>0</v>
      </c>
      <c r="AO370" s="38">
        <f t="shared" si="17"/>
        <v>0</v>
      </c>
      <c r="AQ370" s="37">
        <v>43271</v>
      </c>
      <c r="AR370">
        <v>19</v>
      </c>
      <c r="AS370">
        <v>266.11765000000003</v>
      </c>
      <c r="AT370">
        <v>267.75749999999999</v>
      </c>
      <c r="AV370" s="37">
        <v>43271</v>
      </c>
      <c r="AW370">
        <v>19</v>
      </c>
      <c r="AX370">
        <v>266.11765000000003</v>
      </c>
      <c r="AY370">
        <v>267.75749999999999</v>
      </c>
      <c r="BA370" s="38">
        <f>AX370-Table3[[#This Row],[Trendline]]</f>
        <v>-4.9999999987448973E-5</v>
      </c>
      <c r="BB370" s="38">
        <f>AY370-Table3[[#This Row],[SmPrice]]</f>
        <v>0</v>
      </c>
    </row>
    <row r="371" spans="1:54" x14ac:dyDescent="0.35">
      <c r="A371" s="6">
        <v>369</v>
      </c>
      <c r="B371" s="3">
        <v>43272</v>
      </c>
      <c r="C371" s="2">
        <v>268.05</v>
      </c>
      <c r="D371" s="2">
        <v>268.07</v>
      </c>
      <c r="E371" s="2">
        <v>265.83</v>
      </c>
      <c r="F371" s="2">
        <v>266.38</v>
      </c>
      <c r="G371" s="1">
        <v>73159376</v>
      </c>
      <c r="H371" s="30">
        <f>(testdata[[#This Row],[high]]+testdata[[#This Row],[low]])/2</f>
        <v>266.95</v>
      </c>
      <c r="I371" s="23">
        <f>(4*testdata[[#This Row],[price]]+3*H370+2*H369+H368)/10</f>
        <v>267.39549999999997</v>
      </c>
      <c r="J371" s="9">
        <f>(0.0962*testdata[[#This Row],[smooth]]+0.5769*I369-0.5769*I367-0.0962*I365)*(0.075*$Z370+0.54)</f>
        <v>-1.9024555941344912</v>
      </c>
      <c r="K371" s="14">
        <f t="shared" si="15"/>
        <v>0.50204370562250888</v>
      </c>
      <c r="L371" s="14">
        <f>(0.0962*testdata[[#This Row],[detrender]]+0.5769*J369-0.5769*J367-0.0962*J365)*(0.075*$Z370+0.54)</f>
        <v>-2.8065621412768764</v>
      </c>
      <c r="M371" s="9">
        <f>(0.0962*testdata[[#This Row],[I1]]+0.5769*K369-0.5769*K367-0.0962*K365)*(0.075*$Z370+0.54)</f>
        <v>-1.3232252340904278</v>
      </c>
      <c r="N371" s="9">
        <f>(0.0962*testdata[[#This Row],[Q1]]+0.5769*L369-0.5769*L367-0.0962*L365)*(0.075*$Z370+0.54)</f>
        <v>-1.6566240393387912</v>
      </c>
      <c r="O371" s="9">
        <f>testdata[[#This Row],[I1]]-testdata[[#This Row],[JQ]]</f>
        <v>2.1586677449613001</v>
      </c>
      <c r="P371" s="9">
        <f>testdata[[#This Row],[Q1]]+testdata[[#This Row],[jI]]</f>
        <v>-4.1297873753673038</v>
      </c>
      <c r="Q371" s="9">
        <f>0.2*testdata[[#This Row],[I2]]+0.8*Q370</f>
        <v>3.3756430611908703</v>
      </c>
      <c r="R371" s="9">
        <f>0.2*testdata[[#This Row],[Q2]]+0.8*R370</f>
        <v>-1.1302113870560397</v>
      </c>
      <c r="S371" s="9">
        <f>testdata[[#This Row],[I2'']]*Q370+testdata[[#This Row],[Q2'']]*R370</f>
        <v>12.85182369188262</v>
      </c>
      <c r="T371" s="9">
        <f>testdata[[#This Row],[I2'']]*R370-testdata[[#This Row],[Q2'']]*Q370</f>
        <v>2.8752343079066129</v>
      </c>
      <c r="U371" s="9">
        <f>0.2*testdata[[#This Row],[Re]]+0.8*U370</f>
        <v>11.336935538546779</v>
      </c>
      <c r="V371" s="9">
        <f>0.2*testdata[[#This Row],[Im]]+0.8*V370</f>
        <v>3.4579564018301481</v>
      </c>
      <c r="W371" s="9">
        <f>IF(AND(testdata[[#This Row],[Re'']]&lt;&gt;0,testdata[[#This Row],[Im'']]&lt;&gt;0),2*PI()/ATAN(testdata[[#This Row],[Im'']]/testdata[[#This Row],[Re'']]),0)</f>
        <v>21.22317491484851</v>
      </c>
      <c r="X371" s="9">
        <f>IF(testdata[[#This Row],[pd-atan]]&gt;1.5*Z370,1.5*Z370,IF(testdata[[#This Row],[pd-atan]]&lt;0.67*Z370,0.67*Z370,testdata[[#This Row],[pd-atan]]))</f>
        <v>21.22317491484851</v>
      </c>
      <c r="Y371" s="9">
        <f>IF(testdata[[#This Row],[pd-limit1]]&lt;6,6,IF(testdata[[#This Row],[pd-limit1]]&gt;50,50,testdata[[#This Row],[pd-limit1]]))</f>
        <v>21.22317491484851</v>
      </c>
      <c r="Z371" s="14">
        <f>0.2*testdata[[#This Row],[pd-limit2]]+0.8*Z370</f>
        <v>19.242275877357581</v>
      </c>
      <c r="AA371" s="14">
        <f>0.33*testdata[[#This Row],[period]]+0.67*AA370</f>
        <v>19.098300623165219</v>
      </c>
      <c r="AB371" s="31">
        <f>TRUNC(testdata[[#This Row],[SmPd]]+0.5,0)</f>
        <v>19</v>
      </c>
      <c r="AC371" s="14">
        <f ca="1">IF(testdata[[#This Row],[PdInt]]&lt;=0,0,AVERAGE(OFFSET(testdata[[#This Row],[price]],0,0,-testdata[[#This Row],[PdInt]],1)))</f>
        <v>266.56210526315789</v>
      </c>
      <c r="AD371" s="14">
        <f ca="1">IF(testdata[[#This Row],[i]]&lt;11,testdata[[#This Row],[price]],(4*testdata[[#This Row],[iTrend]]+3*AC370+2*AC369+AC368)/10)</f>
        <v>266.34513157894742</v>
      </c>
      <c r="AE371" s="14">
        <f>(4*testdata[[#This Row],[price]]+3*H370+2*H369+H368)/10</f>
        <v>267.39549999999997</v>
      </c>
      <c r="AF371" t="str">
        <f ca="1">IF(OR(ROUND(testdata[[#This Row],[Trendline]],4)&lt;&gt;Table3[[#This Row],[Trendline]],ROUND(testdata[[#This Row],[SmPrice]],4)&lt;&gt;Table3[[#This Row],[SmPrice]]),"ERR","")</f>
        <v/>
      </c>
      <c r="AG371" s="3">
        <v>43272</v>
      </c>
      <c r="AH371" s="14">
        <v>19.098299999999998</v>
      </c>
      <c r="AI371" s="34">
        <v>19</v>
      </c>
      <c r="AJ371" s="14">
        <v>266.56209999999999</v>
      </c>
      <c r="AK371" s="14">
        <v>266.3451</v>
      </c>
      <c r="AL371" s="14">
        <v>267.39550000000003</v>
      </c>
      <c r="AN371" s="38">
        <f t="shared" si="16"/>
        <v>0</v>
      </c>
      <c r="AO371" s="38">
        <f t="shared" si="17"/>
        <v>0</v>
      </c>
      <c r="AQ371" s="37">
        <v>43272</v>
      </c>
      <c r="AR371">
        <v>19</v>
      </c>
      <c r="AS371">
        <v>266.34513157894702</v>
      </c>
      <c r="AT371">
        <v>267.395499999999</v>
      </c>
      <c r="AV371" s="37">
        <v>43272</v>
      </c>
      <c r="AW371">
        <v>19</v>
      </c>
      <c r="AX371">
        <v>266.34513157894702</v>
      </c>
      <c r="AY371">
        <v>267.395499999999</v>
      </c>
      <c r="BA371" s="38">
        <f>AX371-Table3[[#This Row],[Trendline]]</f>
        <v>3.1578947016441816E-5</v>
      </c>
      <c r="BB371" s="38">
        <f>AY371-Table3[[#This Row],[SmPrice]]</f>
        <v>-1.0231815394945443E-12</v>
      </c>
    </row>
    <row r="372" spans="1:54" x14ac:dyDescent="0.35">
      <c r="A372" s="6">
        <v>370</v>
      </c>
      <c r="B372" s="3">
        <v>43273</v>
      </c>
      <c r="C372" s="2">
        <v>267.76</v>
      </c>
      <c r="D372" s="2">
        <v>267.88</v>
      </c>
      <c r="E372" s="2">
        <v>266.62</v>
      </c>
      <c r="F372" s="2">
        <v>266.86</v>
      </c>
      <c r="G372" s="1">
        <v>58283384</v>
      </c>
      <c r="H372" s="30">
        <f>(testdata[[#This Row],[high]]+testdata[[#This Row],[low]])/2</f>
        <v>267.25</v>
      </c>
      <c r="I372" s="23">
        <f>(4*testdata[[#This Row],[price]]+3*H371+2*H370+H369)/10</f>
        <v>267.30849999999998</v>
      </c>
      <c r="J372" s="9">
        <f>(0.0962*testdata[[#This Row],[smooth]]+0.5769*I370-0.5769*I368-0.0962*I366)*(0.075*$Z371+0.54)</f>
        <v>-1.3382323772386764</v>
      </c>
      <c r="K372" s="14">
        <f t="shared" si="15"/>
        <v>-0.5184877521359913</v>
      </c>
      <c r="L372" s="14">
        <f>(0.0962*testdata[[#This Row],[detrender]]+0.5769*J370-0.5769*J368-0.0962*J366)*(0.075*$Z371+0.54)</f>
        <v>-2.7858199850822705</v>
      </c>
      <c r="M372" s="9">
        <f>(0.0962*testdata[[#This Row],[I1]]+0.5769*K370-0.5769*K368-0.0962*K366)*(0.075*$Z371+0.54)</f>
        <v>-2.6451041852509913</v>
      </c>
      <c r="N372" s="9">
        <f>(0.0962*testdata[[#This Row],[Q1]]+0.5769*L370-0.5769*L368-0.0962*L366)*(0.075*$Z371+0.54)</f>
        <v>-2.1701206725837996</v>
      </c>
      <c r="O372" s="9">
        <f>testdata[[#This Row],[I1]]-testdata[[#This Row],[JQ]]</f>
        <v>1.6516329204478084</v>
      </c>
      <c r="P372" s="9">
        <f>testdata[[#This Row],[Q1]]+testdata[[#This Row],[jI]]</f>
        <v>-5.4309241703332614</v>
      </c>
      <c r="Q372" s="9">
        <f>0.2*testdata[[#This Row],[I2]]+0.8*Q371</f>
        <v>3.0308410330422584</v>
      </c>
      <c r="R372" s="9">
        <f>0.2*testdata[[#This Row],[Q2]]+0.8*R371</f>
        <v>-1.9903539437114841</v>
      </c>
      <c r="S372" s="9">
        <f>testdata[[#This Row],[I2'']]*Q371+testdata[[#This Row],[Q2'']]*R371</f>
        <v>12.480558194216284</v>
      </c>
      <c r="T372" s="9">
        <f>testdata[[#This Row],[I2'']]*R371-testdata[[#This Row],[Q2'']]*Q371</f>
        <v>3.2932334315025038</v>
      </c>
      <c r="U372" s="9">
        <f>0.2*testdata[[#This Row],[Re]]+0.8*U371</f>
        <v>11.56566006968068</v>
      </c>
      <c r="V372" s="9">
        <f>0.2*testdata[[#This Row],[Im]]+0.8*V371</f>
        <v>3.4250118077646197</v>
      </c>
      <c r="W372" s="9">
        <f>IF(AND(testdata[[#This Row],[Re'']]&lt;&gt;0,testdata[[#This Row],[Im'']]&lt;&gt;0),2*PI()/ATAN(testdata[[#This Row],[Im'']]/testdata[[#This Row],[Re'']]),0)</f>
        <v>21.823559843431184</v>
      </c>
      <c r="X372" s="9">
        <f>IF(testdata[[#This Row],[pd-atan]]&gt;1.5*Z371,1.5*Z371,IF(testdata[[#This Row],[pd-atan]]&lt;0.67*Z371,0.67*Z371,testdata[[#This Row],[pd-atan]]))</f>
        <v>21.823559843431184</v>
      </c>
      <c r="Y372" s="9">
        <f>IF(testdata[[#This Row],[pd-limit1]]&lt;6,6,IF(testdata[[#This Row],[pd-limit1]]&gt;50,50,testdata[[#This Row],[pd-limit1]]))</f>
        <v>21.823559843431184</v>
      </c>
      <c r="Z372" s="14">
        <f>0.2*testdata[[#This Row],[pd-limit2]]+0.8*Z371</f>
        <v>19.758532670572301</v>
      </c>
      <c r="AA372" s="14">
        <f>0.33*testdata[[#This Row],[period]]+0.67*AA371</f>
        <v>19.316177198809555</v>
      </c>
      <c r="AB372" s="31">
        <f>TRUNC(testdata[[#This Row],[SmPd]]+0.5,0)</f>
        <v>19</v>
      </c>
      <c r="AC372" s="14">
        <f ca="1">IF(testdata[[#This Row],[PdInt]]&lt;=0,0,AVERAGE(OFFSET(testdata[[#This Row],[price]],0,0,-testdata[[#This Row],[PdInt]],1)))</f>
        <v>266.77368421052631</v>
      </c>
      <c r="AD372" s="14">
        <f ca="1">IF(testdata[[#This Row],[i]]&lt;11,testdata[[#This Row],[price]],(4*testdata[[#This Row],[iTrend]]+3*AC371+2*AC370+AC369)/10)</f>
        <v>266.55818421052629</v>
      </c>
      <c r="AE372" s="14">
        <f>(4*testdata[[#This Row],[price]]+3*H371+2*H370+H369)/10</f>
        <v>267.30849999999998</v>
      </c>
      <c r="AF372" t="str">
        <f ca="1">IF(OR(ROUND(testdata[[#This Row],[Trendline]],4)&lt;&gt;Table3[[#This Row],[Trendline]],ROUND(testdata[[#This Row],[SmPrice]],4)&lt;&gt;Table3[[#This Row],[SmPrice]]),"ERR","")</f>
        <v/>
      </c>
      <c r="AG372" s="3">
        <v>43273</v>
      </c>
      <c r="AH372" s="14">
        <v>19.316199999999998</v>
      </c>
      <c r="AI372" s="34">
        <v>19</v>
      </c>
      <c r="AJ372" s="14">
        <v>266.77370000000002</v>
      </c>
      <c r="AK372" s="14">
        <v>266.5582</v>
      </c>
      <c r="AL372" s="14">
        <v>267.30849999999998</v>
      </c>
      <c r="AN372" s="38">
        <f t="shared" si="16"/>
        <v>0</v>
      </c>
      <c r="AO372" s="38">
        <f t="shared" si="17"/>
        <v>0</v>
      </c>
      <c r="AQ372" s="37">
        <v>43273</v>
      </c>
      <c r="AR372">
        <v>19</v>
      </c>
      <c r="AS372">
        <v>266.55818421052601</v>
      </c>
      <c r="AT372">
        <v>267.30849999999998</v>
      </c>
      <c r="AV372" s="37">
        <v>43273</v>
      </c>
      <c r="AW372">
        <v>19</v>
      </c>
      <c r="AX372">
        <v>266.55818421052601</v>
      </c>
      <c r="AY372">
        <v>267.30849999999998</v>
      </c>
      <c r="BA372" s="38">
        <f>AX372-Table3[[#This Row],[Trendline]]</f>
        <v>-1.5789473991389968E-5</v>
      </c>
      <c r="BB372" s="38">
        <f>AY372-Table3[[#This Row],[SmPrice]]</f>
        <v>0</v>
      </c>
    </row>
    <row r="373" spans="1:54" x14ac:dyDescent="0.35">
      <c r="A373" s="6">
        <v>371</v>
      </c>
      <c r="B373" s="3">
        <v>43276</v>
      </c>
      <c r="C373" s="2">
        <v>265.60000000000002</v>
      </c>
      <c r="D373" s="2">
        <v>265.77</v>
      </c>
      <c r="E373" s="2">
        <v>261.38</v>
      </c>
      <c r="F373" s="2">
        <v>263.23</v>
      </c>
      <c r="G373" s="1">
        <v>141924096</v>
      </c>
      <c r="H373" s="30">
        <f>(testdata[[#This Row],[high]]+testdata[[#This Row],[low]])/2</f>
        <v>263.57499999999999</v>
      </c>
      <c r="I373" s="23">
        <f>(4*testdata[[#This Row],[price]]+3*H372+2*H371+H370)/10</f>
        <v>265.81849999999997</v>
      </c>
      <c r="J373" s="9">
        <f>(0.0962*testdata[[#This Row],[smooth]]+0.5769*I371-0.5769*I369-0.0962*I367)*(0.075*$Z372+0.54)</f>
        <v>-1.028634692510582</v>
      </c>
      <c r="K373" s="14">
        <f t="shared" si="15"/>
        <v>-1.3136888898220065</v>
      </c>
      <c r="L373" s="14">
        <f>(0.0962*testdata[[#This Row],[detrender]]+0.5769*J371-0.5769*J369-0.0962*J367)*(0.075*$Z372+0.54)</f>
        <v>-2.0475631049157168</v>
      </c>
      <c r="M373" s="9">
        <f>(0.0962*testdata[[#This Row],[I1]]+0.5769*K371-0.5769*K369-0.0962*K367)*(0.075*$Z372+0.54)</f>
        <v>-3.0324036933206848</v>
      </c>
      <c r="N373" s="9">
        <f>(0.0962*testdata[[#This Row],[Q1]]+0.5769*L371-0.5769*L369-0.0962*L367)*(0.075*$Z372+0.54)</f>
        <v>-0.3589238026875351</v>
      </c>
      <c r="O373" s="9">
        <f>testdata[[#This Row],[I1]]-testdata[[#This Row],[JQ]]</f>
        <v>-0.95476508713447139</v>
      </c>
      <c r="P373" s="9">
        <f>testdata[[#This Row],[Q1]]+testdata[[#This Row],[jI]]</f>
        <v>-5.0799667982364021</v>
      </c>
      <c r="Q373" s="9">
        <f>0.2*testdata[[#This Row],[I2]]+0.8*Q372</f>
        <v>2.2337198090069128</v>
      </c>
      <c r="R373" s="9">
        <f>0.2*testdata[[#This Row],[Q2]]+0.8*R372</f>
        <v>-2.6082765146164677</v>
      </c>
      <c r="S373" s="9">
        <f>testdata[[#This Row],[I2'']]*Q372+testdata[[#This Row],[Q2'']]*R372</f>
        <v>11.9614431006144</v>
      </c>
      <c r="T373" s="9">
        <f>testdata[[#This Row],[I2'']]*R372-testdata[[#This Row],[Q2'']]*Q372</f>
        <v>3.4593784550166635</v>
      </c>
      <c r="U373" s="9">
        <f>0.2*testdata[[#This Row],[Re]]+0.8*U372</f>
        <v>11.644816675867425</v>
      </c>
      <c r="V373" s="9">
        <f>0.2*testdata[[#This Row],[Im]]+0.8*V372</f>
        <v>3.4318851372150285</v>
      </c>
      <c r="W373" s="9">
        <f>IF(AND(testdata[[#This Row],[Re'']]&lt;&gt;0,testdata[[#This Row],[Im'']]&lt;&gt;0),2*PI()/ATAN(testdata[[#This Row],[Im'']]/testdata[[#This Row],[Re'']]),0)</f>
        <v>21.923201856567999</v>
      </c>
      <c r="X373" s="9">
        <f>IF(testdata[[#This Row],[pd-atan]]&gt;1.5*Z372,1.5*Z372,IF(testdata[[#This Row],[pd-atan]]&lt;0.67*Z372,0.67*Z372,testdata[[#This Row],[pd-atan]]))</f>
        <v>21.923201856567999</v>
      </c>
      <c r="Y373" s="9">
        <f>IF(testdata[[#This Row],[pd-limit1]]&lt;6,6,IF(testdata[[#This Row],[pd-limit1]]&gt;50,50,testdata[[#This Row],[pd-limit1]]))</f>
        <v>21.923201856567999</v>
      </c>
      <c r="Z373" s="14">
        <f>0.2*testdata[[#This Row],[pd-limit2]]+0.8*Z372</f>
        <v>20.191466507771441</v>
      </c>
      <c r="AA373" s="14">
        <f>0.33*testdata[[#This Row],[period]]+0.67*AA372</f>
        <v>19.605022670766978</v>
      </c>
      <c r="AB373" s="31">
        <f>TRUNC(testdata[[#This Row],[SmPd]]+0.5,0)</f>
        <v>20</v>
      </c>
      <c r="AC373" s="14">
        <f ca="1">IF(testdata[[#This Row],[PdInt]]&lt;=0,0,AVERAGE(OFFSET(testdata[[#This Row],[price]],0,0,-testdata[[#This Row],[PdInt]],1)))</f>
        <v>266.61374999999998</v>
      </c>
      <c r="AD373" s="14">
        <f ca="1">IF(testdata[[#This Row],[i]]&lt;11,testdata[[#This Row],[price]],(4*testdata[[#This Row],[iTrend]]+3*AC372+2*AC371+AC370)/10)</f>
        <v>266.6255526315789</v>
      </c>
      <c r="AE373" s="14">
        <f>(4*testdata[[#This Row],[price]]+3*H372+2*H371+H370)/10</f>
        <v>265.81849999999997</v>
      </c>
      <c r="AF373" t="str">
        <f ca="1">IF(OR(ROUND(testdata[[#This Row],[Trendline]],4)&lt;&gt;Table3[[#This Row],[Trendline]],ROUND(testdata[[#This Row],[SmPrice]],4)&lt;&gt;Table3[[#This Row],[SmPrice]]),"ERR","")</f>
        <v/>
      </c>
      <c r="AG373" s="3">
        <v>43276</v>
      </c>
      <c r="AH373" s="14">
        <v>19.605</v>
      </c>
      <c r="AI373" s="34">
        <v>20</v>
      </c>
      <c r="AJ373" s="14">
        <v>266.61369999999999</v>
      </c>
      <c r="AK373" s="14">
        <v>266.62560000000002</v>
      </c>
      <c r="AL373" s="14">
        <v>265.81849999999997</v>
      </c>
      <c r="AN373" s="38">
        <f t="shared" si="16"/>
        <v>0</v>
      </c>
      <c r="AO373" s="38">
        <f t="shared" si="17"/>
        <v>0</v>
      </c>
      <c r="AQ373" s="37">
        <v>43276</v>
      </c>
      <c r="AR373">
        <v>20</v>
      </c>
      <c r="AS373">
        <v>266.62555263157799</v>
      </c>
      <c r="AT373">
        <v>265.81849999999997</v>
      </c>
      <c r="AV373" s="37">
        <v>43276</v>
      </c>
      <c r="AW373">
        <v>20</v>
      </c>
      <c r="AX373">
        <v>266.62555263157799</v>
      </c>
      <c r="AY373">
        <v>265.81849999999997</v>
      </c>
      <c r="BA373" s="38">
        <f>AX373-Table3[[#This Row],[Trendline]]</f>
        <v>-4.7368422031013324E-5</v>
      </c>
      <c r="BB373" s="38">
        <f>AY373-Table3[[#This Row],[SmPrice]]</f>
        <v>0</v>
      </c>
    </row>
    <row r="374" spans="1:54" x14ac:dyDescent="0.35">
      <c r="A374" s="6">
        <v>372</v>
      </c>
      <c r="B374" s="3">
        <v>43277</v>
      </c>
      <c r="C374" s="2">
        <v>263.85000000000002</v>
      </c>
      <c r="D374" s="2">
        <v>264.74</v>
      </c>
      <c r="E374" s="2">
        <v>263.02</v>
      </c>
      <c r="F374" s="2">
        <v>263.81</v>
      </c>
      <c r="G374" s="1">
        <v>70710976</v>
      </c>
      <c r="H374" s="30">
        <f>(testdata[[#This Row],[high]]+testdata[[#This Row],[low]])/2</f>
        <v>263.88</v>
      </c>
      <c r="I374" s="23">
        <f>(4*testdata[[#This Row],[price]]+3*H373+2*H372+H371)/10</f>
        <v>264.76949999999999</v>
      </c>
      <c r="J374" s="9">
        <f>(0.0962*testdata[[#This Row],[smooth]]+0.5769*I372-0.5769*I370-0.0962*I368)*(0.075*$Z373+0.54)</f>
        <v>-1.281448951510501</v>
      </c>
      <c r="K374" s="14">
        <f t="shared" si="15"/>
        <v>-1.9024555941344912</v>
      </c>
      <c r="L374" s="14">
        <f>(0.0962*testdata[[#This Row],[detrender]]+0.5769*J372-0.5769*J370-0.0962*J368)*(0.075*$Z373+0.54)</f>
        <v>-0.3815586051090743</v>
      </c>
      <c r="M374" s="9">
        <f>(0.0962*testdata[[#This Row],[I1]]+0.5769*K372-0.5769*K370-0.0962*K368)*(0.075*$Z373+0.54)</f>
        <v>-2.9627972961243136</v>
      </c>
      <c r="N374" s="9">
        <f>(0.0962*testdata[[#This Row],[Q1]]+0.5769*L372-0.5769*L370-0.0962*L368)*(0.075*$Z373+0.54)</f>
        <v>0.30882973605416225</v>
      </c>
      <c r="O374" s="9">
        <f>testdata[[#This Row],[I1]]-testdata[[#This Row],[JQ]]</f>
        <v>-2.2112853301886535</v>
      </c>
      <c r="P374" s="9">
        <f>testdata[[#This Row],[Q1]]+testdata[[#This Row],[jI]]</f>
        <v>-3.3443559012333881</v>
      </c>
      <c r="Q374" s="9">
        <f>0.2*testdata[[#This Row],[I2]]+0.8*Q373</f>
        <v>1.3447187811677996</v>
      </c>
      <c r="R374" s="9">
        <f>0.2*testdata[[#This Row],[Q2]]+0.8*R373</f>
        <v>-2.755492391939852</v>
      </c>
      <c r="S374" s="9">
        <f>testdata[[#This Row],[I2'']]*Q373+testdata[[#This Row],[Q2'']]*R373</f>
        <v>10.190811071139217</v>
      </c>
      <c r="T374" s="9">
        <f>testdata[[#This Row],[I2'']]*R373-testdata[[#This Row],[Q2'']]*Q373</f>
        <v>2.6475995237602348</v>
      </c>
      <c r="U374" s="9">
        <f>0.2*testdata[[#This Row],[Re]]+0.8*U373</f>
        <v>11.354015554921784</v>
      </c>
      <c r="V374" s="9">
        <f>0.2*testdata[[#This Row],[Im]]+0.8*V373</f>
        <v>3.2750280145240702</v>
      </c>
      <c r="W374" s="9">
        <f>IF(AND(testdata[[#This Row],[Re'']]&lt;&gt;0,testdata[[#This Row],[Im'']]&lt;&gt;0),2*PI()/ATAN(testdata[[#This Row],[Im'']]/testdata[[#This Row],[Re'']]),0)</f>
        <v>22.374103635427289</v>
      </c>
      <c r="X374" s="9">
        <f>IF(testdata[[#This Row],[pd-atan]]&gt;1.5*Z373,1.5*Z373,IF(testdata[[#This Row],[pd-atan]]&lt;0.67*Z373,0.67*Z373,testdata[[#This Row],[pd-atan]]))</f>
        <v>22.374103635427289</v>
      </c>
      <c r="Y374" s="9">
        <f>IF(testdata[[#This Row],[pd-limit1]]&lt;6,6,IF(testdata[[#This Row],[pd-limit1]]&gt;50,50,testdata[[#This Row],[pd-limit1]]))</f>
        <v>22.374103635427289</v>
      </c>
      <c r="Z374" s="14">
        <f>0.2*testdata[[#This Row],[pd-limit2]]+0.8*Z373</f>
        <v>20.627993933302612</v>
      </c>
      <c r="AA374" s="14">
        <f>0.33*testdata[[#This Row],[period]]+0.67*AA373</f>
        <v>19.942603187403741</v>
      </c>
      <c r="AB374" s="31">
        <f>TRUNC(testdata[[#This Row],[SmPd]]+0.5,0)</f>
        <v>20</v>
      </c>
      <c r="AC374" s="14">
        <f ca="1">IF(testdata[[#This Row],[PdInt]]&lt;=0,0,AVERAGE(OFFSET(testdata[[#This Row],[price]],0,0,-testdata[[#This Row],[PdInt]],1)))</f>
        <v>266.77924999999993</v>
      </c>
      <c r="AD374" s="14">
        <f ca="1">IF(testdata[[#This Row],[i]]&lt;11,testdata[[#This Row],[price]],(4*testdata[[#This Row],[iTrend]]+3*AC373+2*AC372+AC371)/10)</f>
        <v>266.70677236842101</v>
      </c>
      <c r="AE374" s="14">
        <f>(4*testdata[[#This Row],[price]]+3*H373+2*H372+H371)/10</f>
        <v>264.76949999999999</v>
      </c>
      <c r="AF374" t="str">
        <f ca="1">IF(OR(ROUND(testdata[[#This Row],[Trendline]],4)&lt;&gt;Table3[[#This Row],[Trendline]],ROUND(testdata[[#This Row],[SmPrice]],4)&lt;&gt;Table3[[#This Row],[SmPrice]]),"ERR","")</f>
        <v/>
      </c>
      <c r="AG374" s="3">
        <v>43277</v>
      </c>
      <c r="AH374" s="14">
        <v>19.942599999999999</v>
      </c>
      <c r="AI374" s="34">
        <v>20</v>
      </c>
      <c r="AJ374" s="14">
        <v>266.7792</v>
      </c>
      <c r="AK374" s="14">
        <v>266.70679999999999</v>
      </c>
      <c r="AL374" s="14">
        <v>264.76949999999999</v>
      </c>
      <c r="AN374" s="38">
        <f t="shared" si="16"/>
        <v>0</v>
      </c>
      <c r="AO374" s="38">
        <f t="shared" si="17"/>
        <v>0</v>
      </c>
      <c r="AQ374" s="37">
        <v>43277</v>
      </c>
      <c r="AR374">
        <v>20</v>
      </c>
      <c r="AS374">
        <v>266.70677236842101</v>
      </c>
      <c r="AT374">
        <v>264.76949999999999</v>
      </c>
      <c r="AV374" s="37">
        <v>43277</v>
      </c>
      <c r="AW374">
        <v>20</v>
      </c>
      <c r="AX374">
        <v>266.70677236842101</v>
      </c>
      <c r="AY374">
        <v>264.76949999999999</v>
      </c>
      <c r="BA374" s="38">
        <f>AX374-Table3[[#This Row],[Trendline]]</f>
        <v>-2.7631578973341675E-5</v>
      </c>
      <c r="BB374" s="38">
        <f>AY374-Table3[[#This Row],[SmPrice]]</f>
        <v>0</v>
      </c>
    </row>
    <row r="375" spans="1:54" x14ac:dyDescent="0.35">
      <c r="A375" s="6">
        <v>373</v>
      </c>
      <c r="B375" s="3">
        <v>43278</v>
      </c>
      <c r="C375" s="2">
        <v>264.45</v>
      </c>
      <c r="D375" s="2">
        <v>266.01</v>
      </c>
      <c r="E375" s="2">
        <v>261.45999999999998</v>
      </c>
      <c r="F375" s="2">
        <v>261.63</v>
      </c>
      <c r="G375" s="1">
        <v>108213904</v>
      </c>
      <c r="H375" s="30">
        <f>(testdata[[#This Row],[high]]+testdata[[#This Row],[low]])/2</f>
        <v>263.73500000000001</v>
      </c>
      <c r="I375" s="23">
        <f>(4*testdata[[#This Row],[price]]+3*H374+2*H373+H372)/10</f>
        <v>264.09800000000001</v>
      </c>
      <c r="J375" s="9">
        <f>(0.0962*testdata[[#This Row],[smooth]]+0.5769*I373-0.5769*I371-0.0962*I369)*(0.075*$Z374+0.54)</f>
        <v>-2.6283136764092134</v>
      </c>
      <c r="K375" s="14">
        <f t="shared" si="15"/>
        <v>-1.3382323772386764</v>
      </c>
      <c r="L375" s="14">
        <f>(0.0962*testdata[[#This Row],[detrender]]+0.5769*J373-0.5769*J371-0.0962*J369)*(0.075*$Z374+0.54)</f>
        <v>0.62851338175376892</v>
      </c>
      <c r="M375" s="9">
        <f>(0.0962*testdata[[#This Row],[I1]]+0.5769*K373-0.5769*K371-0.0962*K369)*(0.075*$Z374+0.54)</f>
        <v>-2.93181199695923</v>
      </c>
      <c r="N375" s="9">
        <f>(0.0962*testdata[[#This Row],[Q1]]+0.5769*L373-0.5769*L371-0.0962*L369)*(0.075*$Z374+0.54)</f>
        <v>1.5552529754206086</v>
      </c>
      <c r="O375" s="9">
        <f>testdata[[#This Row],[I1]]-testdata[[#This Row],[JQ]]</f>
        <v>-2.893485352659285</v>
      </c>
      <c r="P375" s="9">
        <f>testdata[[#This Row],[Q1]]+testdata[[#This Row],[jI]]</f>
        <v>-2.3032986152054611</v>
      </c>
      <c r="Q375" s="9">
        <f>0.2*testdata[[#This Row],[I2]]+0.8*Q374</f>
        <v>0.49707795440238267</v>
      </c>
      <c r="R375" s="9">
        <f>0.2*testdata[[#This Row],[Q2]]+0.8*R374</f>
        <v>-2.6650536365929742</v>
      </c>
      <c r="S375" s="9">
        <f>testdata[[#This Row],[I2'']]*Q374+testdata[[#This Row],[Q2'']]*R374</f>
        <v>8.0119650807329315</v>
      </c>
      <c r="T375" s="9">
        <f>testdata[[#This Row],[I2'']]*R374-testdata[[#This Row],[Q2'']]*Q374</f>
        <v>2.2140531563893262</v>
      </c>
      <c r="U375" s="9">
        <f>0.2*testdata[[#This Row],[Re]]+0.8*U374</f>
        <v>10.685605460084012</v>
      </c>
      <c r="V375" s="9">
        <f>0.2*testdata[[#This Row],[Im]]+0.8*V374</f>
        <v>3.0628330428971218</v>
      </c>
      <c r="W375" s="9">
        <f>IF(AND(testdata[[#This Row],[Re'']]&lt;&gt;0,testdata[[#This Row],[Im'']]&lt;&gt;0),2*PI()/ATAN(testdata[[#This Row],[Im'']]/testdata[[#This Row],[Re'']]),0)</f>
        <v>22.508468921678798</v>
      </c>
      <c r="X375" s="9">
        <f>IF(testdata[[#This Row],[pd-atan]]&gt;1.5*Z374,1.5*Z374,IF(testdata[[#This Row],[pd-atan]]&lt;0.67*Z374,0.67*Z374,testdata[[#This Row],[pd-atan]]))</f>
        <v>22.508468921678798</v>
      </c>
      <c r="Y375" s="9">
        <f>IF(testdata[[#This Row],[pd-limit1]]&lt;6,6,IF(testdata[[#This Row],[pd-limit1]]&gt;50,50,testdata[[#This Row],[pd-limit1]]))</f>
        <v>22.508468921678798</v>
      </c>
      <c r="Z375" s="14">
        <f>0.2*testdata[[#This Row],[pd-limit2]]+0.8*Z374</f>
        <v>21.004088930977851</v>
      </c>
      <c r="AA375" s="14">
        <f>0.33*testdata[[#This Row],[period]]+0.67*AA374</f>
        <v>20.292893482783199</v>
      </c>
      <c r="AB375" s="31">
        <f>TRUNC(testdata[[#This Row],[SmPd]]+0.5,0)</f>
        <v>20</v>
      </c>
      <c r="AC375" s="14">
        <f ca="1">IF(testdata[[#This Row],[PdInt]]&lt;=0,0,AVERAGE(OFFSET(testdata[[#This Row],[price]],0,0,-testdata[[#This Row],[PdInt]],1)))</f>
        <v>266.82649999999995</v>
      </c>
      <c r="AD375" s="14">
        <f ca="1">IF(testdata[[#This Row],[i]]&lt;11,testdata[[#This Row],[price]],(4*testdata[[#This Row],[iTrend]]+3*AC374+2*AC373+AC372)/10)</f>
        <v>266.76449342105263</v>
      </c>
      <c r="AE375" s="14">
        <f>(4*testdata[[#This Row],[price]]+3*H374+2*H373+H372)/10</f>
        <v>264.09800000000001</v>
      </c>
      <c r="AF375" t="str">
        <f ca="1">IF(OR(ROUND(testdata[[#This Row],[Trendline]],4)&lt;&gt;Table3[[#This Row],[Trendline]],ROUND(testdata[[#This Row],[SmPrice]],4)&lt;&gt;Table3[[#This Row],[SmPrice]]),"ERR","")</f>
        <v/>
      </c>
      <c r="AG375" s="3">
        <v>43278</v>
      </c>
      <c r="AH375" s="14">
        <v>20.292899999999999</v>
      </c>
      <c r="AI375" s="34">
        <v>20</v>
      </c>
      <c r="AJ375" s="14">
        <v>266.82650000000001</v>
      </c>
      <c r="AK375" s="14">
        <v>266.7645</v>
      </c>
      <c r="AL375" s="14">
        <v>264.09800000000001</v>
      </c>
      <c r="AN375" s="38">
        <f t="shared" si="16"/>
        <v>0</v>
      </c>
      <c r="AO375" s="38">
        <f t="shared" si="17"/>
        <v>0</v>
      </c>
      <c r="AQ375" s="37">
        <v>43278</v>
      </c>
      <c r="AR375">
        <v>20</v>
      </c>
      <c r="AS375">
        <v>266.76449342105201</v>
      </c>
      <c r="AT375">
        <v>264.09800000000001</v>
      </c>
      <c r="AV375" s="37">
        <v>43278</v>
      </c>
      <c r="AW375">
        <v>20</v>
      </c>
      <c r="AX375">
        <v>266.76449342105201</v>
      </c>
      <c r="AY375">
        <v>264.09800000000001</v>
      </c>
      <c r="BA375" s="38">
        <f>AX375-Table3[[#This Row],[Trendline]]</f>
        <v>-6.5789479890554503E-6</v>
      </c>
      <c r="BB375" s="38">
        <f>AY375-Table3[[#This Row],[SmPrice]]</f>
        <v>0</v>
      </c>
    </row>
    <row r="376" spans="1:54" x14ac:dyDescent="0.35">
      <c r="A376" s="6">
        <v>374</v>
      </c>
      <c r="B376" s="3">
        <v>43279</v>
      </c>
      <c r="C376" s="2">
        <v>261.57</v>
      </c>
      <c r="D376" s="2">
        <v>263.95999999999998</v>
      </c>
      <c r="E376" s="2">
        <v>260.79000000000002</v>
      </c>
      <c r="F376" s="2">
        <v>263.12</v>
      </c>
      <c r="G376" s="1">
        <v>78913504</v>
      </c>
      <c r="H376" s="30">
        <f>(testdata[[#This Row],[high]]+testdata[[#This Row],[low]])/2</f>
        <v>262.375</v>
      </c>
      <c r="I376" s="23">
        <f>(4*testdata[[#This Row],[price]]+3*H375+2*H374+H373)/10</f>
        <v>263.20400000000001</v>
      </c>
      <c r="J376" s="9">
        <f>(0.0962*testdata[[#This Row],[smooth]]+0.5769*I374-0.5769*I372-0.0962*I370)*(0.075*$Z375+0.54)</f>
        <v>-4.0249966470517746</v>
      </c>
      <c r="K376" s="14">
        <f t="shared" si="15"/>
        <v>-1.028634692510582</v>
      </c>
      <c r="L376" s="14">
        <f>(0.0962*testdata[[#This Row],[detrender]]+0.5769*J374-0.5769*J372-0.0962*J370)*(0.075*$Z375+0.54)</f>
        <v>-0.48243682441658364</v>
      </c>
      <c r="M376" s="9">
        <f>(0.0962*testdata[[#This Row],[I1]]+0.5769*K374-0.5769*K372-0.0962*K370)*(0.075*$Z375+0.54)</f>
        <v>-2.1421659928053511</v>
      </c>
      <c r="N376" s="9">
        <f>(0.0962*testdata[[#This Row],[Q1]]+0.5769*L374-0.5769*L372-0.0962*L370)*(0.075*$Z375+0.54)</f>
        <v>3.4238259987492703</v>
      </c>
      <c r="O376" s="9">
        <f>testdata[[#This Row],[I1]]-testdata[[#This Row],[JQ]]</f>
        <v>-4.4524606912598523</v>
      </c>
      <c r="P376" s="9">
        <f>testdata[[#This Row],[Q1]]+testdata[[#This Row],[jI]]</f>
        <v>-2.6246028172219349</v>
      </c>
      <c r="Q376" s="9">
        <f>0.2*testdata[[#This Row],[I2]]+0.8*Q375</f>
        <v>-0.49282977473006434</v>
      </c>
      <c r="R376" s="9">
        <f>0.2*testdata[[#This Row],[Q2]]+0.8*R375</f>
        <v>-2.6569634727187665</v>
      </c>
      <c r="S376" s="9">
        <f>testdata[[#This Row],[I2'']]*Q375+testdata[[#This Row],[Q2'']]*R375</f>
        <v>6.8359753489724389</v>
      </c>
      <c r="T376" s="9">
        <f>testdata[[#This Row],[I2'']]*R375-testdata[[#This Row],[Q2'']]*Q375</f>
        <v>2.6341357513065495</v>
      </c>
      <c r="U376" s="9">
        <f>0.2*testdata[[#This Row],[Re]]+0.8*U375</f>
        <v>9.9156794378616979</v>
      </c>
      <c r="V376" s="9">
        <f>0.2*testdata[[#This Row],[Im]]+0.8*V375</f>
        <v>2.9770935845790074</v>
      </c>
      <c r="W376" s="9">
        <f>IF(AND(testdata[[#This Row],[Re'']]&lt;&gt;0,testdata[[#This Row],[Im'']]&lt;&gt;0),2*PI()/ATAN(testdata[[#This Row],[Im'']]/testdata[[#This Row],[Re'']]),0)</f>
        <v>21.541520882905004</v>
      </c>
      <c r="X376" s="9">
        <f>IF(testdata[[#This Row],[pd-atan]]&gt;1.5*Z375,1.5*Z375,IF(testdata[[#This Row],[pd-atan]]&lt;0.67*Z375,0.67*Z375,testdata[[#This Row],[pd-atan]]))</f>
        <v>21.541520882905004</v>
      </c>
      <c r="Y376" s="9">
        <f>IF(testdata[[#This Row],[pd-limit1]]&lt;6,6,IF(testdata[[#This Row],[pd-limit1]]&gt;50,50,testdata[[#This Row],[pd-limit1]]))</f>
        <v>21.541520882905004</v>
      </c>
      <c r="Z376" s="14">
        <f>0.2*testdata[[#This Row],[pd-limit2]]+0.8*Z375</f>
        <v>21.111575321363283</v>
      </c>
      <c r="AA376" s="14">
        <f>0.33*testdata[[#This Row],[period]]+0.67*AA375</f>
        <v>20.563058489514628</v>
      </c>
      <c r="AB376" s="31">
        <f>TRUNC(testdata[[#This Row],[SmPd]]+0.5,0)</f>
        <v>21</v>
      </c>
      <c r="AC376" s="14">
        <f ca="1">IF(testdata[[#This Row],[PdInt]]&lt;=0,0,AVERAGE(OFFSET(testdata[[#This Row],[price]],0,0,-testdata[[#This Row],[PdInt]],1)))</f>
        <v>266.61452380952375</v>
      </c>
      <c r="AD376" s="14">
        <f ca="1">IF(testdata[[#This Row],[i]]&lt;11,testdata[[#This Row],[price]],(4*testdata[[#This Row],[iTrend]]+3*AC375+2*AC374+AC373)/10)</f>
        <v>266.71098452380949</v>
      </c>
      <c r="AE376" s="14">
        <f>(4*testdata[[#This Row],[price]]+3*H375+2*H374+H373)/10</f>
        <v>263.20400000000001</v>
      </c>
      <c r="AF376" t="str">
        <f ca="1">IF(OR(ROUND(testdata[[#This Row],[Trendline]],4)&lt;&gt;Table3[[#This Row],[Trendline]],ROUND(testdata[[#This Row],[SmPrice]],4)&lt;&gt;Table3[[#This Row],[SmPrice]]),"ERR","")</f>
        <v/>
      </c>
      <c r="AG376" s="3">
        <v>43279</v>
      </c>
      <c r="AH376" s="14">
        <v>20.563099999999999</v>
      </c>
      <c r="AI376" s="34">
        <v>21</v>
      </c>
      <c r="AJ376" s="14">
        <v>266.61450000000002</v>
      </c>
      <c r="AK376" s="14">
        <v>266.71100000000001</v>
      </c>
      <c r="AL376" s="14">
        <v>263.20400000000001</v>
      </c>
      <c r="AN376" s="38">
        <f t="shared" si="16"/>
        <v>0</v>
      </c>
      <c r="AO376" s="38">
        <f t="shared" si="17"/>
        <v>0</v>
      </c>
      <c r="AQ376" s="37">
        <v>43279</v>
      </c>
      <c r="AR376">
        <v>21</v>
      </c>
      <c r="AS376">
        <v>266.71098452380897</v>
      </c>
      <c r="AT376">
        <v>263.20400000000001</v>
      </c>
      <c r="AV376" s="37">
        <v>43279</v>
      </c>
      <c r="AW376">
        <v>21</v>
      </c>
      <c r="AX376">
        <v>266.71098452380897</v>
      </c>
      <c r="AY376">
        <v>263.20400000000001</v>
      </c>
      <c r="BA376" s="38">
        <f>AX376-Table3[[#This Row],[Trendline]]</f>
        <v>-1.5476191038032994E-5</v>
      </c>
      <c r="BB376" s="38">
        <f>AY376-Table3[[#This Row],[SmPrice]]</f>
        <v>0</v>
      </c>
    </row>
    <row r="377" spans="1:54" x14ac:dyDescent="0.35">
      <c r="A377" s="6">
        <v>375</v>
      </c>
      <c r="B377" s="3">
        <v>43280</v>
      </c>
      <c r="C377" s="2">
        <v>264.32</v>
      </c>
      <c r="D377" s="2">
        <v>265.81</v>
      </c>
      <c r="E377" s="2">
        <v>263.37</v>
      </c>
      <c r="F377" s="2">
        <v>263.5</v>
      </c>
      <c r="G377" s="1">
        <v>100473760</v>
      </c>
      <c r="H377" s="30">
        <f>(testdata[[#This Row],[high]]+testdata[[#This Row],[low]])/2</f>
        <v>264.59000000000003</v>
      </c>
      <c r="I377" s="23">
        <f>(4*testdata[[#This Row],[price]]+3*H376+2*H375+H374)/10</f>
        <v>263.68349999999998</v>
      </c>
      <c r="J377" s="9">
        <f>(0.0962*testdata[[#This Row],[smooth]]+0.5769*I375-0.5769*I373-0.0962*I371)*(0.075*$Z376+0.54)</f>
        <v>-2.8658056272987653</v>
      </c>
      <c r="K377" s="14">
        <f t="shared" si="15"/>
        <v>-1.281448951510501</v>
      </c>
      <c r="L377" s="14">
        <f>(0.0962*testdata[[#This Row],[detrender]]+0.5769*J375-0.5769*J373-0.0962*J371)*(0.075*$Z376+0.54)</f>
        <v>-2.1563421008389736</v>
      </c>
      <c r="M377" s="9">
        <f>(0.0962*testdata[[#This Row],[I1]]+0.5769*K375-0.5769*K373-0.0962*K371)*(0.075*$Z376+0.54)</f>
        <v>-0.39437556893841369</v>
      </c>
      <c r="N377" s="9">
        <f>(0.0962*testdata[[#This Row],[Q1]]+0.5769*L375-0.5769*L373-0.0962*L371)*(0.075*$Z376+0.54)</f>
        <v>3.4109354755864874</v>
      </c>
      <c r="O377" s="9">
        <f>testdata[[#This Row],[I1]]-testdata[[#This Row],[JQ]]</f>
        <v>-4.6923844270969886</v>
      </c>
      <c r="P377" s="9">
        <f>testdata[[#This Row],[Q1]]+testdata[[#This Row],[jI]]</f>
        <v>-2.5507176697773875</v>
      </c>
      <c r="Q377" s="9">
        <f>0.2*testdata[[#This Row],[I2]]+0.8*Q376</f>
        <v>-1.3327407052034492</v>
      </c>
      <c r="R377" s="9">
        <f>0.2*testdata[[#This Row],[Q2]]+0.8*R376</f>
        <v>-2.6357143121304909</v>
      </c>
      <c r="S377" s="9">
        <f>testdata[[#This Row],[I2'']]*Q376+testdata[[#This Row],[Q2'']]*R376</f>
        <v>7.6598109533717871</v>
      </c>
      <c r="T377" s="9">
        <f>testdata[[#This Row],[I2'']]*R376-testdata[[#This Row],[Q2'']]*Q376</f>
        <v>2.2420848816309378</v>
      </c>
      <c r="U377" s="9">
        <f>0.2*testdata[[#This Row],[Re]]+0.8*U376</f>
        <v>9.4645057409637161</v>
      </c>
      <c r="V377" s="9">
        <f>0.2*testdata[[#This Row],[Im]]+0.8*V376</f>
        <v>2.8300918439893934</v>
      </c>
      <c r="W377" s="9">
        <f>IF(AND(testdata[[#This Row],[Re'']]&lt;&gt;0,testdata[[#This Row],[Im'']]&lt;&gt;0),2*PI()/ATAN(testdata[[#This Row],[Im'']]/testdata[[#This Row],[Re'']]),0)</f>
        <v>21.624476389049388</v>
      </c>
      <c r="X377" s="9">
        <f>IF(testdata[[#This Row],[pd-atan]]&gt;1.5*Z376,1.5*Z376,IF(testdata[[#This Row],[pd-atan]]&lt;0.67*Z376,0.67*Z376,testdata[[#This Row],[pd-atan]]))</f>
        <v>21.624476389049388</v>
      </c>
      <c r="Y377" s="9">
        <f>IF(testdata[[#This Row],[pd-limit1]]&lt;6,6,IF(testdata[[#This Row],[pd-limit1]]&gt;50,50,testdata[[#This Row],[pd-limit1]]))</f>
        <v>21.624476389049388</v>
      </c>
      <c r="Z377" s="14">
        <f>0.2*testdata[[#This Row],[pd-limit2]]+0.8*Z376</f>
        <v>21.214155534900506</v>
      </c>
      <c r="AA377" s="14">
        <f>0.33*testdata[[#This Row],[period]]+0.67*AA376</f>
        <v>20.777920514491967</v>
      </c>
      <c r="AB377" s="31">
        <f>TRUNC(testdata[[#This Row],[SmPd]]+0.5,0)</f>
        <v>21</v>
      </c>
      <c r="AC377" s="14">
        <f ca="1">IF(testdata[[#This Row],[PdInt]]&lt;=0,0,AVERAGE(OFFSET(testdata[[#This Row],[price]],0,0,-testdata[[#This Row],[PdInt]],1)))</f>
        <v>266.71833333333336</v>
      </c>
      <c r="AD377" s="14">
        <f ca="1">IF(testdata[[#This Row],[i]]&lt;11,testdata[[#This Row],[price]],(4*testdata[[#This Row],[iTrend]]+3*AC376+2*AC375+AC374)/10)</f>
        <v>266.71491547619047</v>
      </c>
      <c r="AE377" s="14">
        <f>(4*testdata[[#This Row],[price]]+3*H376+2*H375+H374)/10</f>
        <v>263.68349999999998</v>
      </c>
      <c r="AF377" t="str">
        <f ca="1">IF(OR(ROUND(testdata[[#This Row],[Trendline]],4)&lt;&gt;Table3[[#This Row],[Trendline]],ROUND(testdata[[#This Row],[SmPrice]],4)&lt;&gt;Table3[[#This Row],[SmPrice]]),"ERR","")</f>
        <v/>
      </c>
      <c r="AG377" s="3">
        <v>43280</v>
      </c>
      <c r="AH377" s="14">
        <v>20.777899999999999</v>
      </c>
      <c r="AI377" s="34">
        <v>21</v>
      </c>
      <c r="AJ377" s="14">
        <v>266.7183</v>
      </c>
      <c r="AK377" s="14">
        <v>266.7149</v>
      </c>
      <c r="AL377" s="14">
        <v>263.68349999999998</v>
      </c>
      <c r="AN377" s="38">
        <f t="shared" si="16"/>
        <v>0</v>
      </c>
      <c r="AO377" s="38">
        <f t="shared" si="17"/>
        <v>0</v>
      </c>
      <c r="AQ377" s="37">
        <v>43280</v>
      </c>
      <c r="AR377">
        <v>21</v>
      </c>
      <c r="AS377">
        <v>266.71491547619001</v>
      </c>
      <c r="AT377">
        <v>263.68349999999998</v>
      </c>
      <c r="AV377" s="37">
        <v>43280</v>
      </c>
      <c r="AW377">
        <v>21</v>
      </c>
      <c r="AX377">
        <v>266.71491547619001</v>
      </c>
      <c r="AY377">
        <v>263.68349999999998</v>
      </c>
      <c r="BA377" s="38">
        <f>AX377-Table3[[#This Row],[Trendline]]</f>
        <v>1.5476190014851454E-5</v>
      </c>
      <c r="BB377" s="38">
        <f>AY377-Table3[[#This Row],[SmPrice]]</f>
        <v>0</v>
      </c>
    </row>
    <row r="378" spans="1:54" x14ac:dyDescent="0.35">
      <c r="A378" s="6">
        <v>376</v>
      </c>
      <c r="B378" s="3">
        <v>43283</v>
      </c>
      <c r="C378" s="2">
        <v>261.77999999999997</v>
      </c>
      <c r="D378" s="2">
        <v>264.24</v>
      </c>
      <c r="E378" s="2">
        <v>261.52</v>
      </c>
      <c r="F378" s="2">
        <v>264.06</v>
      </c>
      <c r="G378" s="1">
        <v>65431128</v>
      </c>
      <c r="H378" s="30">
        <f>(testdata[[#This Row],[high]]+testdata[[#This Row],[low]])/2</f>
        <v>262.88</v>
      </c>
      <c r="I378" s="23">
        <f>(4*testdata[[#This Row],[price]]+3*H377+2*H376+H375)/10</f>
        <v>263.3775</v>
      </c>
      <c r="J378" s="9">
        <f>(0.0962*testdata[[#This Row],[smooth]]+0.5769*I376-0.5769*I374-0.0962*I372)*(0.075*$Z377+0.54)</f>
        <v>-2.7305275001126756</v>
      </c>
      <c r="K378" s="14">
        <f t="shared" si="15"/>
        <v>-2.6283136764092134</v>
      </c>
      <c r="L378" s="14">
        <f>(0.0962*testdata[[#This Row],[detrender]]+0.5769*J376-0.5769*J374-0.0962*J372)*(0.075*$Z377+0.54)</f>
        <v>-3.6583753535224615</v>
      </c>
      <c r="M378" s="9">
        <f>(0.0962*testdata[[#This Row],[I1]]+0.5769*K376-0.5769*K374-0.0962*K372)*(0.075*$Z377+0.54)</f>
        <v>0.64175222359617734</v>
      </c>
      <c r="N378" s="9">
        <f>(0.0962*testdata[[#This Row],[Q1]]+0.5769*L376-0.5769*L374-0.0962*L372)*(0.075*$Z377+0.54)</f>
        <v>-0.30290158490937857</v>
      </c>
      <c r="O378" s="9">
        <f>testdata[[#This Row],[I1]]-testdata[[#This Row],[JQ]]</f>
        <v>-2.3254120914998349</v>
      </c>
      <c r="P378" s="9">
        <f>testdata[[#This Row],[Q1]]+testdata[[#This Row],[jI]]</f>
        <v>-3.016623129926284</v>
      </c>
      <c r="Q378" s="9">
        <f>0.2*testdata[[#This Row],[I2]]+0.8*Q377</f>
        <v>-1.5312749824627265</v>
      </c>
      <c r="R378" s="9">
        <f>0.2*testdata[[#This Row],[Q2]]+0.8*R377</f>
        <v>-2.7118960756896495</v>
      </c>
      <c r="S378" s="9">
        <f>testdata[[#This Row],[I2'']]*Q377+testdata[[#This Row],[Q2'']]*R377</f>
        <v>9.1885757996934956</v>
      </c>
      <c r="T378" s="9">
        <f>testdata[[#This Row],[I2'']]*R377-testdata[[#This Row],[Q2'']]*Q377</f>
        <v>0.42174909873128419</v>
      </c>
      <c r="U378" s="9">
        <f>0.2*testdata[[#This Row],[Re]]+0.8*U377</f>
        <v>9.4093197527096724</v>
      </c>
      <c r="V378" s="9">
        <f>0.2*testdata[[#This Row],[Im]]+0.8*V377</f>
        <v>2.3484232949377715</v>
      </c>
      <c r="W378" s="9">
        <f>IF(AND(testdata[[#This Row],[Re'']]&lt;&gt;0,testdata[[#This Row],[Im'']]&lt;&gt;0),2*PI()/ATAN(testdata[[#This Row],[Im'']]/testdata[[#This Row],[Re'']]),0)</f>
        <v>25.688868325086613</v>
      </c>
      <c r="X378" s="9">
        <f>IF(testdata[[#This Row],[pd-atan]]&gt;1.5*Z377,1.5*Z377,IF(testdata[[#This Row],[pd-atan]]&lt;0.67*Z377,0.67*Z377,testdata[[#This Row],[pd-atan]]))</f>
        <v>25.688868325086613</v>
      </c>
      <c r="Y378" s="9">
        <f>IF(testdata[[#This Row],[pd-limit1]]&lt;6,6,IF(testdata[[#This Row],[pd-limit1]]&gt;50,50,testdata[[#This Row],[pd-limit1]]))</f>
        <v>25.688868325086613</v>
      </c>
      <c r="Z378" s="14">
        <f>0.2*testdata[[#This Row],[pd-limit2]]+0.8*Z377</f>
        <v>22.109098092937728</v>
      </c>
      <c r="AA378" s="14">
        <f>0.33*testdata[[#This Row],[period]]+0.67*AA377</f>
        <v>21.21720911537907</v>
      </c>
      <c r="AB378" s="31">
        <f>TRUNC(testdata[[#This Row],[SmPd]]+0.5,0)</f>
        <v>21</v>
      </c>
      <c r="AC378" s="14">
        <f ca="1">IF(testdata[[#This Row],[PdInt]]&lt;=0,0,AVERAGE(OFFSET(testdata[[#This Row],[price]],0,0,-testdata[[#This Row],[PdInt]],1)))</f>
        <v>266.65928571428572</v>
      </c>
      <c r="AD378" s="14">
        <f ca="1">IF(testdata[[#This Row],[i]]&lt;11,testdata[[#This Row],[price]],(4*testdata[[#This Row],[iTrend]]+3*AC377+2*AC376+AC375)/10)</f>
        <v>266.68476904761906</v>
      </c>
      <c r="AE378" s="14">
        <f>(4*testdata[[#This Row],[price]]+3*H377+2*H376+H375)/10</f>
        <v>263.3775</v>
      </c>
      <c r="AF378" t="str">
        <f ca="1">IF(OR(ROUND(testdata[[#This Row],[Trendline]],4)&lt;&gt;Table3[[#This Row],[Trendline]],ROUND(testdata[[#This Row],[SmPrice]],4)&lt;&gt;Table3[[#This Row],[SmPrice]]),"ERR","")</f>
        <v/>
      </c>
      <c r="AG378" s="3">
        <v>43283</v>
      </c>
      <c r="AH378" s="14">
        <v>21.217199999999998</v>
      </c>
      <c r="AI378" s="34">
        <v>21</v>
      </c>
      <c r="AJ378" s="14">
        <v>266.65929999999997</v>
      </c>
      <c r="AK378" s="14">
        <v>266.6848</v>
      </c>
      <c r="AL378" s="14">
        <v>263.3775</v>
      </c>
      <c r="AN378" s="38">
        <f t="shared" si="16"/>
        <v>0</v>
      </c>
      <c r="AO378" s="38">
        <f t="shared" si="17"/>
        <v>0</v>
      </c>
      <c r="AQ378" s="37">
        <v>43283</v>
      </c>
      <c r="AR378">
        <v>21</v>
      </c>
      <c r="AS378">
        <v>266.684769047619</v>
      </c>
      <c r="AT378">
        <v>263.3775</v>
      </c>
      <c r="AV378" s="37">
        <v>43283</v>
      </c>
      <c r="AW378">
        <v>21</v>
      </c>
      <c r="AX378">
        <v>266.684769047619</v>
      </c>
      <c r="AY378">
        <v>263.3775</v>
      </c>
      <c r="BA378" s="38">
        <f>AX378-Table3[[#This Row],[Trendline]]</f>
        <v>-3.0952380996041029E-5</v>
      </c>
      <c r="BB378" s="38">
        <f>AY378-Table3[[#This Row],[SmPrice]]</f>
        <v>0</v>
      </c>
    </row>
    <row r="379" spans="1:54" x14ac:dyDescent="0.35">
      <c r="A379" s="6">
        <v>377</v>
      </c>
      <c r="B379" s="3">
        <v>43284</v>
      </c>
      <c r="C379" s="2">
        <v>265.05</v>
      </c>
      <c r="D379" s="2">
        <v>265.14999999999998</v>
      </c>
      <c r="E379" s="2">
        <v>262.67</v>
      </c>
      <c r="F379" s="2">
        <v>263.13</v>
      </c>
      <c r="G379" s="1">
        <v>43432576</v>
      </c>
      <c r="H379" s="30">
        <f>(testdata[[#This Row],[high]]+testdata[[#This Row],[low]])/2</f>
        <v>263.90999999999997</v>
      </c>
      <c r="I379" s="23">
        <f>(4*testdata[[#This Row],[price]]+3*H378+2*H377+H376)/10</f>
        <v>263.58350000000002</v>
      </c>
      <c r="J379" s="9">
        <f>(0.0962*testdata[[#This Row],[smooth]]+0.5769*I377-0.5769*I375-0.0962*I373)*(0.075*$Z378+0.54)</f>
        <v>-0.99826506004476401</v>
      </c>
      <c r="K379" s="14">
        <f t="shared" si="15"/>
        <v>-4.0249966470517746</v>
      </c>
      <c r="L379" s="14">
        <f>(0.0962*testdata[[#This Row],[detrender]]+0.5769*J377-0.5769*J375-0.0962*J373)*(0.075*$Z378+0.54)</f>
        <v>-0.29474888191826598</v>
      </c>
      <c r="M379" s="9">
        <f>(0.0962*testdata[[#This Row],[I1]]+0.5769*K377-0.5769*K375-0.0962*K373)*(0.075*$Z378+0.54)</f>
        <v>-0.5013382366320881</v>
      </c>
      <c r="N379" s="9">
        <f>(0.0962*testdata[[#This Row],[Q1]]+0.5769*L377-0.5769*L375-0.0962*L373)*(0.075*$Z378+0.54)</f>
        <v>-3.1609035769092144</v>
      </c>
      <c r="O379" s="9">
        <f>testdata[[#This Row],[I1]]-testdata[[#This Row],[JQ]]</f>
        <v>-0.8640930701425602</v>
      </c>
      <c r="P379" s="9">
        <f>testdata[[#This Row],[Q1]]+testdata[[#This Row],[jI]]</f>
        <v>-0.79608711855035408</v>
      </c>
      <c r="Q379" s="9">
        <f>0.2*testdata[[#This Row],[I2]]+0.8*Q378</f>
        <v>-1.3978385999986935</v>
      </c>
      <c r="R379" s="9">
        <f>0.2*testdata[[#This Row],[Q2]]+0.8*R378</f>
        <v>-2.3287342842617909</v>
      </c>
      <c r="S379" s="9">
        <f>testdata[[#This Row],[I2'']]*Q378+testdata[[#This Row],[Q2'']]*R378</f>
        <v>8.4557606445122175</v>
      </c>
      <c r="T379" s="9">
        <f>testdata[[#This Row],[I2'']]*R378-testdata[[#This Row],[Q2'']]*Q378</f>
        <v>0.22486046349064681</v>
      </c>
      <c r="U379" s="9">
        <f>0.2*testdata[[#This Row],[Re]]+0.8*U378</f>
        <v>9.2186079310701814</v>
      </c>
      <c r="V379" s="9">
        <f>0.2*testdata[[#This Row],[Im]]+0.8*V378</f>
        <v>1.9237107286483466</v>
      </c>
      <c r="W379" s="9">
        <f>IF(AND(testdata[[#This Row],[Re'']]&lt;&gt;0,testdata[[#This Row],[Im'']]&lt;&gt;0),2*PI()/ATAN(testdata[[#This Row],[Im'']]/testdata[[#This Row],[Re'']]),0)</f>
        <v>30.541721238916224</v>
      </c>
      <c r="X379" s="9">
        <f>IF(testdata[[#This Row],[pd-atan]]&gt;1.5*Z378,1.5*Z378,IF(testdata[[#This Row],[pd-atan]]&lt;0.67*Z378,0.67*Z378,testdata[[#This Row],[pd-atan]]))</f>
        <v>30.541721238916224</v>
      </c>
      <c r="Y379" s="9">
        <f>IF(testdata[[#This Row],[pd-limit1]]&lt;6,6,IF(testdata[[#This Row],[pd-limit1]]&gt;50,50,testdata[[#This Row],[pd-limit1]]))</f>
        <v>30.541721238916224</v>
      </c>
      <c r="Z379" s="14">
        <f>0.2*testdata[[#This Row],[pd-limit2]]+0.8*Z378</f>
        <v>23.79562272213343</v>
      </c>
      <c r="AA379" s="14">
        <f>0.33*testdata[[#This Row],[period]]+0.67*AA378</f>
        <v>22.068085605608012</v>
      </c>
      <c r="AB379" s="31">
        <f>TRUNC(testdata[[#This Row],[SmPd]]+0.5,0)</f>
        <v>22</v>
      </c>
      <c r="AC379" s="14">
        <f ca="1">IF(testdata[[#This Row],[PdInt]]&lt;=0,0,AVERAGE(OFFSET(testdata[[#This Row],[price]],0,0,-testdata[[#This Row],[PdInt]],1)))</f>
        <v>266.53431818181821</v>
      </c>
      <c r="AD379" s="14">
        <f ca="1">IF(testdata[[#This Row],[i]]&lt;11,testdata[[#This Row],[price]],(4*testdata[[#This Row],[iTrend]]+3*AC378+2*AC377+AC376)/10)</f>
        <v>266.61663203463206</v>
      </c>
      <c r="AE379" s="14">
        <f>(4*testdata[[#This Row],[price]]+3*H378+2*H377+H376)/10</f>
        <v>263.58350000000002</v>
      </c>
      <c r="AF379" t="str">
        <f ca="1">IF(OR(ROUND(testdata[[#This Row],[Trendline]],4)&lt;&gt;Table3[[#This Row],[Trendline]],ROUND(testdata[[#This Row],[SmPrice]],4)&lt;&gt;Table3[[#This Row],[SmPrice]]),"ERR","")</f>
        <v/>
      </c>
      <c r="AG379" s="3">
        <v>43284</v>
      </c>
      <c r="AH379" s="14">
        <v>22.068100000000001</v>
      </c>
      <c r="AI379" s="34">
        <v>22</v>
      </c>
      <c r="AJ379" s="14">
        <v>266.53429999999997</v>
      </c>
      <c r="AK379" s="14">
        <v>266.61660000000001</v>
      </c>
      <c r="AL379" s="14">
        <v>263.58350000000002</v>
      </c>
      <c r="AN379" s="38">
        <f t="shared" si="16"/>
        <v>0</v>
      </c>
      <c r="AO379" s="38">
        <f t="shared" si="17"/>
        <v>0</v>
      </c>
      <c r="AQ379" s="37">
        <v>43284</v>
      </c>
      <c r="AR379">
        <v>22</v>
      </c>
      <c r="AS379">
        <v>266.616632034632</v>
      </c>
      <c r="AT379">
        <v>263.58350000000002</v>
      </c>
      <c r="AV379" s="37">
        <v>43284</v>
      </c>
      <c r="AW379">
        <v>22</v>
      </c>
      <c r="AX379">
        <v>266.616632034632</v>
      </c>
      <c r="AY379">
        <v>263.58350000000002</v>
      </c>
      <c r="BA379" s="38">
        <f>AX379-Table3[[#This Row],[Trendline]]</f>
        <v>3.2034631999522389E-5</v>
      </c>
      <c r="BB379" s="38">
        <f>AY379-Table3[[#This Row],[SmPrice]]</f>
        <v>0</v>
      </c>
    </row>
    <row r="380" spans="1:54" x14ac:dyDescent="0.35">
      <c r="A380" s="6">
        <v>378</v>
      </c>
      <c r="B380" s="3">
        <v>43286</v>
      </c>
      <c r="C380" s="2">
        <v>264.36</v>
      </c>
      <c r="D380" s="2">
        <v>265.35000000000002</v>
      </c>
      <c r="E380" s="2">
        <v>263.19</v>
      </c>
      <c r="F380" s="2">
        <v>265.27999999999997</v>
      </c>
      <c r="G380" s="1">
        <v>58606568</v>
      </c>
      <c r="H380" s="30">
        <f>(testdata[[#This Row],[high]]+testdata[[#This Row],[low]])/2</f>
        <v>264.27</v>
      </c>
      <c r="I380" s="23">
        <f>(4*testdata[[#This Row],[price]]+3*H379+2*H378+H377)/10</f>
        <v>263.916</v>
      </c>
      <c r="J380" s="9">
        <f>(0.0962*testdata[[#This Row],[smooth]]+0.5769*I378-0.5769*I376-0.0962*I374)*(0.075*$Z379+0.54)</f>
        <v>4.1810266701570828E-2</v>
      </c>
      <c r="K380" s="14">
        <f t="shared" si="15"/>
        <v>-2.8658056272987653</v>
      </c>
      <c r="L380" s="14">
        <f>(0.0962*testdata[[#This Row],[detrender]]+0.5769*J378-0.5769*J376-0.0962*J374)*(0.075*$Z379+0.54)</f>
        <v>2.0319415755389909</v>
      </c>
      <c r="M380" s="9">
        <f>(0.0962*testdata[[#This Row],[I1]]+0.5769*K378-0.5769*K376-0.0962*K374)*(0.075*$Z379+0.54)</f>
        <v>-2.3607717147065141</v>
      </c>
      <c r="N380" s="9">
        <f>(0.0962*testdata[[#This Row],[Q1]]+0.5769*L378-0.5769*L376-0.0962*L374)*(0.075*$Z379+0.54)</f>
        <v>-3.7195217316639444</v>
      </c>
      <c r="O380" s="9">
        <f>testdata[[#This Row],[I1]]-testdata[[#This Row],[JQ]]</f>
        <v>0.85371610436517908</v>
      </c>
      <c r="P380" s="9">
        <f>testdata[[#This Row],[Q1]]+testdata[[#This Row],[jI]]</f>
        <v>-0.32883013916752324</v>
      </c>
      <c r="Q380" s="9">
        <f>0.2*testdata[[#This Row],[I2]]+0.8*Q379</f>
        <v>-0.94752765912591908</v>
      </c>
      <c r="R380" s="9">
        <f>0.2*testdata[[#This Row],[Q2]]+0.8*R379</f>
        <v>-1.9287534552429373</v>
      </c>
      <c r="S380" s="9">
        <f>testdata[[#This Row],[I2'']]*Q379+testdata[[#This Row],[Q2'']]*R379</f>
        <v>5.8160450336052314</v>
      </c>
      <c r="T380" s="9">
        <f>testdata[[#This Row],[I2'']]*R379-testdata[[#This Row],[Q2'']]*Q379</f>
        <v>-0.48954588452658276</v>
      </c>
      <c r="U380" s="9">
        <f>0.2*testdata[[#This Row],[Re]]+0.8*U379</f>
        <v>8.5380953515771925</v>
      </c>
      <c r="V380" s="9">
        <f>0.2*testdata[[#This Row],[Im]]+0.8*V379</f>
        <v>1.4410594060133608</v>
      </c>
      <c r="W380" s="9">
        <f>IF(AND(testdata[[#This Row],[Re'']]&lt;&gt;0,testdata[[#This Row],[Im'']]&lt;&gt;0),2*PI()/ATAN(testdata[[#This Row],[Im'']]/testdata[[#This Row],[Re'']]),0)</f>
        <v>37.577927007268421</v>
      </c>
      <c r="X380" s="9">
        <f>IF(testdata[[#This Row],[pd-atan]]&gt;1.5*Z379,1.5*Z379,IF(testdata[[#This Row],[pd-atan]]&lt;0.67*Z379,0.67*Z379,testdata[[#This Row],[pd-atan]]))</f>
        <v>35.693434083200145</v>
      </c>
      <c r="Y380" s="9">
        <f>IF(testdata[[#This Row],[pd-limit1]]&lt;6,6,IF(testdata[[#This Row],[pd-limit1]]&gt;50,50,testdata[[#This Row],[pd-limit1]]))</f>
        <v>35.693434083200145</v>
      </c>
      <c r="Z380" s="14">
        <f>0.2*testdata[[#This Row],[pd-limit2]]+0.8*Z379</f>
        <v>26.175184994346772</v>
      </c>
      <c r="AA380" s="14">
        <f>0.33*testdata[[#This Row],[period]]+0.67*AA379</f>
        <v>23.423428403891805</v>
      </c>
      <c r="AB380" s="31">
        <f>TRUNC(testdata[[#This Row],[SmPd]]+0.5,0)</f>
        <v>23</v>
      </c>
      <c r="AC380" s="14">
        <f ca="1">IF(testdata[[#This Row],[PdInt]]&lt;=0,0,AVERAGE(OFFSET(testdata[[#This Row],[price]],0,0,-testdata[[#This Row],[PdInt]],1)))</f>
        <v>266.43586956521739</v>
      </c>
      <c r="AD380" s="14">
        <f ca="1">IF(testdata[[#This Row],[i]]&lt;11,testdata[[#This Row],[price]],(4*testdata[[#This Row],[iTrend]]+3*AC379+2*AC378+AC377)/10)</f>
        <v>266.53833375682291</v>
      </c>
      <c r="AE380" s="14">
        <f>(4*testdata[[#This Row],[price]]+3*H379+2*H378+H377)/10</f>
        <v>263.916</v>
      </c>
      <c r="AF380" t="str">
        <f ca="1">IF(OR(ROUND(testdata[[#This Row],[Trendline]],4)&lt;&gt;Table3[[#This Row],[Trendline]],ROUND(testdata[[#This Row],[SmPrice]],4)&lt;&gt;Table3[[#This Row],[SmPrice]]),"ERR","")</f>
        <v/>
      </c>
      <c r="AG380" s="3">
        <v>43286</v>
      </c>
      <c r="AH380" s="14">
        <v>23.423400000000001</v>
      </c>
      <c r="AI380" s="34">
        <v>23</v>
      </c>
      <c r="AJ380" s="14">
        <v>266.4359</v>
      </c>
      <c r="AK380" s="14">
        <v>266.53829999999999</v>
      </c>
      <c r="AL380" s="14">
        <v>263.916</v>
      </c>
      <c r="AN380" s="38">
        <f t="shared" si="16"/>
        <v>0</v>
      </c>
      <c r="AO380" s="38">
        <f t="shared" si="17"/>
        <v>0</v>
      </c>
      <c r="AQ380" s="37">
        <v>43286</v>
      </c>
      <c r="AR380">
        <v>23</v>
      </c>
      <c r="AS380">
        <v>266.538333756822</v>
      </c>
      <c r="AT380">
        <v>263.916</v>
      </c>
      <c r="AV380" s="37">
        <v>43286</v>
      </c>
      <c r="AW380">
        <v>23</v>
      </c>
      <c r="AX380">
        <v>266.538333756822</v>
      </c>
      <c r="AY380">
        <v>263.916</v>
      </c>
      <c r="BA380" s="38">
        <f>AX380-Table3[[#This Row],[Trendline]]</f>
        <v>3.3756822006125731E-5</v>
      </c>
      <c r="BB380" s="38">
        <f>AY380-Table3[[#This Row],[SmPrice]]</f>
        <v>0</v>
      </c>
    </row>
    <row r="381" spans="1:54" x14ac:dyDescent="0.35">
      <c r="A381" s="6">
        <v>379</v>
      </c>
      <c r="B381" s="3">
        <v>43287</v>
      </c>
      <c r="C381" s="2">
        <v>265.31</v>
      </c>
      <c r="D381" s="2">
        <v>267.93</v>
      </c>
      <c r="E381" s="2">
        <v>264.89</v>
      </c>
      <c r="F381" s="2">
        <v>267.52</v>
      </c>
      <c r="G381" s="1">
        <v>68456816</v>
      </c>
      <c r="H381" s="30">
        <f>(testdata[[#This Row],[high]]+testdata[[#This Row],[low]])/2</f>
        <v>266.40999999999997</v>
      </c>
      <c r="I381" s="23">
        <f>(4*testdata[[#This Row],[price]]+3*H380+2*H379+H378)/10</f>
        <v>264.91499999999996</v>
      </c>
      <c r="J381" s="9">
        <f>(0.0962*testdata[[#This Row],[smooth]]+0.5769*I379-0.5769*I377-0.0962*I375)*(0.075*$Z380+0.54)</f>
        <v>5.2329119428623991E-2</v>
      </c>
      <c r="K381" s="14">
        <f t="shared" si="15"/>
        <v>-2.7305275001126756</v>
      </c>
      <c r="L381" s="14">
        <f>(0.0962*testdata[[#This Row],[detrender]]+0.5769*J379-0.5769*J377-0.0962*J375)*(0.075*$Z380+0.54)</f>
        <v>3.342346195434458</v>
      </c>
      <c r="M381" s="9">
        <f>(0.0962*testdata[[#This Row],[I1]]+0.5769*K379-0.5769*K377-0.0962*K375)*(0.075*$Z380+0.54)</f>
        <v>-4.2971171201128735</v>
      </c>
      <c r="N381" s="9">
        <f>(0.0962*testdata[[#This Row],[Q1]]+0.5769*L379-0.5769*L377-0.0962*L375)*(0.075*$Z380+0.54)</f>
        <v>3.341750084082999</v>
      </c>
      <c r="O381" s="9">
        <f>testdata[[#This Row],[I1]]-testdata[[#This Row],[JQ]]</f>
        <v>-6.0722775841956746</v>
      </c>
      <c r="P381" s="9">
        <f>testdata[[#This Row],[Q1]]+testdata[[#This Row],[jI]]</f>
        <v>-0.95477092467841551</v>
      </c>
      <c r="Q381" s="9">
        <f>0.2*testdata[[#This Row],[I2]]+0.8*Q380</f>
        <v>-1.9724776441398704</v>
      </c>
      <c r="R381" s="9">
        <f>0.2*testdata[[#This Row],[Q2]]+0.8*R380</f>
        <v>-1.7339569491300331</v>
      </c>
      <c r="S381" s="9">
        <f>testdata[[#This Row],[I2'']]*Q380+testdata[[#This Row],[Q2'']]*R380</f>
        <v>5.2133525817071122</v>
      </c>
      <c r="T381" s="9">
        <f>testdata[[#This Row],[I2'']]*R380-testdata[[#This Row],[Q2'']]*Q380</f>
        <v>2.1614509024899231</v>
      </c>
      <c r="U381" s="9">
        <f>0.2*testdata[[#This Row],[Re]]+0.8*U380</f>
        <v>7.8731467976031766</v>
      </c>
      <c r="V381" s="9">
        <f>0.2*testdata[[#This Row],[Im]]+0.8*V380</f>
        <v>1.5851377053086733</v>
      </c>
      <c r="W381" s="9">
        <f>IF(AND(testdata[[#This Row],[Re'']]&lt;&gt;0,testdata[[#This Row],[Im'']]&lt;&gt;0),2*PI()/ATAN(testdata[[#This Row],[Im'']]/testdata[[#This Row],[Re'']]),0)</f>
        <v>31.624871725352392</v>
      </c>
      <c r="X381" s="9">
        <f>IF(testdata[[#This Row],[pd-atan]]&gt;1.5*Z380,1.5*Z380,IF(testdata[[#This Row],[pd-atan]]&lt;0.67*Z380,0.67*Z380,testdata[[#This Row],[pd-atan]]))</f>
        <v>31.624871725352392</v>
      </c>
      <c r="Y381" s="9">
        <f>IF(testdata[[#This Row],[pd-limit1]]&lt;6,6,IF(testdata[[#This Row],[pd-limit1]]&gt;50,50,testdata[[#This Row],[pd-limit1]]))</f>
        <v>31.624871725352392</v>
      </c>
      <c r="Z381" s="14">
        <f>0.2*testdata[[#This Row],[pd-limit2]]+0.8*Z380</f>
        <v>27.265122340547897</v>
      </c>
      <c r="AA381" s="14">
        <f>0.33*testdata[[#This Row],[period]]+0.67*AA380</f>
        <v>24.691187402988316</v>
      </c>
      <c r="AB381" s="31">
        <f>TRUNC(testdata[[#This Row],[SmPd]]+0.5,0)</f>
        <v>25</v>
      </c>
      <c r="AC381" s="14">
        <f ca="1">IF(testdata[[#This Row],[PdInt]]&lt;=0,0,AVERAGE(OFFSET(testdata[[#This Row],[price]],0,0,-testdata[[#This Row],[PdInt]],1)))</f>
        <v>266.34219999999999</v>
      </c>
      <c r="AD381" s="14">
        <f ca="1">IF(testdata[[#This Row],[i]]&lt;11,testdata[[#This Row],[price]],(4*testdata[[#This Row],[iTrend]]+3*AC380+2*AC379+AC378)/10)</f>
        <v>266.44043307735745</v>
      </c>
      <c r="AE381" s="14">
        <f>(4*testdata[[#This Row],[price]]+3*H380+2*H379+H378)/10</f>
        <v>264.91499999999996</v>
      </c>
      <c r="AF381" t="str">
        <f ca="1">IF(OR(ROUND(testdata[[#This Row],[Trendline]],4)&lt;&gt;Table3[[#This Row],[Trendline]],ROUND(testdata[[#This Row],[SmPrice]],4)&lt;&gt;Table3[[#This Row],[SmPrice]]),"ERR","")</f>
        <v/>
      </c>
      <c r="AG381" s="3">
        <v>43287</v>
      </c>
      <c r="AH381" s="14">
        <v>24.691199999999998</v>
      </c>
      <c r="AI381" s="34">
        <v>25</v>
      </c>
      <c r="AJ381" s="14">
        <v>266.34219999999999</v>
      </c>
      <c r="AK381" s="14">
        <v>266.44040000000001</v>
      </c>
      <c r="AL381" s="14">
        <v>264.91500000000002</v>
      </c>
      <c r="AN381" s="38">
        <f t="shared" si="16"/>
        <v>0</v>
      </c>
      <c r="AO381" s="38">
        <f t="shared" si="17"/>
        <v>0</v>
      </c>
      <c r="AQ381" s="37">
        <v>43287</v>
      </c>
      <c r="AR381">
        <v>25</v>
      </c>
      <c r="AS381">
        <v>266.440433077357</v>
      </c>
      <c r="AT381">
        <v>264.91500000000002</v>
      </c>
      <c r="AV381" s="37">
        <v>43287</v>
      </c>
      <c r="AW381">
        <v>25</v>
      </c>
      <c r="AX381">
        <v>266.440433077357</v>
      </c>
      <c r="AY381">
        <v>264.91500000000002</v>
      </c>
      <c r="BA381" s="38">
        <f>AX381-Table3[[#This Row],[Trendline]]</f>
        <v>3.3077356988542306E-5</v>
      </c>
      <c r="BB381" s="38">
        <f>AY381-Table3[[#This Row],[SmPrice]]</f>
        <v>0</v>
      </c>
    </row>
    <row r="382" spans="1:54" x14ac:dyDescent="0.35">
      <c r="A382" s="6">
        <v>380</v>
      </c>
      <c r="B382" s="3">
        <v>43290</v>
      </c>
      <c r="C382" s="2">
        <v>268.62</v>
      </c>
      <c r="D382" s="2">
        <v>269.99</v>
      </c>
      <c r="E382" s="2">
        <v>268.57</v>
      </c>
      <c r="F382" s="2">
        <v>269.93</v>
      </c>
      <c r="G382" s="1">
        <v>52042820</v>
      </c>
      <c r="H382" s="30">
        <f>(testdata[[#This Row],[high]]+testdata[[#This Row],[low]])/2</f>
        <v>269.27999999999997</v>
      </c>
      <c r="I382" s="23">
        <f>(4*testdata[[#This Row],[price]]+3*H381+2*H380+H379)/10</f>
        <v>266.88</v>
      </c>
      <c r="J382" s="9">
        <f>(0.0962*testdata[[#This Row],[smooth]]+0.5769*I380-0.5769*I378-0.0962*I376)*(0.075*$Z381+0.54)</f>
        <v>1.7171174910058931</v>
      </c>
      <c r="K382" s="14">
        <f t="shared" si="15"/>
        <v>-0.99826506004476401</v>
      </c>
      <c r="L382" s="14">
        <f>(0.0962*testdata[[#This Row],[detrender]]+0.5769*J380-0.5769*J378-0.0962*J376)*(0.075*$Z381+0.54)</f>
        <v>5.5620323769686983</v>
      </c>
      <c r="M382" s="9">
        <f>(0.0962*testdata[[#This Row],[I1]]+0.5769*K380-0.5769*K378-0.0962*K376)*(0.075*$Z381+0.54)</f>
        <v>-0.34660078050987625</v>
      </c>
      <c r="N382" s="9">
        <f>(0.0962*testdata[[#This Row],[Q1]]+0.5769*L380-0.5769*L378-0.0962*L376)*(0.075*$Z381+0.54)</f>
        <v>9.9885657132276666</v>
      </c>
      <c r="O382" s="9">
        <f>testdata[[#This Row],[I1]]-testdata[[#This Row],[JQ]]</f>
        <v>-10.98683077327243</v>
      </c>
      <c r="P382" s="9">
        <f>testdata[[#This Row],[Q1]]+testdata[[#This Row],[jI]]</f>
        <v>5.2154315964588225</v>
      </c>
      <c r="Q382" s="9">
        <f>0.2*testdata[[#This Row],[I2]]+0.8*Q381</f>
        <v>-3.7753482699663827</v>
      </c>
      <c r="R382" s="9">
        <f>0.2*testdata[[#This Row],[Q2]]+0.8*R381</f>
        <v>-0.34407924001226209</v>
      </c>
      <c r="S382" s="9">
        <f>testdata[[#This Row],[I2'']]*Q381+testdata[[#This Row],[Q2'']]*R381</f>
        <v>8.043408650621469</v>
      </c>
      <c r="T382" s="9">
        <f>testdata[[#This Row],[I2'']]*R381-testdata[[#This Row],[Q2'']]*Q381</f>
        <v>5.8676027593574336</v>
      </c>
      <c r="U382" s="9">
        <f>0.2*testdata[[#This Row],[Re]]+0.8*U381</f>
        <v>7.9071991682068354</v>
      </c>
      <c r="V382" s="9">
        <f>0.2*testdata[[#This Row],[Im]]+0.8*V381</f>
        <v>2.4416307161184259</v>
      </c>
      <c r="W382" s="9">
        <f>IF(AND(testdata[[#This Row],[Re'']]&lt;&gt;0,testdata[[#This Row],[Im'']]&lt;&gt;0),2*PI()/ATAN(testdata[[#This Row],[Im'']]/testdata[[#This Row],[Re'']]),0)</f>
        <v>20.979088744354904</v>
      </c>
      <c r="X382" s="9">
        <f>IF(testdata[[#This Row],[pd-atan]]&gt;1.5*Z381,1.5*Z381,IF(testdata[[#This Row],[pd-atan]]&lt;0.67*Z381,0.67*Z381,testdata[[#This Row],[pd-atan]]))</f>
        <v>20.979088744354904</v>
      </c>
      <c r="Y382" s="9">
        <f>IF(testdata[[#This Row],[pd-limit1]]&lt;6,6,IF(testdata[[#This Row],[pd-limit1]]&gt;50,50,testdata[[#This Row],[pd-limit1]]))</f>
        <v>20.979088744354904</v>
      </c>
      <c r="Z382" s="14">
        <f>0.2*testdata[[#This Row],[pd-limit2]]+0.8*Z381</f>
        <v>26.007915621309301</v>
      </c>
      <c r="AA382" s="14">
        <f>0.33*testdata[[#This Row],[period]]+0.67*AA381</f>
        <v>25.125707715034242</v>
      </c>
      <c r="AB382" s="31">
        <f>TRUNC(testdata[[#This Row],[SmPd]]+0.5,0)</f>
        <v>25</v>
      </c>
      <c r="AC382" s="14">
        <f ca="1">IF(testdata[[#This Row],[PdInt]]&lt;=0,0,AVERAGE(OFFSET(testdata[[#This Row],[price]],0,0,-testdata[[#This Row],[PdInt]],1)))</f>
        <v>266.54859999999996</v>
      </c>
      <c r="AD382" s="14">
        <f ca="1">IF(testdata[[#This Row],[i]]&lt;11,testdata[[#This Row],[price]],(4*testdata[[#This Row],[iTrend]]+3*AC381+2*AC380+AC379)/10)</f>
        <v>266.4627057312253</v>
      </c>
      <c r="AE382" s="14">
        <f>(4*testdata[[#This Row],[price]]+3*H381+2*H380+H379)/10</f>
        <v>266.88</v>
      </c>
      <c r="AF382" t="str">
        <f ca="1">IF(OR(ROUND(testdata[[#This Row],[Trendline]],4)&lt;&gt;Table3[[#This Row],[Trendline]],ROUND(testdata[[#This Row],[SmPrice]],4)&lt;&gt;Table3[[#This Row],[SmPrice]]),"ERR","")</f>
        <v/>
      </c>
      <c r="AG382" s="3">
        <v>43290</v>
      </c>
      <c r="AH382" s="14">
        <v>25.125699999999998</v>
      </c>
      <c r="AI382" s="34">
        <v>25</v>
      </c>
      <c r="AJ382" s="14">
        <v>266.54860000000002</v>
      </c>
      <c r="AK382" s="14">
        <v>266.46269999999998</v>
      </c>
      <c r="AL382" s="14">
        <v>266.88</v>
      </c>
      <c r="AN382" s="38">
        <f t="shared" si="16"/>
        <v>0</v>
      </c>
      <c r="AO382" s="38">
        <f t="shared" si="17"/>
        <v>0</v>
      </c>
      <c r="AQ382" s="37">
        <v>43290</v>
      </c>
      <c r="AR382">
        <v>25</v>
      </c>
      <c r="AS382">
        <v>266.46270573122501</v>
      </c>
      <c r="AT382">
        <v>266.88</v>
      </c>
      <c r="AV382" s="37">
        <v>43290</v>
      </c>
      <c r="AW382">
        <v>25</v>
      </c>
      <c r="AX382">
        <v>266.46270573122501</v>
      </c>
      <c r="AY382">
        <v>266.88</v>
      </c>
      <c r="BA382" s="38">
        <f>AX382-Table3[[#This Row],[Trendline]]</f>
        <v>5.7312250305585621E-6</v>
      </c>
      <c r="BB382" s="38">
        <f>AY382-Table3[[#This Row],[SmPrice]]</f>
        <v>0</v>
      </c>
    </row>
    <row r="383" spans="1:54" x14ac:dyDescent="0.35">
      <c r="A383" s="6">
        <v>381</v>
      </c>
      <c r="B383" s="3">
        <v>43291</v>
      </c>
      <c r="C383" s="2">
        <v>270.43</v>
      </c>
      <c r="D383" s="2">
        <v>271.01</v>
      </c>
      <c r="E383" s="2">
        <v>270.11</v>
      </c>
      <c r="F383" s="2">
        <v>270.89999999999998</v>
      </c>
      <c r="G383" s="1">
        <v>53501064</v>
      </c>
      <c r="H383" s="30">
        <f>(testdata[[#This Row],[high]]+testdata[[#This Row],[low]])/2</f>
        <v>270.56</v>
      </c>
      <c r="I383" s="23">
        <f>(4*testdata[[#This Row],[price]]+3*H382+2*H381+H380)/10</f>
        <v>268.71699999999998</v>
      </c>
      <c r="J383" s="9">
        <f>(0.0962*testdata[[#This Row],[smooth]]+0.5769*I381-0.5769*I379-0.0962*I377)*(0.075*$Z382+0.54)</f>
        <v>3.1191324680607022</v>
      </c>
      <c r="K383" s="14">
        <f t="shared" si="15"/>
        <v>4.1810266701570828E-2</v>
      </c>
      <c r="L383" s="14">
        <f>(0.0962*testdata[[#This Row],[detrender]]+0.5769*J381-0.5769*J379-0.0962*J377)*(0.075*$Z382+0.54)</f>
        <v>2.9434803031555128</v>
      </c>
      <c r="M383" s="9">
        <f>(0.0962*testdata[[#This Row],[I1]]+0.5769*K381-0.5769*K379-0.0962*K377)*(0.075*$Z382+0.54)</f>
        <v>2.1769701158397852</v>
      </c>
      <c r="N383" s="9">
        <f>(0.0962*testdata[[#This Row],[Q1]]+0.5769*L381-0.5769*L379-0.0962*L377)*(0.075*$Z382+0.54)</f>
        <v>6.4477561554188609</v>
      </c>
      <c r="O383" s="9">
        <f>testdata[[#This Row],[I1]]-testdata[[#This Row],[JQ]]</f>
        <v>-6.40594588871729</v>
      </c>
      <c r="P383" s="9">
        <f>testdata[[#This Row],[Q1]]+testdata[[#This Row],[jI]]</f>
        <v>5.120450418995298</v>
      </c>
      <c r="Q383" s="9">
        <f>0.2*testdata[[#This Row],[I2]]+0.8*Q382</f>
        <v>-4.3014677937165651</v>
      </c>
      <c r="R383" s="9">
        <f>0.2*testdata[[#This Row],[Q2]]+0.8*R382</f>
        <v>0.74882669178924988</v>
      </c>
      <c r="S383" s="9">
        <f>testdata[[#This Row],[I2'']]*Q382+testdata[[#This Row],[Q2'']]*R382</f>
        <v>15.981883274312205</v>
      </c>
      <c r="T383" s="9">
        <f>testdata[[#This Row],[I2'']]*R382-testdata[[#This Row],[Q2'']]*Q382</f>
        <v>4.3071273247504118</v>
      </c>
      <c r="U383" s="9">
        <f>0.2*testdata[[#This Row],[Re]]+0.8*U382</f>
        <v>9.522135989427909</v>
      </c>
      <c r="V383" s="9">
        <f>0.2*testdata[[#This Row],[Im]]+0.8*V382</f>
        <v>2.8147300378448232</v>
      </c>
      <c r="W383" s="9">
        <f>IF(AND(testdata[[#This Row],[Re'']]&lt;&gt;0,testdata[[#This Row],[Im'']]&lt;&gt;0),2*PI()/ATAN(testdata[[#This Row],[Im'']]/testdata[[#This Row],[Re'']]),0)</f>
        <v>21.861101893998725</v>
      </c>
      <c r="X383" s="9">
        <f>IF(testdata[[#This Row],[pd-atan]]&gt;1.5*Z382,1.5*Z382,IF(testdata[[#This Row],[pd-atan]]&lt;0.67*Z382,0.67*Z382,testdata[[#This Row],[pd-atan]]))</f>
        <v>21.861101893998725</v>
      </c>
      <c r="Y383" s="9">
        <f>IF(testdata[[#This Row],[pd-limit1]]&lt;6,6,IF(testdata[[#This Row],[pd-limit1]]&gt;50,50,testdata[[#This Row],[pd-limit1]]))</f>
        <v>21.861101893998725</v>
      </c>
      <c r="Z383" s="14">
        <f>0.2*testdata[[#This Row],[pd-limit2]]+0.8*Z382</f>
        <v>25.178552875847188</v>
      </c>
      <c r="AA383" s="14">
        <f>0.33*testdata[[#This Row],[period]]+0.67*AA382</f>
        <v>25.143146618102516</v>
      </c>
      <c r="AB383" s="31">
        <f>TRUNC(testdata[[#This Row],[SmPd]]+0.5,0)</f>
        <v>25</v>
      </c>
      <c r="AC383" s="14">
        <f ca="1">IF(testdata[[#This Row],[PdInt]]&lt;=0,0,AVERAGE(OFFSET(testdata[[#This Row],[price]],0,0,-testdata[[#This Row],[PdInt]],1)))</f>
        <v>266.745</v>
      </c>
      <c r="AD383" s="14">
        <f ca="1">IF(testdata[[#This Row],[i]]&lt;11,testdata[[#This Row],[price]],(4*testdata[[#This Row],[iTrend]]+3*AC382+2*AC381+AC380)/10)</f>
        <v>266.57460695652173</v>
      </c>
      <c r="AE383" s="14">
        <f>(4*testdata[[#This Row],[price]]+3*H382+2*H381+H380)/10</f>
        <v>268.71699999999998</v>
      </c>
      <c r="AF383" t="str">
        <f ca="1">IF(OR(ROUND(testdata[[#This Row],[Trendline]],4)&lt;&gt;Table3[[#This Row],[Trendline]],ROUND(testdata[[#This Row],[SmPrice]],4)&lt;&gt;Table3[[#This Row],[SmPrice]]),"ERR","")</f>
        <v/>
      </c>
      <c r="AG383" s="3">
        <v>43291</v>
      </c>
      <c r="AH383" s="14">
        <v>25.1431</v>
      </c>
      <c r="AI383" s="34">
        <v>25</v>
      </c>
      <c r="AJ383" s="14">
        <v>266.745</v>
      </c>
      <c r="AK383" s="14">
        <v>266.57459999999998</v>
      </c>
      <c r="AL383" s="14">
        <v>268.71699999999998</v>
      </c>
      <c r="AN383" s="38">
        <f t="shared" si="16"/>
        <v>0</v>
      </c>
      <c r="AO383" s="38">
        <f t="shared" si="17"/>
        <v>0</v>
      </c>
      <c r="AQ383" s="37">
        <v>43291</v>
      </c>
      <c r="AR383">
        <v>25</v>
      </c>
      <c r="AS383">
        <v>266.574606956521</v>
      </c>
      <c r="AT383">
        <v>268.71699999999998</v>
      </c>
      <c r="AV383" s="37">
        <v>43291</v>
      </c>
      <c r="AW383">
        <v>25</v>
      </c>
      <c r="AX383">
        <v>266.574606956521</v>
      </c>
      <c r="AY383">
        <v>268.71699999999998</v>
      </c>
      <c r="BA383" s="38">
        <f>AX383-Table3[[#This Row],[Trendline]]</f>
        <v>6.9565210196742555E-6</v>
      </c>
      <c r="BB383" s="38">
        <f>AY383-Table3[[#This Row],[SmPrice]]</f>
        <v>0</v>
      </c>
    </row>
    <row r="384" spans="1:54" x14ac:dyDescent="0.35">
      <c r="A384" s="6">
        <v>382</v>
      </c>
      <c r="B384" s="3">
        <v>43292</v>
      </c>
      <c r="C384" s="2">
        <v>269.2</v>
      </c>
      <c r="D384" s="2">
        <v>270.07</v>
      </c>
      <c r="E384" s="2">
        <v>268.58999999999997</v>
      </c>
      <c r="F384" s="2">
        <v>268.92</v>
      </c>
      <c r="G384" s="1">
        <v>79329656</v>
      </c>
      <c r="H384" s="30">
        <f>(testdata[[#This Row],[high]]+testdata[[#This Row],[low]])/2</f>
        <v>269.33</v>
      </c>
      <c r="I384" s="23">
        <f>(4*testdata[[#This Row],[price]]+3*H383+2*H382+H381)/10</f>
        <v>269.39699999999999</v>
      </c>
      <c r="J384" s="9">
        <f>(0.0962*testdata[[#This Row],[smooth]]+0.5769*I382-0.5769*I380-0.0962*I378)*(0.075*$Z383+0.54)</f>
        <v>5.5586062778970584</v>
      </c>
      <c r="K384" s="14">
        <f t="shared" si="15"/>
        <v>5.2329119428623991E-2</v>
      </c>
      <c r="L384" s="14">
        <f>(0.0962*testdata[[#This Row],[detrender]]+0.5769*J382-0.5769*J380-0.0962*J378)*(0.075*$Z383+0.54)</f>
        <v>4.2834382666456907</v>
      </c>
      <c r="M384" s="9">
        <f>(0.0962*testdata[[#This Row],[I1]]+0.5769*K382-0.5769*K380-0.0962*K378)*(0.075*$Z383+0.54)</f>
        <v>3.2425388214804527</v>
      </c>
      <c r="N384" s="9">
        <f>(0.0962*testdata[[#This Row],[Q1]]+0.5769*L382-0.5769*L380-0.0962*L378)*(0.075*$Z383+0.54)</f>
        <v>6.8007390848539107</v>
      </c>
      <c r="O384" s="9">
        <f>testdata[[#This Row],[I1]]-testdata[[#This Row],[JQ]]</f>
        <v>-6.7484099654252869</v>
      </c>
      <c r="P384" s="9">
        <f>testdata[[#This Row],[Q1]]+testdata[[#This Row],[jI]]</f>
        <v>7.5259770881261439</v>
      </c>
      <c r="Q384" s="9">
        <f>0.2*testdata[[#This Row],[I2]]+0.8*Q383</f>
        <v>-4.7908562280583098</v>
      </c>
      <c r="R384" s="9">
        <f>0.2*testdata[[#This Row],[Q2]]+0.8*R383</f>
        <v>2.1042567710566287</v>
      </c>
      <c r="S384" s="9">
        <f>testdata[[#This Row],[I2'']]*Q383+testdata[[#This Row],[Q2'']]*R383</f>
        <v>22.183437405864709</v>
      </c>
      <c r="T384" s="9">
        <f>testdata[[#This Row],[I2'']]*R383-testdata[[#This Row],[Q2'']]*Q383</f>
        <v>5.4638717103152725</v>
      </c>
      <c r="U384" s="9">
        <f>0.2*testdata[[#This Row],[Re]]+0.8*U383</f>
        <v>12.05439627271527</v>
      </c>
      <c r="V384" s="9">
        <f>0.2*testdata[[#This Row],[Im]]+0.8*V383</f>
        <v>3.3445583723389127</v>
      </c>
      <c r="W384" s="9">
        <f>IF(AND(testdata[[#This Row],[Re'']]&lt;&gt;0,testdata[[#This Row],[Im'']]&lt;&gt;0),2*PI()/ATAN(testdata[[#This Row],[Im'']]/testdata[[#This Row],[Re'']]),0)</f>
        <v>23.215372455687959</v>
      </c>
      <c r="X384" s="9">
        <f>IF(testdata[[#This Row],[pd-atan]]&gt;1.5*Z383,1.5*Z383,IF(testdata[[#This Row],[pd-atan]]&lt;0.67*Z383,0.67*Z383,testdata[[#This Row],[pd-atan]]))</f>
        <v>23.215372455687959</v>
      </c>
      <c r="Y384" s="9">
        <f>IF(testdata[[#This Row],[pd-limit1]]&lt;6,6,IF(testdata[[#This Row],[pd-limit1]]&gt;50,50,testdata[[#This Row],[pd-limit1]]))</f>
        <v>23.215372455687959</v>
      </c>
      <c r="Z384" s="14">
        <f>0.2*testdata[[#This Row],[pd-limit2]]+0.8*Z383</f>
        <v>24.785916791815346</v>
      </c>
      <c r="AA384" s="14">
        <f>0.33*testdata[[#This Row],[period]]+0.67*AA383</f>
        <v>25.02526077542775</v>
      </c>
      <c r="AB384" s="31">
        <f>TRUNC(testdata[[#This Row],[SmPd]]+0.5,0)</f>
        <v>25</v>
      </c>
      <c r="AC384" s="14">
        <f ca="1">IF(testdata[[#This Row],[PdInt]]&lt;=0,0,AVERAGE(OFFSET(testdata[[#This Row],[price]],0,0,-testdata[[#This Row],[PdInt]],1)))</f>
        <v>266.88699999999994</v>
      </c>
      <c r="AD384" s="14">
        <f ca="1">IF(testdata[[#This Row],[i]]&lt;11,testdata[[#This Row],[price]],(4*testdata[[#This Row],[iTrend]]+3*AC383+2*AC382+AC381)/10)</f>
        <v>266.72223999999994</v>
      </c>
      <c r="AE384" s="14">
        <f>(4*testdata[[#This Row],[price]]+3*H383+2*H382+H381)/10</f>
        <v>269.39699999999999</v>
      </c>
      <c r="AF384" t="str">
        <f ca="1">IF(OR(ROUND(testdata[[#This Row],[Trendline]],4)&lt;&gt;Table3[[#This Row],[Trendline]],ROUND(testdata[[#This Row],[SmPrice]],4)&lt;&gt;Table3[[#This Row],[SmPrice]]),"ERR","")</f>
        <v/>
      </c>
      <c r="AG384" s="3">
        <v>43292</v>
      </c>
      <c r="AH384" s="14">
        <v>25.025300000000001</v>
      </c>
      <c r="AI384" s="34">
        <v>25</v>
      </c>
      <c r="AJ384" s="14">
        <v>266.887</v>
      </c>
      <c r="AK384" s="14">
        <v>266.72219999999999</v>
      </c>
      <c r="AL384" s="14">
        <v>269.39699999999999</v>
      </c>
      <c r="AN384" s="38">
        <f t="shared" si="16"/>
        <v>0</v>
      </c>
      <c r="AO384" s="38">
        <f t="shared" si="17"/>
        <v>0</v>
      </c>
      <c r="AQ384" s="37">
        <v>43292</v>
      </c>
      <c r="AR384">
        <v>25</v>
      </c>
      <c r="AS384">
        <v>266.72223999999898</v>
      </c>
      <c r="AT384">
        <v>269.39699999999999</v>
      </c>
      <c r="AV384" s="37">
        <v>43292</v>
      </c>
      <c r="AW384">
        <v>25</v>
      </c>
      <c r="AX384">
        <v>266.72223999999898</v>
      </c>
      <c r="AY384">
        <v>269.39699999999999</v>
      </c>
      <c r="BA384" s="38">
        <f>AX384-Table3[[#This Row],[Trendline]]</f>
        <v>3.9999998989515007E-5</v>
      </c>
      <c r="BB384" s="38">
        <f>AY384-Table3[[#This Row],[SmPrice]]</f>
        <v>0</v>
      </c>
    </row>
    <row r="385" spans="1:54" x14ac:dyDescent="0.35">
      <c r="A385" s="6">
        <v>383</v>
      </c>
      <c r="B385" s="3">
        <v>43293</v>
      </c>
      <c r="C385" s="2">
        <v>270.3</v>
      </c>
      <c r="D385" s="2">
        <v>271.42</v>
      </c>
      <c r="E385" s="2">
        <v>269.64</v>
      </c>
      <c r="F385" s="2">
        <v>271.36</v>
      </c>
      <c r="G385" s="1">
        <v>61899772</v>
      </c>
      <c r="H385" s="30">
        <f>(testdata[[#This Row],[high]]+testdata[[#This Row],[low]])/2</f>
        <v>270.52999999999997</v>
      </c>
      <c r="I385" s="23">
        <f>(4*testdata[[#This Row],[price]]+3*H384+2*H383+H382)/10</f>
        <v>270.05100000000004</v>
      </c>
      <c r="J385" s="9">
        <f>(0.0962*testdata[[#This Row],[smooth]]+0.5769*I383-0.5769*I381-0.0962*I379)*(0.075*$Z384+0.54)</f>
        <v>6.7543396245916005</v>
      </c>
      <c r="K385" s="14">
        <f t="shared" si="15"/>
        <v>1.7171174910058931</v>
      </c>
      <c r="L385" s="14">
        <f>(0.0962*testdata[[#This Row],[detrender]]+0.5769*J383-0.5769*J381-0.0962*J379)*(0.075*$Z384+0.54)</f>
        <v>6.0334381271874111</v>
      </c>
      <c r="M385" s="9">
        <f>(0.0962*testdata[[#This Row],[I1]]+0.5769*K383-0.5769*K381-0.0962*K379)*(0.075*$Z384+0.54)</f>
        <v>5.1619345216656356</v>
      </c>
      <c r="N385" s="9">
        <f>(0.0962*testdata[[#This Row],[Q1]]+0.5769*L383-0.5769*L381-0.0962*L379)*(0.075*$Z384+0.54)</f>
        <v>0.90839809459131915</v>
      </c>
      <c r="O385" s="9">
        <f>testdata[[#This Row],[I1]]-testdata[[#This Row],[JQ]]</f>
        <v>0.80871939641457391</v>
      </c>
      <c r="P385" s="9">
        <f>testdata[[#This Row],[Q1]]+testdata[[#This Row],[jI]]</f>
        <v>11.195372648853047</v>
      </c>
      <c r="Q385" s="9">
        <f>0.2*testdata[[#This Row],[I2]]+0.8*Q384</f>
        <v>-3.6709411031637331</v>
      </c>
      <c r="R385" s="9">
        <f>0.2*testdata[[#This Row],[Q2]]+0.8*R384</f>
        <v>3.9224799466159128</v>
      </c>
      <c r="S385" s="9">
        <f>testdata[[#This Row],[I2'']]*Q384+testdata[[#This Row],[Q2'']]*R384</f>
        <v>25.84085603392759</v>
      </c>
      <c r="T385" s="9">
        <f>testdata[[#This Row],[I2'']]*R384-testdata[[#This Row],[Q2'']]*Q384</f>
        <v>11.067434809196296</v>
      </c>
      <c r="U385" s="9">
        <f>0.2*testdata[[#This Row],[Re]]+0.8*U384</f>
        <v>14.811688224957734</v>
      </c>
      <c r="V385" s="9">
        <f>0.2*testdata[[#This Row],[Im]]+0.8*V384</f>
        <v>4.8891336597103896</v>
      </c>
      <c r="W385" s="9">
        <f>IF(AND(testdata[[#This Row],[Re'']]&lt;&gt;0,testdata[[#This Row],[Im'']]&lt;&gt;0),2*PI()/ATAN(testdata[[#This Row],[Im'']]/testdata[[#This Row],[Re'']]),0)</f>
        <v>19.707299606434397</v>
      </c>
      <c r="X385" s="9">
        <f>IF(testdata[[#This Row],[pd-atan]]&gt;1.5*Z384,1.5*Z384,IF(testdata[[#This Row],[pd-atan]]&lt;0.67*Z384,0.67*Z384,testdata[[#This Row],[pd-atan]]))</f>
        <v>19.707299606434397</v>
      </c>
      <c r="Y385" s="9">
        <f>IF(testdata[[#This Row],[pd-limit1]]&lt;6,6,IF(testdata[[#This Row],[pd-limit1]]&gt;50,50,testdata[[#This Row],[pd-limit1]]))</f>
        <v>19.707299606434397</v>
      </c>
      <c r="Z385" s="14">
        <f>0.2*testdata[[#This Row],[pd-limit2]]+0.8*Z384</f>
        <v>23.770193354739156</v>
      </c>
      <c r="AA385" s="14">
        <f>0.33*testdata[[#This Row],[period]]+0.67*AA384</f>
        <v>24.611088526600515</v>
      </c>
      <c r="AB385" s="31">
        <f>TRUNC(testdata[[#This Row],[SmPd]]+0.5,0)</f>
        <v>25</v>
      </c>
      <c r="AC385" s="14">
        <f ca="1">IF(testdata[[#This Row],[PdInt]]&lt;=0,0,AVERAGE(OFFSET(testdata[[#This Row],[price]],0,0,-testdata[[#This Row],[PdInt]],1)))</f>
        <v>267.02080000000001</v>
      </c>
      <c r="AD385" s="14">
        <f ca="1">IF(testdata[[#This Row],[i]]&lt;11,testdata[[#This Row],[price]],(4*testdata[[#This Row],[iTrend]]+3*AC384+2*AC383+AC382)/10)</f>
        <v>266.87828000000002</v>
      </c>
      <c r="AE385" s="14">
        <f>(4*testdata[[#This Row],[price]]+3*H384+2*H383+H382)/10</f>
        <v>270.05100000000004</v>
      </c>
      <c r="AF385" t="str">
        <f ca="1">IF(OR(ROUND(testdata[[#This Row],[Trendline]],4)&lt;&gt;Table3[[#This Row],[Trendline]],ROUND(testdata[[#This Row],[SmPrice]],4)&lt;&gt;Table3[[#This Row],[SmPrice]]),"ERR","")</f>
        <v/>
      </c>
      <c r="AG385" s="3">
        <v>43293</v>
      </c>
      <c r="AH385" s="14">
        <v>24.6111</v>
      </c>
      <c r="AI385" s="34">
        <v>25</v>
      </c>
      <c r="AJ385" s="14">
        <v>267.02080000000001</v>
      </c>
      <c r="AK385" s="14">
        <v>266.87830000000002</v>
      </c>
      <c r="AL385" s="14">
        <v>270.05099999999999</v>
      </c>
      <c r="AN385" s="38">
        <f t="shared" si="16"/>
        <v>0</v>
      </c>
      <c r="AO385" s="38">
        <f t="shared" si="17"/>
        <v>0</v>
      </c>
      <c r="AQ385" s="37">
        <v>43293</v>
      </c>
      <c r="AR385">
        <v>25</v>
      </c>
      <c r="AS385">
        <v>266.87828000000002</v>
      </c>
      <c r="AT385">
        <v>270.05099999999999</v>
      </c>
      <c r="AV385" s="37">
        <v>43293</v>
      </c>
      <c r="AW385">
        <v>25</v>
      </c>
      <c r="AX385">
        <v>266.87828000000002</v>
      </c>
      <c r="AY385">
        <v>270.05099999999999</v>
      </c>
      <c r="BA385" s="38">
        <f>AX385-Table3[[#This Row],[Trendline]]</f>
        <v>-2.0000000006348273E-5</v>
      </c>
      <c r="BB385" s="38">
        <f>AY385-Table3[[#This Row],[SmPrice]]</f>
        <v>0</v>
      </c>
    </row>
    <row r="386" spans="1:54" x14ac:dyDescent="0.35">
      <c r="A386" s="6">
        <v>384</v>
      </c>
      <c r="B386" s="3">
        <v>43294</v>
      </c>
      <c r="C386" s="2">
        <v>271.16000000000003</v>
      </c>
      <c r="D386" s="2">
        <v>271.89999999999998</v>
      </c>
      <c r="E386" s="2">
        <v>270.67</v>
      </c>
      <c r="F386" s="2">
        <v>271.57</v>
      </c>
      <c r="G386" s="1">
        <v>49659024</v>
      </c>
      <c r="H386" s="30">
        <f>(testdata[[#This Row],[high]]+testdata[[#This Row],[low]])/2</f>
        <v>271.28499999999997</v>
      </c>
      <c r="I386" s="23">
        <f>(4*testdata[[#This Row],[price]]+3*H385+2*H384+H383)/10</f>
        <v>270.59499999999997</v>
      </c>
      <c r="J386" s="9">
        <f>(0.0962*testdata[[#This Row],[smooth]]+0.5769*I384-0.5769*I382-0.0962*I380)*(0.075*$Z385+0.54)</f>
        <v>4.8652093337556819</v>
      </c>
      <c r="K386" s="14">
        <f t="shared" si="15"/>
        <v>3.1191324680607022</v>
      </c>
      <c r="L386" s="14">
        <f>(0.0962*testdata[[#This Row],[detrender]]+0.5769*J384-0.5769*J382-0.0962*J380)*(0.075*$Z385+0.54)</f>
        <v>6.2253941445211787</v>
      </c>
      <c r="M386" s="9">
        <f>(0.0962*testdata[[#This Row],[I1]]+0.5769*K384-0.5769*K382-0.0962*K380)*(0.075*$Z385+0.54)</f>
        <v>2.7451332737696905</v>
      </c>
      <c r="N386" s="9">
        <f>(0.0962*testdata[[#This Row],[Q1]]+0.5769*L384-0.5769*L382-0.0962*L380)*(0.075*$Z385+0.54)</f>
        <v>-0.77629299416075492</v>
      </c>
      <c r="O386" s="9">
        <f>testdata[[#This Row],[I1]]-testdata[[#This Row],[JQ]]</f>
        <v>3.895425462221457</v>
      </c>
      <c r="P386" s="9">
        <f>testdata[[#This Row],[Q1]]+testdata[[#This Row],[jI]]</f>
        <v>8.9705274182908692</v>
      </c>
      <c r="Q386" s="9">
        <f>0.2*testdata[[#This Row],[I2]]+0.8*Q385</f>
        <v>-2.1576677900866952</v>
      </c>
      <c r="R386" s="9">
        <f>0.2*testdata[[#This Row],[Q2]]+0.8*R385</f>
        <v>4.9320894409509046</v>
      </c>
      <c r="S386" s="9">
        <f>testdata[[#This Row],[I2'']]*Q385+testdata[[#This Row],[Q2'']]*R385</f>
        <v>27.266693304647717</v>
      </c>
      <c r="T386" s="9">
        <f>testdata[[#This Row],[I2'']]*R385-testdata[[#This Row],[Q2'']]*Q385</f>
        <v>9.64200121519238</v>
      </c>
      <c r="U386" s="9">
        <f>0.2*testdata[[#This Row],[Re]]+0.8*U385</f>
        <v>17.302689240895731</v>
      </c>
      <c r="V386" s="9">
        <f>0.2*testdata[[#This Row],[Im]]+0.8*V385</f>
        <v>5.839707170806788</v>
      </c>
      <c r="W386" s="9">
        <f>IF(AND(testdata[[#This Row],[Re'']]&lt;&gt;0,testdata[[#This Row],[Im'']]&lt;&gt;0),2*PI()/ATAN(testdata[[#This Row],[Im'']]/testdata[[#This Row],[Re'']]),0)</f>
        <v>19.303273998049576</v>
      </c>
      <c r="X386" s="9">
        <f>IF(testdata[[#This Row],[pd-atan]]&gt;1.5*Z385,1.5*Z385,IF(testdata[[#This Row],[pd-atan]]&lt;0.67*Z385,0.67*Z385,testdata[[#This Row],[pd-atan]]))</f>
        <v>19.303273998049576</v>
      </c>
      <c r="Y386" s="9">
        <f>IF(testdata[[#This Row],[pd-limit1]]&lt;6,6,IF(testdata[[#This Row],[pd-limit1]]&gt;50,50,testdata[[#This Row],[pd-limit1]]))</f>
        <v>19.303273998049576</v>
      </c>
      <c r="Z386" s="14">
        <f>0.2*testdata[[#This Row],[pd-limit2]]+0.8*Z385</f>
        <v>22.876809483401239</v>
      </c>
      <c r="AA386" s="14">
        <f>0.33*testdata[[#This Row],[period]]+0.67*AA385</f>
        <v>24.038776442344755</v>
      </c>
      <c r="AB386" s="31">
        <f>TRUNC(testdata[[#This Row],[SmPd]]+0.5,0)</f>
        <v>24</v>
      </c>
      <c r="AC386" s="14">
        <f ca="1">IF(testdata[[#This Row],[PdInt]]&lt;=0,0,AVERAGE(OFFSET(testdata[[#This Row],[price]],0,0,-testdata[[#This Row],[PdInt]],1)))</f>
        <v>267.09812499999992</v>
      </c>
      <c r="AD386" s="14">
        <f ca="1">IF(testdata[[#This Row],[i]]&lt;11,testdata[[#This Row],[price]],(4*testdata[[#This Row],[iTrend]]+3*AC385+2*AC384+AC383)/10)</f>
        <v>266.99738999999994</v>
      </c>
      <c r="AE386" s="14">
        <f>(4*testdata[[#This Row],[price]]+3*H385+2*H384+H383)/10</f>
        <v>270.59499999999997</v>
      </c>
      <c r="AF386" t="str">
        <f ca="1">IF(OR(ROUND(testdata[[#This Row],[Trendline]],4)&lt;&gt;Table3[[#This Row],[Trendline]],ROUND(testdata[[#This Row],[SmPrice]],4)&lt;&gt;Table3[[#This Row],[SmPrice]]),"ERR","")</f>
        <v/>
      </c>
      <c r="AG386" s="3">
        <v>43294</v>
      </c>
      <c r="AH386" s="14">
        <v>24.038799999999998</v>
      </c>
      <c r="AI386" s="34">
        <v>24</v>
      </c>
      <c r="AJ386" s="14">
        <v>267.09809999999999</v>
      </c>
      <c r="AK386" s="14">
        <v>266.99740000000003</v>
      </c>
      <c r="AL386" s="14">
        <v>270.59500000000003</v>
      </c>
      <c r="AN386" s="38">
        <f t="shared" si="16"/>
        <v>0</v>
      </c>
      <c r="AO386" s="38">
        <f t="shared" si="17"/>
        <v>0</v>
      </c>
      <c r="AQ386" s="37">
        <v>43294</v>
      </c>
      <c r="AR386">
        <v>24</v>
      </c>
      <c r="AS386">
        <v>266.99738999999897</v>
      </c>
      <c r="AT386">
        <v>270.594999999999</v>
      </c>
      <c r="AV386" s="37">
        <v>43294</v>
      </c>
      <c r="AW386">
        <v>24</v>
      </c>
      <c r="AX386">
        <v>266.99738999999897</v>
      </c>
      <c r="AY386">
        <v>270.594999999999</v>
      </c>
      <c r="BA386" s="38">
        <f>AX386-Table3[[#This Row],[Trendline]]</f>
        <v>-1.0000001054777385E-5</v>
      </c>
      <c r="BB386" s="38">
        <f>AY386-Table3[[#This Row],[SmPrice]]</f>
        <v>-1.0231815394945443E-12</v>
      </c>
    </row>
    <row r="387" spans="1:54" x14ac:dyDescent="0.35">
      <c r="A387" s="6">
        <v>385</v>
      </c>
      <c r="B387" s="3">
        <v>43297</v>
      </c>
      <c r="C387" s="2">
        <v>271.62</v>
      </c>
      <c r="D387" s="2">
        <v>271.77999999999997</v>
      </c>
      <c r="E387" s="2">
        <v>270.83999999999997</v>
      </c>
      <c r="F387" s="2">
        <v>271.33</v>
      </c>
      <c r="G387" s="1">
        <v>49624096</v>
      </c>
      <c r="H387" s="30">
        <f>(testdata[[#This Row],[high]]+testdata[[#This Row],[low]])/2</f>
        <v>271.30999999999995</v>
      </c>
      <c r="I387" s="23">
        <f>(4*testdata[[#This Row],[price]]+3*H386+2*H385+H384)/10</f>
        <v>270.94849999999997</v>
      </c>
      <c r="J387" s="9">
        <f>(0.0962*testdata[[#This Row],[smooth]]+0.5769*I385-0.5769*I383-0.0962*I381)*(0.075*$Z386+0.54)</f>
        <v>3.0452934272476266</v>
      </c>
      <c r="K387" s="14">
        <f t="shared" si="15"/>
        <v>5.5586062778970584</v>
      </c>
      <c r="L387" s="14">
        <f>(0.0962*testdata[[#This Row],[detrender]]+0.5769*J385-0.5769*J383-0.0962*J381)*(0.075*$Z386+0.54)</f>
        <v>5.3801566174276818</v>
      </c>
      <c r="M387" s="9">
        <f>(0.0962*testdata[[#This Row],[I1]]+0.5769*K385-0.5769*K383-0.0962*K381)*(0.075*$Z386+0.54)</f>
        <v>3.9789349812454202</v>
      </c>
      <c r="N387" s="9">
        <f>(0.0962*testdata[[#This Row],[Q1]]+0.5769*L385-0.5769*L383-0.0962*L381)*(0.075*$Z386+0.54)</f>
        <v>4.4633249097131404</v>
      </c>
      <c r="O387" s="9">
        <f>testdata[[#This Row],[I1]]-testdata[[#This Row],[JQ]]</f>
        <v>1.095281368183918</v>
      </c>
      <c r="P387" s="9">
        <f>testdata[[#This Row],[Q1]]+testdata[[#This Row],[jI]]</f>
        <v>9.3590915986731016</v>
      </c>
      <c r="Q387" s="9">
        <f>0.2*testdata[[#This Row],[I2]]+0.8*Q386</f>
        <v>-1.5070779584325726</v>
      </c>
      <c r="R387" s="9">
        <f>0.2*testdata[[#This Row],[Q2]]+0.8*R386</f>
        <v>5.8174898724953437</v>
      </c>
      <c r="S387" s="9">
        <f>testdata[[#This Row],[I2'']]*Q386+testdata[[#This Row],[Q2'']]*R386</f>
        <v>31.944153941032685</v>
      </c>
      <c r="T387" s="9">
        <f>testdata[[#This Row],[I2'']]*R386-testdata[[#This Row],[Q2'']]*Q386</f>
        <v>5.1191672315636207</v>
      </c>
      <c r="U387" s="9">
        <f>0.2*testdata[[#This Row],[Re]]+0.8*U386</f>
        <v>20.230982180923121</v>
      </c>
      <c r="V387" s="9">
        <f>0.2*testdata[[#This Row],[Im]]+0.8*V386</f>
        <v>5.6955991829581549</v>
      </c>
      <c r="W387" s="9">
        <f>IF(AND(testdata[[#This Row],[Re'']]&lt;&gt;0,testdata[[#This Row],[Im'']]&lt;&gt;0),2*PI()/ATAN(testdata[[#This Row],[Im'']]/testdata[[#This Row],[Re'']]),0)</f>
        <v>22.895772212756007</v>
      </c>
      <c r="X387" s="9">
        <f>IF(testdata[[#This Row],[pd-atan]]&gt;1.5*Z386,1.5*Z386,IF(testdata[[#This Row],[pd-atan]]&lt;0.67*Z386,0.67*Z386,testdata[[#This Row],[pd-atan]]))</f>
        <v>22.895772212756007</v>
      </c>
      <c r="Y387" s="9">
        <f>IF(testdata[[#This Row],[pd-limit1]]&lt;6,6,IF(testdata[[#This Row],[pd-limit1]]&gt;50,50,testdata[[#This Row],[pd-limit1]]))</f>
        <v>22.895772212756007</v>
      </c>
      <c r="Z387" s="14">
        <f>0.2*testdata[[#This Row],[pd-limit2]]+0.8*Z386</f>
        <v>22.880602029272197</v>
      </c>
      <c r="AA387" s="14">
        <f>0.33*testdata[[#This Row],[period]]+0.67*AA386</f>
        <v>23.656578886030815</v>
      </c>
      <c r="AB387" s="31">
        <f>TRUNC(testdata[[#This Row],[SmPd]]+0.5,0)</f>
        <v>24</v>
      </c>
      <c r="AC387" s="14">
        <f ca="1">IF(testdata[[#This Row],[PdInt]]&lt;=0,0,AVERAGE(OFFSET(testdata[[#This Row],[price]],0,0,-testdata[[#This Row],[PdInt]],1)))</f>
        <v>267.16791666666671</v>
      </c>
      <c r="AD387" s="14">
        <f ca="1">IF(testdata[[#This Row],[i]]&lt;11,testdata[[#This Row],[price]],(4*testdata[[#This Row],[iTrend]]+3*AC386+2*AC385+AC384)/10)</f>
        <v>267.08946416666669</v>
      </c>
      <c r="AE387" s="14">
        <f>(4*testdata[[#This Row],[price]]+3*H386+2*H385+H384)/10</f>
        <v>270.94849999999997</v>
      </c>
      <c r="AF387" t="str">
        <f ca="1">IF(OR(ROUND(testdata[[#This Row],[Trendline]],4)&lt;&gt;Table3[[#This Row],[Trendline]],ROUND(testdata[[#This Row],[SmPrice]],4)&lt;&gt;Table3[[#This Row],[SmPrice]]),"ERR","")</f>
        <v/>
      </c>
      <c r="AG387" s="3">
        <v>43297</v>
      </c>
      <c r="AH387" s="14">
        <v>23.656600000000001</v>
      </c>
      <c r="AI387" s="34">
        <v>24</v>
      </c>
      <c r="AJ387" s="14">
        <v>267.16789999999997</v>
      </c>
      <c r="AK387" s="14">
        <v>267.08949999999999</v>
      </c>
      <c r="AL387" s="14">
        <v>270.94850000000002</v>
      </c>
      <c r="AN387" s="38">
        <f t="shared" si="16"/>
        <v>0</v>
      </c>
      <c r="AO387" s="38">
        <f t="shared" si="17"/>
        <v>0</v>
      </c>
      <c r="AQ387" s="37">
        <v>43297</v>
      </c>
      <c r="AR387">
        <v>24</v>
      </c>
      <c r="AS387">
        <v>267.089464166666</v>
      </c>
      <c r="AT387">
        <v>270.948499999999</v>
      </c>
      <c r="AV387" s="37">
        <v>43297</v>
      </c>
      <c r="AW387">
        <v>24</v>
      </c>
      <c r="AX387">
        <v>267.089464166666</v>
      </c>
      <c r="AY387">
        <v>270.948499999999</v>
      </c>
      <c r="BA387" s="38">
        <f>AX387-Table3[[#This Row],[Trendline]]</f>
        <v>-3.5833333981827309E-5</v>
      </c>
      <c r="BB387" s="38">
        <f>AY387-Table3[[#This Row],[SmPrice]]</f>
        <v>-1.0231815394945443E-12</v>
      </c>
    </row>
    <row r="388" spans="1:54" x14ac:dyDescent="0.35">
      <c r="A388" s="6">
        <v>386</v>
      </c>
      <c r="B388" s="3">
        <v>43298</v>
      </c>
      <c r="C388" s="2">
        <v>270.48</v>
      </c>
      <c r="D388" s="2">
        <v>272.85000000000002</v>
      </c>
      <c r="E388" s="2">
        <v>270.43</v>
      </c>
      <c r="F388" s="2">
        <v>272.43</v>
      </c>
      <c r="G388" s="1">
        <v>53860032</v>
      </c>
      <c r="H388" s="30">
        <f>(testdata[[#This Row],[high]]+testdata[[#This Row],[low]])/2</f>
        <v>271.64</v>
      </c>
      <c r="I388" s="23">
        <f>(4*testdata[[#This Row],[price]]+3*H387+2*H386+H385)/10</f>
        <v>271.35899999999992</v>
      </c>
      <c r="J388" s="9">
        <f>(0.0962*testdata[[#This Row],[smooth]]+0.5769*I386-0.5769*I384-0.0962*I382)*(0.075*$Z387+0.54)</f>
        <v>2.5312961970341101</v>
      </c>
      <c r="K388" s="14">
        <f t="shared" si="15"/>
        <v>6.7543396245916005</v>
      </c>
      <c r="L388" s="14">
        <f>(0.0962*testdata[[#This Row],[detrender]]+0.5769*J386-0.5769*J384-0.0962*J382)*(0.075*$Z387+0.54)</f>
        <v>-0.72576229304514794</v>
      </c>
      <c r="M388" s="9">
        <f>(0.0962*testdata[[#This Row],[I1]]+0.5769*K386-0.5769*K384-0.0962*K382)*(0.075*$Z387+0.54)</f>
        <v>5.6740424966841028</v>
      </c>
      <c r="N388" s="9">
        <f>(0.0962*testdata[[#This Row],[Q1]]+0.5769*L386-0.5769*L384-0.0962*L382)*(0.075*$Z387+0.54)</f>
        <v>1.1628299657752743</v>
      </c>
      <c r="O388" s="9">
        <f>testdata[[#This Row],[I1]]-testdata[[#This Row],[JQ]]</f>
        <v>5.5915096588163262</v>
      </c>
      <c r="P388" s="9">
        <f>testdata[[#This Row],[Q1]]+testdata[[#This Row],[jI]]</f>
        <v>4.948280203638955</v>
      </c>
      <c r="Q388" s="9">
        <f>0.2*testdata[[#This Row],[I2]]+0.8*Q387</f>
        <v>-8.7360434982793E-2</v>
      </c>
      <c r="R388" s="9">
        <f>0.2*testdata[[#This Row],[Q2]]+0.8*R387</f>
        <v>5.6436479387240661</v>
      </c>
      <c r="S388" s="9">
        <f>testdata[[#This Row],[I2'']]*Q387+testdata[[#This Row],[Q2'']]*R387</f>
        <v>32.963523713458123</v>
      </c>
      <c r="T388" s="9">
        <f>testdata[[#This Row],[I2'']]*R387-testdata[[#This Row],[Q2'']]*Q387</f>
        <v>7.997198967835276</v>
      </c>
      <c r="U388" s="9">
        <f>0.2*testdata[[#This Row],[Re]]+0.8*U387</f>
        <v>22.777490487430121</v>
      </c>
      <c r="V388" s="9">
        <f>0.2*testdata[[#This Row],[Im]]+0.8*V387</f>
        <v>6.1559191399335793</v>
      </c>
      <c r="W388" s="9">
        <f>IF(AND(testdata[[#This Row],[Re'']]&lt;&gt;0,testdata[[#This Row],[Im'']]&lt;&gt;0),2*PI()/ATAN(testdata[[#This Row],[Im'']]/testdata[[#This Row],[Re'']]),0)</f>
        <v>23.803803168643356</v>
      </c>
      <c r="X388" s="9">
        <f>IF(testdata[[#This Row],[pd-atan]]&gt;1.5*Z387,1.5*Z387,IF(testdata[[#This Row],[pd-atan]]&lt;0.67*Z387,0.67*Z387,testdata[[#This Row],[pd-atan]]))</f>
        <v>23.803803168643356</v>
      </c>
      <c r="Y388" s="9">
        <f>IF(testdata[[#This Row],[pd-limit1]]&lt;6,6,IF(testdata[[#This Row],[pd-limit1]]&gt;50,50,testdata[[#This Row],[pd-limit1]]))</f>
        <v>23.803803168643356</v>
      </c>
      <c r="Z388" s="14">
        <f>0.2*testdata[[#This Row],[pd-limit2]]+0.8*Z387</f>
        <v>23.06524225714643</v>
      </c>
      <c r="AA388" s="14">
        <f>0.33*testdata[[#This Row],[period]]+0.67*AA387</f>
        <v>23.46143779849897</v>
      </c>
      <c r="AB388" s="31">
        <f>TRUNC(testdata[[#This Row],[SmPd]]+0.5,0)</f>
        <v>23</v>
      </c>
      <c r="AC388" s="14">
        <f ca="1">IF(testdata[[#This Row],[PdInt]]&lt;=0,0,AVERAGE(OFFSET(testdata[[#This Row],[price]],0,0,-testdata[[#This Row],[PdInt]],1)))</f>
        <v>267.15978260869565</v>
      </c>
      <c r="AD388" s="14">
        <f ca="1">IF(testdata[[#This Row],[i]]&lt;11,testdata[[#This Row],[price]],(4*testdata[[#This Row],[iTrend]]+3*AC387+2*AC386+AC385)/10)</f>
        <v>267.13599304347827</v>
      </c>
      <c r="AE388" s="14">
        <f>(4*testdata[[#This Row],[price]]+3*H387+2*H386+H385)/10</f>
        <v>271.35899999999992</v>
      </c>
      <c r="AF388" t="str">
        <f ca="1">IF(OR(ROUND(testdata[[#This Row],[Trendline]],4)&lt;&gt;Table3[[#This Row],[Trendline]],ROUND(testdata[[#This Row],[SmPrice]],4)&lt;&gt;Table3[[#This Row],[SmPrice]]),"ERR","")</f>
        <v/>
      </c>
      <c r="AG388" s="3">
        <v>43298</v>
      </c>
      <c r="AH388" s="14">
        <v>23.461400000000001</v>
      </c>
      <c r="AI388" s="34">
        <v>23</v>
      </c>
      <c r="AJ388" s="14">
        <v>267.15980000000002</v>
      </c>
      <c r="AK388" s="14">
        <v>267.13600000000002</v>
      </c>
      <c r="AL388" s="14">
        <v>271.35899999999998</v>
      </c>
      <c r="AN388" s="38">
        <f t="shared" si="16"/>
        <v>0</v>
      </c>
      <c r="AO388" s="38">
        <f t="shared" si="17"/>
        <v>0</v>
      </c>
      <c r="AQ388" s="37">
        <v>43298</v>
      </c>
      <c r="AR388">
        <v>23</v>
      </c>
      <c r="AS388">
        <v>267.13599304347798</v>
      </c>
      <c r="AT388">
        <v>271.35899999999998</v>
      </c>
      <c r="AV388" s="37">
        <v>43298</v>
      </c>
      <c r="AW388">
        <v>23</v>
      </c>
      <c r="AX388">
        <v>267.13599304347798</v>
      </c>
      <c r="AY388">
        <v>271.35899999999998</v>
      </c>
      <c r="BA388" s="38">
        <f>AX388-Table3[[#This Row],[Trendline]]</f>
        <v>-6.956522042855795E-6</v>
      </c>
      <c r="BB388" s="38">
        <f>AY388-Table3[[#This Row],[SmPrice]]</f>
        <v>0</v>
      </c>
    </row>
    <row r="389" spans="1:54" x14ac:dyDescent="0.35">
      <c r="A389" s="6">
        <v>387</v>
      </c>
      <c r="B389" s="3">
        <v>43299</v>
      </c>
      <c r="C389" s="2">
        <v>272.51</v>
      </c>
      <c r="D389" s="2">
        <v>273.12</v>
      </c>
      <c r="E389" s="2">
        <v>272.02999999999997</v>
      </c>
      <c r="F389" s="2">
        <v>273</v>
      </c>
      <c r="G389" s="1">
        <v>45910016</v>
      </c>
      <c r="H389" s="30">
        <f>(testdata[[#This Row],[high]]+testdata[[#This Row],[low]])/2</f>
        <v>272.57499999999999</v>
      </c>
      <c r="I389" s="23">
        <f>(4*testdata[[#This Row],[price]]+3*H388+2*H387+H386)/10</f>
        <v>271.91249999999997</v>
      </c>
      <c r="J389" s="9">
        <f>(0.0962*testdata[[#This Row],[smooth]]+0.5769*I387-0.5769*I385-0.0962*I383)*(0.075*$Z388+0.54)</f>
        <v>1.8730587554815119</v>
      </c>
      <c r="K389" s="14">
        <f t="shared" ref="K389:K452" si="18">J386</f>
        <v>4.8652093337556819</v>
      </c>
      <c r="L389" s="14">
        <f>(0.0962*testdata[[#This Row],[detrender]]+0.5769*J387-0.5769*J385-0.0962*J383)*(0.075*$Z388+0.54)</f>
        <v>-5.1290983693137653</v>
      </c>
      <c r="M389" s="9">
        <f>(0.0962*testdata[[#This Row],[I1]]+0.5769*K387-0.5769*K385-0.0962*K383)*(0.075*$Z388+0.54)</f>
        <v>6.0836902040626999</v>
      </c>
      <c r="N389" s="9">
        <f>(0.0962*testdata[[#This Row],[Q1]]+0.5769*L387-0.5769*L385-0.0962*L383)*(0.075*$Z388+0.54)</f>
        <v>-2.6182313638135981</v>
      </c>
      <c r="O389" s="9">
        <f>testdata[[#This Row],[I1]]-testdata[[#This Row],[JQ]]</f>
        <v>7.4834406975692804</v>
      </c>
      <c r="P389" s="9">
        <f>testdata[[#This Row],[Q1]]+testdata[[#This Row],[jI]]</f>
        <v>0.95459183474893461</v>
      </c>
      <c r="Q389" s="9">
        <f>0.2*testdata[[#This Row],[I2]]+0.8*Q388</f>
        <v>1.4267997915276218</v>
      </c>
      <c r="R389" s="9">
        <f>0.2*testdata[[#This Row],[Q2]]+0.8*R388</f>
        <v>4.7058367179290403</v>
      </c>
      <c r="S389" s="9">
        <f>testdata[[#This Row],[I2'']]*Q388+testdata[[#This Row],[Q2'']]*R388</f>
        <v>26.433439842691044</v>
      </c>
      <c r="T389" s="9">
        <f>testdata[[#This Row],[I2'']]*R388-testdata[[#This Row],[Q2'']]*Q388</f>
        <v>8.4634596450630717</v>
      </c>
      <c r="U389" s="9">
        <f>0.2*testdata[[#This Row],[Re]]+0.8*U388</f>
        <v>23.508680358482309</v>
      </c>
      <c r="V389" s="9">
        <f>0.2*testdata[[#This Row],[Im]]+0.8*V388</f>
        <v>6.6174272409594783</v>
      </c>
      <c r="W389" s="9">
        <f>IF(AND(testdata[[#This Row],[Re'']]&lt;&gt;0,testdata[[#This Row],[Im'']]&lt;&gt;0),2*PI()/ATAN(testdata[[#This Row],[Im'']]/testdata[[#This Row],[Re'']]),0)</f>
        <v>22.898855725243259</v>
      </c>
      <c r="X389" s="9">
        <f>IF(testdata[[#This Row],[pd-atan]]&gt;1.5*Z388,1.5*Z388,IF(testdata[[#This Row],[pd-atan]]&lt;0.67*Z388,0.67*Z388,testdata[[#This Row],[pd-atan]]))</f>
        <v>22.898855725243259</v>
      </c>
      <c r="Y389" s="9">
        <f>IF(testdata[[#This Row],[pd-limit1]]&lt;6,6,IF(testdata[[#This Row],[pd-limit1]]&gt;50,50,testdata[[#This Row],[pd-limit1]]))</f>
        <v>22.898855725243259</v>
      </c>
      <c r="Z389" s="14">
        <f>0.2*testdata[[#This Row],[pd-limit2]]+0.8*Z388</f>
        <v>23.031964950765797</v>
      </c>
      <c r="AA389" s="14">
        <f>0.33*testdata[[#This Row],[period]]+0.67*AA388</f>
        <v>23.319711758747026</v>
      </c>
      <c r="AB389" s="31">
        <f>TRUNC(testdata[[#This Row],[SmPd]]+0.5,0)</f>
        <v>23</v>
      </c>
      <c r="AC389" s="14">
        <f ca="1">IF(testdata[[#This Row],[PdInt]]&lt;=0,0,AVERAGE(OFFSET(testdata[[#This Row],[price]],0,0,-testdata[[#This Row],[PdInt]],1)))</f>
        <v>267.29369565217394</v>
      </c>
      <c r="AD389" s="14">
        <f ca="1">IF(testdata[[#This Row],[i]]&lt;11,testdata[[#This Row],[price]],(4*testdata[[#This Row],[iTrend]]+3*AC388+2*AC387+AC386)/10)</f>
        <v>267.20880887681159</v>
      </c>
      <c r="AE389" s="14">
        <f>(4*testdata[[#This Row],[price]]+3*H388+2*H387+H386)/10</f>
        <v>271.91249999999997</v>
      </c>
      <c r="AF389" t="str">
        <f ca="1">IF(OR(ROUND(testdata[[#This Row],[Trendline]],4)&lt;&gt;Table3[[#This Row],[Trendline]],ROUND(testdata[[#This Row],[SmPrice]],4)&lt;&gt;Table3[[#This Row],[SmPrice]]),"ERR","")</f>
        <v/>
      </c>
      <c r="AG389" s="3">
        <v>43299</v>
      </c>
      <c r="AH389" s="14">
        <v>23.319700000000001</v>
      </c>
      <c r="AI389" s="34">
        <v>23</v>
      </c>
      <c r="AJ389" s="14">
        <v>267.2937</v>
      </c>
      <c r="AK389" s="14">
        <v>267.2088</v>
      </c>
      <c r="AL389" s="14">
        <v>271.91250000000002</v>
      </c>
      <c r="AN389" s="38">
        <f t="shared" si="16"/>
        <v>0</v>
      </c>
      <c r="AO389" s="38">
        <f t="shared" si="17"/>
        <v>0</v>
      </c>
      <c r="AQ389" s="37">
        <v>43299</v>
      </c>
      <c r="AR389">
        <v>23</v>
      </c>
      <c r="AS389">
        <v>267.20880887681102</v>
      </c>
      <c r="AT389">
        <v>271.912499999999</v>
      </c>
      <c r="AV389" s="37">
        <v>43299</v>
      </c>
      <c r="AW389">
        <v>23</v>
      </c>
      <c r="AX389">
        <v>267.20880887681102</v>
      </c>
      <c r="AY389">
        <v>271.912499999999</v>
      </c>
      <c r="BA389" s="38">
        <f>AX389-Table3[[#This Row],[Trendline]]</f>
        <v>8.8768110231285391E-6</v>
      </c>
      <c r="BB389" s="38">
        <f>AY389-Table3[[#This Row],[SmPrice]]</f>
        <v>-1.0231815394945443E-12</v>
      </c>
    </row>
    <row r="390" spans="1:54" x14ac:dyDescent="0.35">
      <c r="A390" s="6">
        <v>388</v>
      </c>
      <c r="B390" s="3">
        <v>43300</v>
      </c>
      <c r="C390" s="2">
        <v>272.27</v>
      </c>
      <c r="D390" s="2">
        <v>272.69</v>
      </c>
      <c r="E390" s="2">
        <v>271.45</v>
      </c>
      <c r="F390" s="2">
        <v>271.97000000000003</v>
      </c>
      <c r="G390" s="1">
        <v>63225212</v>
      </c>
      <c r="H390" s="30">
        <f>(testdata[[#This Row],[high]]+testdata[[#This Row],[low]])/2</f>
        <v>272.07</v>
      </c>
      <c r="I390" s="23">
        <f>(4*testdata[[#This Row],[price]]+3*H389+2*H388+H387)/10</f>
        <v>272.05949999999996</v>
      </c>
      <c r="J390" s="9">
        <f>(0.0962*testdata[[#This Row],[smooth]]+0.5769*I388-0.5769*I386-0.0962*I384)*(0.075*$Z389+0.54)</f>
        <v>1.5801131764458951</v>
      </c>
      <c r="K390" s="14">
        <f t="shared" si="18"/>
        <v>3.0452934272476266</v>
      </c>
      <c r="L390" s="14">
        <f>(0.0962*testdata[[#This Row],[detrender]]+0.5769*J388-0.5769*J386-0.0962*J384)*(0.075*$Z389+0.54)</f>
        <v>-3.9207053657914188</v>
      </c>
      <c r="M390" s="9">
        <f>(0.0962*testdata[[#This Row],[I1]]+0.5769*K388-0.5769*K386-0.0962*K384)*(0.075*$Z389+0.54)</f>
        <v>5.4079109148019491</v>
      </c>
      <c r="N390" s="9">
        <f>(0.0962*testdata[[#This Row],[Q1]]+0.5769*L388-0.5769*L386-0.0962*L384)*(0.075*$Z389+0.54)</f>
        <v>-10.882057985402218</v>
      </c>
      <c r="O390" s="9">
        <f>testdata[[#This Row],[I1]]-testdata[[#This Row],[JQ]]</f>
        <v>13.927351412649845</v>
      </c>
      <c r="P390" s="9">
        <f>testdata[[#This Row],[Q1]]+testdata[[#This Row],[jI]]</f>
        <v>1.4872055490105303</v>
      </c>
      <c r="Q390" s="9">
        <f>0.2*testdata[[#This Row],[I2]]+0.8*Q389</f>
        <v>3.9269101157520669</v>
      </c>
      <c r="R390" s="9">
        <f>0.2*testdata[[#This Row],[Q2]]+0.8*R389</f>
        <v>4.0621104841453386</v>
      </c>
      <c r="S390" s="9">
        <f>testdata[[#This Row],[I2'']]*Q389+testdata[[#This Row],[Q2'']]*R389</f>
        <v>24.718543203078404</v>
      </c>
      <c r="T390" s="9">
        <f>testdata[[#This Row],[I2'']]*R389-testdata[[#This Row],[Q2'']]*Q389</f>
        <v>12.68357941877232</v>
      </c>
      <c r="U390" s="9">
        <f>0.2*testdata[[#This Row],[Re]]+0.8*U389</f>
        <v>23.750652927401529</v>
      </c>
      <c r="V390" s="9">
        <f>0.2*testdata[[#This Row],[Im]]+0.8*V389</f>
        <v>7.8306576765220477</v>
      </c>
      <c r="W390" s="9">
        <f>IF(AND(testdata[[#This Row],[Re'']]&lt;&gt;0,testdata[[#This Row],[Im'']]&lt;&gt;0),2*PI()/ATAN(testdata[[#This Row],[Im'']]/testdata[[#This Row],[Re'']]),0)</f>
        <v>19.728692642227927</v>
      </c>
      <c r="X390" s="9">
        <f>IF(testdata[[#This Row],[pd-atan]]&gt;1.5*Z389,1.5*Z389,IF(testdata[[#This Row],[pd-atan]]&lt;0.67*Z389,0.67*Z389,testdata[[#This Row],[pd-atan]]))</f>
        <v>19.728692642227927</v>
      </c>
      <c r="Y390" s="9">
        <f>IF(testdata[[#This Row],[pd-limit1]]&lt;6,6,IF(testdata[[#This Row],[pd-limit1]]&gt;50,50,testdata[[#This Row],[pd-limit1]]))</f>
        <v>19.728692642227927</v>
      </c>
      <c r="Z390" s="14">
        <f>0.2*testdata[[#This Row],[pd-limit2]]+0.8*Z389</f>
        <v>22.371310489058224</v>
      </c>
      <c r="AA390" s="14">
        <f>0.33*testdata[[#This Row],[period]]+0.67*AA389</f>
        <v>23.006739339749721</v>
      </c>
      <c r="AB390" s="31">
        <f>TRUNC(testdata[[#This Row],[SmPd]]+0.5,0)</f>
        <v>23</v>
      </c>
      <c r="AC390" s="14">
        <f ca="1">IF(testdata[[#This Row],[PdInt]]&lt;=0,0,AVERAGE(OFFSET(testdata[[#This Row],[price]],0,0,-testdata[[#This Row],[PdInt]],1)))</f>
        <v>267.44891304347823</v>
      </c>
      <c r="AD390" s="14">
        <f ca="1">IF(testdata[[#This Row],[i]]&lt;11,testdata[[#This Row],[price]],(4*testdata[[#This Row],[iTrend]]+3*AC389+2*AC388+AC387)/10)</f>
        <v>267.31642210144929</v>
      </c>
      <c r="AE390" s="14">
        <f>(4*testdata[[#This Row],[price]]+3*H389+2*H388+H387)/10</f>
        <v>272.05949999999996</v>
      </c>
      <c r="AF390" t="str">
        <f ca="1">IF(OR(ROUND(testdata[[#This Row],[Trendline]],4)&lt;&gt;Table3[[#This Row],[Trendline]],ROUND(testdata[[#This Row],[SmPrice]],4)&lt;&gt;Table3[[#This Row],[SmPrice]]),"ERR","")</f>
        <v/>
      </c>
      <c r="AG390" s="3">
        <v>43300</v>
      </c>
      <c r="AH390" s="14">
        <v>23.006699999999999</v>
      </c>
      <c r="AI390" s="34">
        <v>23</v>
      </c>
      <c r="AJ390" s="14">
        <v>267.44889999999998</v>
      </c>
      <c r="AK390" s="14">
        <v>267.31639999999999</v>
      </c>
      <c r="AL390" s="14">
        <v>272.05950000000001</v>
      </c>
      <c r="AN390" s="38">
        <f t="shared" si="16"/>
        <v>0</v>
      </c>
      <c r="AO390" s="38">
        <f t="shared" si="17"/>
        <v>0</v>
      </c>
      <c r="AQ390" s="37">
        <v>43300</v>
      </c>
      <c r="AR390">
        <v>23</v>
      </c>
      <c r="AS390">
        <v>267.31642210144901</v>
      </c>
      <c r="AT390">
        <v>272.05949999999899</v>
      </c>
      <c r="AV390" s="37">
        <v>43300</v>
      </c>
      <c r="AW390">
        <v>23</v>
      </c>
      <c r="AX390">
        <v>267.31642210144901</v>
      </c>
      <c r="AY390">
        <v>272.05949999999899</v>
      </c>
      <c r="BA390" s="38">
        <f>AX390-Table3[[#This Row],[Trendline]]</f>
        <v>2.2101449019373831E-5</v>
      </c>
      <c r="BB390" s="38">
        <f>AY390-Table3[[#This Row],[SmPrice]]</f>
        <v>-1.0231815394945443E-12</v>
      </c>
    </row>
    <row r="391" spans="1:54" x14ac:dyDescent="0.35">
      <c r="A391" s="6">
        <v>389</v>
      </c>
      <c r="B391" s="3">
        <v>43301</v>
      </c>
      <c r="C391" s="2">
        <v>271.75</v>
      </c>
      <c r="D391" s="2">
        <v>272.44</v>
      </c>
      <c r="E391" s="2">
        <v>271.48</v>
      </c>
      <c r="F391" s="2">
        <v>271.66000000000003</v>
      </c>
      <c r="G391" s="1">
        <v>84804656</v>
      </c>
      <c r="H391" s="30">
        <f>(testdata[[#This Row],[high]]+testdata[[#This Row],[low]])/2</f>
        <v>271.96000000000004</v>
      </c>
      <c r="I391" s="23">
        <f>(4*testdata[[#This Row],[price]]+3*H390+2*H389+H388)/10</f>
        <v>272.084</v>
      </c>
      <c r="J391" s="9">
        <f>(0.0962*testdata[[#This Row],[smooth]]+0.5769*I389-0.5769*I387-0.0962*I385)*(0.075*$Z390+0.54)</f>
        <v>1.6671703077562121</v>
      </c>
      <c r="K391" s="14">
        <f t="shared" si="18"/>
        <v>2.5312961970341101</v>
      </c>
      <c r="L391" s="14">
        <f>(0.0962*testdata[[#This Row],[detrender]]+0.5769*J389-0.5769*J387-0.0962*J385)*(0.075*$Z390+0.54)</f>
        <v>-2.5852301322856333</v>
      </c>
      <c r="M391" s="9">
        <f>(0.0962*testdata[[#This Row],[I1]]+0.5769*K389-0.5769*K387-0.0962*K385)*(0.075*$Z390+0.54)</f>
        <v>-0.71347448724609852</v>
      </c>
      <c r="N391" s="9">
        <f>(0.0962*testdata[[#This Row],[Q1]]+0.5769*L389-0.5769*L387-0.0962*L385)*(0.075*$Z390+0.54)</f>
        <v>-15.285199892292352</v>
      </c>
      <c r="O391" s="9">
        <f>testdata[[#This Row],[I1]]-testdata[[#This Row],[JQ]]</f>
        <v>17.816496089326463</v>
      </c>
      <c r="P391" s="9">
        <f>testdata[[#This Row],[Q1]]+testdata[[#This Row],[jI]]</f>
        <v>-3.2987046195317316</v>
      </c>
      <c r="Q391" s="9">
        <f>0.2*testdata[[#This Row],[I2]]+0.8*Q390</f>
        <v>6.7048273104669462</v>
      </c>
      <c r="R391" s="9">
        <f>0.2*testdata[[#This Row],[Q2]]+0.8*R390</f>
        <v>2.5899474634099247</v>
      </c>
      <c r="S391" s="9">
        <f>testdata[[#This Row],[I2'']]*Q390+testdata[[#This Row],[Q2'']]*R390</f>
        <v>36.849906934346457</v>
      </c>
      <c r="T391" s="9">
        <f>testdata[[#This Row],[I2'']]*R390-testdata[[#This Row],[Q2'']]*Q390</f>
        <v>17.065258418900935</v>
      </c>
      <c r="U391" s="9">
        <f>0.2*testdata[[#This Row],[Re]]+0.8*U390</f>
        <v>26.370503728790514</v>
      </c>
      <c r="V391" s="9">
        <f>0.2*testdata[[#This Row],[Im]]+0.8*V390</f>
        <v>9.6775778249978259</v>
      </c>
      <c r="W391" s="9">
        <f>IF(AND(testdata[[#This Row],[Re'']]&lt;&gt;0,testdata[[#This Row],[Im'']]&lt;&gt;0),2*PI()/ATAN(testdata[[#This Row],[Im'']]/testdata[[#This Row],[Re'']]),0)</f>
        <v>17.863898051642852</v>
      </c>
      <c r="X391" s="9">
        <f>IF(testdata[[#This Row],[pd-atan]]&gt;1.5*Z390,1.5*Z390,IF(testdata[[#This Row],[pd-atan]]&lt;0.67*Z390,0.67*Z390,testdata[[#This Row],[pd-atan]]))</f>
        <v>17.863898051642852</v>
      </c>
      <c r="Y391" s="9">
        <f>IF(testdata[[#This Row],[pd-limit1]]&lt;6,6,IF(testdata[[#This Row],[pd-limit1]]&gt;50,50,testdata[[#This Row],[pd-limit1]]))</f>
        <v>17.863898051642852</v>
      </c>
      <c r="Z391" s="14">
        <f>0.2*testdata[[#This Row],[pd-limit2]]+0.8*Z390</f>
        <v>21.469828001575152</v>
      </c>
      <c r="AA391" s="14">
        <f>0.33*testdata[[#This Row],[period]]+0.67*AA390</f>
        <v>22.499558598152113</v>
      </c>
      <c r="AB391" s="31">
        <f>TRUNC(testdata[[#This Row],[SmPd]]+0.5,0)</f>
        <v>22</v>
      </c>
      <c r="AC391" s="14">
        <f ca="1">IF(testdata[[#This Row],[PdInt]]&lt;=0,0,AVERAGE(OFFSET(testdata[[#This Row],[price]],0,0,-testdata[[#This Row],[PdInt]],1)))</f>
        <v>267.66363636363633</v>
      </c>
      <c r="AD391" s="14">
        <f ca="1">IF(testdata[[#This Row],[i]]&lt;11,testdata[[#This Row],[price]],(4*testdata[[#This Row],[iTrend]]+3*AC390+2*AC389+AC388)/10)</f>
        <v>267.47484584980236</v>
      </c>
      <c r="AE391" s="14">
        <f>(4*testdata[[#This Row],[price]]+3*H390+2*H389+H388)/10</f>
        <v>272.084</v>
      </c>
      <c r="AF391" t="str">
        <f ca="1">IF(OR(ROUND(testdata[[#This Row],[Trendline]],4)&lt;&gt;Table3[[#This Row],[Trendline]],ROUND(testdata[[#This Row],[SmPrice]],4)&lt;&gt;Table3[[#This Row],[SmPrice]]),"ERR","")</f>
        <v/>
      </c>
      <c r="AG391" s="3">
        <v>43301</v>
      </c>
      <c r="AH391" s="14">
        <v>22.499600000000001</v>
      </c>
      <c r="AI391" s="34">
        <v>22</v>
      </c>
      <c r="AJ391" s="14">
        <v>267.66359999999997</v>
      </c>
      <c r="AK391" s="14">
        <v>267.47480000000002</v>
      </c>
      <c r="AL391" s="14">
        <v>272.084</v>
      </c>
      <c r="AN391" s="38">
        <f t="shared" si="16"/>
        <v>0</v>
      </c>
      <c r="AO391" s="38">
        <f t="shared" si="17"/>
        <v>0</v>
      </c>
      <c r="AQ391" s="37">
        <v>43301</v>
      </c>
      <c r="AR391">
        <v>22</v>
      </c>
      <c r="AS391">
        <v>267.47484584980202</v>
      </c>
      <c r="AT391">
        <v>272.08399999999898</v>
      </c>
      <c r="AV391" s="37">
        <v>43301</v>
      </c>
      <c r="AW391">
        <v>22</v>
      </c>
      <c r="AX391">
        <v>267.47484584980202</v>
      </c>
      <c r="AY391">
        <v>272.08399999999898</v>
      </c>
      <c r="BA391" s="38">
        <f>AX391-Table3[[#This Row],[Trendline]]</f>
        <v>4.5849802006614482E-5</v>
      </c>
      <c r="BB391" s="38">
        <f>AY391-Table3[[#This Row],[SmPrice]]</f>
        <v>-1.0231815394945443E-12</v>
      </c>
    </row>
    <row r="392" spans="1:54" x14ac:dyDescent="0.35">
      <c r="A392" s="6">
        <v>390</v>
      </c>
      <c r="B392" s="3">
        <v>43304</v>
      </c>
      <c r="C392" s="2">
        <v>271.44</v>
      </c>
      <c r="D392" s="2">
        <v>272.39</v>
      </c>
      <c r="E392" s="2">
        <v>271.06</v>
      </c>
      <c r="F392" s="2">
        <v>272.16000000000003</v>
      </c>
      <c r="G392" s="1">
        <v>48436568</v>
      </c>
      <c r="H392" s="30">
        <f>(testdata[[#This Row],[high]]+testdata[[#This Row],[low]])/2</f>
        <v>271.72500000000002</v>
      </c>
      <c r="I392" s="23">
        <f>(4*testdata[[#This Row],[price]]+3*H391+2*H390+H389)/10</f>
        <v>271.9495</v>
      </c>
      <c r="J392" s="9">
        <f>(0.0962*testdata[[#This Row],[smooth]]+0.5769*I390-0.5769*I388-0.0962*I386)*(0.075*$Z391+0.54)</f>
        <v>1.1491326138652935</v>
      </c>
      <c r="K392" s="14">
        <f t="shared" si="18"/>
        <v>1.8730587554815119</v>
      </c>
      <c r="L392" s="14">
        <f>(0.0962*testdata[[#This Row],[detrender]]+0.5769*J390-0.5769*J388-0.0962*J386)*(0.075*$Z391+0.54)</f>
        <v>-1.94859660564909</v>
      </c>
      <c r="M392" s="9">
        <f>(0.0962*testdata[[#This Row],[I1]]+0.5769*K390-0.5769*K388-0.0962*K386)*(0.075*$Z391+0.54)</f>
        <v>-4.8587209975714876</v>
      </c>
      <c r="N392" s="9">
        <f>(0.0962*testdata[[#This Row],[Q1]]+0.5769*L390-0.5769*L388-0.0962*L386)*(0.075*$Z391+0.54)</f>
        <v>-5.654049677887973</v>
      </c>
      <c r="O392" s="9">
        <f>testdata[[#This Row],[I1]]-testdata[[#This Row],[JQ]]</f>
        <v>7.5271084333694844</v>
      </c>
      <c r="P392" s="9">
        <f>testdata[[#This Row],[Q1]]+testdata[[#This Row],[jI]]</f>
        <v>-6.8073176032205778</v>
      </c>
      <c r="Q392" s="9">
        <f>0.2*testdata[[#This Row],[I2]]+0.8*Q391</f>
        <v>6.8692835350474546</v>
      </c>
      <c r="R392" s="9">
        <f>0.2*testdata[[#This Row],[Q2]]+0.8*R391</f>
        <v>0.71049445008382395</v>
      </c>
      <c r="S392" s="9">
        <f>testdata[[#This Row],[I2'']]*Q391+testdata[[#This Row],[Q2'']]*R391</f>
        <v>47.897503147888528</v>
      </c>
      <c r="T392" s="9">
        <f>testdata[[#This Row],[I2'']]*R391-testdata[[#This Row],[Q2'']]*Q391</f>
        <v>13.027340874182499</v>
      </c>
      <c r="U392" s="9">
        <f>0.2*testdata[[#This Row],[Re]]+0.8*U391</f>
        <v>30.675903612610121</v>
      </c>
      <c r="V392" s="9">
        <f>0.2*testdata[[#This Row],[Im]]+0.8*V391</f>
        <v>10.347530434834761</v>
      </c>
      <c r="W392" s="9">
        <f>IF(AND(testdata[[#This Row],[Re'']]&lt;&gt;0,testdata[[#This Row],[Im'']]&lt;&gt;0),2*PI()/ATAN(testdata[[#This Row],[Im'']]/testdata[[#This Row],[Re'']]),0)</f>
        <v>19.313128584191777</v>
      </c>
      <c r="X392" s="9">
        <f>IF(testdata[[#This Row],[pd-atan]]&gt;1.5*Z391,1.5*Z391,IF(testdata[[#This Row],[pd-atan]]&lt;0.67*Z391,0.67*Z391,testdata[[#This Row],[pd-atan]]))</f>
        <v>19.313128584191777</v>
      </c>
      <c r="Y392" s="9">
        <f>IF(testdata[[#This Row],[pd-limit1]]&lt;6,6,IF(testdata[[#This Row],[pd-limit1]]&gt;50,50,testdata[[#This Row],[pd-limit1]]))</f>
        <v>19.313128584191777</v>
      </c>
      <c r="Z392" s="14">
        <f>0.2*testdata[[#This Row],[pd-limit2]]+0.8*Z391</f>
        <v>21.038488118098478</v>
      </c>
      <c r="AA392" s="14">
        <f>0.33*testdata[[#This Row],[period]]+0.67*AA391</f>
        <v>22.017405339734417</v>
      </c>
      <c r="AB392" s="31">
        <f>TRUNC(testdata[[#This Row],[SmPd]]+0.5,0)</f>
        <v>22</v>
      </c>
      <c r="AC392" s="14">
        <f ca="1">IF(testdata[[#This Row],[PdInt]]&lt;=0,0,AVERAGE(OFFSET(testdata[[#This Row],[price]],0,0,-testdata[[#This Row],[PdInt]],1)))</f>
        <v>267.82227272727278</v>
      </c>
      <c r="AD392" s="14">
        <f ca="1">IF(testdata[[#This Row],[i]]&lt;11,testdata[[#This Row],[price]],(4*testdata[[#This Row],[iTrend]]+3*AC391+2*AC390+AC389)/10)</f>
        <v>267.64715217391307</v>
      </c>
      <c r="AE392" s="14">
        <f>(4*testdata[[#This Row],[price]]+3*H391+2*H390+H389)/10</f>
        <v>271.9495</v>
      </c>
      <c r="AF392" t="str">
        <f ca="1">IF(OR(ROUND(testdata[[#This Row],[Trendline]],4)&lt;&gt;Table3[[#This Row],[Trendline]],ROUND(testdata[[#This Row],[SmPrice]],4)&lt;&gt;Table3[[#This Row],[SmPrice]]),"ERR","")</f>
        <v/>
      </c>
      <c r="AG392" s="3">
        <v>43304</v>
      </c>
      <c r="AH392" s="14">
        <v>22.017399999999999</v>
      </c>
      <c r="AI392" s="34">
        <v>22</v>
      </c>
      <c r="AJ392" s="14">
        <v>267.82229999999998</v>
      </c>
      <c r="AK392" s="14">
        <v>267.6472</v>
      </c>
      <c r="AL392" s="14">
        <v>271.9495</v>
      </c>
      <c r="AN392" s="38">
        <f t="shared" si="16"/>
        <v>0</v>
      </c>
      <c r="AO392" s="38">
        <f t="shared" si="17"/>
        <v>0</v>
      </c>
      <c r="AQ392" s="37">
        <v>43304</v>
      </c>
      <c r="AR392">
        <v>22</v>
      </c>
      <c r="AS392">
        <v>267.64715217391301</v>
      </c>
      <c r="AT392">
        <v>271.9495</v>
      </c>
      <c r="AV392" s="37">
        <v>43304</v>
      </c>
      <c r="AW392">
        <v>22</v>
      </c>
      <c r="AX392">
        <v>267.64715217391301</v>
      </c>
      <c r="AY392">
        <v>271.9495</v>
      </c>
      <c r="BA392" s="38">
        <f>AX392-Table3[[#This Row],[Trendline]]</f>
        <v>-4.7826086984059657E-5</v>
      </c>
      <c r="BB392" s="38">
        <f>AY392-Table3[[#This Row],[SmPrice]]</f>
        <v>0</v>
      </c>
    </row>
    <row r="393" spans="1:54" x14ac:dyDescent="0.35">
      <c r="A393" s="6">
        <v>391</v>
      </c>
      <c r="B393" s="3">
        <v>43305</v>
      </c>
      <c r="C393" s="2">
        <v>273.70999999999998</v>
      </c>
      <c r="D393" s="2">
        <v>274.45999999999998</v>
      </c>
      <c r="E393" s="2">
        <v>272.58</v>
      </c>
      <c r="F393" s="2">
        <v>273.52999999999997</v>
      </c>
      <c r="G393" s="1">
        <v>70035320</v>
      </c>
      <c r="H393" s="30">
        <f>(testdata[[#This Row],[high]]+testdata[[#This Row],[low]])/2</f>
        <v>273.52</v>
      </c>
      <c r="I393" s="23">
        <f>(4*testdata[[#This Row],[price]]+3*H392+2*H391+H390)/10</f>
        <v>272.52450000000005</v>
      </c>
      <c r="J393" s="9">
        <f>(0.0962*testdata[[#This Row],[smooth]]+0.5769*I391-0.5769*I389-0.0962*I387)*(0.075*$Z392+0.54)</f>
        <v>0.53063553680033171</v>
      </c>
      <c r="K393" s="14">
        <f t="shared" si="18"/>
        <v>1.5801131764458951</v>
      </c>
      <c r="L393" s="14">
        <f>(0.0962*testdata[[#This Row],[detrender]]+0.5769*J391-0.5769*J389-0.0962*J387)*(0.075*$Z392+0.54)</f>
        <v>-0.76389445225854047</v>
      </c>
      <c r="M393" s="9">
        <f>(0.0962*testdata[[#This Row],[I1]]+0.5769*K391-0.5769*K389-0.0962*K387)*(0.075*$Z392+0.54)</f>
        <v>-3.6621765097561565</v>
      </c>
      <c r="N393" s="9">
        <f>(0.0962*testdata[[#This Row],[Q1]]+0.5769*L391-0.5769*L389-0.0962*L387)*(0.075*$Z392+0.54)</f>
        <v>1.8563273437717749</v>
      </c>
      <c r="O393" s="9">
        <f>testdata[[#This Row],[I1]]-testdata[[#This Row],[JQ]]</f>
        <v>-0.27621416732587978</v>
      </c>
      <c r="P393" s="9">
        <f>testdata[[#This Row],[Q1]]+testdata[[#This Row],[jI]]</f>
        <v>-4.4260709620146965</v>
      </c>
      <c r="Q393" s="9">
        <f>0.2*testdata[[#This Row],[I2]]+0.8*Q392</f>
        <v>5.4401839945727879</v>
      </c>
      <c r="R393" s="9">
        <f>0.2*testdata[[#This Row],[Q2]]+0.8*R392</f>
        <v>-0.31681863233588015</v>
      </c>
      <c r="S393" s="9">
        <f>testdata[[#This Row],[I2'']]*Q392+testdata[[#This Row],[Q2'']]*R392</f>
        <v>37.145068461589752</v>
      </c>
      <c r="T393" s="9">
        <f>testdata[[#This Row],[I2'']]*R392-testdata[[#This Row],[Q2'']]*Q392</f>
        <v>6.0415375502799282</v>
      </c>
      <c r="U393" s="9">
        <f>0.2*testdata[[#This Row],[Re]]+0.8*U392</f>
        <v>31.96973658240605</v>
      </c>
      <c r="V393" s="9">
        <f>0.2*testdata[[#This Row],[Im]]+0.8*V392</f>
        <v>9.4863318579237959</v>
      </c>
      <c r="W393" s="9">
        <f>IF(AND(testdata[[#This Row],[Re'']]&lt;&gt;0,testdata[[#This Row],[Im'']]&lt;&gt;0),2*PI()/ATAN(testdata[[#This Row],[Im'']]/testdata[[#This Row],[Re'']]),0)</f>
        <v>21.78237504951025</v>
      </c>
      <c r="X393" s="9">
        <f>IF(testdata[[#This Row],[pd-atan]]&gt;1.5*Z392,1.5*Z392,IF(testdata[[#This Row],[pd-atan]]&lt;0.67*Z392,0.67*Z392,testdata[[#This Row],[pd-atan]]))</f>
        <v>21.78237504951025</v>
      </c>
      <c r="Y393" s="9">
        <f>IF(testdata[[#This Row],[pd-limit1]]&lt;6,6,IF(testdata[[#This Row],[pd-limit1]]&gt;50,50,testdata[[#This Row],[pd-limit1]]))</f>
        <v>21.78237504951025</v>
      </c>
      <c r="Z393" s="14">
        <f>0.2*testdata[[#This Row],[pd-limit2]]+0.8*Z392</f>
        <v>21.187265504380832</v>
      </c>
      <c r="AA393" s="14">
        <f>0.33*testdata[[#This Row],[period]]+0.67*AA392</f>
        <v>21.743459194067736</v>
      </c>
      <c r="AB393" s="31">
        <f>TRUNC(testdata[[#This Row],[SmPd]]+0.5,0)</f>
        <v>22</v>
      </c>
      <c r="AC393" s="14">
        <f ca="1">IF(testdata[[#This Row],[PdInt]]&lt;=0,0,AVERAGE(OFFSET(testdata[[#This Row],[price]],0,0,-testdata[[#This Row],[PdInt]],1)))</f>
        <v>268.12090909090909</v>
      </c>
      <c r="AD393" s="14">
        <f ca="1">IF(testdata[[#This Row],[i]]&lt;11,testdata[[#This Row],[price]],(4*testdata[[#This Row],[iTrend]]+3*AC392+2*AC391+AC390)/10)</f>
        <v>267.8726640316205</v>
      </c>
      <c r="AE393" s="14">
        <f>(4*testdata[[#This Row],[price]]+3*H392+2*H391+H390)/10</f>
        <v>272.52450000000005</v>
      </c>
      <c r="AF393" t="str">
        <f ca="1">IF(OR(ROUND(testdata[[#This Row],[Trendline]],4)&lt;&gt;Table3[[#This Row],[Trendline]],ROUND(testdata[[#This Row],[SmPrice]],4)&lt;&gt;Table3[[#This Row],[SmPrice]]),"ERR","")</f>
        <v/>
      </c>
      <c r="AG393" s="3">
        <v>43305</v>
      </c>
      <c r="AH393" s="14">
        <v>21.743500000000001</v>
      </c>
      <c r="AI393" s="34">
        <v>22</v>
      </c>
      <c r="AJ393" s="14">
        <v>268.12090000000001</v>
      </c>
      <c r="AK393" s="14">
        <v>267.87270000000001</v>
      </c>
      <c r="AL393" s="14">
        <v>272.52449999999999</v>
      </c>
      <c r="AN393" s="38">
        <f t="shared" ref="AN393:AN456" si="19">AX393-AS393</f>
        <v>0</v>
      </c>
      <c r="AO393" s="38">
        <f t="shared" ref="AO393:AO456" si="20">AY393-AT393</f>
        <v>0</v>
      </c>
      <c r="AQ393" s="37">
        <v>43305</v>
      </c>
      <c r="AR393">
        <v>22</v>
      </c>
      <c r="AS393">
        <v>267.87266403161999</v>
      </c>
      <c r="AT393">
        <v>272.52449999999999</v>
      </c>
      <c r="AV393" s="37">
        <v>43305</v>
      </c>
      <c r="AW393">
        <v>22</v>
      </c>
      <c r="AX393">
        <v>267.87266403161999</v>
      </c>
      <c r="AY393">
        <v>272.52449999999999</v>
      </c>
      <c r="BA393" s="38">
        <f>AX393-Table3[[#This Row],[Trendline]]</f>
        <v>-3.5968380018402968E-5</v>
      </c>
      <c r="BB393" s="38">
        <f>AY393-Table3[[#This Row],[SmPrice]]</f>
        <v>0</v>
      </c>
    </row>
    <row r="394" spans="1:54" x14ac:dyDescent="0.35">
      <c r="A394" s="6">
        <v>392</v>
      </c>
      <c r="B394" s="3">
        <v>43306</v>
      </c>
      <c r="C394" s="2">
        <v>273.26</v>
      </c>
      <c r="D394" s="2">
        <v>276.22000000000003</v>
      </c>
      <c r="E394" s="2">
        <v>273.20999999999998</v>
      </c>
      <c r="F394" s="2">
        <v>275.87</v>
      </c>
      <c r="G394" s="1">
        <v>81211824</v>
      </c>
      <c r="H394" s="30">
        <f>(testdata[[#This Row],[high]]+testdata[[#This Row],[low]])/2</f>
        <v>274.71500000000003</v>
      </c>
      <c r="I394" s="23">
        <f>(4*testdata[[#This Row],[price]]+3*H393+2*H392+H391)/10</f>
        <v>273.483</v>
      </c>
      <c r="J394" s="9">
        <f>(0.0962*testdata[[#This Row],[smooth]]+0.5769*I392-0.5769*I390-0.0962*I388)*(0.075*$Z393+0.54)</f>
        <v>0.29991813106126952</v>
      </c>
      <c r="K394" s="14">
        <f t="shared" si="18"/>
        <v>1.6671703077562121</v>
      </c>
      <c r="L394" s="14">
        <f>(0.0962*testdata[[#This Row],[detrender]]+0.5769*J392-0.5769*J390-0.0962*J388)*(0.075*$Z393+0.54)</f>
        <v>-0.98636789280786474</v>
      </c>
      <c r="M394" s="9">
        <f>(0.0962*testdata[[#This Row],[I1]]+0.5769*K392-0.5769*K390-0.0962*K388)*(0.075*$Z393+0.54)</f>
        <v>-2.481716668670205</v>
      </c>
      <c r="N394" s="9">
        <f>(0.0962*testdata[[#This Row],[Q1]]+0.5769*L392-0.5769*L390-0.0962*L388)*(0.075*$Z393+0.54)</f>
        <v>2.3688590096040656</v>
      </c>
      <c r="O394" s="9">
        <f>testdata[[#This Row],[I1]]-testdata[[#This Row],[JQ]]</f>
        <v>-0.70168870184785348</v>
      </c>
      <c r="P394" s="9">
        <f>testdata[[#This Row],[Q1]]+testdata[[#This Row],[jI]]</f>
        <v>-3.4680845614780695</v>
      </c>
      <c r="Q394" s="9">
        <f>0.2*testdata[[#This Row],[I2]]+0.8*Q393</f>
        <v>4.2118094552886598</v>
      </c>
      <c r="R394" s="9">
        <f>0.2*testdata[[#This Row],[Q2]]+0.8*R393</f>
        <v>-0.94707181816431807</v>
      </c>
      <c r="S394" s="9">
        <f>testdata[[#This Row],[I2'']]*Q393+testdata[[#This Row],[Q2'']]*R393</f>
        <v>23.213068385006373</v>
      </c>
      <c r="T394" s="9">
        <f>testdata[[#This Row],[I2'']]*R393-testdata[[#This Row],[Q2'']]*Q393</f>
        <v>3.8178652356045912</v>
      </c>
      <c r="U394" s="9">
        <f>0.2*testdata[[#This Row],[Re]]+0.8*U393</f>
        <v>30.218402942926115</v>
      </c>
      <c r="V394" s="9">
        <f>0.2*testdata[[#This Row],[Im]]+0.8*V393</f>
        <v>8.352638533459956</v>
      </c>
      <c r="W394" s="9">
        <f>IF(AND(testdata[[#This Row],[Re'']]&lt;&gt;0,testdata[[#This Row],[Im'']]&lt;&gt;0),2*PI()/ATAN(testdata[[#This Row],[Im'']]/testdata[[#This Row],[Re'']]),0)</f>
        <v>23.299043646202865</v>
      </c>
      <c r="X394" s="9">
        <f>IF(testdata[[#This Row],[pd-atan]]&gt;1.5*Z393,1.5*Z393,IF(testdata[[#This Row],[pd-atan]]&lt;0.67*Z393,0.67*Z393,testdata[[#This Row],[pd-atan]]))</f>
        <v>23.299043646202865</v>
      </c>
      <c r="Y394" s="9">
        <f>IF(testdata[[#This Row],[pd-limit1]]&lt;6,6,IF(testdata[[#This Row],[pd-limit1]]&gt;50,50,testdata[[#This Row],[pd-limit1]]))</f>
        <v>23.299043646202865</v>
      </c>
      <c r="Z394" s="14">
        <f>0.2*testdata[[#This Row],[pd-limit2]]+0.8*Z393</f>
        <v>21.609621132745239</v>
      </c>
      <c r="AA394" s="14">
        <f>0.33*testdata[[#This Row],[period]]+0.67*AA393</f>
        <v>21.699292633831313</v>
      </c>
      <c r="AB394" s="31">
        <f>TRUNC(testdata[[#This Row],[SmPd]]+0.5,0)</f>
        <v>22</v>
      </c>
      <c r="AC394" s="14">
        <f ca="1">IF(testdata[[#This Row],[PdInt]]&lt;=0,0,AVERAGE(OFFSET(testdata[[#This Row],[price]],0,0,-testdata[[#This Row],[PdInt]],1)))</f>
        <v>268.46022727272725</v>
      </c>
      <c r="AD394" s="14">
        <f ca="1">IF(testdata[[#This Row],[i]]&lt;11,testdata[[#This Row],[price]],(4*testdata[[#This Row],[iTrend]]+3*AC393+2*AC392+AC391)/10)</f>
        <v>268.15118181818178</v>
      </c>
      <c r="AE394" s="14">
        <f>(4*testdata[[#This Row],[price]]+3*H393+2*H392+H391)/10</f>
        <v>273.483</v>
      </c>
      <c r="AF394" t="str">
        <f ca="1">IF(OR(ROUND(testdata[[#This Row],[Trendline]],4)&lt;&gt;Table3[[#This Row],[Trendline]],ROUND(testdata[[#This Row],[SmPrice]],4)&lt;&gt;Table3[[#This Row],[SmPrice]]),"ERR","")</f>
        <v/>
      </c>
      <c r="AG394" s="3">
        <v>43306</v>
      </c>
      <c r="AH394" s="14">
        <v>21.699300000000001</v>
      </c>
      <c r="AI394" s="34">
        <v>22</v>
      </c>
      <c r="AJ394" s="14">
        <v>268.46019999999999</v>
      </c>
      <c r="AK394" s="14">
        <v>268.15120000000002</v>
      </c>
      <c r="AL394" s="14">
        <v>273.483</v>
      </c>
      <c r="AN394" s="38">
        <f t="shared" si="19"/>
        <v>0</v>
      </c>
      <c r="AO394" s="38">
        <f t="shared" si="20"/>
        <v>0</v>
      </c>
      <c r="AQ394" s="37">
        <v>43306</v>
      </c>
      <c r="AR394">
        <v>22</v>
      </c>
      <c r="AS394">
        <v>268.15118181818099</v>
      </c>
      <c r="AT394">
        <v>273.483</v>
      </c>
      <c r="AV394" s="37">
        <v>43306</v>
      </c>
      <c r="AW394">
        <v>22</v>
      </c>
      <c r="AX394">
        <v>268.15118181818099</v>
      </c>
      <c r="AY394">
        <v>273.483</v>
      </c>
      <c r="BA394" s="38">
        <f>AX394-Table3[[#This Row],[Trendline]]</f>
        <v>-1.8181819029905455E-5</v>
      </c>
      <c r="BB394" s="38">
        <f>AY394-Table3[[#This Row],[SmPrice]]</f>
        <v>0</v>
      </c>
    </row>
    <row r="395" spans="1:54" x14ac:dyDescent="0.35">
      <c r="A395" s="6">
        <v>393</v>
      </c>
      <c r="B395" s="3">
        <v>43307</v>
      </c>
      <c r="C395" s="2">
        <v>275.08</v>
      </c>
      <c r="D395" s="2">
        <v>275.95999999999998</v>
      </c>
      <c r="E395" s="2">
        <v>274.97000000000003</v>
      </c>
      <c r="F395" s="2">
        <v>275.20999999999998</v>
      </c>
      <c r="G395" s="1">
        <v>59629476</v>
      </c>
      <c r="H395" s="30">
        <f>(testdata[[#This Row],[high]]+testdata[[#This Row],[low]])/2</f>
        <v>275.46500000000003</v>
      </c>
      <c r="I395" s="23">
        <f>(4*testdata[[#This Row],[price]]+3*H394+2*H393+H392)/10</f>
        <v>274.47699999999998</v>
      </c>
      <c r="J395" s="9">
        <f>(0.0962*testdata[[#This Row],[smooth]]+0.5769*I393-0.5769*I391-0.0962*I389)*(0.075*$Z394+0.54)</f>
        <v>1.0821527869245142</v>
      </c>
      <c r="K395" s="14">
        <f t="shared" si="18"/>
        <v>1.1491326138652935</v>
      </c>
      <c r="L395" s="14">
        <f>(0.0962*testdata[[#This Row],[detrender]]+0.5769*J393-0.5769*J391-0.0962*J389)*(0.075*$Z394+0.54)</f>
        <v>-1.5811124785260962</v>
      </c>
      <c r="M395" s="9">
        <f>(0.0962*testdata[[#This Row],[I1]]+0.5769*K393-0.5769*K391-0.0962*K389)*(0.075*$Z394+0.54)</f>
        <v>-1.9580978981185153</v>
      </c>
      <c r="N395" s="9">
        <f>(0.0962*testdata[[#This Row],[Q1]]+0.5769*L393-0.5769*L391-0.0962*L389)*(0.075*$Z394+0.54)</f>
        <v>3.0078212390261165</v>
      </c>
      <c r="O395" s="9">
        <f>testdata[[#This Row],[I1]]-testdata[[#This Row],[JQ]]</f>
        <v>-1.858688625160823</v>
      </c>
      <c r="P395" s="9">
        <f>testdata[[#This Row],[Q1]]+testdata[[#This Row],[jI]]</f>
        <v>-3.5392103766446112</v>
      </c>
      <c r="Q395" s="9">
        <f>0.2*testdata[[#This Row],[I2]]+0.8*Q394</f>
        <v>2.9977098391987633</v>
      </c>
      <c r="R395" s="9">
        <f>0.2*testdata[[#This Row],[Q2]]+0.8*R394</f>
        <v>-1.4654995298603768</v>
      </c>
      <c r="S395" s="9">
        <f>testdata[[#This Row],[I2'']]*Q394+testdata[[#This Row],[Q2'']]*R394</f>
        <v>14.013715949213019</v>
      </c>
      <c r="T395" s="9">
        <f>testdata[[#This Row],[I2'']]*R394-testdata[[#This Row],[Q2'']]*Q394</f>
        <v>3.3333582688479821</v>
      </c>
      <c r="U395" s="9">
        <f>0.2*testdata[[#This Row],[Re]]+0.8*U394</f>
        <v>26.977465544183499</v>
      </c>
      <c r="V395" s="9">
        <f>0.2*testdata[[#This Row],[Im]]+0.8*V394</f>
        <v>7.3487824805375617</v>
      </c>
      <c r="W395" s="9">
        <f>IF(AND(testdata[[#This Row],[Re'']]&lt;&gt;0,testdata[[#This Row],[Im'']]&lt;&gt;0),2*PI()/ATAN(testdata[[#This Row],[Im'']]/testdata[[#This Row],[Re'']]),0)</f>
        <v>23.625297976661031</v>
      </c>
      <c r="X395" s="9">
        <f>IF(testdata[[#This Row],[pd-atan]]&gt;1.5*Z394,1.5*Z394,IF(testdata[[#This Row],[pd-atan]]&lt;0.67*Z394,0.67*Z394,testdata[[#This Row],[pd-atan]]))</f>
        <v>23.625297976661031</v>
      </c>
      <c r="Y395" s="9">
        <f>IF(testdata[[#This Row],[pd-limit1]]&lt;6,6,IF(testdata[[#This Row],[pd-limit1]]&gt;50,50,testdata[[#This Row],[pd-limit1]]))</f>
        <v>23.625297976661031</v>
      </c>
      <c r="Z395" s="14">
        <f>0.2*testdata[[#This Row],[pd-limit2]]+0.8*Z394</f>
        <v>22.012756501528401</v>
      </c>
      <c r="AA395" s="14">
        <f>0.33*testdata[[#This Row],[period]]+0.67*AA394</f>
        <v>21.802735710171355</v>
      </c>
      <c r="AB395" s="31">
        <f>TRUNC(testdata[[#This Row],[SmPd]]+0.5,0)</f>
        <v>22</v>
      </c>
      <c r="AC395" s="14">
        <f ca="1">IF(testdata[[#This Row],[PdInt]]&lt;=0,0,AVERAGE(OFFSET(testdata[[#This Row],[price]],0,0,-testdata[[#This Row],[PdInt]],1)))</f>
        <v>269.00068181818182</v>
      </c>
      <c r="AD395" s="14">
        <f ca="1">IF(testdata[[#This Row],[i]]&lt;11,testdata[[#This Row],[price]],(4*testdata[[#This Row],[iTrend]]+3*AC394+2*AC393+AC392)/10)</f>
        <v>268.54474999999996</v>
      </c>
      <c r="AE395" s="14">
        <f>(4*testdata[[#This Row],[price]]+3*H394+2*H393+H392)/10</f>
        <v>274.47699999999998</v>
      </c>
      <c r="AF395" t="str">
        <f ca="1">IF(OR(ROUND(testdata[[#This Row],[Trendline]],4)&lt;&gt;Table3[[#This Row],[Trendline]],ROUND(testdata[[#This Row],[SmPrice]],4)&lt;&gt;Table3[[#This Row],[SmPrice]]),"ERR","")</f>
        <v/>
      </c>
      <c r="AG395" s="3">
        <v>43307</v>
      </c>
      <c r="AH395" s="14">
        <v>21.802700000000002</v>
      </c>
      <c r="AI395" s="34">
        <v>22</v>
      </c>
      <c r="AJ395" s="14">
        <v>269.00069999999999</v>
      </c>
      <c r="AK395" s="14">
        <v>268.54480000000001</v>
      </c>
      <c r="AL395" s="14">
        <v>274.47699999999998</v>
      </c>
      <c r="AN395" s="38">
        <f t="shared" si="19"/>
        <v>0</v>
      </c>
      <c r="AO395" s="38">
        <f t="shared" si="20"/>
        <v>0</v>
      </c>
      <c r="AQ395" s="37">
        <v>43307</v>
      </c>
      <c r="AR395">
        <v>22</v>
      </c>
      <c r="AS395">
        <v>268.544749999999</v>
      </c>
      <c r="AT395">
        <v>274.47699999999998</v>
      </c>
      <c r="AV395" s="37">
        <v>43307</v>
      </c>
      <c r="AW395">
        <v>22</v>
      </c>
      <c r="AX395">
        <v>268.544749999999</v>
      </c>
      <c r="AY395">
        <v>274.47699999999998</v>
      </c>
      <c r="BA395" s="38">
        <f>AX395-Table3[[#This Row],[Trendline]]</f>
        <v>-5.0000001010630513E-5</v>
      </c>
      <c r="BB395" s="38">
        <f>AY395-Table3[[#This Row],[SmPrice]]</f>
        <v>0</v>
      </c>
    </row>
    <row r="396" spans="1:54" x14ac:dyDescent="0.35">
      <c r="A396" s="6">
        <v>394</v>
      </c>
      <c r="B396" s="3">
        <v>43308</v>
      </c>
      <c r="C396" s="2">
        <v>275.57</v>
      </c>
      <c r="D396" s="2">
        <v>275.68</v>
      </c>
      <c r="E396" s="2">
        <v>272.33999999999997</v>
      </c>
      <c r="F396" s="2">
        <v>273.35000000000002</v>
      </c>
      <c r="G396" s="1">
        <v>79050080</v>
      </c>
      <c r="H396" s="30">
        <f>(testdata[[#This Row],[high]]+testdata[[#This Row],[low]])/2</f>
        <v>274.01</v>
      </c>
      <c r="I396" s="23">
        <f>(4*testdata[[#This Row],[price]]+3*H395+2*H394+H393)/10</f>
        <v>274.5385</v>
      </c>
      <c r="J396" s="9">
        <f>(0.0962*testdata[[#This Row],[smooth]]+0.5769*I394-0.5769*I392-0.0962*I390)*(0.075*$Z395+0.54)</f>
        <v>2.4607860960444392</v>
      </c>
      <c r="K396" s="14">
        <f t="shared" si="18"/>
        <v>0.53063553680033171</v>
      </c>
      <c r="L396" s="14">
        <f>(0.0962*testdata[[#This Row],[detrender]]+0.5769*J394-0.5769*J392-0.0962*J390)*(0.075*$Z395+0.54)</f>
        <v>-0.88775617114546856</v>
      </c>
      <c r="M396" s="9">
        <f>(0.0962*testdata[[#This Row],[I1]]+0.5769*K394-0.5769*K392-0.0962*K390)*(0.075*$Z395+0.54)</f>
        <v>-0.79024990762146474</v>
      </c>
      <c r="N396" s="9">
        <f>(0.0962*testdata[[#This Row],[Q1]]+0.5769*L394-0.5769*L392-0.0962*L390)*(0.075*$Z395+0.54)</f>
        <v>1.8554762521805981</v>
      </c>
      <c r="O396" s="9">
        <f>testdata[[#This Row],[I1]]-testdata[[#This Row],[JQ]]</f>
        <v>-1.3248407153802664</v>
      </c>
      <c r="P396" s="9">
        <f>testdata[[#This Row],[Q1]]+testdata[[#This Row],[jI]]</f>
        <v>-1.6780060787669333</v>
      </c>
      <c r="Q396" s="9">
        <f>0.2*testdata[[#This Row],[I2]]+0.8*Q395</f>
        <v>2.1331997282829573</v>
      </c>
      <c r="R396" s="9">
        <f>0.2*testdata[[#This Row],[Q2]]+0.8*R395</f>
        <v>-1.5080008396416882</v>
      </c>
      <c r="S396" s="9">
        <f>testdata[[#This Row],[I2'']]*Q395+testdata[[#This Row],[Q2'']]*R395</f>
        <v>8.604688335973897</v>
      </c>
      <c r="T396" s="9">
        <f>testdata[[#This Row],[I2'']]*R395-testdata[[#This Row],[Q2'']]*Q395</f>
        <v>1.3943457556169281</v>
      </c>
      <c r="U396" s="9">
        <f>0.2*testdata[[#This Row],[Re]]+0.8*U395</f>
        <v>23.302910102541578</v>
      </c>
      <c r="V396" s="9">
        <f>0.2*testdata[[#This Row],[Im]]+0.8*V395</f>
        <v>6.157895135553435</v>
      </c>
      <c r="W396" s="9">
        <f>IF(AND(testdata[[#This Row],[Re'']]&lt;&gt;0,testdata[[#This Row],[Im'']]&lt;&gt;0),2*PI()/ATAN(testdata[[#This Row],[Im'']]/testdata[[#This Row],[Re'']]),0)</f>
        <v>24.320544937601653</v>
      </c>
      <c r="X396" s="9">
        <f>IF(testdata[[#This Row],[pd-atan]]&gt;1.5*Z395,1.5*Z395,IF(testdata[[#This Row],[pd-atan]]&lt;0.67*Z395,0.67*Z395,testdata[[#This Row],[pd-atan]]))</f>
        <v>24.320544937601653</v>
      </c>
      <c r="Y396" s="9">
        <f>IF(testdata[[#This Row],[pd-limit1]]&lt;6,6,IF(testdata[[#This Row],[pd-limit1]]&gt;50,50,testdata[[#This Row],[pd-limit1]]))</f>
        <v>24.320544937601653</v>
      </c>
      <c r="Z396" s="14">
        <f>0.2*testdata[[#This Row],[pd-limit2]]+0.8*Z395</f>
        <v>22.474314188743055</v>
      </c>
      <c r="AA396" s="14">
        <f>0.33*testdata[[#This Row],[period]]+0.67*AA395</f>
        <v>22.024356608100017</v>
      </c>
      <c r="AB396" s="31">
        <f>TRUNC(testdata[[#This Row],[SmPd]]+0.5,0)</f>
        <v>22</v>
      </c>
      <c r="AC396" s="14">
        <f ca="1">IF(testdata[[#This Row],[PdInt]]&lt;=0,0,AVERAGE(OFFSET(testdata[[#This Row],[price]],0,0,-testdata[[#This Row],[PdInt]],1)))</f>
        <v>269.4611363636364</v>
      </c>
      <c r="AD396" s="14">
        <f ca="1">IF(testdata[[#This Row],[i]]&lt;11,testdata[[#This Row],[price]],(4*testdata[[#This Row],[iTrend]]+3*AC395+2*AC394+AC393)/10)</f>
        <v>268.98879545454548</v>
      </c>
      <c r="AE396" s="14">
        <f>(4*testdata[[#This Row],[price]]+3*H395+2*H394+H393)/10</f>
        <v>274.5385</v>
      </c>
      <c r="AF396" t="str">
        <f ca="1">IF(OR(ROUND(testdata[[#This Row],[Trendline]],4)&lt;&gt;Table3[[#This Row],[Trendline]],ROUND(testdata[[#This Row],[SmPrice]],4)&lt;&gt;Table3[[#This Row],[SmPrice]]),"ERR","")</f>
        <v/>
      </c>
      <c r="AG396" s="3">
        <v>43308</v>
      </c>
      <c r="AH396" s="14">
        <v>22.0244</v>
      </c>
      <c r="AI396" s="34">
        <v>22</v>
      </c>
      <c r="AJ396" s="14">
        <v>269.46109999999999</v>
      </c>
      <c r="AK396" s="14">
        <v>268.98880000000003</v>
      </c>
      <c r="AL396" s="14">
        <v>274.5385</v>
      </c>
      <c r="AN396" s="38">
        <f t="shared" si="19"/>
        <v>0</v>
      </c>
      <c r="AO396" s="38">
        <f t="shared" si="20"/>
        <v>0</v>
      </c>
      <c r="AQ396" s="37">
        <v>43308</v>
      </c>
      <c r="AR396">
        <v>22</v>
      </c>
      <c r="AS396">
        <v>268.98879545454503</v>
      </c>
      <c r="AT396">
        <v>274.5385</v>
      </c>
      <c r="AV396" s="37">
        <v>43308</v>
      </c>
      <c r="AW396">
        <v>22</v>
      </c>
      <c r="AX396">
        <v>268.98879545454503</v>
      </c>
      <c r="AY396">
        <v>274.5385</v>
      </c>
      <c r="BA396" s="38">
        <f>AX396-Table3[[#This Row],[Trendline]]</f>
        <v>-4.5454549990608939E-6</v>
      </c>
      <c r="BB396" s="38">
        <f>AY396-Table3[[#This Row],[SmPrice]]</f>
        <v>0</v>
      </c>
    </row>
    <row r="397" spans="1:54" x14ac:dyDescent="0.35">
      <c r="A397" s="6">
        <v>395</v>
      </c>
      <c r="B397" s="3">
        <v>43311</v>
      </c>
      <c r="C397" s="2">
        <v>273.44</v>
      </c>
      <c r="D397" s="2">
        <v>273.61</v>
      </c>
      <c r="E397" s="2">
        <v>271.35000000000002</v>
      </c>
      <c r="F397" s="2">
        <v>271.92</v>
      </c>
      <c r="G397" s="1">
        <v>65624404</v>
      </c>
      <c r="H397" s="30">
        <f>(testdata[[#This Row],[high]]+testdata[[#This Row],[low]])/2</f>
        <v>272.48</v>
      </c>
      <c r="I397" s="23">
        <f>(4*testdata[[#This Row],[price]]+3*H396+2*H395+H394)/10</f>
        <v>273.7595</v>
      </c>
      <c r="J397" s="9">
        <f>(0.0962*testdata[[#This Row],[smooth]]+0.5769*I395-0.5769*I393-0.0962*I391)*(0.075*$Z396+0.54)</f>
        <v>2.8656047886862837</v>
      </c>
      <c r="K397" s="14">
        <f t="shared" si="18"/>
        <v>0.29991813106126952</v>
      </c>
      <c r="L397" s="14">
        <f>(0.0962*testdata[[#This Row],[detrender]]+0.5769*J395-0.5769*J393-0.0962*J391)*(0.075*$Z396+0.54)</f>
        <v>0.96469644646930885</v>
      </c>
      <c r="M397" s="9">
        <f>(0.0962*testdata[[#This Row],[I1]]+0.5769*K395-0.5769*K393-0.0962*K391)*(0.075*$Z396+0.54)</f>
        <v>-1.031088772969414</v>
      </c>
      <c r="N397" s="9">
        <f>(0.0962*testdata[[#This Row],[Q1]]+0.5769*L395-0.5769*L393-0.0962*L391)*(0.075*$Z396+0.54)</f>
        <v>-0.28921360175625532</v>
      </c>
      <c r="O397" s="9">
        <f>testdata[[#This Row],[I1]]-testdata[[#This Row],[JQ]]</f>
        <v>0.58913173281752484</v>
      </c>
      <c r="P397" s="9">
        <f>testdata[[#This Row],[Q1]]+testdata[[#This Row],[jI]]</f>
        <v>-6.6392326500105181E-2</v>
      </c>
      <c r="Q397" s="9">
        <f>0.2*testdata[[#This Row],[I2]]+0.8*Q396</f>
        <v>1.8243861291898709</v>
      </c>
      <c r="R397" s="9">
        <f>0.2*testdata[[#This Row],[Q2]]+0.8*R396</f>
        <v>-1.2196791370133717</v>
      </c>
      <c r="S397" s="9">
        <f>testdata[[#This Row],[I2'']]*Q396+testdata[[#This Row],[Q2'']]*R396</f>
        <v>5.7310571577806435</v>
      </c>
      <c r="T397" s="9">
        <f>testdata[[#This Row],[I2'']]*R396-testdata[[#This Row],[Q2'']]*Q396</f>
        <v>-0.14935661097965847</v>
      </c>
      <c r="U397" s="9">
        <f>0.2*testdata[[#This Row],[Re]]+0.8*U396</f>
        <v>19.788539513589392</v>
      </c>
      <c r="V397" s="9">
        <f>0.2*testdata[[#This Row],[Im]]+0.8*V396</f>
        <v>4.8964447862468159</v>
      </c>
      <c r="W397" s="9">
        <f>IF(AND(testdata[[#This Row],[Re'']]&lt;&gt;0,testdata[[#This Row],[Im'']]&lt;&gt;0),2*PI()/ATAN(testdata[[#This Row],[Im'']]/testdata[[#This Row],[Re'']]),0)</f>
        <v>25.902959818950276</v>
      </c>
      <c r="X397" s="9">
        <f>IF(testdata[[#This Row],[pd-atan]]&gt;1.5*Z396,1.5*Z396,IF(testdata[[#This Row],[pd-atan]]&lt;0.67*Z396,0.67*Z396,testdata[[#This Row],[pd-atan]]))</f>
        <v>25.902959818950276</v>
      </c>
      <c r="Y397" s="9">
        <f>IF(testdata[[#This Row],[pd-limit1]]&lt;6,6,IF(testdata[[#This Row],[pd-limit1]]&gt;50,50,testdata[[#This Row],[pd-limit1]]))</f>
        <v>25.902959818950276</v>
      </c>
      <c r="Z397" s="14">
        <f>0.2*testdata[[#This Row],[pd-limit2]]+0.8*Z396</f>
        <v>23.160043314784502</v>
      </c>
      <c r="AA397" s="14">
        <f>0.33*testdata[[#This Row],[period]]+0.67*AA396</f>
        <v>22.399133221305899</v>
      </c>
      <c r="AB397" s="31">
        <f>TRUNC(testdata[[#This Row],[SmPd]]+0.5,0)</f>
        <v>22</v>
      </c>
      <c r="AC397" s="14">
        <f ca="1">IF(testdata[[#This Row],[PdInt]]&lt;=0,0,AVERAGE(OFFSET(testdata[[#This Row],[price]],0,0,-testdata[[#This Row],[PdInt]],1)))</f>
        <v>269.85863636363644</v>
      </c>
      <c r="AD397" s="14">
        <f ca="1">IF(testdata[[#This Row],[i]]&lt;11,testdata[[#This Row],[price]],(4*testdata[[#This Row],[iTrend]]+3*AC396+2*AC395+AC394)/10)</f>
        <v>269.42795454545455</v>
      </c>
      <c r="AE397" s="14">
        <f>(4*testdata[[#This Row],[price]]+3*H396+2*H395+H394)/10</f>
        <v>273.7595</v>
      </c>
      <c r="AF397" t="str">
        <f ca="1">IF(OR(ROUND(testdata[[#This Row],[Trendline]],4)&lt;&gt;Table3[[#This Row],[Trendline]],ROUND(testdata[[#This Row],[SmPrice]],4)&lt;&gt;Table3[[#This Row],[SmPrice]]),"ERR","")</f>
        <v/>
      </c>
      <c r="AG397" s="3">
        <v>43311</v>
      </c>
      <c r="AH397" s="14">
        <v>22.399100000000001</v>
      </c>
      <c r="AI397" s="34">
        <v>22</v>
      </c>
      <c r="AJ397" s="14">
        <v>269.85860000000002</v>
      </c>
      <c r="AK397" s="14">
        <v>269.428</v>
      </c>
      <c r="AL397" s="14">
        <v>273.7595</v>
      </c>
      <c r="AN397" s="38">
        <f t="shared" si="19"/>
        <v>0</v>
      </c>
      <c r="AO397" s="38">
        <f t="shared" si="20"/>
        <v>0</v>
      </c>
      <c r="AQ397" s="37">
        <v>43311</v>
      </c>
      <c r="AR397">
        <v>22</v>
      </c>
      <c r="AS397">
        <v>269.42795454545399</v>
      </c>
      <c r="AT397">
        <v>273.7595</v>
      </c>
      <c r="AV397" s="37">
        <v>43311</v>
      </c>
      <c r="AW397">
        <v>22</v>
      </c>
      <c r="AX397">
        <v>269.42795454545399</v>
      </c>
      <c r="AY397">
        <v>273.7595</v>
      </c>
      <c r="BA397" s="38">
        <f>AX397-Table3[[#This Row],[Trendline]]</f>
        <v>-4.5454546011569619E-5</v>
      </c>
      <c r="BB397" s="38">
        <f>AY397-Table3[[#This Row],[SmPrice]]</f>
        <v>0</v>
      </c>
    </row>
    <row r="398" spans="1:54" x14ac:dyDescent="0.35">
      <c r="A398" s="6">
        <v>396</v>
      </c>
      <c r="B398" s="3">
        <v>43312</v>
      </c>
      <c r="C398" s="2">
        <v>272.76</v>
      </c>
      <c r="D398" s="2">
        <v>273.93</v>
      </c>
      <c r="E398" s="2">
        <v>272.33999999999997</v>
      </c>
      <c r="F398" s="2">
        <v>273.26</v>
      </c>
      <c r="G398" s="1">
        <v>70594928</v>
      </c>
      <c r="H398" s="30">
        <f>(testdata[[#This Row],[high]]+testdata[[#This Row],[low]])/2</f>
        <v>273.13499999999999</v>
      </c>
      <c r="I398" s="23">
        <f>(4*testdata[[#This Row],[price]]+3*H397+2*H396+H395)/10</f>
        <v>273.34649999999999</v>
      </c>
      <c r="J398" s="9">
        <f>(0.0962*testdata[[#This Row],[smooth]]+0.5769*I396-0.5769*I394-0.0962*I392)*(0.075*$Z397+0.54)</f>
        <v>1.6925178046713409</v>
      </c>
      <c r="K398" s="14">
        <f t="shared" si="18"/>
        <v>1.0821527869245142</v>
      </c>
      <c r="L398" s="14">
        <f>(0.0962*testdata[[#This Row],[detrender]]+0.5769*J396-0.5769*J394-0.0962*J392)*(0.075*$Z397+0.54)</f>
        <v>2.9575503007226125</v>
      </c>
      <c r="M398" s="9">
        <f>(0.0962*testdata[[#This Row],[I1]]+0.5769*K396-0.5769*K394-0.0962*K392)*(0.075*$Z397+0.54)</f>
        <v>-1.6662018258559594</v>
      </c>
      <c r="N398" s="9">
        <f>(0.0962*testdata[[#This Row],[Q1]]+0.5769*L396-0.5769*L394-0.0962*L392)*(0.075*$Z397+0.54)</f>
        <v>1.2042169276904084</v>
      </c>
      <c r="O398" s="9">
        <f>testdata[[#This Row],[I1]]-testdata[[#This Row],[JQ]]</f>
        <v>-0.12206414076589422</v>
      </c>
      <c r="P398" s="9">
        <f>testdata[[#This Row],[Q1]]+testdata[[#This Row],[jI]]</f>
        <v>1.2913484748666531</v>
      </c>
      <c r="Q398" s="9">
        <f>0.2*testdata[[#This Row],[I2]]+0.8*Q397</f>
        <v>1.4350960751987181</v>
      </c>
      <c r="R398" s="9">
        <f>0.2*testdata[[#This Row],[Q2]]+0.8*R397</f>
        <v>-0.71747361463736681</v>
      </c>
      <c r="S398" s="9">
        <f>testdata[[#This Row],[I2'']]*Q397+testdata[[#This Row],[Q2'']]*R397</f>
        <v>3.4932569727781329</v>
      </c>
      <c r="T398" s="9">
        <f>testdata[[#This Row],[I2'']]*R397-testdata[[#This Row],[Q2'']]*Q397</f>
        <v>-0.44140783192551858</v>
      </c>
      <c r="U398" s="9">
        <f>0.2*testdata[[#This Row],[Re]]+0.8*U397</f>
        <v>16.529483005427139</v>
      </c>
      <c r="V398" s="9">
        <f>0.2*testdata[[#This Row],[Im]]+0.8*V397</f>
        <v>3.8288742626123495</v>
      </c>
      <c r="W398" s="9">
        <f>IF(AND(testdata[[#This Row],[Re'']]&lt;&gt;0,testdata[[#This Row],[Im'']]&lt;&gt;0),2*PI()/ATAN(testdata[[#This Row],[Im'']]/testdata[[#This Row],[Re'']]),0)</f>
        <v>27.603283689491654</v>
      </c>
      <c r="X398" s="9">
        <f>IF(testdata[[#This Row],[pd-atan]]&gt;1.5*Z397,1.5*Z397,IF(testdata[[#This Row],[pd-atan]]&lt;0.67*Z397,0.67*Z397,testdata[[#This Row],[pd-atan]]))</f>
        <v>27.603283689491654</v>
      </c>
      <c r="Y398" s="9">
        <f>IF(testdata[[#This Row],[pd-limit1]]&lt;6,6,IF(testdata[[#This Row],[pd-limit1]]&gt;50,50,testdata[[#This Row],[pd-limit1]]))</f>
        <v>27.603283689491654</v>
      </c>
      <c r="Z398" s="14">
        <f>0.2*testdata[[#This Row],[pd-limit2]]+0.8*Z397</f>
        <v>24.048691389725935</v>
      </c>
      <c r="AA398" s="14">
        <f>0.33*testdata[[#This Row],[period]]+0.67*AA397</f>
        <v>22.943487416884512</v>
      </c>
      <c r="AB398" s="31">
        <f>TRUNC(testdata[[#This Row],[SmPd]]+0.5,0)</f>
        <v>23</v>
      </c>
      <c r="AC398" s="14">
        <f ca="1">IF(testdata[[#This Row],[PdInt]]&lt;=0,0,AVERAGE(OFFSET(testdata[[#This Row],[price]],0,0,-testdata[[#This Row],[PdInt]],1)))</f>
        <v>270.00108695652182</v>
      </c>
      <c r="AD398" s="14">
        <f ca="1">IF(testdata[[#This Row],[i]]&lt;11,testdata[[#This Row],[price]],(4*testdata[[#This Row],[iTrend]]+3*AC397+2*AC396+AC395)/10)</f>
        <v>269.75032114624514</v>
      </c>
      <c r="AE398" s="14">
        <f>(4*testdata[[#This Row],[price]]+3*H397+2*H396+H395)/10</f>
        <v>273.34649999999999</v>
      </c>
      <c r="AF398" t="str">
        <f ca="1">IF(OR(ROUND(testdata[[#This Row],[Trendline]],4)&lt;&gt;Table3[[#This Row],[Trendline]],ROUND(testdata[[#This Row],[SmPrice]],4)&lt;&gt;Table3[[#This Row],[SmPrice]]),"ERR","")</f>
        <v/>
      </c>
      <c r="AG398" s="3">
        <v>43312</v>
      </c>
      <c r="AH398" s="14">
        <v>22.9435</v>
      </c>
      <c r="AI398" s="34">
        <v>23</v>
      </c>
      <c r="AJ398" s="14">
        <v>270.00110000000001</v>
      </c>
      <c r="AK398" s="14">
        <v>269.75029999999998</v>
      </c>
      <c r="AL398" s="14">
        <v>273.34649999999999</v>
      </c>
      <c r="AN398" s="38">
        <f t="shared" si="19"/>
        <v>0</v>
      </c>
      <c r="AO398" s="38">
        <f t="shared" si="20"/>
        <v>0</v>
      </c>
      <c r="AQ398" s="37">
        <v>43312</v>
      </c>
      <c r="AR398">
        <v>23</v>
      </c>
      <c r="AS398">
        <v>269.75032114624503</v>
      </c>
      <c r="AT398">
        <v>273.34649999999999</v>
      </c>
      <c r="AV398" s="37">
        <v>43312</v>
      </c>
      <c r="AW398">
        <v>23</v>
      </c>
      <c r="AX398">
        <v>269.75032114624503</v>
      </c>
      <c r="AY398">
        <v>273.34649999999999</v>
      </c>
      <c r="BA398" s="38">
        <f>AX398-Table3[[#This Row],[Trendline]]</f>
        <v>2.1146245046566037E-5</v>
      </c>
      <c r="BB398" s="38">
        <f>AY398-Table3[[#This Row],[SmPrice]]</f>
        <v>0</v>
      </c>
    </row>
    <row r="399" spans="1:54" x14ac:dyDescent="0.35">
      <c r="A399" s="6">
        <v>397</v>
      </c>
      <c r="B399" s="3">
        <v>43313</v>
      </c>
      <c r="C399" s="2">
        <v>273.49</v>
      </c>
      <c r="D399" s="2">
        <v>274.04000000000002</v>
      </c>
      <c r="E399" s="2">
        <v>272.10000000000002</v>
      </c>
      <c r="F399" s="2">
        <v>272.81</v>
      </c>
      <c r="G399" s="1">
        <v>55443260</v>
      </c>
      <c r="H399" s="30">
        <f>(testdata[[#This Row],[high]]+testdata[[#This Row],[low]])/2</f>
        <v>273.07000000000005</v>
      </c>
      <c r="I399" s="23">
        <f>(4*testdata[[#This Row],[price]]+3*H398+2*H397+H396)/10</f>
        <v>273.06550000000004</v>
      </c>
      <c r="J399" s="9">
        <f>(0.0962*testdata[[#This Row],[smooth]]+0.5769*I397-0.5769*I395-0.0962*I393)*(0.075*$Z398+0.54)</f>
        <v>-0.84812436566889149</v>
      </c>
      <c r="K399" s="14">
        <f t="shared" si="18"/>
        <v>2.4607860960444392</v>
      </c>
      <c r="L399" s="14">
        <f>(0.0962*testdata[[#This Row],[detrender]]+0.5769*J397-0.5769*J395-0.0962*J393)*(0.075*$Z398+0.54)</f>
        <v>2.100466937837612</v>
      </c>
      <c r="M399" s="9">
        <f>(0.0962*testdata[[#This Row],[I1]]+0.5769*K397-0.5769*K395-0.0962*K393)*(0.075*$Z398+0.54)</f>
        <v>-0.94962687345160524</v>
      </c>
      <c r="N399" s="9">
        <f>(0.0962*testdata[[#This Row],[Q1]]+0.5769*L397-0.5769*L395-0.0962*L393)*(0.075*$Z398+0.54)</f>
        <v>4.0878649079450229</v>
      </c>
      <c r="O399" s="9">
        <f>testdata[[#This Row],[I1]]-testdata[[#This Row],[JQ]]</f>
        <v>-1.6270788119005837</v>
      </c>
      <c r="P399" s="9">
        <f>testdata[[#This Row],[Q1]]+testdata[[#This Row],[jI]]</f>
        <v>1.1508400643860068</v>
      </c>
      <c r="Q399" s="9">
        <f>0.2*testdata[[#This Row],[I2]]+0.8*Q398</f>
        <v>0.82266109777885776</v>
      </c>
      <c r="R399" s="9">
        <f>0.2*testdata[[#This Row],[Q2]]+0.8*R398</f>
        <v>-0.34381087883269212</v>
      </c>
      <c r="S399" s="9">
        <f>testdata[[#This Row],[I2'']]*Q398+testdata[[#This Row],[Q2'']]*R398</f>
        <v>1.427272946628849</v>
      </c>
      <c r="T399" s="9">
        <f>testdata[[#This Row],[I2'']]*R398-testdata[[#This Row],[Q2'']]*Q398</f>
        <v>-9.6835988621522873E-2</v>
      </c>
      <c r="U399" s="9">
        <f>0.2*testdata[[#This Row],[Re]]+0.8*U398</f>
        <v>13.509040993667481</v>
      </c>
      <c r="V399" s="9">
        <f>0.2*testdata[[#This Row],[Im]]+0.8*V398</f>
        <v>3.0437322123655752</v>
      </c>
      <c r="W399" s="9">
        <f>IF(AND(testdata[[#This Row],[Re'']]&lt;&gt;0,testdata[[#This Row],[Im'']]&lt;&gt;0),2*PI()/ATAN(testdata[[#This Row],[Im'']]/testdata[[#This Row],[Re'']]),0)</f>
        <v>28.352418921287999</v>
      </c>
      <c r="X399" s="9">
        <f>IF(testdata[[#This Row],[pd-atan]]&gt;1.5*Z398,1.5*Z398,IF(testdata[[#This Row],[pd-atan]]&lt;0.67*Z398,0.67*Z398,testdata[[#This Row],[pd-atan]]))</f>
        <v>28.352418921287999</v>
      </c>
      <c r="Y399" s="9">
        <f>IF(testdata[[#This Row],[pd-limit1]]&lt;6,6,IF(testdata[[#This Row],[pd-limit1]]&gt;50,50,testdata[[#This Row],[pd-limit1]]))</f>
        <v>28.352418921287999</v>
      </c>
      <c r="Z399" s="14">
        <f>0.2*testdata[[#This Row],[pd-limit2]]+0.8*Z398</f>
        <v>24.909436896038351</v>
      </c>
      <c r="AA399" s="14">
        <f>0.33*testdata[[#This Row],[period]]+0.67*AA398</f>
        <v>23.592250745005281</v>
      </c>
      <c r="AB399" s="31">
        <f>TRUNC(testdata[[#This Row],[SmPd]]+0.5,0)</f>
        <v>24</v>
      </c>
      <c r="AC399" s="14">
        <f ca="1">IF(testdata[[#This Row],[PdInt]]&lt;=0,0,AVERAGE(OFFSET(testdata[[#This Row],[price]],0,0,-testdata[[#This Row],[PdInt]],1)))</f>
        <v>270.1289583333334</v>
      </c>
      <c r="AD399" s="14">
        <f ca="1">IF(testdata[[#This Row],[i]]&lt;11,testdata[[#This Row],[price]],(4*testdata[[#This Row],[iTrend]]+3*AC398+2*AC397+AC396)/10)</f>
        <v>269.96975032938082</v>
      </c>
      <c r="AE399" s="14">
        <f>(4*testdata[[#This Row],[price]]+3*H398+2*H397+H396)/10</f>
        <v>273.06550000000004</v>
      </c>
      <c r="AF399" t="str">
        <f ca="1">IF(OR(ROUND(testdata[[#This Row],[Trendline]],4)&lt;&gt;Table3[[#This Row],[Trendline]],ROUND(testdata[[#This Row],[SmPrice]],4)&lt;&gt;Table3[[#This Row],[SmPrice]]),"ERR","")</f>
        <v/>
      </c>
      <c r="AG399" s="3">
        <v>43313</v>
      </c>
      <c r="AH399" s="14">
        <v>23.592300000000002</v>
      </c>
      <c r="AI399" s="34">
        <v>24</v>
      </c>
      <c r="AJ399" s="14">
        <v>270.12900000000002</v>
      </c>
      <c r="AK399" s="14">
        <v>269.96980000000002</v>
      </c>
      <c r="AL399" s="14">
        <v>273.06549999999999</v>
      </c>
      <c r="AN399" s="38">
        <f t="shared" si="19"/>
        <v>0</v>
      </c>
      <c r="AO399" s="38">
        <f t="shared" si="20"/>
        <v>0</v>
      </c>
      <c r="AQ399" s="37">
        <v>43313</v>
      </c>
      <c r="AR399">
        <v>24</v>
      </c>
      <c r="AS399">
        <v>269.96975032938002</v>
      </c>
      <c r="AT399">
        <v>273.06549999999999</v>
      </c>
      <c r="AV399" s="37">
        <v>43313</v>
      </c>
      <c r="AW399">
        <v>24</v>
      </c>
      <c r="AX399">
        <v>269.96975032938002</v>
      </c>
      <c r="AY399">
        <v>273.06549999999999</v>
      </c>
      <c r="BA399" s="38">
        <f>AX399-Table3[[#This Row],[Trendline]]</f>
        <v>-4.9670620001052157E-5</v>
      </c>
      <c r="BB399" s="38">
        <f>AY399-Table3[[#This Row],[SmPrice]]</f>
        <v>0</v>
      </c>
    </row>
    <row r="400" spans="1:54" x14ac:dyDescent="0.35">
      <c r="A400" s="6">
        <v>398</v>
      </c>
      <c r="B400" s="3">
        <v>43314</v>
      </c>
      <c r="C400" s="2">
        <v>271.38</v>
      </c>
      <c r="D400" s="2">
        <v>274.48</v>
      </c>
      <c r="E400" s="2">
        <v>271.14999999999998</v>
      </c>
      <c r="F400" s="2">
        <v>274.29000000000002</v>
      </c>
      <c r="G400" s="1">
        <v>65298924</v>
      </c>
      <c r="H400" s="30">
        <f>(testdata[[#This Row],[high]]+testdata[[#This Row],[low]])/2</f>
        <v>272.815</v>
      </c>
      <c r="I400" s="23">
        <f>(4*testdata[[#This Row],[price]]+3*H399+2*H398+H397)/10</f>
        <v>272.92200000000003</v>
      </c>
      <c r="J400" s="9">
        <f>(0.0962*testdata[[#This Row],[smooth]]+0.5769*I398-0.5769*I396-0.0962*I394)*(0.075*$Z399+0.54)</f>
        <v>-1.7860063510140569</v>
      </c>
      <c r="K400" s="14">
        <f t="shared" si="18"/>
        <v>2.8656047886862837</v>
      </c>
      <c r="L400" s="14">
        <f>(0.0962*testdata[[#This Row],[detrender]]+0.5769*J398-0.5769*J396-0.0962*J394)*(0.075*$Z399+0.54)</f>
        <v>-1.5505966063532401</v>
      </c>
      <c r="M400" s="9">
        <f>(0.0962*testdata[[#This Row],[I1]]+0.5769*K398-0.5769*K396-0.0962*K394)*(0.075*$Z399+0.54)</f>
        <v>1.0438610130875206</v>
      </c>
      <c r="N400" s="9">
        <f>(0.0962*testdata[[#This Row],[Q1]]+0.5769*L398-0.5769*L396-0.0962*L394)*(0.075*$Z399+0.54)</f>
        <v>5.2115506558543716</v>
      </c>
      <c r="O400" s="9">
        <f>testdata[[#This Row],[I1]]-testdata[[#This Row],[JQ]]</f>
        <v>-2.345945867168088</v>
      </c>
      <c r="P400" s="9">
        <f>testdata[[#This Row],[Q1]]+testdata[[#This Row],[jI]]</f>
        <v>-0.5067355932657196</v>
      </c>
      <c r="Q400" s="9">
        <f>0.2*testdata[[#This Row],[I2]]+0.8*Q399</f>
        <v>0.1889397047894687</v>
      </c>
      <c r="R400" s="9">
        <f>0.2*testdata[[#This Row],[Q2]]+0.8*R399</f>
        <v>-0.37639582171929764</v>
      </c>
      <c r="S400" s="9">
        <f>testdata[[#This Row],[I2'']]*Q399+testdata[[#This Row],[Q2'']]*R399</f>
        <v>0.28484232321038266</v>
      </c>
      <c r="T400" s="9">
        <f>testdata[[#This Row],[I2'']]*R399-testdata[[#This Row],[Q2'']]*Q399</f>
        <v>0.24468667394491594</v>
      </c>
      <c r="U400" s="9">
        <f>0.2*testdata[[#This Row],[Re]]+0.8*U399</f>
        <v>10.864201259576063</v>
      </c>
      <c r="V400" s="9">
        <f>0.2*testdata[[#This Row],[Im]]+0.8*V399</f>
        <v>2.4839231046814434</v>
      </c>
      <c r="W400" s="9">
        <f>IF(AND(testdata[[#This Row],[Re'']]&lt;&gt;0,testdata[[#This Row],[Im'']]&lt;&gt;0),2*PI()/ATAN(testdata[[#This Row],[Im'']]/testdata[[#This Row],[Re'']]),0)</f>
        <v>27.953793654997678</v>
      </c>
      <c r="X400" s="9">
        <f>IF(testdata[[#This Row],[pd-atan]]&gt;1.5*Z399,1.5*Z399,IF(testdata[[#This Row],[pd-atan]]&lt;0.67*Z399,0.67*Z399,testdata[[#This Row],[pd-atan]]))</f>
        <v>27.953793654997678</v>
      </c>
      <c r="Y400" s="9">
        <f>IF(testdata[[#This Row],[pd-limit1]]&lt;6,6,IF(testdata[[#This Row],[pd-limit1]]&gt;50,50,testdata[[#This Row],[pd-limit1]]))</f>
        <v>27.953793654997678</v>
      </c>
      <c r="Z400" s="14">
        <f>0.2*testdata[[#This Row],[pd-limit2]]+0.8*Z399</f>
        <v>25.518308247830216</v>
      </c>
      <c r="AA400" s="14">
        <f>0.33*testdata[[#This Row],[period]]+0.67*AA399</f>
        <v>24.227849720937513</v>
      </c>
      <c r="AB400" s="31">
        <f>TRUNC(testdata[[#This Row],[SmPd]]+0.5,0)</f>
        <v>24</v>
      </c>
      <c r="AC400" s="14">
        <f ca="1">IF(testdata[[#This Row],[PdInt]]&lt;=0,0,AVERAGE(OFFSET(testdata[[#This Row],[price]],0,0,-testdata[[#This Row],[PdInt]],1)))</f>
        <v>270.56395833333329</v>
      </c>
      <c r="AD400" s="14">
        <f ca="1">IF(testdata[[#This Row],[i]]&lt;11,testdata[[#This Row],[price]],(4*testdata[[#This Row],[iTrend]]+3*AC399+2*AC398+AC397)/10)</f>
        <v>270.25035186100138</v>
      </c>
      <c r="AE400" s="14">
        <f>(4*testdata[[#This Row],[price]]+3*H399+2*H398+H397)/10</f>
        <v>272.92200000000003</v>
      </c>
      <c r="AF400" t="str">
        <f ca="1">IF(OR(ROUND(testdata[[#This Row],[Trendline]],4)&lt;&gt;Table3[[#This Row],[Trendline]],ROUND(testdata[[#This Row],[SmPrice]],4)&lt;&gt;Table3[[#This Row],[SmPrice]]),"ERR","")</f>
        <v/>
      </c>
      <c r="AG400" s="3">
        <v>43314</v>
      </c>
      <c r="AH400" s="14">
        <v>24.227799999999998</v>
      </c>
      <c r="AI400" s="34">
        <v>24</v>
      </c>
      <c r="AJ400" s="14">
        <v>270.56400000000002</v>
      </c>
      <c r="AK400" s="14">
        <v>270.25040000000001</v>
      </c>
      <c r="AL400" s="14">
        <v>272.92200000000003</v>
      </c>
      <c r="AN400" s="38">
        <f t="shared" si="19"/>
        <v>0</v>
      </c>
      <c r="AO400" s="38">
        <f t="shared" si="20"/>
        <v>0</v>
      </c>
      <c r="AQ400" s="37">
        <v>43314</v>
      </c>
      <c r="AR400">
        <v>24</v>
      </c>
      <c r="AS400">
        <v>270.25035186100098</v>
      </c>
      <c r="AT400">
        <v>272.921999999999</v>
      </c>
      <c r="AV400" s="37">
        <v>43314</v>
      </c>
      <c r="AW400">
        <v>24</v>
      </c>
      <c r="AX400">
        <v>270.25035186100098</v>
      </c>
      <c r="AY400">
        <v>272.921999999999</v>
      </c>
      <c r="BA400" s="38">
        <f>AX400-Table3[[#This Row],[Trendline]]</f>
        <v>-4.8138999034108565E-5</v>
      </c>
      <c r="BB400" s="38">
        <f>AY400-Table3[[#This Row],[SmPrice]]</f>
        <v>-1.0231815394945443E-12</v>
      </c>
    </row>
    <row r="401" spans="1:54" x14ac:dyDescent="0.35">
      <c r="A401" s="6">
        <v>399</v>
      </c>
      <c r="B401" s="3">
        <v>43315</v>
      </c>
      <c r="C401" s="2">
        <v>274.43</v>
      </c>
      <c r="D401" s="2">
        <v>275.52</v>
      </c>
      <c r="E401" s="2">
        <v>274.23</v>
      </c>
      <c r="F401" s="2">
        <v>275.47000000000003</v>
      </c>
      <c r="G401" s="1">
        <v>55527740</v>
      </c>
      <c r="H401" s="30">
        <f>(testdata[[#This Row],[high]]+testdata[[#This Row],[low]])/2</f>
        <v>274.875</v>
      </c>
      <c r="I401" s="23">
        <f>(4*testdata[[#This Row],[price]]+3*H400+2*H399+H398)/10</f>
        <v>273.72200000000004</v>
      </c>
      <c r="J401" s="9">
        <f>(0.0962*testdata[[#This Row],[smooth]]+0.5769*I399-0.5769*I397-0.0962*I395)*(0.075*$Z400+0.54)</f>
        <v>-1.1606810035424717</v>
      </c>
      <c r="K401" s="14">
        <f t="shared" si="18"/>
        <v>1.6925178046713409</v>
      </c>
      <c r="L401" s="14">
        <f>(0.0962*testdata[[#This Row],[detrender]]+0.5769*J399-0.5769*J397-0.0962*J395)*(0.075*$Z400+0.54)</f>
        <v>-5.7867504821875988</v>
      </c>
      <c r="M401" s="9">
        <f>(0.0962*testdata[[#This Row],[I1]]+0.5769*K399-0.5769*K397-0.0962*K395)*(0.075*$Z400+0.54)</f>
        <v>3.1872827516811544</v>
      </c>
      <c r="N401" s="9">
        <f>(0.0962*testdata[[#This Row],[Q1]]+0.5769*L399-0.5769*L397-0.0962*L395)*(0.075*$Z400+0.54)</f>
        <v>0.61504764273484502</v>
      </c>
      <c r="O401" s="9">
        <f>testdata[[#This Row],[I1]]-testdata[[#This Row],[JQ]]</f>
        <v>1.0774701619364959</v>
      </c>
      <c r="P401" s="9">
        <f>testdata[[#This Row],[Q1]]+testdata[[#This Row],[jI]]</f>
        <v>-2.5994677305064444</v>
      </c>
      <c r="Q401" s="9">
        <f>0.2*testdata[[#This Row],[I2]]+0.8*Q400</f>
        <v>0.36664579621887416</v>
      </c>
      <c r="R401" s="9">
        <f>0.2*testdata[[#This Row],[Q2]]+0.8*R400</f>
        <v>-0.82101020347672704</v>
      </c>
      <c r="S401" s="9">
        <f>testdata[[#This Row],[I2'']]*Q400+testdata[[#This Row],[Q2'']]*R400</f>
        <v>0.37829875867744422</v>
      </c>
      <c r="T401" s="9">
        <f>testdata[[#This Row],[I2'']]*R400-testdata[[#This Row],[Q2'']]*Q400</f>
        <v>1.7117479726305146E-2</v>
      </c>
      <c r="U401" s="9">
        <f>0.2*testdata[[#This Row],[Re]]+0.8*U400</f>
        <v>8.7670207593963383</v>
      </c>
      <c r="V401" s="9">
        <f>0.2*testdata[[#This Row],[Im]]+0.8*V400</f>
        <v>1.9905619796904159</v>
      </c>
      <c r="W401" s="9">
        <f>IF(AND(testdata[[#This Row],[Re'']]&lt;&gt;0,testdata[[#This Row],[Im'']]&lt;&gt;0),2*PI()/ATAN(testdata[[#This Row],[Im'']]/testdata[[#This Row],[Re'']]),0)</f>
        <v>28.142165484010462</v>
      </c>
      <c r="X401" s="9">
        <f>IF(testdata[[#This Row],[pd-atan]]&gt;1.5*Z400,1.5*Z400,IF(testdata[[#This Row],[pd-atan]]&lt;0.67*Z400,0.67*Z400,testdata[[#This Row],[pd-atan]]))</f>
        <v>28.142165484010462</v>
      </c>
      <c r="Y401" s="9">
        <f>IF(testdata[[#This Row],[pd-limit1]]&lt;6,6,IF(testdata[[#This Row],[pd-limit1]]&gt;50,50,testdata[[#This Row],[pd-limit1]]))</f>
        <v>28.142165484010462</v>
      </c>
      <c r="Z401" s="14">
        <f>0.2*testdata[[#This Row],[pd-limit2]]+0.8*Z400</f>
        <v>26.043079695066268</v>
      </c>
      <c r="AA401" s="14">
        <f>0.33*testdata[[#This Row],[period]]+0.67*AA400</f>
        <v>24.826875612400002</v>
      </c>
      <c r="AB401" s="31">
        <f>TRUNC(testdata[[#This Row],[SmPd]]+0.5,0)</f>
        <v>25</v>
      </c>
      <c r="AC401" s="14">
        <f ca="1">IF(testdata[[#This Row],[PdInt]]&lt;=0,0,AVERAGE(OFFSET(testdata[[#This Row],[price]],0,0,-testdata[[#This Row],[PdInt]],1)))</f>
        <v>270.73639999999995</v>
      </c>
      <c r="AD401" s="14">
        <f ca="1">IF(testdata[[#This Row],[i]]&lt;11,testdata[[#This Row],[price]],(4*testdata[[#This Row],[iTrend]]+3*AC400+2*AC399+AC398)/10)</f>
        <v>270.4896478623188</v>
      </c>
      <c r="AE401" s="14">
        <f>(4*testdata[[#This Row],[price]]+3*H400+2*H399+H398)/10</f>
        <v>273.72200000000004</v>
      </c>
      <c r="AF401" t="str">
        <f ca="1">IF(OR(ROUND(testdata[[#This Row],[Trendline]],4)&lt;&gt;Table3[[#This Row],[Trendline]],ROUND(testdata[[#This Row],[SmPrice]],4)&lt;&gt;Table3[[#This Row],[SmPrice]]),"ERR","")</f>
        <v/>
      </c>
      <c r="AG401" s="3">
        <v>43315</v>
      </c>
      <c r="AH401" s="14">
        <v>24.826899999999998</v>
      </c>
      <c r="AI401" s="34">
        <v>25</v>
      </c>
      <c r="AJ401" s="14">
        <v>270.7364</v>
      </c>
      <c r="AK401" s="14">
        <v>270.4896</v>
      </c>
      <c r="AL401" s="14">
        <v>273.72199999999998</v>
      </c>
      <c r="AN401" s="38">
        <f t="shared" si="19"/>
        <v>0</v>
      </c>
      <c r="AO401" s="38">
        <f t="shared" si="20"/>
        <v>0</v>
      </c>
      <c r="AQ401" s="37">
        <v>43315</v>
      </c>
      <c r="AR401">
        <v>25</v>
      </c>
      <c r="AS401">
        <v>270.48964786231801</v>
      </c>
      <c r="AT401">
        <v>273.72199999999998</v>
      </c>
      <c r="AV401" s="37">
        <v>43315</v>
      </c>
      <c r="AW401">
        <v>25</v>
      </c>
      <c r="AX401">
        <v>270.48964786231801</v>
      </c>
      <c r="AY401">
        <v>273.72199999999998</v>
      </c>
      <c r="BA401" s="38">
        <f>AX401-Table3[[#This Row],[Trendline]]</f>
        <v>4.7862318012903415E-5</v>
      </c>
      <c r="BB401" s="38">
        <f>AY401-Table3[[#This Row],[SmPrice]]</f>
        <v>0</v>
      </c>
    </row>
    <row r="402" spans="1:54" x14ac:dyDescent="0.35">
      <c r="A402" s="6">
        <v>400</v>
      </c>
      <c r="B402" s="3">
        <v>43318</v>
      </c>
      <c r="C402" s="2">
        <v>275.51</v>
      </c>
      <c r="D402" s="2">
        <v>276.82</v>
      </c>
      <c r="E402" s="2">
        <v>275.08</v>
      </c>
      <c r="F402" s="2">
        <v>276.48</v>
      </c>
      <c r="G402" s="1">
        <v>40564136</v>
      </c>
      <c r="H402" s="30">
        <f>(testdata[[#This Row],[high]]+testdata[[#This Row],[low]])/2</f>
        <v>275.95</v>
      </c>
      <c r="I402" s="23">
        <f>(4*testdata[[#This Row],[price]]+3*H401+2*H400+H399)/10</f>
        <v>274.71249999999998</v>
      </c>
      <c r="J402" s="9">
        <f>(0.0962*testdata[[#This Row],[smooth]]+0.5769*I400-0.5769*I398-0.0962*I396)*(0.075*$Z401+0.54)</f>
        <v>-0.56884373689480705</v>
      </c>
      <c r="K402" s="14">
        <f t="shared" si="18"/>
        <v>-0.84812436566889149</v>
      </c>
      <c r="L402" s="14">
        <f>(0.0962*testdata[[#This Row],[detrender]]+0.5769*J400-0.5769*J398-0.0962*J396)*(0.075*$Z401+0.54)</f>
        <v>-5.7299707957069002</v>
      </c>
      <c r="M402" s="9">
        <f>(0.0962*testdata[[#This Row],[I1]]+0.5769*K400-0.5769*K398-0.0962*K396)*(0.075*$Z401+0.54)</f>
        <v>2.2345252458906231</v>
      </c>
      <c r="N402" s="9">
        <f>(0.0962*testdata[[#This Row],[Q1]]+0.5769*L400-0.5769*L398-0.0962*L396)*(0.075*$Z401+0.54)</f>
        <v>-7.6456698047220186</v>
      </c>
      <c r="O402" s="9">
        <f>testdata[[#This Row],[I1]]-testdata[[#This Row],[JQ]]</f>
        <v>6.7975454390531276</v>
      </c>
      <c r="P402" s="9">
        <f>testdata[[#This Row],[Q1]]+testdata[[#This Row],[jI]]</f>
        <v>-3.4954455498162771</v>
      </c>
      <c r="Q402" s="9">
        <f>0.2*testdata[[#This Row],[I2]]+0.8*Q401</f>
        <v>1.6528257247857248</v>
      </c>
      <c r="R402" s="9">
        <f>0.2*testdata[[#This Row],[Q2]]+0.8*R401</f>
        <v>-1.3558972727446372</v>
      </c>
      <c r="S402" s="9">
        <f>testdata[[#This Row],[I2'']]*Q401+testdata[[#This Row],[Q2'']]*R401</f>
        <v>1.7192070996647137</v>
      </c>
      <c r="T402" s="9">
        <f>testdata[[#This Row],[I2'']]*R401-testdata[[#This Row],[Q2'']]*Q401</f>
        <v>-0.85985274946143919</v>
      </c>
      <c r="U402" s="9">
        <f>0.2*testdata[[#This Row],[Re]]+0.8*U401</f>
        <v>7.3574580274500141</v>
      </c>
      <c r="V402" s="9">
        <f>0.2*testdata[[#This Row],[Im]]+0.8*V401</f>
        <v>1.420479033860045</v>
      </c>
      <c r="W402" s="9">
        <f>IF(AND(testdata[[#This Row],[Re'']]&lt;&gt;0,testdata[[#This Row],[Im'']]&lt;&gt;0),2*PI()/ATAN(testdata[[#This Row],[Im'']]/testdata[[#This Row],[Re'']]),0)</f>
        <v>32.944557538687292</v>
      </c>
      <c r="X402" s="9">
        <f>IF(testdata[[#This Row],[pd-atan]]&gt;1.5*Z401,1.5*Z401,IF(testdata[[#This Row],[pd-atan]]&lt;0.67*Z401,0.67*Z401,testdata[[#This Row],[pd-atan]]))</f>
        <v>32.944557538687292</v>
      </c>
      <c r="Y402" s="9">
        <f>IF(testdata[[#This Row],[pd-limit1]]&lt;6,6,IF(testdata[[#This Row],[pd-limit1]]&gt;50,50,testdata[[#This Row],[pd-limit1]]))</f>
        <v>32.944557538687292</v>
      </c>
      <c r="Z402" s="14">
        <f>0.2*testdata[[#This Row],[pd-limit2]]+0.8*Z401</f>
        <v>27.423375263790476</v>
      </c>
      <c r="AA402" s="14">
        <f>0.33*testdata[[#This Row],[period]]+0.67*AA401</f>
        <v>25.683720497358863</v>
      </c>
      <c r="AB402" s="31">
        <f>TRUNC(testdata[[#This Row],[SmPd]]+0.5,0)</f>
        <v>26</v>
      </c>
      <c r="AC402" s="14">
        <f ca="1">IF(testdata[[#This Row],[PdInt]]&lt;=0,0,AVERAGE(OFFSET(testdata[[#This Row],[price]],0,0,-testdata[[#This Row],[PdInt]],1)))</f>
        <v>270.93692307692305</v>
      </c>
      <c r="AD402" s="14">
        <f ca="1">IF(testdata[[#This Row],[i]]&lt;11,testdata[[#This Row],[price]],(4*testdata[[#This Row],[iTrend]]+3*AC401+2*AC400+AC399)/10)</f>
        <v>270.72137673076918</v>
      </c>
      <c r="AE402" s="14">
        <f>(4*testdata[[#This Row],[price]]+3*H401+2*H400+H399)/10</f>
        <v>274.71249999999998</v>
      </c>
      <c r="AF402" t="str">
        <f ca="1">IF(OR(ROUND(testdata[[#This Row],[Trendline]],4)&lt;&gt;Table3[[#This Row],[Trendline]],ROUND(testdata[[#This Row],[SmPrice]],4)&lt;&gt;Table3[[#This Row],[SmPrice]]),"ERR","")</f>
        <v/>
      </c>
      <c r="AG402" s="3">
        <v>43318</v>
      </c>
      <c r="AH402" s="14">
        <v>25.683700000000002</v>
      </c>
      <c r="AI402" s="34">
        <v>26</v>
      </c>
      <c r="AJ402" s="14">
        <v>270.93689999999998</v>
      </c>
      <c r="AK402" s="14">
        <v>270.72140000000002</v>
      </c>
      <c r="AL402" s="14">
        <v>274.71249999999998</v>
      </c>
      <c r="AN402" s="38">
        <f t="shared" si="19"/>
        <v>0</v>
      </c>
      <c r="AO402" s="38">
        <f t="shared" si="20"/>
        <v>0</v>
      </c>
      <c r="AQ402" s="37">
        <v>43318</v>
      </c>
      <c r="AR402">
        <v>26</v>
      </c>
      <c r="AS402">
        <v>270.72137673076901</v>
      </c>
      <c r="AT402">
        <v>274.71249999999998</v>
      </c>
      <c r="AV402" s="37">
        <v>43318</v>
      </c>
      <c r="AW402">
        <v>26</v>
      </c>
      <c r="AX402">
        <v>270.72137673076901</v>
      </c>
      <c r="AY402">
        <v>274.71249999999998</v>
      </c>
      <c r="BA402" s="38">
        <f>AX402-Table3[[#This Row],[Trendline]]</f>
        <v>-2.3269231007816416E-5</v>
      </c>
      <c r="BB402" s="38">
        <f>AY402-Table3[[#This Row],[SmPrice]]</f>
        <v>0</v>
      </c>
    </row>
    <row r="403" spans="1:54" x14ac:dyDescent="0.35">
      <c r="A403" s="6">
        <v>401</v>
      </c>
      <c r="B403" s="3">
        <v>43319</v>
      </c>
      <c r="C403" s="2">
        <v>277.20999999999998</v>
      </c>
      <c r="D403" s="2">
        <v>277.81</v>
      </c>
      <c r="E403" s="2">
        <v>277.06</v>
      </c>
      <c r="F403" s="2">
        <v>277.39</v>
      </c>
      <c r="G403" s="1">
        <v>44471960</v>
      </c>
      <c r="H403" s="30">
        <f>(testdata[[#This Row],[high]]+testdata[[#This Row],[low]])/2</f>
        <v>277.435</v>
      </c>
      <c r="I403" s="23">
        <f>(4*testdata[[#This Row],[price]]+3*H402+2*H401+H400)/10</f>
        <v>276.01550000000003</v>
      </c>
      <c r="J403" s="9">
        <f>(0.0962*testdata[[#This Row],[smooth]]+0.5769*I401-0.5769*I399-0.0962*I397)*(0.075*$Z402+0.54)</f>
        <v>1.547046976880645</v>
      </c>
      <c r="K403" s="14">
        <f t="shared" si="18"/>
        <v>-1.7860063510140569</v>
      </c>
      <c r="L403" s="14">
        <f>(0.0962*testdata[[#This Row],[detrender]]+0.5769*J401-0.5769*J399-0.0962*J397)*(0.075*$Z402+0.54)</f>
        <v>-0.79761658189617923</v>
      </c>
      <c r="M403" s="9">
        <f>(0.0962*testdata[[#This Row],[I1]]+0.5769*K401-0.5769*K399-0.0962*K397)*(0.075*$Z402+0.54)</f>
        <v>-1.6719971875667521</v>
      </c>
      <c r="N403" s="9">
        <f>(0.0962*testdata[[#This Row],[Q1]]+0.5769*L401-0.5769*L399-0.0962*L397)*(0.075*$Z402+0.54)</f>
        <v>-12.255818545702642</v>
      </c>
      <c r="O403" s="9">
        <f>testdata[[#This Row],[I1]]-testdata[[#This Row],[JQ]]</f>
        <v>10.469812194688584</v>
      </c>
      <c r="P403" s="9">
        <f>testdata[[#This Row],[Q1]]+testdata[[#This Row],[jI]]</f>
        <v>-2.4696137694629314</v>
      </c>
      <c r="Q403" s="9">
        <f>0.2*testdata[[#This Row],[I2]]+0.8*Q402</f>
        <v>3.416223018766297</v>
      </c>
      <c r="R403" s="9">
        <f>0.2*testdata[[#This Row],[Q2]]+0.8*R402</f>
        <v>-1.5786405720882961</v>
      </c>
      <c r="S403" s="9">
        <f>testdata[[#This Row],[I2'']]*Q402+testdata[[#This Row],[Q2'']]*R402</f>
        <v>7.7868957333606366</v>
      </c>
      <c r="T403" s="9">
        <f>testdata[[#This Row],[I2'']]*R402-testdata[[#This Row],[Q2'']]*Q402</f>
        <v>-2.0228297264946846</v>
      </c>
      <c r="U403" s="9">
        <f>0.2*testdata[[#This Row],[Re]]+0.8*U402</f>
        <v>7.4433455686321395</v>
      </c>
      <c r="V403" s="9">
        <f>0.2*testdata[[#This Row],[Im]]+0.8*V402</f>
        <v>0.73181728178909911</v>
      </c>
      <c r="W403" s="9">
        <f>IF(AND(testdata[[#This Row],[Re'']]&lt;&gt;0,testdata[[#This Row],[Im'']]&lt;&gt;0),2*PI()/ATAN(testdata[[#This Row],[Im'']]/testdata[[#This Row],[Re'']]),0)</f>
        <v>64.11194175762931</v>
      </c>
      <c r="X403" s="9">
        <f>IF(testdata[[#This Row],[pd-atan]]&gt;1.5*Z402,1.5*Z402,IF(testdata[[#This Row],[pd-atan]]&lt;0.67*Z402,0.67*Z402,testdata[[#This Row],[pd-atan]]))</f>
        <v>41.135062895685714</v>
      </c>
      <c r="Y403" s="9">
        <f>IF(testdata[[#This Row],[pd-limit1]]&lt;6,6,IF(testdata[[#This Row],[pd-limit1]]&gt;50,50,testdata[[#This Row],[pd-limit1]]))</f>
        <v>41.135062895685714</v>
      </c>
      <c r="Z403" s="14">
        <f>0.2*testdata[[#This Row],[pd-limit2]]+0.8*Z402</f>
        <v>30.165712790169529</v>
      </c>
      <c r="AA403" s="14">
        <f>0.33*testdata[[#This Row],[period]]+0.67*AA402</f>
        <v>27.162777953986385</v>
      </c>
      <c r="AB403" s="31">
        <f>TRUNC(testdata[[#This Row],[SmPd]]+0.5,0)</f>
        <v>27</v>
      </c>
      <c r="AC403" s="14">
        <f ca="1">IF(testdata[[#This Row],[PdInt]]&lt;=0,0,AVERAGE(OFFSET(testdata[[#This Row],[price]],0,0,-testdata[[#This Row],[PdInt]],1)))</f>
        <v>271.17759259259259</v>
      </c>
      <c r="AD403" s="14">
        <f ca="1">IF(testdata[[#This Row],[i]]&lt;11,testdata[[#This Row],[price]],(4*testdata[[#This Row],[iTrend]]+3*AC402+2*AC401+AC400)/10)</f>
        <v>270.95578979344725</v>
      </c>
      <c r="AE403" s="14">
        <f>(4*testdata[[#This Row],[price]]+3*H402+2*H401+H400)/10</f>
        <v>276.01550000000003</v>
      </c>
      <c r="AF403" t="str">
        <f ca="1">IF(OR(ROUND(testdata[[#This Row],[Trendline]],4)&lt;&gt;Table3[[#This Row],[Trendline]],ROUND(testdata[[#This Row],[SmPrice]],4)&lt;&gt;Table3[[#This Row],[SmPrice]]),"ERR","")</f>
        <v/>
      </c>
      <c r="AG403" s="3">
        <v>43319</v>
      </c>
      <c r="AH403" s="14">
        <v>27.162800000000001</v>
      </c>
      <c r="AI403" s="34">
        <v>27</v>
      </c>
      <c r="AJ403" s="14">
        <v>271.17759999999998</v>
      </c>
      <c r="AK403" s="14">
        <v>270.95580000000001</v>
      </c>
      <c r="AL403" s="14">
        <v>276.01549999999997</v>
      </c>
      <c r="AN403" s="38">
        <f t="shared" si="19"/>
        <v>0</v>
      </c>
      <c r="AO403" s="38">
        <f t="shared" si="20"/>
        <v>0</v>
      </c>
      <c r="AQ403" s="37">
        <v>43319</v>
      </c>
      <c r="AR403">
        <v>27</v>
      </c>
      <c r="AS403">
        <v>270.95578979344702</v>
      </c>
      <c r="AT403">
        <v>276.01549999999997</v>
      </c>
      <c r="AV403" s="37">
        <v>43319</v>
      </c>
      <c r="AW403">
        <v>27</v>
      </c>
      <c r="AX403">
        <v>270.95578979344702</v>
      </c>
      <c r="AY403">
        <v>276.01549999999997</v>
      </c>
      <c r="BA403" s="38">
        <f>AX403-Table3[[#This Row],[Trendline]]</f>
        <v>-1.0206552985891904E-5</v>
      </c>
      <c r="BB403" s="38">
        <f>AY403-Table3[[#This Row],[SmPrice]]</f>
        <v>0</v>
      </c>
    </row>
    <row r="404" spans="1:54" x14ac:dyDescent="0.35">
      <c r="A404" s="6">
        <v>402</v>
      </c>
      <c r="B404" s="3">
        <v>43320</v>
      </c>
      <c r="C404" s="2">
        <v>277.20999999999998</v>
      </c>
      <c r="D404" s="2">
        <v>277.70999999999998</v>
      </c>
      <c r="E404" s="2">
        <v>276.77</v>
      </c>
      <c r="F404" s="2">
        <v>277.27</v>
      </c>
      <c r="G404" s="1">
        <v>43357916</v>
      </c>
      <c r="H404" s="30">
        <f>(testdata[[#This Row],[high]]+testdata[[#This Row],[low]])/2</f>
        <v>277.24</v>
      </c>
      <c r="I404" s="23">
        <f>(4*testdata[[#This Row],[price]]+3*H403+2*H402+H401)/10</f>
        <v>276.80399999999997</v>
      </c>
      <c r="J404" s="9">
        <f>(0.0962*testdata[[#This Row],[smooth]]+0.5769*I402-0.5769*I400-0.0962*I398)*(0.075*$Z403+0.54)</f>
        <v>3.8268588448530849</v>
      </c>
      <c r="K404" s="14">
        <f t="shared" si="18"/>
        <v>-1.1606810035424717</v>
      </c>
      <c r="L404" s="14">
        <f>(0.0962*testdata[[#This Row],[detrender]]+0.5769*J402-0.5769*J400-0.0962*J398)*(0.075*$Z403+0.54)</f>
        <v>2.5432170546660688</v>
      </c>
      <c r="M404" s="9">
        <f>(0.0962*testdata[[#This Row],[I1]]+0.5769*K402-0.5769*K400-0.0962*K398)*(0.075*$Z403+0.54)</f>
        <v>-6.608717506661927</v>
      </c>
      <c r="N404" s="9">
        <f>(0.0962*testdata[[#This Row],[Q1]]+0.5769*L402-0.5769*L400-0.0962*L398)*(0.075*$Z403+0.54)</f>
        <v>-6.8685835262324701</v>
      </c>
      <c r="O404" s="9">
        <f>testdata[[#This Row],[I1]]-testdata[[#This Row],[JQ]]</f>
        <v>5.7079025226899986</v>
      </c>
      <c r="P404" s="9">
        <f>testdata[[#This Row],[Q1]]+testdata[[#This Row],[jI]]</f>
        <v>-4.0655004519958577</v>
      </c>
      <c r="Q404" s="9">
        <f>0.2*testdata[[#This Row],[I2]]+0.8*Q403</f>
        <v>3.8745589195510375</v>
      </c>
      <c r="R404" s="9">
        <f>0.2*testdata[[#This Row],[Q2]]+0.8*R403</f>
        <v>-2.0760125480698086</v>
      </c>
      <c r="S404" s="9">
        <f>testdata[[#This Row],[I2'']]*Q403+testdata[[#This Row],[Q2'']]*R403</f>
        <v>16.51363500508393</v>
      </c>
      <c r="T404" s="9">
        <f>testdata[[#This Row],[I2'']]*R403-testdata[[#This Row],[Q2'']]*Q403</f>
        <v>0.97558594461389347</v>
      </c>
      <c r="U404" s="9">
        <f>0.2*testdata[[#This Row],[Re]]+0.8*U403</f>
        <v>9.257403455922498</v>
      </c>
      <c r="V404" s="9">
        <f>0.2*testdata[[#This Row],[Im]]+0.8*V403</f>
        <v>0.78057101435405807</v>
      </c>
      <c r="W404" s="9">
        <f>IF(AND(testdata[[#This Row],[Re'']]&lt;&gt;0,testdata[[#This Row],[Im'']]&lt;&gt;0),2*PI()/ATAN(testdata[[#This Row],[Im'']]/testdata[[#This Row],[Re'']]),0)</f>
        <v>74.693482029527402</v>
      </c>
      <c r="X404" s="9">
        <f>IF(testdata[[#This Row],[pd-atan]]&gt;1.5*Z403,1.5*Z403,IF(testdata[[#This Row],[pd-atan]]&lt;0.67*Z403,0.67*Z403,testdata[[#This Row],[pd-atan]]))</f>
        <v>45.248569185254297</v>
      </c>
      <c r="Y404" s="9">
        <f>IF(testdata[[#This Row],[pd-limit1]]&lt;6,6,IF(testdata[[#This Row],[pd-limit1]]&gt;50,50,testdata[[#This Row],[pd-limit1]]))</f>
        <v>45.248569185254297</v>
      </c>
      <c r="Z404" s="14">
        <f>0.2*testdata[[#This Row],[pd-limit2]]+0.8*Z403</f>
        <v>33.18228406918648</v>
      </c>
      <c r="AA404" s="14">
        <f>0.33*testdata[[#This Row],[period]]+0.67*AA403</f>
        <v>29.149214972002419</v>
      </c>
      <c r="AB404" s="31">
        <f>TRUNC(testdata[[#This Row],[SmPd]]+0.5,0)</f>
        <v>29</v>
      </c>
      <c r="AC404" s="14">
        <f ca="1">IF(testdata[[#This Row],[PdInt]]&lt;=0,0,AVERAGE(OFFSET(testdata[[#This Row],[price]],0,0,-testdata[[#This Row],[PdInt]],1)))</f>
        <v>271.08310344827589</v>
      </c>
      <c r="AD404" s="14">
        <f ca="1">IF(testdata[[#This Row],[i]]&lt;11,testdata[[#This Row],[price]],(4*testdata[[#This Row],[iTrend]]+3*AC403+2*AC402+AC401)/10)</f>
        <v>271.04754377247275</v>
      </c>
      <c r="AE404" s="14">
        <f>(4*testdata[[#This Row],[price]]+3*H403+2*H402+H401)/10</f>
        <v>276.80399999999997</v>
      </c>
      <c r="AF404" t="str">
        <f ca="1">IF(OR(ROUND(testdata[[#This Row],[Trendline]],4)&lt;&gt;Table3[[#This Row],[Trendline]],ROUND(testdata[[#This Row],[SmPrice]],4)&lt;&gt;Table3[[#This Row],[SmPrice]]),"ERR","")</f>
        <v/>
      </c>
      <c r="AG404" s="3">
        <v>43320</v>
      </c>
      <c r="AH404" s="14">
        <v>29.1492</v>
      </c>
      <c r="AI404" s="34">
        <v>29</v>
      </c>
      <c r="AJ404" s="14">
        <v>271.0831</v>
      </c>
      <c r="AK404" s="14">
        <v>271.04750000000001</v>
      </c>
      <c r="AL404" s="14">
        <v>276.80399999999997</v>
      </c>
      <c r="AN404" s="38">
        <f t="shared" si="19"/>
        <v>0</v>
      </c>
      <c r="AO404" s="38">
        <f t="shared" si="20"/>
        <v>0</v>
      </c>
      <c r="AQ404" s="37">
        <v>43320</v>
      </c>
      <c r="AR404">
        <v>29</v>
      </c>
      <c r="AS404">
        <v>271.04754377247201</v>
      </c>
      <c r="AT404">
        <v>276.80399999999997</v>
      </c>
      <c r="AV404" s="37">
        <v>43320</v>
      </c>
      <c r="AW404">
        <v>29</v>
      </c>
      <c r="AX404">
        <v>271.04754377247201</v>
      </c>
      <c r="AY404">
        <v>276.80399999999997</v>
      </c>
      <c r="BA404" s="38">
        <f>AX404-Table3[[#This Row],[Trendline]]</f>
        <v>4.3772471997272078E-5</v>
      </c>
      <c r="BB404" s="38">
        <f>AY404-Table3[[#This Row],[SmPrice]]</f>
        <v>0</v>
      </c>
    </row>
    <row r="405" spans="1:54" x14ac:dyDescent="0.35">
      <c r="A405" s="6">
        <v>403</v>
      </c>
      <c r="B405" s="3">
        <v>43321</v>
      </c>
      <c r="C405" s="2">
        <v>277.33999999999997</v>
      </c>
      <c r="D405" s="2">
        <v>277.77</v>
      </c>
      <c r="E405" s="2">
        <v>276.74</v>
      </c>
      <c r="F405" s="2">
        <v>276.89999999999998</v>
      </c>
      <c r="G405" s="1">
        <v>36771464</v>
      </c>
      <c r="H405" s="30">
        <f>(testdata[[#This Row],[high]]+testdata[[#This Row],[low]])/2</f>
        <v>277.255</v>
      </c>
      <c r="I405" s="23">
        <f>(4*testdata[[#This Row],[price]]+3*H404+2*H403+H402)/10</f>
        <v>277.15600000000001</v>
      </c>
      <c r="J405" s="9">
        <f>(0.0962*testdata[[#This Row],[smooth]]+0.5769*I403-0.5769*I401-0.0962*I399)*(0.075*$Z404+0.54)</f>
        <v>5.1990966651091233</v>
      </c>
      <c r="K405" s="14">
        <f t="shared" si="18"/>
        <v>-0.56884373689480705</v>
      </c>
      <c r="L405" s="14">
        <f>(0.0962*testdata[[#This Row],[detrender]]+0.5769*J403-0.5769*J401-0.0962*J399)*(0.075*$Z404+0.54)</f>
        <v>6.4929592362137161</v>
      </c>
      <c r="M405" s="9">
        <f>(0.0962*testdata[[#This Row],[I1]]+0.5769*K403-0.5769*K401-0.0962*K399)*(0.075*$Z404+0.54)</f>
        <v>-6.9605256342937407</v>
      </c>
      <c r="N405" s="9">
        <f>(0.0962*testdata[[#This Row],[Q1]]+0.5769*L403-0.5769*L401-0.0962*L399)*(0.075*$Z404+0.54)</f>
        <v>9.9970052503735225</v>
      </c>
      <c r="O405" s="9">
        <f>testdata[[#This Row],[I1]]-testdata[[#This Row],[JQ]]</f>
        <v>-10.56584898726833</v>
      </c>
      <c r="P405" s="9">
        <f>testdata[[#This Row],[Q1]]+testdata[[#This Row],[jI]]</f>
        <v>-0.46756639808002465</v>
      </c>
      <c r="Q405" s="9">
        <f>0.2*testdata[[#This Row],[I2]]+0.8*Q404</f>
        <v>0.98647733818716388</v>
      </c>
      <c r="R405" s="9">
        <f>0.2*testdata[[#This Row],[Q2]]+0.8*R404</f>
        <v>-1.754323318071852</v>
      </c>
      <c r="S405" s="9">
        <f>testdata[[#This Row],[I2'']]*Q404+testdata[[#This Row],[Q2'']]*R404</f>
        <v>7.464161791296668</v>
      </c>
      <c r="T405" s="9">
        <f>testdata[[#This Row],[I2'']]*R404-testdata[[#This Row],[Q2'']]*Q404</f>
        <v>4.7492897273486099</v>
      </c>
      <c r="U405" s="9">
        <f>0.2*testdata[[#This Row],[Re]]+0.8*U404</f>
        <v>8.8987551229973327</v>
      </c>
      <c r="V405" s="9">
        <f>0.2*testdata[[#This Row],[Im]]+0.8*V404</f>
        <v>1.5743147569529685</v>
      </c>
      <c r="W405" s="9">
        <f>IF(AND(testdata[[#This Row],[Re'']]&lt;&gt;0,testdata[[#This Row],[Im'']]&lt;&gt;0),2*PI()/ATAN(testdata[[#This Row],[Im'']]/testdata[[#This Row],[Re'']]),0)</f>
        <v>35.882954383209281</v>
      </c>
      <c r="X405" s="9">
        <f>IF(testdata[[#This Row],[pd-atan]]&gt;1.5*Z404,1.5*Z404,IF(testdata[[#This Row],[pd-atan]]&lt;0.67*Z404,0.67*Z404,testdata[[#This Row],[pd-atan]]))</f>
        <v>35.882954383209281</v>
      </c>
      <c r="Y405" s="9">
        <f>IF(testdata[[#This Row],[pd-limit1]]&lt;6,6,IF(testdata[[#This Row],[pd-limit1]]&gt;50,50,testdata[[#This Row],[pd-limit1]]))</f>
        <v>35.882954383209281</v>
      </c>
      <c r="Z405" s="14">
        <f>0.2*testdata[[#This Row],[pd-limit2]]+0.8*Z404</f>
        <v>33.722418131991041</v>
      </c>
      <c r="AA405" s="14">
        <f>0.33*testdata[[#This Row],[period]]+0.67*AA404</f>
        <v>30.658372014798665</v>
      </c>
      <c r="AB405" s="31">
        <f>TRUNC(testdata[[#This Row],[SmPd]]+0.5,0)</f>
        <v>31</v>
      </c>
      <c r="AC405" s="14">
        <f ca="1">IF(testdata[[#This Row],[PdInt]]&lt;=0,0,AVERAGE(OFFSET(testdata[[#This Row],[price]],0,0,-testdata[[#This Row],[PdInt]],1)))</f>
        <v>271.0451612903226</v>
      </c>
      <c r="AD405" s="14">
        <f ca="1">IF(testdata[[#This Row],[i]]&lt;11,testdata[[#This Row],[price]],(4*testdata[[#This Row],[iTrend]]+3*AC404+2*AC403+AC402)/10)</f>
        <v>271.07220637682263</v>
      </c>
      <c r="AE405" s="14">
        <f>(4*testdata[[#This Row],[price]]+3*H404+2*H403+H402)/10</f>
        <v>277.15600000000001</v>
      </c>
      <c r="AF405" t="str">
        <f ca="1">IF(OR(ROUND(testdata[[#This Row],[Trendline]],4)&lt;&gt;Table3[[#This Row],[Trendline]],ROUND(testdata[[#This Row],[SmPrice]],4)&lt;&gt;Table3[[#This Row],[SmPrice]]),"ERR","")</f>
        <v/>
      </c>
      <c r="AG405" s="3">
        <v>43321</v>
      </c>
      <c r="AH405" s="14">
        <v>30.6584</v>
      </c>
      <c r="AI405" s="34">
        <v>31</v>
      </c>
      <c r="AJ405" s="14">
        <v>271.04520000000002</v>
      </c>
      <c r="AK405" s="14">
        <v>271.07220000000001</v>
      </c>
      <c r="AL405" s="14">
        <v>277.15600000000001</v>
      </c>
      <c r="AN405" s="38">
        <f t="shared" si="19"/>
        <v>0</v>
      </c>
      <c r="AO405" s="38">
        <f t="shared" si="20"/>
        <v>0</v>
      </c>
      <c r="AQ405" s="37">
        <v>43321</v>
      </c>
      <c r="AR405">
        <v>31</v>
      </c>
      <c r="AS405">
        <v>271.07220637682201</v>
      </c>
      <c r="AT405">
        <v>277.15600000000001</v>
      </c>
      <c r="AV405" s="37">
        <v>43321</v>
      </c>
      <c r="AW405">
        <v>31</v>
      </c>
      <c r="AX405">
        <v>271.07220637682201</v>
      </c>
      <c r="AY405">
        <v>277.15600000000001</v>
      </c>
      <c r="BA405" s="38">
        <f>AX405-Table3[[#This Row],[Trendline]]</f>
        <v>6.3768220002202725E-6</v>
      </c>
      <c r="BB405" s="38">
        <f>AY405-Table3[[#This Row],[SmPrice]]</f>
        <v>0</v>
      </c>
    </row>
    <row r="406" spans="1:54" x14ac:dyDescent="0.35">
      <c r="A406" s="6">
        <v>404</v>
      </c>
      <c r="B406" s="3">
        <v>43322</v>
      </c>
      <c r="C406" s="2">
        <v>275.32</v>
      </c>
      <c r="D406" s="2">
        <v>275.91000000000003</v>
      </c>
      <c r="E406" s="2">
        <v>274.26</v>
      </c>
      <c r="F406" s="2">
        <v>275.04000000000002</v>
      </c>
      <c r="G406" s="1">
        <v>79351592</v>
      </c>
      <c r="H406" s="30">
        <f>(testdata[[#This Row],[high]]+testdata[[#This Row],[low]])/2</f>
        <v>275.08500000000004</v>
      </c>
      <c r="I406" s="23">
        <f>(4*testdata[[#This Row],[price]]+3*H405+2*H404+H403)/10</f>
        <v>276.40199999999999</v>
      </c>
      <c r="J406" s="9">
        <f>(0.0962*testdata[[#This Row],[smooth]]+0.5769*I404-0.5769*I402-0.0962*I400)*(0.075*$Z405+0.54)</f>
        <v>4.7307205934706245</v>
      </c>
      <c r="K406" s="14">
        <f t="shared" si="18"/>
        <v>1.547046976880645</v>
      </c>
      <c r="L406" s="14">
        <f>(0.0962*testdata[[#This Row],[detrender]]+0.5769*J404-0.5769*J402-0.0962*J400)*(0.075*$Z405+0.54)</f>
        <v>9.7071759643279645</v>
      </c>
      <c r="M406" s="9">
        <f>(0.0962*testdata[[#This Row],[I1]]+0.5769*K404-0.5769*K402-0.0962*K400)*(0.075*$Z405+0.54)</f>
        <v>-0.94272724784000561</v>
      </c>
      <c r="N406" s="9">
        <f>(0.0962*testdata[[#This Row],[Q1]]+0.5769*L404-0.5769*L402-0.0962*L400)*(0.075*$Z405+0.54)</f>
        <v>17.972511569460284</v>
      </c>
      <c r="O406" s="9">
        <f>testdata[[#This Row],[I1]]-testdata[[#This Row],[JQ]]</f>
        <v>-16.42546459257964</v>
      </c>
      <c r="P406" s="9">
        <f>testdata[[#This Row],[Q1]]+testdata[[#This Row],[jI]]</f>
        <v>8.7644487164879585</v>
      </c>
      <c r="Q406" s="9">
        <f>0.2*testdata[[#This Row],[I2]]+0.8*Q405</f>
        <v>-2.4959110479661972</v>
      </c>
      <c r="R406" s="9">
        <f>0.2*testdata[[#This Row],[Q2]]+0.8*R405</f>
        <v>0.3494310888401102</v>
      </c>
      <c r="S406" s="9">
        <f>testdata[[#This Row],[I2'']]*Q405+testdata[[#This Row],[Q2'']]*R405</f>
        <v>-3.0751747941610712</v>
      </c>
      <c r="T406" s="9">
        <f>testdata[[#This Row],[I2'']]*R405-testdata[[#This Row],[Q2'']]*Q405</f>
        <v>4.0339291008814184</v>
      </c>
      <c r="U406" s="9">
        <f>0.2*testdata[[#This Row],[Re]]+0.8*U405</f>
        <v>6.503969139565652</v>
      </c>
      <c r="V406" s="9">
        <f>0.2*testdata[[#This Row],[Im]]+0.8*V405</f>
        <v>2.0662376257386588</v>
      </c>
      <c r="W406" s="9">
        <f>IF(AND(testdata[[#This Row],[Re'']]&lt;&gt;0,testdata[[#This Row],[Im'']]&lt;&gt;0),2*PI()/ATAN(testdata[[#This Row],[Im'']]/testdata[[#This Row],[Re'']]),0)</f>
        <v>20.426151482727423</v>
      </c>
      <c r="X406" s="9">
        <f>IF(testdata[[#This Row],[pd-atan]]&gt;1.5*Z405,1.5*Z405,IF(testdata[[#This Row],[pd-atan]]&lt;0.67*Z405,0.67*Z405,testdata[[#This Row],[pd-atan]]))</f>
        <v>22.594020148433998</v>
      </c>
      <c r="Y406" s="9">
        <f>IF(testdata[[#This Row],[pd-limit1]]&lt;6,6,IF(testdata[[#This Row],[pd-limit1]]&gt;50,50,testdata[[#This Row],[pd-limit1]]))</f>
        <v>22.594020148433998</v>
      </c>
      <c r="Z406" s="14">
        <f>0.2*testdata[[#This Row],[pd-limit2]]+0.8*Z405</f>
        <v>31.496738535279633</v>
      </c>
      <c r="AA406" s="14">
        <f>0.33*testdata[[#This Row],[period]]+0.67*AA405</f>
        <v>30.935032966557387</v>
      </c>
      <c r="AB406" s="31">
        <f>TRUNC(testdata[[#This Row],[SmPd]]+0.5,0)</f>
        <v>31</v>
      </c>
      <c r="AC406" s="14">
        <f ca="1">IF(testdata[[#This Row],[PdInt]]&lt;=0,0,AVERAGE(OFFSET(testdata[[#This Row],[price]],0,0,-testdata[[#This Row],[PdInt]],1)))</f>
        <v>271.41129032258067</v>
      </c>
      <c r="AD406" s="14">
        <f ca="1">IF(testdata[[#This Row],[i]]&lt;11,testdata[[#This Row],[price]],(4*testdata[[#This Row],[iTrend]]+3*AC405+2*AC404+AC403)/10)</f>
        <v>271.21244446504346</v>
      </c>
      <c r="AE406" s="14">
        <f>(4*testdata[[#This Row],[price]]+3*H405+2*H404+H403)/10</f>
        <v>276.40199999999999</v>
      </c>
      <c r="AF406" t="str">
        <f ca="1">IF(OR(ROUND(testdata[[#This Row],[Trendline]],4)&lt;&gt;Table3[[#This Row],[Trendline]],ROUND(testdata[[#This Row],[SmPrice]],4)&lt;&gt;Table3[[#This Row],[SmPrice]]),"ERR","")</f>
        <v/>
      </c>
      <c r="AG406" s="3">
        <v>43322</v>
      </c>
      <c r="AH406" s="14">
        <v>30.934999999999999</v>
      </c>
      <c r="AI406" s="34">
        <v>31</v>
      </c>
      <c r="AJ406" s="14">
        <v>271.41129999999998</v>
      </c>
      <c r="AK406" s="14">
        <v>271.2124</v>
      </c>
      <c r="AL406" s="14">
        <v>276.40199999999999</v>
      </c>
      <c r="AN406" s="38">
        <f t="shared" si="19"/>
        <v>0</v>
      </c>
      <c r="AO406" s="38">
        <f t="shared" si="20"/>
        <v>0</v>
      </c>
      <c r="AQ406" s="37">
        <v>43322</v>
      </c>
      <c r="AR406">
        <v>31</v>
      </c>
      <c r="AS406">
        <v>271.21244446504301</v>
      </c>
      <c r="AT406">
        <v>276.40199999999999</v>
      </c>
      <c r="AV406" s="37">
        <v>43322</v>
      </c>
      <c r="AW406">
        <v>31</v>
      </c>
      <c r="AX406">
        <v>271.21244446504301</v>
      </c>
      <c r="AY406">
        <v>276.40199999999999</v>
      </c>
      <c r="BA406" s="38">
        <f>AX406-Table3[[#This Row],[Trendline]]</f>
        <v>4.4465043004038307E-5</v>
      </c>
      <c r="BB406" s="38">
        <f>AY406-Table3[[#This Row],[SmPrice]]</f>
        <v>0</v>
      </c>
    </row>
    <row r="407" spans="1:54" x14ac:dyDescent="0.35">
      <c r="A407" s="6">
        <v>405</v>
      </c>
      <c r="B407" s="3">
        <v>43325</v>
      </c>
      <c r="C407" s="2">
        <v>275.33999999999997</v>
      </c>
      <c r="D407" s="2">
        <v>276.01</v>
      </c>
      <c r="E407" s="2">
        <v>273.69</v>
      </c>
      <c r="F407" s="2">
        <v>274.01</v>
      </c>
      <c r="G407" s="1">
        <v>67673568</v>
      </c>
      <c r="H407" s="30">
        <f>(testdata[[#This Row],[high]]+testdata[[#This Row],[low]])/2</f>
        <v>274.85000000000002</v>
      </c>
      <c r="I407" s="23">
        <f>(4*testdata[[#This Row],[price]]+3*H406+2*H405+H404)/10</f>
        <v>275.64049999999997</v>
      </c>
      <c r="J407" s="9">
        <f>(0.0962*testdata[[#This Row],[smooth]]+0.5769*I405-0.5769*I403-0.0962*I401)*(0.075*$Z406+0.54)</f>
        <v>2.4451912331116579</v>
      </c>
      <c r="K407" s="14">
        <f t="shared" si="18"/>
        <v>3.8268588448530849</v>
      </c>
      <c r="L407" s="14">
        <f>(0.0962*testdata[[#This Row],[detrender]]+0.5769*J405-0.5769*J403-0.0962*J401)*(0.075*$Z406+0.54)</f>
        <v>7.1214160544105605</v>
      </c>
      <c r="M407" s="9">
        <f>(0.0962*testdata[[#This Row],[I1]]+0.5769*K405-0.5769*K403-0.0962*K401)*(0.075*$Z406+0.54)</f>
        <v>2.6338104656408006</v>
      </c>
      <c r="N407" s="9">
        <f>(0.0962*testdata[[#This Row],[Q1]]+0.5769*L405-0.5769*L403-0.0962*L401)*(0.075*$Z406+0.54)</f>
        <v>15.810613236051138</v>
      </c>
      <c r="O407" s="9">
        <f>testdata[[#This Row],[I1]]-testdata[[#This Row],[JQ]]</f>
        <v>-11.983754391198053</v>
      </c>
      <c r="P407" s="9">
        <f>testdata[[#This Row],[Q1]]+testdata[[#This Row],[jI]]</f>
        <v>9.7552265200513606</v>
      </c>
      <c r="Q407" s="9">
        <f>0.2*testdata[[#This Row],[I2]]+0.8*Q406</f>
        <v>-4.3934797166125685</v>
      </c>
      <c r="R407" s="9">
        <f>0.2*testdata[[#This Row],[Q2]]+0.8*R406</f>
        <v>2.2305901750823605</v>
      </c>
      <c r="S407" s="9">
        <f>testdata[[#This Row],[I2'']]*Q406+testdata[[#This Row],[Q2'']]*R406</f>
        <v>11.745172117343788</v>
      </c>
      <c r="T407" s="9">
        <f>testdata[[#This Row],[I2'']]*R406-testdata[[#This Row],[Q2'']]*Q406</f>
        <v>4.0321362603000486</v>
      </c>
      <c r="U407" s="9">
        <f>0.2*testdata[[#This Row],[Re]]+0.8*U406</f>
        <v>7.5522097351212807</v>
      </c>
      <c r="V407" s="9">
        <f>0.2*testdata[[#This Row],[Im]]+0.8*V406</f>
        <v>2.4594173526509371</v>
      </c>
      <c r="W407" s="9">
        <f>IF(AND(testdata[[#This Row],[Re'']]&lt;&gt;0,testdata[[#This Row],[Im'']]&lt;&gt;0),2*PI()/ATAN(testdata[[#This Row],[Im'']]/testdata[[#This Row],[Re'']]),0)</f>
        <v>19.957738806886582</v>
      </c>
      <c r="X407" s="9">
        <f>IF(testdata[[#This Row],[pd-atan]]&gt;1.5*Z406,1.5*Z406,IF(testdata[[#This Row],[pd-atan]]&lt;0.67*Z406,0.67*Z406,testdata[[#This Row],[pd-atan]]))</f>
        <v>21.102814818637356</v>
      </c>
      <c r="Y407" s="9">
        <f>IF(testdata[[#This Row],[pd-limit1]]&lt;6,6,IF(testdata[[#This Row],[pd-limit1]]&gt;50,50,testdata[[#This Row],[pd-limit1]]))</f>
        <v>21.102814818637356</v>
      </c>
      <c r="Z407" s="14">
        <f>0.2*testdata[[#This Row],[pd-limit2]]+0.8*Z406</f>
        <v>29.417953791951177</v>
      </c>
      <c r="AA407" s="14">
        <f>0.33*testdata[[#This Row],[period]]+0.67*AA406</f>
        <v>30.434396838937339</v>
      </c>
      <c r="AB407" s="31">
        <f>TRUNC(testdata[[#This Row],[SmPd]]+0.5,0)</f>
        <v>30</v>
      </c>
      <c r="AC407" s="14">
        <f ca="1">IF(testdata[[#This Row],[PdInt]]&lt;=0,0,AVERAGE(OFFSET(testdata[[#This Row],[price]],0,0,-testdata[[#This Row],[PdInt]],1)))</f>
        <v>272.05449999999996</v>
      </c>
      <c r="AD407" s="14">
        <f ca="1">IF(testdata[[#This Row],[i]]&lt;11,testdata[[#This Row],[price]],(4*testdata[[#This Row],[iTrend]]+3*AC406+2*AC405+AC404)/10)</f>
        <v>271.56252969966624</v>
      </c>
      <c r="AE407" s="14">
        <f>(4*testdata[[#This Row],[price]]+3*H406+2*H405+H404)/10</f>
        <v>275.64049999999997</v>
      </c>
      <c r="AF407" t="str">
        <f ca="1">IF(OR(ROUND(testdata[[#This Row],[Trendline]],4)&lt;&gt;Table3[[#This Row],[Trendline]],ROUND(testdata[[#This Row],[SmPrice]],4)&lt;&gt;Table3[[#This Row],[SmPrice]]),"ERR","")</f>
        <v/>
      </c>
      <c r="AG407" s="3">
        <v>43325</v>
      </c>
      <c r="AH407" s="14">
        <v>30.4344</v>
      </c>
      <c r="AI407" s="34">
        <v>30</v>
      </c>
      <c r="AJ407" s="14">
        <v>272.05450000000002</v>
      </c>
      <c r="AK407" s="14">
        <v>271.5625</v>
      </c>
      <c r="AL407" s="14">
        <v>275.64049999999997</v>
      </c>
      <c r="AN407" s="38">
        <f t="shared" si="19"/>
        <v>0</v>
      </c>
      <c r="AO407" s="38">
        <f t="shared" si="20"/>
        <v>0</v>
      </c>
      <c r="AQ407" s="37">
        <v>43325</v>
      </c>
      <c r="AR407">
        <v>30</v>
      </c>
      <c r="AS407">
        <v>271.56252969966602</v>
      </c>
      <c r="AT407">
        <v>275.64049999999997</v>
      </c>
      <c r="AV407" s="37">
        <v>43325</v>
      </c>
      <c r="AW407">
        <v>30</v>
      </c>
      <c r="AX407">
        <v>271.56252969966602</v>
      </c>
      <c r="AY407">
        <v>275.64049999999997</v>
      </c>
      <c r="BA407" s="38">
        <f>AX407-Table3[[#This Row],[Trendline]]</f>
        <v>2.9699666015403636E-5</v>
      </c>
      <c r="BB407" s="38">
        <f>AY407-Table3[[#This Row],[SmPrice]]</f>
        <v>0</v>
      </c>
    </row>
    <row r="408" spans="1:54" x14ac:dyDescent="0.35">
      <c r="A408" s="6">
        <v>406</v>
      </c>
      <c r="B408" s="3">
        <v>43326</v>
      </c>
      <c r="C408" s="2">
        <v>274.81</v>
      </c>
      <c r="D408" s="2">
        <v>276.02</v>
      </c>
      <c r="E408" s="2">
        <v>274.38</v>
      </c>
      <c r="F408" s="2">
        <v>275.76</v>
      </c>
      <c r="G408" s="1">
        <v>45136396</v>
      </c>
      <c r="H408" s="30">
        <f>(testdata[[#This Row],[high]]+testdata[[#This Row],[low]])/2</f>
        <v>275.2</v>
      </c>
      <c r="I408" s="23">
        <f>(4*testdata[[#This Row],[price]]+3*H407+2*H406+H405)/10</f>
        <v>275.27750000000003</v>
      </c>
      <c r="J408" s="9">
        <f>(0.0962*testdata[[#This Row],[smooth]]+0.5769*I406-0.5769*I404-0.0962*I402)*(0.075*$Z407+0.54)</f>
        <v>-0.48764348772462723</v>
      </c>
      <c r="K408" s="14">
        <f t="shared" si="18"/>
        <v>5.1990966651091233</v>
      </c>
      <c r="L408" s="14">
        <f>(0.0962*testdata[[#This Row],[detrender]]+0.5769*J406-0.5769*J404-0.0962*J402)*(0.075*$Z407+0.54)</f>
        <v>1.4535019994180167</v>
      </c>
      <c r="M408" s="9">
        <f>(0.0962*testdata[[#This Row],[I1]]+0.5769*K406-0.5769*K404-0.0962*K402)*(0.075*$Z407+0.54)</f>
        <v>5.8877026588527546</v>
      </c>
      <c r="N408" s="9">
        <f>(0.0962*testdata[[#This Row],[Q1]]+0.5769*L406-0.5769*L404-0.0962*L402)*(0.075*$Z407+0.54)</f>
        <v>13.248205347679788</v>
      </c>
      <c r="O408" s="9">
        <f>testdata[[#This Row],[I1]]-testdata[[#This Row],[JQ]]</f>
        <v>-8.0491086825706653</v>
      </c>
      <c r="P408" s="9">
        <f>testdata[[#This Row],[Q1]]+testdata[[#This Row],[jI]]</f>
        <v>7.3412046582707715</v>
      </c>
      <c r="Q408" s="9">
        <f>0.2*testdata[[#This Row],[I2]]+0.8*Q407</f>
        <v>-5.1246055098041881</v>
      </c>
      <c r="R408" s="9">
        <f>0.2*testdata[[#This Row],[Q2]]+0.8*R407</f>
        <v>3.2527130717200432</v>
      </c>
      <c r="S408" s="9">
        <f>testdata[[#This Row],[I2'']]*Q407+testdata[[#This Row],[Q2'']]*R407</f>
        <v>29.770320183106403</v>
      </c>
      <c r="T408" s="9">
        <f>testdata[[#This Row],[I2'']]*R407-testdata[[#This Row],[Q2'']]*Q407</f>
        <v>2.8598342032204194</v>
      </c>
      <c r="U408" s="9">
        <f>0.2*testdata[[#This Row],[Re]]+0.8*U407</f>
        <v>11.995831824718305</v>
      </c>
      <c r="V408" s="9">
        <f>0.2*testdata[[#This Row],[Im]]+0.8*V407</f>
        <v>2.5395007227648336</v>
      </c>
      <c r="W408" s="9">
        <f>IF(AND(testdata[[#This Row],[Re'']]&lt;&gt;0,testdata[[#This Row],[Im'']]&lt;&gt;0),2*PI()/ATAN(testdata[[#This Row],[Im'']]/testdata[[#This Row],[Re'']]),0)</f>
        <v>30.118065827634396</v>
      </c>
      <c r="X408" s="9">
        <f>IF(testdata[[#This Row],[pd-atan]]&gt;1.5*Z407,1.5*Z407,IF(testdata[[#This Row],[pd-atan]]&lt;0.67*Z407,0.67*Z407,testdata[[#This Row],[pd-atan]]))</f>
        <v>30.118065827634396</v>
      </c>
      <c r="Y408" s="9">
        <f>IF(testdata[[#This Row],[pd-limit1]]&lt;6,6,IF(testdata[[#This Row],[pd-limit1]]&gt;50,50,testdata[[#This Row],[pd-limit1]]))</f>
        <v>30.118065827634396</v>
      </c>
      <c r="Z408" s="14">
        <f>0.2*testdata[[#This Row],[pd-limit2]]+0.8*Z407</f>
        <v>29.557976199087822</v>
      </c>
      <c r="AA408" s="14">
        <f>0.33*testdata[[#This Row],[period]]+0.67*AA407</f>
        <v>30.145178027787001</v>
      </c>
      <c r="AB408" s="31">
        <f>TRUNC(testdata[[#This Row],[SmPd]]+0.5,0)</f>
        <v>30</v>
      </c>
      <c r="AC408" s="14">
        <f ca="1">IF(testdata[[#This Row],[PdInt]]&lt;=0,0,AVERAGE(OFFSET(testdata[[#This Row],[price]],0,0,-testdata[[#This Row],[PdInt]],1)))</f>
        <v>272.46516666666668</v>
      </c>
      <c r="AD408" s="14">
        <f ca="1">IF(testdata[[#This Row],[i]]&lt;11,testdata[[#This Row],[price]],(4*testdata[[#This Row],[iTrend]]+3*AC407+2*AC406+AC405)/10)</f>
        <v>271.98919086021505</v>
      </c>
      <c r="AE408" s="14">
        <f>(4*testdata[[#This Row],[price]]+3*H407+2*H406+H405)/10</f>
        <v>275.27750000000003</v>
      </c>
      <c r="AF408" t="str">
        <f ca="1">IF(OR(ROUND(testdata[[#This Row],[Trendline]],4)&lt;&gt;Table3[[#This Row],[Trendline]],ROUND(testdata[[#This Row],[SmPrice]],4)&lt;&gt;Table3[[#This Row],[SmPrice]]),"ERR","")</f>
        <v/>
      </c>
      <c r="AG408" s="3">
        <v>43326</v>
      </c>
      <c r="AH408" s="14">
        <v>30.145199999999999</v>
      </c>
      <c r="AI408" s="34">
        <v>30</v>
      </c>
      <c r="AJ408" s="14">
        <v>272.46519999999998</v>
      </c>
      <c r="AK408" s="14">
        <v>271.98919999999998</v>
      </c>
      <c r="AL408" s="14">
        <v>275.27749999999997</v>
      </c>
      <c r="AN408" s="38">
        <f t="shared" si="19"/>
        <v>0</v>
      </c>
      <c r="AO408" s="38">
        <f t="shared" si="20"/>
        <v>0</v>
      </c>
      <c r="AQ408" s="37">
        <v>43326</v>
      </c>
      <c r="AR408">
        <v>30</v>
      </c>
      <c r="AS408">
        <v>271.98919086021499</v>
      </c>
      <c r="AT408">
        <v>275.27749999999997</v>
      </c>
      <c r="AV408" s="37">
        <v>43326</v>
      </c>
      <c r="AW408">
        <v>30</v>
      </c>
      <c r="AX408">
        <v>271.98919086021499</v>
      </c>
      <c r="AY408">
        <v>275.27749999999997</v>
      </c>
      <c r="BA408" s="38">
        <f>AX408-Table3[[#This Row],[Trendline]]</f>
        <v>-9.13978499283985E-6</v>
      </c>
      <c r="BB408" s="38">
        <f>AY408-Table3[[#This Row],[SmPrice]]</f>
        <v>0</v>
      </c>
    </row>
    <row r="409" spans="1:54" x14ac:dyDescent="0.35">
      <c r="A409" s="6">
        <v>407</v>
      </c>
      <c r="B409" s="3">
        <v>43327</v>
      </c>
      <c r="C409" s="2">
        <v>274.27999999999997</v>
      </c>
      <c r="D409" s="2">
        <v>274.44</v>
      </c>
      <c r="E409" s="2">
        <v>272.13</v>
      </c>
      <c r="F409" s="2">
        <v>273.7</v>
      </c>
      <c r="G409" s="1">
        <v>105964064</v>
      </c>
      <c r="H409" s="30">
        <f>(testdata[[#This Row],[high]]+testdata[[#This Row],[low]])/2</f>
        <v>273.28499999999997</v>
      </c>
      <c r="I409" s="23">
        <f>(4*testdata[[#This Row],[price]]+3*H408+2*H407+H406)/10</f>
        <v>274.35249999999996</v>
      </c>
      <c r="J409" s="9">
        <f>(0.0962*testdata[[#This Row],[smooth]]+0.5769*I407-0.5769*I405-0.0962*I403)*(0.075*$Z408+0.54)</f>
        <v>-2.8513324332203007</v>
      </c>
      <c r="K409" s="14">
        <f t="shared" si="18"/>
        <v>4.7307205934706245</v>
      </c>
      <c r="L409" s="14">
        <f>(0.0962*testdata[[#This Row],[detrender]]+0.5769*J407-0.5769*J405-0.0962*J403)*(0.075*$Z408+0.54)</f>
        <v>-5.5463709890560224</v>
      </c>
      <c r="M409" s="9">
        <f>(0.0962*testdata[[#This Row],[I1]]+0.5769*K407-0.5769*K405-0.0962*K403)*(0.075*$Z408+0.54)</f>
        <v>8.7193318319130366</v>
      </c>
      <c r="N409" s="9">
        <f>(0.0962*testdata[[#This Row],[Q1]]+0.5769*L407-0.5769*L405-0.0962*L403)*(0.075*$Z408+0.54)</f>
        <v>-0.25989755251428881</v>
      </c>
      <c r="O409" s="9">
        <f>testdata[[#This Row],[I1]]-testdata[[#This Row],[JQ]]</f>
        <v>4.9906181459849135</v>
      </c>
      <c r="P409" s="9">
        <f>testdata[[#This Row],[Q1]]+testdata[[#This Row],[jI]]</f>
        <v>3.1729608428570142</v>
      </c>
      <c r="Q409" s="9">
        <f>0.2*testdata[[#This Row],[I2]]+0.8*Q408</f>
        <v>-3.1015607786463684</v>
      </c>
      <c r="R409" s="9">
        <f>0.2*testdata[[#This Row],[Q2]]+0.8*R408</f>
        <v>3.2367626259474376</v>
      </c>
      <c r="S409" s="9">
        <f>testdata[[#This Row],[I2'']]*Q408+testdata[[#This Row],[Q2'']]*R408</f>
        <v>26.422535558717868</v>
      </c>
      <c r="T409" s="9">
        <f>testdata[[#This Row],[I2'']]*R408-testdata[[#This Row],[Q2'']]*Q408</f>
        <v>6.4986442994212741</v>
      </c>
      <c r="U409" s="9">
        <f>0.2*testdata[[#This Row],[Re]]+0.8*U408</f>
        <v>14.881172571518219</v>
      </c>
      <c r="V409" s="9">
        <f>0.2*testdata[[#This Row],[Im]]+0.8*V408</f>
        <v>3.3313294380961218</v>
      </c>
      <c r="W409" s="9">
        <f>IF(AND(testdata[[#This Row],[Re'']]&lt;&gt;0,testdata[[#This Row],[Im'']]&lt;&gt;0),2*PI()/ATAN(testdata[[#This Row],[Im'']]/testdata[[#This Row],[Re'']]),0)</f>
        <v>28.529971750055893</v>
      </c>
      <c r="X409" s="9">
        <f>IF(testdata[[#This Row],[pd-atan]]&gt;1.5*Z408,1.5*Z408,IF(testdata[[#This Row],[pd-atan]]&lt;0.67*Z408,0.67*Z408,testdata[[#This Row],[pd-atan]]))</f>
        <v>28.529971750055893</v>
      </c>
      <c r="Y409" s="9">
        <f>IF(testdata[[#This Row],[pd-limit1]]&lt;6,6,IF(testdata[[#This Row],[pd-limit1]]&gt;50,50,testdata[[#This Row],[pd-limit1]]))</f>
        <v>28.529971750055893</v>
      </c>
      <c r="Z409" s="14">
        <f>0.2*testdata[[#This Row],[pd-limit2]]+0.8*Z408</f>
        <v>29.352375309281438</v>
      </c>
      <c r="AA409" s="14">
        <f>0.33*testdata[[#This Row],[period]]+0.67*AA408</f>
        <v>29.883553130680166</v>
      </c>
      <c r="AB409" s="31">
        <f>TRUNC(testdata[[#This Row],[SmPd]]+0.5,0)</f>
        <v>30</v>
      </c>
      <c r="AC409" s="14">
        <f ca="1">IF(testdata[[#This Row],[PdInt]]&lt;=0,0,AVERAGE(OFFSET(testdata[[#This Row],[price]],0,0,-testdata[[#This Row],[PdInt]],1)))</f>
        <v>272.77766666666668</v>
      </c>
      <c r="AD409" s="14">
        <f ca="1">IF(testdata[[#This Row],[i]]&lt;11,testdata[[#This Row],[price]],(4*testdata[[#This Row],[iTrend]]+3*AC408+2*AC407+AC406)/10)</f>
        <v>272.40264569892469</v>
      </c>
      <c r="AE409" s="14">
        <f>(4*testdata[[#This Row],[price]]+3*H408+2*H407+H406)/10</f>
        <v>274.35249999999996</v>
      </c>
      <c r="AF409" t="str">
        <f ca="1">IF(OR(ROUND(testdata[[#This Row],[Trendline]],4)&lt;&gt;Table3[[#This Row],[Trendline]],ROUND(testdata[[#This Row],[SmPrice]],4)&lt;&gt;Table3[[#This Row],[SmPrice]]),"ERR","")</f>
        <v/>
      </c>
      <c r="AG409" s="3">
        <v>43327</v>
      </c>
      <c r="AH409" s="14">
        <v>29.883600000000001</v>
      </c>
      <c r="AI409" s="34">
        <v>30</v>
      </c>
      <c r="AJ409" s="14">
        <v>272.77769999999998</v>
      </c>
      <c r="AK409" s="14">
        <v>272.40260000000001</v>
      </c>
      <c r="AL409" s="14">
        <v>274.35250000000002</v>
      </c>
      <c r="AN409" s="38">
        <f t="shared" si="19"/>
        <v>0</v>
      </c>
      <c r="AO409" s="38">
        <f t="shared" si="20"/>
        <v>0</v>
      </c>
      <c r="AQ409" s="37">
        <v>43327</v>
      </c>
      <c r="AR409">
        <v>30</v>
      </c>
      <c r="AS409">
        <v>272.402645698924</v>
      </c>
      <c r="AT409">
        <v>274.35250000000002</v>
      </c>
      <c r="AV409" s="37">
        <v>43327</v>
      </c>
      <c r="AW409">
        <v>30</v>
      </c>
      <c r="AX409">
        <v>272.402645698924</v>
      </c>
      <c r="AY409">
        <v>274.35250000000002</v>
      </c>
      <c r="BA409" s="38">
        <f>AX409-Table3[[#This Row],[Trendline]]</f>
        <v>4.5698923997861129E-5</v>
      </c>
      <c r="BB409" s="38">
        <f>AY409-Table3[[#This Row],[SmPrice]]</f>
        <v>0</v>
      </c>
    </row>
    <row r="410" spans="1:54" x14ac:dyDescent="0.35">
      <c r="A410" s="6">
        <v>408</v>
      </c>
      <c r="B410" s="3">
        <v>43328</v>
      </c>
      <c r="C410" s="2">
        <v>275.27</v>
      </c>
      <c r="D410" s="2">
        <v>276.87</v>
      </c>
      <c r="E410" s="2">
        <v>275.23</v>
      </c>
      <c r="F410" s="2">
        <v>275.91000000000003</v>
      </c>
      <c r="G410" s="1">
        <v>72033608</v>
      </c>
      <c r="H410" s="30">
        <f>(testdata[[#This Row],[high]]+testdata[[#This Row],[low]])/2</f>
        <v>276.05</v>
      </c>
      <c r="I410" s="23">
        <f>(4*testdata[[#This Row],[price]]+3*H409+2*H408+H407)/10</f>
        <v>274.93049999999999</v>
      </c>
      <c r="J410" s="9">
        <f>(0.0962*testdata[[#This Row],[smooth]]+0.5769*I408-0.5769*I406-0.0962*I404)*(0.075*$Z409+0.54)</f>
        <v>-2.2725198852307638</v>
      </c>
      <c r="K410" s="14">
        <f t="shared" si="18"/>
        <v>2.4451912331116579</v>
      </c>
      <c r="L410" s="14">
        <f>(0.0962*testdata[[#This Row],[detrender]]+0.5769*J408-0.5769*J406-0.0962*J404)*(0.075*$Z409+0.54)</f>
        <v>-9.861559837957719</v>
      </c>
      <c r="M410" s="9">
        <f>(0.0962*testdata[[#This Row],[I1]]+0.5769*K408-0.5769*K406-0.0962*K404)*(0.075*$Z409+0.54)</f>
        <v>6.726785827623134</v>
      </c>
      <c r="N410" s="9">
        <f>(0.0962*testdata[[#This Row],[Q1]]+0.5769*L408-0.5769*L406-0.0962*L404)*(0.075*$Z409+0.54)</f>
        <v>-16.324886746860226</v>
      </c>
      <c r="O410" s="9">
        <f>testdata[[#This Row],[I1]]-testdata[[#This Row],[JQ]]</f>
        <v>18.770077979971884</v>
      </c>
      <c r="P410" s="9">
        <f>testdata[[#This Row],[Q1]]+testdata[[#This Row],[jI]]</f>
        <v>-3.1347740103345849</v>
      </c>
      <c r="Q410" s="9">
        <f>0.2*testdata[[#This Row],[I2]]+0.8*Q409</f>
        <v>1.2727669730772821</v>
      </c>
      <c r="R410" s="9">
        <f>0.2*testdata[[#This Row],[Q2]]+0.8*R409</f>
        <v>1.9624552986910335</v>
      </c>
      <c r="S410" s="9">
        <f>testdata[[#This Row],[I2'']]*Q409+testdata[[#This Row],[Q2'']]*R409</f>
        <v>2.4044378418426962</v>
      </c>
      <c r="T410" s="9">
        <f>testdata[[#This Row],[I2'']]*R409-testdata[[#This Row],[Q2'']]*Q409</f>
        <v>10.206318954263649</v>
      </c>
      <c r="U410" s="9">
        <f>0.2*testdata[[#This Row],[Re]]+0.8*U409</f>
        <v>12.385825625583115</v>
      </c>
      <c r="V410" s="9">
        <f>0.2*testdata[[#This Row],[Im]]+0.8*V409</f>
        <v>4.7063273413296276</v>
      </c>
      <c r="W410" s="9">
        <f>IF(AND(testdata[[#This Row],[Re'']]&lt;&gt;0,testdata[[#This Row],[Im'']]&lt;&gt;0),2*PI()/ATAN(testdata[[#This Row],[Im'']]/testdata[[#This Row],[Re'']]),0)</f>
        <v>17.303006082203748</v>
      </c>
      <c r="X410" s="9">
        <f>IF(testdata[[#This Row],[pd-atan]]&gt;1.5*Z409,1.5*Z409,IF(testdata[[#This Row],[pd-atan]]&lt;0.67*Z409,0.67*Z409,testdata[[#This Row],[pd-atan]]))</f>
        <v>19.666091457218563</v>
      </c>
      <c r="Y410" s="9">
        <f>IF(testdata[[#This Row],[pd-limit1]]&lt;6,6,IF(testdata[[#This Row],[pd-limit1]]&gt;50,50,testdata[[#This Row],[pd-limit1]]))</f>
        <v>19.666091457218563</v>
      </c>
      <c r="Z410" s="14">
        <f>0.2*testdata[[#This Row],[pd-limit2]]+0.8*Z409</f>
        <v>27.415118538868864</v>
      </c>
      <c r="AA410" s="14">
        <f>0.33*testdata[[#This Row],[period]]+0.67*AA409</f>
        <v>29.06896971538244</v>
      </c>
      <c r="AB410" s="31">
        <f>TRUNC(testdata[[#This Row],[SmPd]]+0.5,0)</f>
        <v>29</v>
      </c>
      <c r="AC410" s="14">
        <f ca="1">IF(testdata[[#This Row],[PdInt]]&lt;=0,0,AVERAGE(OFFSET(testdata[[#This Row],[price]],0,0,-testdata[[#This Row],[PdInt]],1)))</f>
        <v>273.40344827586205</v>
      </c>
      <c r="AD410" s="14">
        <f ca="1">IF(testdata[[#This Row],[i]]&lt;11,testdata[[#This Row],[price]],(4*testdata[[#This Row],[iTrend]]+3*AC409+2*AC408+AC407)/10)</f>
        <v>272.89316264367818</v>
      </c>
      <c r="AE410" s="14">
        <f>(4*testdata[[#This Row],[price]]+3*H409+2*H408+H407)/10</f>
        <v>274.93049999999999</v>
      </c>
      <c r="AF410" t="str">
        <f ca="1">IF(OR(ROUND(testdata[[#This Row],[Trendline]],4)&lt;&gt;Table3[[#This Row],[Trendline]],ROUND(testdata[[#This Row],[SmPrice]],4)&lt;&gt;Table3[[#This Row],[SmPrice]]),"ERR","")</f>
        <v/>
      </c>
      <c r="AG410" s="3">
        <v>43328</v>
      </c>
      <c r="AH410" s="14">
        <v>29.068999999999999</v>
      </c>
      <c r="AI410" s="34">
        <v>29</v>
      </c>
      <c r="AJ410" s="14">
        <v>273.40339999999998</v>
      </c>
      <c r="AK410" s="14">
        <v>272.89319999999998</v>
      </c>
      <c r="AL410" s="14">
        <v>274.93049999999999</v>
      </c>
      <c r="AN410" s="38">
        <f t="shared" si="19"/>
        <v>0</v>
      </c>
      <c r="AO410" s="38">
        <f t="shared" si="20"/>
        <v>0</v>
      </c>
      <c r="AQ410" s="37">
        <v>43328</v>
      </c>
      <c r="AR410">
        <v>29</v>
      </c>
      <c r="AS410">
        <v>272.89316264367801</v>
      </c>
      <c r="AT410">
        <v>274.93049999999999</v>
      </c>
      <c r="AV410" s="37">
        <v>43328</v>
      </c>
      <c r="AW410">
        <v>29</v>
      </c>
      <c r="AX410">
        <v>272.89316264367801</v>
      </c>
      <c r="AY410">
        <v>274.93049999999999</v>
      </c>
      <c r="BA410" s="38">
        <f>AX410-Table3[[#This Row],[Trendline]]</f>
        <v>-3.7356321968218253E-5</v>
      </c>
      <c r="BB410" s="38">
        <f>AY410-Table3[[#This Row],[SmPrice]]</f>
        <v>0</v>
      </c>
    </row>
    <row r="411" spans="1:54" x14ac:dyDescent="0.35">
      <c r="A411" s="6">
        <v>409</v>
      </c>
      <c r="B411" s="3">
        <v>43329</v>
      </c>
      <c r="C411" s="2">
        <v>275.69</v>
      </c>
      <c r="D411" s="2">
        <v>277.37</v>
      </c>
      <c r="E411" s="2">
        <v>275.24</v>
      </c>
      <c r="F411" s="2">
        <v>276.89</v>
      </c>
      <c r="G411" s="1">
        <v>67555760</v>
      </c>
      <c r="H411" s="30">
        <f>(testdata[[#This Row],[high]]+testdata[[#This Row],[low]])/2</f>
        <v>276.30500000000001</v>
      </c>
      <c r="I411" s="23">
        <f>(4*testdata[[#This Row],[price]]+3*H410+2*H409+H408)/10</f>
        <v>275.51400000000001</v>
      </c>
      <c r="J411" s="9">
        <f>(0.0962*testdata[[#This Row],[smooth]]+0.5769*I409-0.5769*I407-0.0962*I405)*(0.075*$Z410+0.54)</f>
        <v>-2.3391363658816209</v>
      </c>
      <c r="K411" s="14">
        <f t="shared" si="18"/>
        <v>-0.48764348772462723</v>
      </c>
      <c r="L411" s="14">
        <f>(0.0962*testdata[[#This Row],[detrender]]+0.5769*J409-0.5769*J407-0.0962*J405)*(0.075*$Z410+0.54)</f>
        <v>-9.8153137888923343</v>
      </c>
      <c r="M411" s="9">
        <f>(0.0962*testdata[[#This Row],[I1]]+0.5769*K409-0.5769*K407-0.0962*K405)*(0.075*$Z410+0.54)</f>
        <v>1.3740020617262523</v>
      </c>
      <c r="N411" s="9">
        <f>(0.0962*testdata[[#This Row],[Q1]]+0.5769*L409-0.5769*L407-0.0962*L405)*(0.075*$Z410+0.54)</f>
        <v>-23.045626670297551</v>
      </c>
      <c r="O411" s="9">
        <f>testdata[[#This Row],[I1]]-testdata[[#This Row],[JQ]]</f>
        <v>22.557983182572922</v>
      </c>
      <c r="P411" s="9">
        <f>testdata[[#This Row],[Q1]]+testdata[[#This Row],[jI]]</f>
        <v>-8.4413117271660827</v>
      </c>
      <c r="Q411" s="9">
        <f>0.2*testdata[[#This Row],[I2]]+0.8*Q410</f>
        <v>5.5298102149764112</v>
      </c>
      <c r="R411" s="9">
        <f>0.2*testdata[[#This Row],[Q2]]+0.8*R410</f>
        <v>-0.11829810648038963</v>
      </c>
      <c r="S411" s="9">
        <f>testdata[[#This Row],[I2'']]*Q410+testdata[[#This Row],[Q2'']]*R410</f>
        <v>6.8060050631198052</v>
      </c>
      <c r="T411" s="9">
        <f>testdata[[#This Row],[I2'']]*R410-testdata[[#This Row],[Q2'']]*Q410</f>
        <v>11.002571280042082</v>
      </c>
      <c r="U411" s="9">
        <f>0.2*testdata[[#This Row],[Re]]+0.8*U410</f>
        <v>11.269861513090454</v>
      </c>
      <c r="V411" s="9">
        <f>0.2*testdata[[#This Row],[Im]]+0.8*V410</f>
        <v>5.9655761290721188</v>
      </c>
      <c r="W411" s="9">
        <f>IF(AND(testdata[[#This Row],[Re'']]&lt;&gt;0,testdata[[#This Row],[Im'']]&lt;&gt;0),2*PI()/ATAN(testdata[[#This Row],[Im'']]/testdata[[#This Row],[Re'']]),0)</f>
        <v>12.905996583550545</v>
      </c>
      <c r="X411" s="9">
        <f>IF(testdata[[#This Row],[pd-atan]]&gt;1.5*Z410,1.5*Z410,IF(testdata[[#This Row],[pd-atan]]&lt;0.67*Z410,0.67*Z410,testdata[[#This Row],[pd-atan]]))</f>
        <v>18.368129421042141</v>
      </c>
      <c r="Y411" s="9">
        <f>IF(testdata[[#This Row],[pd-limit1]]&lt;6,6,IF(testdata[[#This Row],[pd-limit1]]&gt;50,50,testdata[[#This Row],[pd-limit1]]))</f>
        <v>18.368129421042141</v>
      </c>
      <c r="Z411" s="14">
        <f>0.2*testdata[[#This Row],[pd-limit2]]+0.8*Z410</f>
        <v>25.605720715303519</v>
      </c>
      <c r="AA411" s="14">
        <f>0.33*testdata[[#This Row],[period]]+0.67*AA410</f>
        <v>27.926097545356399</v>
      </c>
      <c r="AB411" s="31">
        <f>TRUNC(testdata[[#This Row],[SmPd]]+0.5,0)</f>
        <v>28</v>
      </c>
      <c r="AC411" s="14">
        <f ca="1">IF(testdata[[#This Row],[PdInt]]&lt;=0,0,AVERAGE(OFFSET(testdata[[#This Row],[price]],0,0,-testdata[[#This Row],[PdInt]],1)))</f>
        <v>273.75589285714284</v>
      </c>
      <c r="AD411" s="14">
        <f ca="1">IF(testdata[[#This Row],[i]]&lt;11,testdata[[#This Row],[price]],(4*testdata[[#This Row],[iTrend]]+3*AC410+2*AC409+AC408)/10)</f>
        <v>273.32544162561578</v>
      </c>
      <c r="AE411" s="14">
        <f>(4*testdata[[#This Row],[price]]+3*H410+2*H409+H408)/10</f>
        <v>275.51400000000001</v>
      </c>
      <c r="AF411" t="str">
        <f ca="1">IF(OR(ROUND(testdata[[#This Row],[Trendline]],4)&lt;&gt;Table3[[#This Row],[Trendline]],ROUND(testdata[[#This Row],[SmPrice]],4)&lt;&gt;Table3[[#This Row],[SmPrice]]),"ERR","")</f>
        <v/>
      </c>
      <c r="AG411" s="3">
        <v>43329</v>
      </c>
      <c r="AH411" s="14">
        <v>27.926100000000002</v>
      </c>
      <c r="AI411" s="34">
        <v>28</v>
      </c>
      <c r="AJ411" s="14">
        <v>273.7559</v>
      </c>
      <c r="AK411" s="14">
        <v>273.3254</v>
      </c>
      <c r="AL411" s="14">
        <v>275.51400000000001</v>
      </c>
      <c r="AN411" s="38">
        <f t="shared" si="19"/>
        <v>0</v>
      </c>
      <c r="AO411" s="38">
        <f t="shared" si="20"/>
        <v>0</v>
      </c>
      <c r="AQ411" s="37">
        <v>43329</v>
      </c>
      <c r="AR411">
        <v>28</v>
      </c>
      <c r="AS411">
        <v>273.32544162561499</v>
      </c>
      <c r="AT411">
        <v>275.51400000000001</v>
      </c>
      <c r="AV411" s="37">
        <v>43329</v>
      </c>
      <c r="AW411">
        <v>28</v>
      </c>
      <c r="AX411">
        <v>273.32544162561499</v>
      </c>
      <c r="AY411">
        <v>275.51400000000001</v>
      </c>
      <c r="BA411" s="38">
        <f>AX411-Table3[[#This Row],[Trendline]]</f>
        <v>4.1625614983331616E-5</v>
      </c>
      <c r="BB411" s="38">
        <f>AY411-Table3[[#This Row],[SmPrice]]</f>
        <v>0</v>
      </c>
    </row>
    <row r="412" spans="1:54" x14ac:dyDescent="0.35">
      <c r="A412" s="6">
        <v>410</v>
      </c>
      <c r="B412" s="3">
        <v>43332</v>
      </c>
      <c r="C412" s="2">
        <v>277.38</v>
      </c>
      <c r="D412" s="2">
        <v>277.77</v>
      </c>
      <c r="E412" s="2">
        <v>276.89</v>
      </c>
      <c r="F412" s="2">
        <v>277.48</v>
      </c>
      <c r="G412" s="1">
        <v>40982744</v>
      </c>
      <c r="H412" s="30">
        <f>(testdata[[#This Row],[high]]+testdata[[#This Row],[low]])/2</f>
        <v>277.33</v>
      </c>
      <c r="I412" s="23">
        <f>(4*testdata[[#This Row],[price]]+3*H411+2*H410+H409)/10</f>
        <v>276.36199999999997</v>
      </c>
      <c r="J412" s="9">
        <f>(0.0962*testdata[[#This Row],[smooth]]+0.5769*I410-0.5769*I408-0.0962*I406)*(0.075*$Z411+0.54)</f>
        <v>-0.50200699880265032</v>
      </c>
      <c r="K412" s="14">
        <f t="shared" si="18"/>
        <v>-2.8513324332203007</v>
      </c>
      <c r="L412" s="14">
        <f>(0.0962*testdata[[#This Row],[detrender]]+0.5769*J410-0.5769*J408-0.0962*J406)*(0.075*$Z411+0.54)</f>
        <v>-3.7720434018268292</v>
      </c>
      <c r="M412" s="9">
        <f>(0.0962*testdata[[#This Row],[I1]]+0.5769*K410-0.5769*K408-0.0962*K406)*(0.075*$Z411+0.54)</f>
        <v>-4.9500194642094826</v>
      </c>
      <c r="N412" s="9">
        <f>(0.0962*testdata[[#This Row],[Q1]]+0.5769*L410-0.5769*L408-0.0962*L406)*(0.075*$Z411+0.54)</f>
        <v>-19.251282859667594</v>
      </c>
      <c r="O412" s="9">
        <f>testdata[[#This Row],[I1]]-testdata[[#This Row],[JQ]]</f>
        <v>16.399950426447294</v>
      </c>
      <c r="P412" s="9">
        <f>testdata[[#This Row],[Q1]]+testdata[[#This Row],[jI]]</f>
        <v>-8.7220628660363122</v>
      </c>
      <c r="Q412" s="9">
        <f>0.2*testdata[[#This Row],[I2]]+0.8*Q411</f>
        <v>7.7038382572705881</v>
      </c>
      <c r="R412" s="9">
        <f>0.2*testdata[[#This Row],[Q2]]+0.8*R411</f>
        <v>-1.8390510583915742</v>
      </c>
      <c r="S412" s="9">
        <f>testdata[[#This Row],[I2'']]*Q411+testdata[[#This Row],[Q2'']]*R411</f>
        <v>42.818319747509449</v>
      </c>
      <c r="T412" s="9">
        <f>testdata[[#This Row],[I2'']]*R411-testdata[[#This Row],[Q2'']]*Q411</f>
        <v>9.2582538500906129</v>
      </c>
      <c r="U412" s="9">
        <f>0.2*testdata[[#This Row],[Re]]+0.8*U411</f>
        <v>17.579553159974253</v>
      </c>
      <c r="V412" s="9">
        <f>0.2*testdata[[#This Row],[Im]]+0.8*V411</f>
        <v>6.6241116732758174</v>
      </c>
      <c r="W412" s="9">
        <f>IF(AND(testdata[[#This Row],[Re'']]&lt;&gt;0,testdata[[#This Row],[Im'']]&lt;&gt;0),2*PI()/ATAN(testdata[[#This Row],[Im'']]/testdata[[#This Row],[Re'']]),0)</f>
        <v>17.436118216161603</v>
      </c>
      <c r="X412" s="9">
        <f>IF(testdata[[#This Row],[pd-atan]]&gt;1.5*Z411,1.5*Z411,IF(testdata[[#This Row],[pd-atan]]&lt;0.67*Z411,0.67*Z411,testdata[[#This Row],[pd-atan]]))</f>
        <v>17.436118216161603</v>
      </c>
      <c r="Y412" s="9">
        <f>IF(testdata[[#This Row],[pd-limit1]]&lt;6,6,IF(testdata[[#This Row],[pd-limit1]]&gt;50,50,testdata[[#This Row],[pd-limit1]]))</f>
        <v>17.436118216161603</v>
      </c>
      <c r="Z412" s="14">
        <f>0.2*testdata[[#This Row],[pd-limit2]]+0.8*Z411</f>
        <v>23.971800215475135</v>
      </c>
      <c r="AA412" s="14">
        <f>0.33*testdata[[#This Row],[period]]+0.67*AA411</f>
        <v>26.62117942649558</v>
      </c>
      <c r="AB412" s="31">
        <f>TRUNC(testdata[[#This Row],[SmPd]]+0.5,0)</f>
        <v>27</v>
      </c>
      <c r="AC412" s="14">
        <f ca="1">IF(testdata[[#This Row],[PdInt]]&lt;=0,0,AVERAGE(OFFSET(testdata[[#This Row],[price]],0,0,-testdata[[#This Row],[PdInt]],1)))</f>
        <v>274.17166666666668</v>
      </c>
      <c r="AD412" s="14">
        <f ca="1">IF(testdata[[#This Row],[i]]&lt;11,testdata[[#This Row],[price]],(4*testdata[[#This Row],[iTrend]]+3*AC411+2*AC410+AC409)/10)</f>
        <v>273.75389084564864</v>
      </c>
      <c r="AE412" s="14">
        <f>(4*testdata[[#This Row],[price]]+3*H411+2*H410+H409)/10</f>
        <v>276.36199999999997</v>
      </c>
      <c r="AF412" t="str">
        <f ca="1">IF(OR(ROUND(testdata[[#This Row],[Trendline]],4)&lt;&gt;Table3[[#This Row],[Trendline]],ROUND(testdata[[#This Row],[SmPrice]],4)&lt;&gt;Table3[[#This Row],[SmPrice]]),"ERR","")</f>
        <v/>
      </c>
      <c r="AG412" s="3">
        <v>43332</v>
      </c>
      <c r="AH412" s="14">
        <v>26.621200000000002</v>
      </c>
      <c r="AI412" s="34">
        <v>27</v>
      </c>
      <c r="AJ412" s="14">
        <v>274.17169999999999</v>
      </c>
      <c r="AK412" s="14">
        <v>273.75389999999999</v>
      </c>
      <c r="AL412" s="14">
        <v>276.36200000000002</v>
      </c>
      <c r="AN412" s="38">
        <f t="shared" si="19"/>
        <v>0</v>
      </c>
      <c r="AO412" s="38">
        <f t="shared" si="20"/>
        <v>0</v>
      </c>
      <c r="AQ412" s="37">
        <v>43332</v>
      </c>
      <c r="AR412">
        <v>27</v>
      </c>
      <c r="AS412">
        <v>273.75389084564802</v>
      </c>
      <c r="AT412">
        <v>276.361999999999</v>
      </c>
      <c r="AV412" s="37">
        <v>43332</v>
      </c>
      <c r="AW412">
        <v>27</v>
      </c>
      <c r="AX412">
        <v>273.75389084564802</v>
      </c>
      <c r="AY412">
        <v>276.361999999999</v>
      </c>
      <c r="BA412" s="38">
        <f>AX412-Table3[[#This Row],[Trendline]]</f>
        <v>-9.154351971574215E-6</v>
      </c>
      <c r="BB412" s="38">
        <f>AY412-Table3[[#This Row],[SmPrice]]</f>
        <v>-1.0231815394945443E-12</v>
      </c>
    </row>
    <row r="413" spans="1:54" x14ac:dyDescent="0.35">
      <c r="A413" s="6">
        <v>411</v>
      </c>
      <c r="B413" s="3">
        <v>43333</v>
      </c>
      <c r="C413" s="2">
        <v>278.04000000000002</v>
      </c>
      <c r="D413" s="2">
        <v>279.07</v>
      </c>
      <c r="E413" s="2">
        <v>277.52</v>
      </c>
      <c r="F413" s="2">
        <v>278.13</v>
      </c>
      <c r="G413" s="1">
        <v>69258080</v>
      </c>
      <c r="H413" s="30">
        <f>(testdata[[#This Row],[high]]+testdata[[#This Row],[low]])/2</f>
        <v>278.29499999999996</v>
      </c>
      <c r="I413" s="23">
        <f>(4*testdata[[#This Row],[price]]+3*H412+2*H411+H410)/10</f>
        <v>277.38299999999998</v>
      </c>
      <c r="J413" s="9">
        <f>(0.0962*testdata[[#This Row],[smooth]]+0.5769*I411-0.5769*I409-0.0962*I407)*(0.075*$Z412+0.54)</f>
        <v>1.9584412515850655</v>
      </c>
      <c r="K413" s="14">
        <f t="shared" si="18"/>
        <v>-2.2725198852307638</v>
      </c>
      <c r="L413" s="14">
        <f>(0.0962*testdata[[#This Row],[detrender]]+0.5769*J411-0.5769*J409-0.0962*J407)*(0.075*$Z412+0.54)</f>
        <v>0.58133980440580857</v>
      </c>
      <c r="M413" s="9">
        <f>(0.0962*testdata[[#This Row],[I1]]+0.5769*K411-0.5769*K409-0.0962*K407)*(0.075*$Z412+0.54)</f>
        <v>-8.40992057234965</v>
      </c>
      <c r="N413" s="9">
        <f>(0.0962*testdata[[#This Row],[Q1]]+0.5769*L411-0.5769*L409-0.0962*L407)*(0.075*$Z412+0.54)</f>
        <v>-7.2285264049779556</v>
      </c>
      <c r="O413" s="9">
        <f>testdata[[#This Row],[I1]]-testdata[[#This Row],[JQ]]</f>
        <v>4.9560065197471914</v>
      </c>
      <c r="P413" s="9">
        <f>testdata[[#This Row],[Q1]]+testdata[[#This Row],[jI]]</f>
        <v>-7.8285807679438415</v>
      </c>
      <c r="Q413" s="9">
        <f>0.2*testdata[[#This Row],[I2]]+0.8*Q412</f>
        <v>7.1542719097659093</v>
      </c>
      <c r="R413" s="9">
        <f>0.2*testdata[[#This Row],[Q2]]+0.8*R412</f>
        <v>-3.0369570003020279</v>
      </c>
      <c r="S413" s="9">
        <f>testdata[[#This Row],[I2'']]*Q412+testdata[[#This Row],[Q2'']]*R412</f>
        <v>60.70047262706607</v>
      </c>
      <c r="T413" s="9">
        <f>testdata[[#This Row],[I2'']]*R412-testdata[[#This Row],[Q2'']]*Q412</f>
        <v>10.239154196936381</v>
      </c>
      <c r="U413" s="9">
        <f>0.2*testdata[[#This Row],[Re]]+0.8*U412</f>
        <v>26.203737053392619</v>
      </c>
      <c r="V413" s="9">
        <f>0.2*testdata[[#This Row],[Im]]+0.8*V412</f>
        <v>7.3471201780079305</v>
      </c>
      <c r="W413" s="9">
        <f>IF(AND(testdata[[#This Row],[Re'']]&lt;&gt;0,testdata[[#This Row],[Im'']]&lt;&gt;0),2*PI()/ATAN(testdata[[#This Row],[Im'']]/testdata[[#This Row],[Re'']]),0)</f>
        <v>22.984587020505884</v>
      </c>
      <c r="X413" s="9">
        <f>IF(testdata[[#This Row],[pd-atan]]&gt;1.5*Z412,1.5*Z412,IF(testdata[[#This Row],[pd-atan]]&lt;0.67*Z412,0.67*Z412,testdata[[#This Row],[pd-atan]]))</f>
        <v>22.984587020505884</v>
      </c>
      <c r="Y413" s="9">
        <f>IF(testdata[[#This Row],[pd-limit1]]&lt;6,6,IF(testdata[[#This Row],[pd-limit1]]&gt;50,50,testdata[[#This Row],[pd-limit1]]))</f>
        <v>22.984587020505884</v>
      </c>
      <c r="Z413" s="14">
        <f>0.2*testdata[[#This Row],[pd-limit2]]+0.8*Z412</f>
        <v>23.774357576481286</v>
      </c>
      <c r="AA413" s="14">
        <f>0.33*testdata[[#This Row],[period]]+0.67*AA412</f>
        <v>25.681728215990866</v>
      </c>
      <c r="AB413" s="31">
        <f>TRUNC(testdata[[#This Row],[SmPd]]+0.5,0)</f>
        <v>26</v>
      </c>
      <c r="AC413" s="14">
        <f ca="1">IF(testdata[[#This Row],[PdInt]]&lt;=0,0,AVERAGE(OFFSET(testdata[[#This Row],[price]],0,0,-testdata[[#This Row],[PdInt]],1)))</f>
        <v>274.55134615384617</v>
      </c>
      <c r="AD413" s="14">
        <f ca="1">IF(testdata[[#This Row],[i]]&lt;11,testdata[[#This Row],[price]],(4*testdata[[#This Row],[iTrend]]+3*AC412+2*AC411+AC410)/10)</f>
        <v>274.16356186055322</v>
      </c>
      <c r="AE413" s="14">
        <f>(4*testdata[[#This Row],[price]]+3*H412+2*H411+H410)/10</f>
        <v>277.38299999999998</v>
      </c>
      <c r="AF413" t="str">
        <f ca="1">IF(OR(ROUND(testdata[[#This Row],[Trendline]],4)&lt;&gt;Table3[[#This Row],[Trendline]],ROUND(testdata[[#This Row],[SmPrice]],4)&lt;&gt;Table3[[#This Row],[SmPrice]]),"ERR","")</f>
        <v/>
      </c>
      <c r="AG413" s="3">
        <v>43333</v>
      </c>
      <c r="AH413" s="14">
        <v>25.681699999999999</v>
      </c>
      <c r="AI413" s="34">
        <v>26</v>
      </c>
      <c r="AJ413" s="14">
        <v>274.55130000000003</v>
      </c>
      <c r="AK413" s="14">
        <v>274.16359999999997</v>
      </c>
      <c r="AL413" s="14">
        <v>277.38299999999998</v>
      </c>
      <c r="AN413" s="38">
        <f t="shared" si="19"/>
        <v>0</v>
      </c>
      <c r="AO413" s="38">
        <f t="shared" si="20"/>
        <v>0</v>
      </c>
      <c r="AQ413" s="37">
        <v>43333</v>
      </c>
      <c r="AR413">
        <v>26</v>
      </c>
      <c r="AS413">
        <v>274.16356186055299</v>
      </c>
      <c r="AT413">
        <v>277.38299999999998</v>
      </c>
      <c r="AV413" s="37">
        <v>43333</v>
      </c>
      <c r="AW413">
        <v>26</v>
      </c>
      <c r="AX413">
        <v>274.16356186055299</v>
      </c>
      <c r="AY413">
        <v>277.38299999999998</v>
      </c>
      <c r="BA413" s="38">
        <f>AX413-Table3[[#This Row],[Trendline]]</f>
        <v>-3.8139446985496761E-5</v>
      </c>
      <c r="BB413" s="38">
        <f>AY413-Table3[[#This Row],[SmPrice]]</f>
        <v>0</v>
      </c>
    </row>
    <row r="414" spans="1:54" x14ac:dyDescent="0.35">
      <c r="A414" s="6">
        <v>412</v>
      </c>
      <c r="B414" s="3">
        <v>43334</v>
      </c>
      <c r="C414" s="2">
        <v>277.68</v>
      </c>
      <c r="D414" s="2">
        <v>278.54000000000002</v>
      </c>
      <c r="E414" s="2">
        <v>277.39</v>
      </c>
      <c r="F414" s="2">
        <v>277.95999999999998</v>
      </c>
      <c r="G414" s="1">
        <v>46321688</v>
      </c>
      <c r="H414" s="30">
        <f>(testdata[[#This Row],[high]]+testdata[[#This Row],[low]])/2</f>
        <v>277.96500000000003</v>
      </c>
      <c r="I414" s="23">
        <f>(4*testdata[[#This Row],[price]]+3*H413+2*H412+H411)/10</f>
        <v>277.77099999999996</v>
      </c>
      <c r="J414" s="9">
        <f>(0.0962*testdata[[#This Row],[smooth]]+0.5769*I412-0.5769*I410-0.0962*I408)*(0.075*$Z413+0.54)</f>
        <v>2.475719342885744</v>
      </c>
      <c r="K414" s="14">
        <f t="shared" si="18"/>
        <v>-2.3391363658816209</v>
      </c>
      <c r="L414" s="14">
        <f>(0.0962*testdata[[#This Row],[detrender]]+0.5769*J412-0.5769*J410-0.0962*J408)*(0.075*$Z413+0.54)</f>
        <v>3.0350635962770891</v>
      </c>
      <c r="M414" s="9">
        <f>(0.0962*testdata[[#This Row],[I1]]+0.5769*K412-0.5769*K410-0.0962*K408)*(0.075*$Z413+0.54)</f>
        <v>-8.7829553055302991</v>
      </c>
      <c r="N414" s="9">
        <f>(0.0962*testdata[[#This Row],[Q1]]+0.5769*L412-0.5769*L410-0.0962*L408)*(0.075*$Z413+0.54)</f>
        <v>8.5145138757522432</v>
      </c>
      <c r="O414" s="9">
        <f>testdata[[#This Row],[I1]]-testdata[[#This Row],[JQ]]</f>
        <v>-10.853650241633865</v>
      </c>
      <c r="P414" s="9">
        <f>testdata[[#This Row],[Q1]]+testdata[[#This Row],[jI]]</f>
        <v>-5.74789170925321</v>
      </c>
      <c r="Q414" s="9">
        <f>0.2*testdata[[#This Row],[I2]]+0.8*Q413</f>
        <v>3.5526874794859551</v>
      </c>
      <c r="R414" s="9">
        <f>0.2*testdata[[#This Row],[Q2]]+0.8*R413</f>
        <v>-3.5791439420922644</v>
      </c>
      <c r="S414" s="9">
        <f>testdata[[#This Row],[I2'']]*Q413+testdata[[#This Row],[Q2'']]*R413</f>
        <v>36.286598488689116</v>
      </c>
      <c r="T414" s="9">
        <f>testdata[[#This Row],[I2'']]*R413-testdata[[#This Row],[Q2'']]*Q413</f>
        <v>14.81680985520927</v>
      </c>
      <c r="U414" s="9">
        <f>0.2*testdata[[#This Row],[Re]]+0.8*U413</f>
        <v>28.220309340451919</v>
      </c>
      <c r="V414" s="9">
        <f>0.2*testdata[[#This Row],[Im]]+0.8*V413</f>
        <v>8.8410581134481987</v>
      </c>
      <c r="W414" s="9">
        <f>IF(AND(testdata[[#This Row],[Re'']]&lt;&gt;0,testdata[[#This Row],[Im'']]&lt;&gt;0),2*PI()/ATAN(testdata[[#This Row],[Im'']]/testdata[[#This Row],[Re'']]),0)</f>
        <v>20.69548405301293</v>
      </c>
      <c r="X414" s="9">
        <f>IF(testdata[[#This Row],[pd-atan]]&gt;1.5*Z413,1.5*Z413,IF(testdata[[#This Row],[pd-atan]]&lt;0.67*Z413,0.67*Z413,testdata[[#This Row],[pd-atan]]))</f>
        <v>20.69548405301293</v>
      </c>
      <c r="Y414" s="9">
        <f>IF(testdata[[#This Row],[pd-limit1]]&lt;6,6,IF(testdata[[#This Row],[pd-limit1]]&gt;50,50,testdata[[#This Row],[pd-limit1]]))</f>
        <v>20.69548405301293</v>
      </c>
      <c r="Z414" s="14">
        <f>0.2*testdata[[#This Row],[pd-limit2]]+0.8*Z413</f>
        <v>23.158582871787615</v>
      </c>
      <c r="AA414" s="14">
        <f>0.33*testdata[[#This Row],[period]]+0.67*AA413</f>
        <v>24.849090252403798</v>
      </c>
      <c r="AB414" s="31">
        <f>TRUNC(testdata[[#This Row],[SmPd]]+0.5,0)</f>
        <v>25</v>
      </c>
      <c r="AC414" s="14">
        <f ca="1">IF(testdata[[#This Row],[PdInt]]&lt;=0,0,AVERAGE(OFFSET(testdata[[#This Row],[price]],0,0,-testdata[[#This Row],[PdInt]],1)))</f>
        <v>274.88340000000005</v>
      </c>
      <c r="AD414" s="14">
        <f ca="1">IF(testdata[[#This Row],[i]]&lt;11,testdata[[#This Row],[price]],(4*testdata[[#This Row],[iTrend]]+3*AC413+2*AC412+AC411)/10)</f>
        <v>274.52868646520153</v>
      </c>
      <c r="AE414" s="14">
        <f>(4*testdata[[#This Row],[price]]+3*H413+2*H412+H411)/10</f>
        <v>277.77099999999996</v>
      </c>
      <c r="AF414" t="str">
        <f ca="1">IF(OR(ROUND(testdata[[#This Row],[Trendline]],4)&lt;&gt;Table3[[#This Row],[Trendline]],ROUND(testdata[[#This Row],[SmPrice]],4)&lt;&gt;Table3[[#This Row],[SmPrice]]),"ERR","")</f>
        <v/>
      </c>
      <c r="AG414" s="3">
        <v>43334</v>
      </c>
      <c r="AH414" s="14">
        <v>24.8491</v>
      </c>
      <c r="AI414" s="34">
        <v>25</v>
      </c>
      <c r="AJ414" s="14">
        <v>274.88339999999999</v>
      </c>
      <c r="AK414" s="14">
        <v>274.52870000000001</v>
      </c>
      <c r="AL414" s="14">
        <v>277.77100000000002</v>
      </c>
      <c r="AN414" s="38">
        <f t="shared" si="19"/>
        <v>0</v>
      </c>
      <c r="AO414" s="38">
        <f t="shared" si="20"/>
        <v>0</v>
      </c>
      <c r="AQ414" s="37">
        <v>43334</v>
      </c>
      <c r="AR414">
        <v>25</v>
      </c>
      <c r="AS414">
        <v>274.52868646520102</v>
      </c>
      <c r="AT414">
        <v>277.77099999999899</v>
      </c>
      <c r="AV414" s="37">
        <v>43334</v>
      </c>
      <c r="AW414">
        <v>25</v>
      </c>
      <c r="AX414">
        <v>274.52868646520102</v>
      </c>
      <c r="AY414">
        <v>277.77099999999899</v>
      </c>
      <c r="BA414" s="38">
        <f>AX414-Table3[[#This Row],[Trendline]]</f>
        <v>-1.3534798995351593E-5</v>
      </c>
      <c r="BB414" s="38">
        <f>AY414-Table3[[#This Row],[SmPrice]]</f>
        <v>-1.0231815394945443E-12</v>
      </c>
    </row>
    <row r="415" spans="1:54" x14ac:dyDescent="0.35">
      <c r="A415" s="6">
        <v>413</v>
      </c>
      <c r="B415" s="3">
        <v>43335</v>
      </c>
      <c r="C415" s="2">
        <v>277.77</v>
      </c>
      <c r="D415" s="2">
        <v>278.70999999999998</v>
      </c>
      <c r="E415" s="2">
        <v>277.24</v>
      </c>
      <c r="F415" s="2">
        <v>277.58999999999997</v>
      </c>
      <c r="G415" s="1">
        <v>50657548</v>
      </c>
      <c r="H415" s="30">
        <f>(testdata[[#This Row],[high]]+testdata[[#This Row],[low]])/2</f>
        <v>277.97500000000002</v>
      </c>
      <c r="I415" s="23">
        <f>(4*testdata[[#This Row],[price]]+3*H414+2*H413+H412)/10</f>
        <v>277.97149999999999</v>
      </c>
      <c r="J415" s="9">
        <f>(0.0962*testdata[[#This Row],[smooth]]+0.5769*I413-0.5769*I411-0.0962*I409)*(0.075*$Z414+0.54)</f>
        <v>3.2477017686977661</v>
      </c>
      <c r="K415" s="14">
        <f t="shared" si="18"/>
        <v>-0.50200699880265032</v>
      </c>
      <c r="L415" s="14">
        <f>(0.0962*testdata[[#This Row],[detrender]]+0.5769*J413-0.5769*J411-0.0962*J409)*(0.075*$Z414+0.54)</f>
        <v>6.98095526100456</v>
      </c>
      <c r="M415" s="9">
        <f>(0.0962*testdata[[#This Row],[I1]]+0.5769*K413-0.5769*K411-0.0962*K409)*(0.075*$Z414+0.54)</f>
        <v>-3.4906683868987511</v>
      </c>
      <c r="N415" s="9">
        <f>(0.0962*testdata[[#This Row],[Q1]]+0.5769*L413-0.5769*L411-0.0962*L409)*(0.075*$Z414+0.54)</f>
        <v>16.400370356183199</v>
      </c>
      <c r="O415" s="9">
        <f>testdata[[#This Row],[I1]]-testdata[[#This Row],[JQ]]</f>
        <v>-16.902377354985848</v>
      </c>
      <c r="P415" s="9">
        <f>testdata[[#This Row],[Q1]]+testdata[[#This Row],[jI]]</f>
        <v>3.4902868741058088</v>
      </c>
      <c r="Q415" s="9">
        <f>0.2*testdata[[#This Row],[I2]]+0.8*Q414</f>
        <v>-0.53832548740840558</v>
      </c>
      <c r="R415" s="9">
        <f>0.2*testdata[[#This Row],[Q2]]+0.8*R414</f>
        <v>-2.1652577788526495</v>
      </c>
      <c r="S415" s="9">
        <f>testdata[[#This Row],[I2'']]*Q414+testdata[[#This Row],[Q2'']]*R414</f>
        <v>5.8372670432445952</v>
      </c>
      <c r="T415" s="9">
        <f>testdata[[#This Row],[I2'']]*R414-testdata[[#This Row],[Q2'']]*Q414</f>
        <v>9.6192286079210376</v>
      </c>
      <c r="U415" s="9">
        <f>0.2*testdata[[#This Row],[Re]]+0.8*U414</f>
        <v>23.743700881010454</v>
      </c>
      <c r="V415" s="9">
        <f>0.2*testdata[[#This Row],[Im]]+0.8*V414</f>
        <v>8.9966922123427668</v>
      </c>
      <c r="W415" s="9">
        <f>IF(AND(testdata[[#This Row],[Re'']]&lt;&gt;0,testdata[[#This Row],[Im'']]&lt;&gt;0),2*PI()/ATAN(testdata[[#This Row],[Im'']]/testdata[[#This Row],[Re'']]),0)</f>
        <v>17.347618161248917</v>
      </c>
      <c r="X415" s="9">
        <f>IF(testdata[[#This Row],[pd-atan]]&gt;1.5*Z414,1.5*Z414,IF(testdata[[#This Row],[pd-atan]]&lt;0.67*Z414,0.67*Z414,testdata[[#This Row],[pd-atan]]))</f>
        <v>17.347618161248917</v>
      </c>
      <c r="Y415" s="9">
        <f>IF(testdata[[#This Row],[pd-limit1]]&lt;6,6,IF(testdata[[#This Row],[pd-limit1]]&gt;50,50,testdata[[#This Row],[pd-limit1]]))</f>
        <v>17.347618161248917</v>
      </c>
      <c r="Z415" s="14">
        <f>0.2*testdata[[#This Row],[pd-limit2]]+0.8*Z414</f>
        <v>21.996389929679879</v>
      </c>
      <c r="AA415" s="14">
        <f>0.33*testdata[[#This Row],[period]]+0.67*AA414</f>
        <v>23.907699145904903</v>
      </c>
      <c r="AB415" s="31">
        <f>TRUNC(testdata[[#This Row],[SmPd]]+0.5,0)</f>
        <v>24</v>
      </c>
      <c r="AC415" s="14">
        <f ca="1">IF(testdata[[#This Row],[PdInt]]&lt;=0,0,AVERAGE(OFFSET(testdata[[#This Row],[price]],0,0,-testdata[[#This Row],[PdInt]],1)))</f>
        <v>275.25125000000008</v>
      </c>
      <c r="AD415" s="14">
        <f ca="1">IF(testdata[[#This Row],[i]]&lt;11,testdata[[#This Row],[price]],(4*testdata[[#This Row],[iTrend]]+3*AC414+2*AC413+AC412)/10)</f>
        <v>274.89295589743597</v>
      </c>
      <c r="AE415" s="14">
        <f>(4*testdata[[#This Row],[price]]+3*H414+2*H413+H412)/10</f>
        <v>277.97149999999999</v>
      </c>
      <c r="AF415" t="str">
        <f ca="1">IF(OR(ROUND(testdata[[#This Row],[Trendline]],4)&lt;&gt;Table3[[#This Row],[Trendline]],ROUND(testdata[[#This Row],[SmPrice]],4)&lt;&gt;Table3[[#This Row],[SmPrice]]),"ERR","")</f>
        <v/>
      </c>
      <c r="AG415" s="3">
        <v>43335</v>
      </c>
      <c r="AH415" s="14">
        <v>23.907699999999998</v>
      </c>
      <c r="AI415" s="34">
        <v>24</v>
      </c>
      <c r="AJ415" s="14">
        <v>275.25130000000001</v>
      </c>
      <c r="AK415" s="14">
        <v>274.89299999999997</v>
      </c>
      <c r="AL415" s="14">
        <v>277.97149999999999</v>
      </c>
      <c r="AN415" s="38">
        <f t="shared" si="19"/>
        <v>0</v>
      </c>
      <c r="AO415" s="38">
        <f t="shared" si="20"/>
        <v>0</v>
      </c>
      <c r="AQ415" s="37">
        <v>43335</v>
      </c>
      <c r="AR415">
        <v>24</v>
      </c>
      <c r="AS415">
        <v>274.892955897435</v>
      </c>
      <c r="AT415">
        <v>277.97149999999999</v>
      </c>
      <c r="AV415" s="37">
        <v>43335</v>
      </c>
      <c r="AW415">
        <v>24</v>
      </c>
      <c r="AX415">
        <v>274.892955897435</v>
      </c>
      <c r="AY415">
        <v>277.97149999999999</v>
      </c>
      <c r="BA415" s="38">
        <f>AX415-Table3[[#This Row],[Trendline]]</f>
        <v>-4.4102564970671665E-5</v>
      </c>
      <c r="BB415" s="38">
        <f>AY415-Table3[[#This Row],[SmPrice]]</f>
        <v>0</v>
      </c>
    </row>
    <row r="416" spans="1:54" x14ac:dyDescent="0.35">
      <c r="A416" s="6">
        <v>414</v>
      </c>
      <c r="B416" s="3">
        <v>43336</v>
      </c>
      <c r="C416" s="2">
        <v>278.23</v>
      </c>
      <c r="D416" s="2">
        <v>279.42</v>
      </c>
      <c r="E416" s="2">
        <v>278.17</v>
      </c>
      <c r="F416" s="2">
        <v>279.27</v>
      </c>
      <c r="G416" s="1">
        <v>59184624</v>
      </c>
      <c r="H416" s="30">
        <f>(testdata[[#This Row],[high]]+testdata[[#This Row],[low]])/2</f>
        <v>278.79500000000002</v>
      </c>
      <c r="I416" s="23">
        <f>(4*testdata[[#This Row],[price]]+3*H415+2*H414+H413)/10</f>
        <v>278.33299999999997</v>
      </c>
      <c r="J416" s="9">
        <f>(0.0962*testdata[[#This Row],[smooth]]+0.5769*I414-0.5769*I412-0.0962*I410)*(0.075*$Z415+0.54)</f>
        <v>2.496669286255222</v>
      </c>
      <c r="K416" s="14">
        <f t="shared" si="18"/>
        <v>1.9584412515850655</v>
      </c>
      <c r="L416" s="14">
        <f>(0.0962*testdata[[#This Row],[detrender]]+0.5769*J414-0.5769*J412-0.0962*J410)*(0.075*$Z415+0.54)</f>
        <v>4.766266112877104</v>
      </c>
      <c r="M416" s="9">
        <f>(0.0962*testdata[[#This Row],[I1]]+0.5769*K414-0.5769*K412-0.0962*K410)*(0.075*$Z415+0.54)</f>
        <v>0.54449930686549242</v>
      </c>
      <c r="N416" s="9">
        <f>(0.0962*testdata[[#This Row],[Q1]]+0.5769*L414-0.5769*L412-0.0962*L410)*(0.075*$Z415+0.54)</f>
        <v>11.680490707897482</v>
      </c>
      <c r="O416" s="9">
        <f>testdata[[#This Row],[I1]]-testdata[[#This Row],[JQ]]</f>
        <v>-9.7220494563124156</v>
      </c>
      <c r="P416" s="9">
        <f>testdata[[#This Row],[Q1]]+testdata[[#This Row],[jI]]</f>
        <v>5.3107654197425962</v>
      </c>
      <c r="Q416" s="9">
        <f>0.2*testdata[[#This Row],[I2]]+0.8*Q415</f>
        <v>-2.3750702811892079</v>
      </c>
      <c r="R416" s="9">
        <f>0.2*testdata[[#This Row],[Q2]]+0.8*R415</f>
        <v>-0.67005313913360021</v>
      </c>
      <c r="S416" s="9">
        <f>testdata[[#This Row],[I2'']]*Q415+testdata[[#This Row],[Q2'']]*R415</f>
        <v>2.7293986385040636</v>
      </c>
      <c r="T416" s="9">
        <f>testdata[[#This Row],[I2'']]*R415-testdata[[#This Row],[Q2'']]*Q415</f>
        <v>4.7819327189530547</v>
      </c>
      <c r="U416" s="9">
        <f>0.2*testdata[[#This Row],[Re]]+0.8*U415</f>
        <v>19.540840432509178</v>
      </c>
      <c r="V416" s="9">
        <f>0.2*testdata[[#This Row],[Im]]+0.8*V415</f>
        <v>8.1537403136648248</v>
      </c>
      <c r="W416" s="9">
        <f>IF(AND(testdata[[#This Row],[Re'']]&lt;&gt;0,testdata[[#This Row],[Im'']]&lt;&gt;0),2*PI()/ATAN(testdata[[#This Row],[Im'']]/testdata[[#This Row],[Re'']]),0)</f>
        <v>15.894637514026405</v>
      </c>
      <c r="X416" s="9">
        <f>IF(testdata[[#This Row],[pd-atan]]&gt;1.5*Z415,1.5*Z415,IF(testdata[[#This Row],[pd-atan]]&lt;0.67*Z415,0.67*Z415,testdata[[#This Row],[pd-atan]]))</f>
        <v>15.894637514026405</v>
      </c>
      <c r="Y416" s="9">
        <f>IF(testdata[[#This Row],[pd-limit1]]&lt;6,6,IF(testdata[[#This Row],[pd-limit1]]&gt;50,50,testdata[[#This Row],[pd-limit1]]))</f>
        <v>15.894637514026405</v>
      </c>
      <c r="Z416" s="14">
        <f>0.2*testdata[[#This Row],[pd-limit2]]+0.8*Z415</f>
        <v>20.776039446549184</v>
      </c>
      <c r="AA416" s="14">
        <f>0.33*testdata[[#This Row],[period]]+0.67*AA415</f>
        <v>22.874251445117519</v>
      </c>
      <c r="AB416" s="31">
        <f>TRUNC(testdata[[#This Row],[SmPd]]+0.5,0)</f>
        <v>23</v>
      </c>
      <c r="AC416" s="14">
        <f ca="1">IF(testdata[[#This Row],[PdInt]]&lt;=0,0,AVERAGE(OFFSET(testdata[[#This Row],[price]],0,0,-testdata[[#This Row],[PdInt]],1)))</f>
        <v>275.63391304347829</v>
      </c>
      <c r="AD416" s="14">
        <f ca="1">IF(testdata[[#This Row],[i]]&lt;11,testdata[[#This Row],[price]],(4*testdata[[#This Row],[iTrend]]+3*AC415+2*AC414+AC413)/10)</f>
        <v>275.26075483277594</v>
      </c>
      <c r="AE416" s="14">
        <f>(4*testdata[[#This Row],[price]]+3*H415+2*H414+H413)/10</f>
        <v>278.33299999999997</v>
      </c>
      <c r="AF416" t="str">
        <f ca="1">IF(OR(ROUND(testdata[[#This Row],[Trendline]],4)&lt;&gt;Table3[[#This Row],[Trendline]],ROUND(testdata[[#This Row],[SmPrice]],4)&lt;&gt;Table3[[#This Row],[SmPrice]]),"ERR","")</f>
        <v/>
      </c>
      <c r="AG416" s="3">
        <v>43336</v>
      </c>
      <c r="AH416" s="14">
        <v>22.874300000000002</v>
      </c>
      <c r="AI416" s="34">
        <v>23</v>
      </c>
      <c r="AJ416" s="14">
        <v>275.63389999999998</v>
      </c>
      <c r="AK416" s="14">
        <v>275.26080000000002</v>
      </c>
      <c r="AL416" s="14">
        <v>278.33300000000003</v>
      </c>
      <c r="AN416" s="38">
        <f t="shared" si="19"/>
        <v>0</v>
      </c>
      <c r="AO416" s="38">
        <f t="shared" si="20"/>
        <v>0</v>
      </c>
      <c r="AQ416" s="37">
        <v>43336</v>
      </c>
      <c r="AR416">
        <v>23</v>
      </c>
      <c r="AS416">
        <v>275.26075483277498</v>
      </c>
      <c r="AT416">
        <v>278.332999999999</v>
      </c>
      <c r="AV416" s="37">
        <v>43336</v>
      </c>
      <c r="AW416">
        <v>23</v>
      </c>
      <c r="AX416">
        <v>275.26075483277498</v>
      </c>
      <c r="AY416">
        <v>278.332999999999</v>
      </c>
      <c r="BA416" s="38">
        <f>AX416-Table3[[#This Row],[Trendline]]</f>
        <v>-4.5167225039222103E-5</v>
      </c>
      <c r="BB416" s="38">
        <f>AY416-Table3[[#This Row],[SmPrice]]</f>
        <v>-1.0231815394945443E-12</v>
      </c>
    </row>
    <row r="417" spans="1:54" x14ac:dyDescent="0.35">
      <c r="A417" s="6">
        <v>415</v>
      </c>
      <c r="B417" s="3">
        <v>43339</v>
      </c>
      <c r="C417" s="2">
        <v>280.58</v>
      </c>
      <c r="D417" s="2">
        <v>281.58999999999997</v>
      </c>
      <c r="E417" s="2">
        <v>280.39999999999998</v>
      </c>
      <c r="F417" s="2">
        <v>281.47000000000003</v>
      </c>
      <c r="G417" s="1">
        <v>58757348</v>
      </c>
      <c r="H417" s="30">
        <f>(testdata[[#This Row],[high]]+testdata[[#This Row],[low]])/2</f>
        <v>280.995</v>
      </c>
      <c r="I417" s="23">
        <f>(4*testdata[[#This Row],[price]]+3*H416+2*H415+H414)/10</f>
        <v>279.428</v>
      </c>
      <c r="J417" s="9">
        <f>(0.0962*testdata[[#This Row],[smooth]]+0.5769*I415-0.5769*I413-0.0962*I411)*(0.075*$Z416+0.54)</f>
        <v>1.5023814049657169</v>
      </c>
      <c r="K417" s="14">
        <f t="shared" si="18"/>
        <v>2.475719342885744</v>
      </c>
      <c r="L417" s="14">
        <f>(0.0962*testdata[[#This Row],[detrender]]+0.5769*J415-0.5769*J413-0.0962*J411)*(0.075*$Z416+0.54)</f>
        <v>2.3359889465923316</v>
      </c>
      <c r="M417" s="9">
        <f>(0.0962*testdata[[#This Row],[I1]]+0.5769*K415-0.5769*K413-0.0962*K411)*(0.075*$Z416+0.54)</f>
        <v>2.7412694091419807</v>
      </c>
      <c r="N417" s="9">
        <f>(0.0962*testdata[[#This Row],[Q1]]+0.5769*L415-0.5769*L413-0.0962*L411)*(0.075*$Z416+0.54)</f>
        <v>10.199141080783845</v>
      </c>
      <c r="O417" s="9">
        <f>testdata[[#This Row],[I1]]-testdata[[#This Row],[JQ]]</f>
        <v>-7.7234217378981</v>
      </c>
      <c r="P417" s="9">
        <f>testdata[[#This Row],[Q1]]+testdata[[#This Row],[jI]]</f>
        <v>5.0772583557343118</v>
      </c>
      <c r="Q417" s="9">
        <f>0.2*testdata[[#This Row],[I2]]+0.8*Q416</f>
        <v>-3.4447405725309865</v>
      </c>
      <c r="R417" s="9">
        <f>0.2*testdata[[#This Row],[Q2]]+0.8*R416</f>
        <v>0.47940915983998222</v>
      </c>
      <c r="S417" s="9">
        <f>testdata[[#This Row],[I2'']]*Q416+testdata[[#This Row],[Q2'']]*R416</f>
        <v>7.8602713477448622</v>
      </c>
      <c r="T417" s="9">
        <f>testdata[[#This Row],[I2'']]*R416-testdata[[#This Row],[Q2'']]*Q416</f>
        <v>3.4467896821910911</v>
      </c>
      <c r="U417" s="9">
        <f>0.2*testdata[[#This Row],[Re]]+0.8*U416</f>
        <v>17.204726615556314</v>
      </c>
      <c r="V417" s="9">
        <f>0.2*testdata[[#This Row],[Im]]+0.8*V416</f>
        <v>7.2123501873700793</v>
      </c>
      <c r="W417" s="9">
        <f>IF(AND(testdata[[#This Row],[Re'']]&lt;&gt;0,testdata[[#This Row],[Im'']]&lt;&gt;0),2*PI()/ATAN(testdata[[#This Row],[Im'']]/testdata[[#This Row],[Re'']]),0)</f>
        <v>15.828492353495788</v>
      </c>
      <c r="X417" s="9">
        <f>IF(testdata[[#This Row],[pd-atan]]&gt;1.5*Z416,1.5*Z416,IF(testdata[[#This Row],[pd-atan]]&lt;0.67*Z416,0.67*Z416,testdata[[#This Row],[pd-atan]]))</f>
        <v>15.828492353495788</v>
      </c>
      <c r="Y417" s="9">
        <f>IF(testdata[[#This Row],[pd-limit1]]&lt;6,6,IF(testdata[[#This Row],[pd-limit1]]&gt;50,50,testdata[[#This Row],[pd-limit1]]))</f>
        <v>15.828492353495788</v>
      </c>
      <c r="Z417" s="14">
        <f>0.2*testdata[[#This Row],[pd-limit2]]+0.8*Z416</f>
        <v>19.786530027938507</v>
      </c>
      <c r="AA417" s="14">
        <f>0.33*testdata[[#This Row],[period]]+0.67*AA416</f>
        <v>21.855303377448447</v>
      </c>
      <c r="AB417" s="31">
        <f>TRUNC(testdata[[#This Row],[SmPd]]+0.5,0)</f>
        <v>22</v>
      </c>
      <c r="AC417" s="14">
        <f ca="1">IF(testdata[[#This Row],[PdInt]]&lt;=0,0,AVERAGE(OFFSET(testdata[[#This Row],[price]],0,0,-testdata[[#This Row],[PdInt]],1)))</f>
        <v>275.92704545454546</v>
      </c>
      <c r="AD417" s="14">
        <f ca="1">IF(testdata[[#This Row],[i]]&lt;11,testdata[[#This Row],[price]],(4*testdata[[#This Row],[iTrend]]+3*AC416+2*AC415+AC414)/10)</f>
        <v>275.59958209486172</v>
      </c>
      <c r="AE417" s="14">
        <f>(4*testdata[[#This Row],[price]]+3*H416+2*H415+H414)/10</f>
        <v>279.428</v>
      </c>
      <c r="AF417" t="str">
        <f ca="1">IF(OR(ROUND(testdata[[#This Row],[Trendline]],4)&lt;&gt;Table3[[#This Row],[Trendline]],ROUND(testdata[[#This Row],[SmPrice]],4)&lt;&gt;Table3[[#This Row],[SmPrice]]),"ERR","")</f>
        <v/>
      </c>
      <c r="AG417" s="3">
        <v>43339</v>
      </c>
      <c r="AH417" s="14">
        <v>21.8553</v>
      </c>
      <c r="AI417" s="34">
        <v>22</v>
      </c>
      <c r="AJ417" s="14">
        <v>275.92700000000002</v>
      </c>
      <c r="AK417" s="14">
        <v>275.59960000000001</v>
      </c>
      <c r="AL417" s="14">
        <v>279.428</v>
      </c>
      <c r="AN417" s="38">
        <f t="shared" si="19"/>
        <v>0</v>
      </c>
      <c r="AO417" s="38">
        <f t="shared" si="20"/>
        <v>0</v>
      </c>
      <c r="AQ417" s="37">
        <v>43339</v>
      </c>
      <c r="AR417">
        <v>22</v>
      </c>
      <c r="AS417">
        <v>275.59958209486098</v>
      </c>
      <c r="AT417">
        <v>279.428</v>
      </c>
      <c r="AV417" s="37">
        <v>43339</v>
      </c>
      <c r="AW417">
        <v>22</v>
      </c>
      <c r="AX417">
        <v>275.59958209486098</v>
      </c>
      <c r="AY417">
        <v>279.428</v>
      </c>
      <c r="BA417" s="38">
        <f>AX417-Table3[[#This Row],[Trendline]]</f>
        <v>-1.7905139031881845E-5</v>
      </c>
      <c r="BB417" s="38">
        <f>AY417-Table3[[#This Row],[SmPrice]]</f>
        <v>0</v>
      </c>
    </row>
    <row r="418" spans="1:54" x14ac:dyDescent="0.35">
      <c r="A418" s="6">
        <v>416</v>
      </c>
      <c r="B418" s="3">
        <v>43340</v>
      </c>
      <c r="C418" s="2">
        <v>281.98</v>
      </c>
      <c r="D418" s="2">
        <v>282.08999999999997</v>
      </c>
      <c r="E418" s="2">
        <v>281.10000000000002</v>
      </c>
      <c r="F418" s="2">
        <v>281.61</v>
      </c>
      <c r="G418" s="1">
        <v>48329404</v>
      </c>
      <c r="H418" s="30">
        <f>(testdata[[#This Row],[high]]+testdata[[#This Row],[low]])/2</f>
        <v>281.59500000000003</v>
      </c>
      <c r="I418" s="23">
        <f>(4*testdata[[#This Row],[price]]+3*H417+2*H416+H415)/10</f>
        <v>280.49300000000005</v>
      </c>
      <c r="J418" s="9">
        <f>(0.0962*testdata[[#This Row],[smooth]]+0.5769*I416-0.5769*I414-0.0962*I412)*(0.075*$Z417+0.54)</f>
        <v>1.4605514849071128</v>
      </c>
      <c r="K418" s="14">
        <f t="shared" si="18"/>
        <v>3.2477017686977661</v>
      </c>
      <c r="L418" s="14">
        <f>(0.0962*testdata[[#This Row],[detrender]]+0.5769*J416-0.5769*J414-0.0962*J412)*(0.075*$Z417+0.54)</f>
        <v>0.40658745784697603</v>
      </c>
      <c r="M418" s="9">
        <f>(0.0962*testdata[[#This Row],[I1]]+0.5769*K416-0.5769*K414-0.0962*K412)*(0.075*$Z417+0.54)</f>
        <v>6.2055518062362607</v>
      </c>
      <c r="N418" s="9">
        <f>(0.0962*testdata[[#This Row],[Q1]]+0.5769*L416-0.5769*L414-0.0962*L412)*(0.075*$Z417+0.54)</f>
        <v>2.8350328471530708</v>
      </c>
      <c r="O418" s="9">
        <f>testdata[[#This Row],[I1]]-testdata[[#This Row],[JQ]]</f>
        <v>0.41266892154469526</v>
      </c>
      <c r="P418" s="9">
        <f>testdata[[#This Row],[Q1]]+testdata[[#This Row],[jI]]</f>
        <v>6.612139264083237</v>
      </c>
      <c r="Q418" s="9">
        <f>0.2*testdata[[#This Row],[I2]]+0.8*Q417</f>
        <v>-2.6732586737158504</v>
      </c>
      <c r="R418" s="9">
        <f>0.2*testdata[[#This Row],[Q2]]+0.8*R417</f>
        <v>1.7059551806886333</v>
      </c>
      <c r="S418" s="9">
        <f>testdata[[#This Row],[I2'']]*Q417+testdata[[#This Row],[Q2'']]*R417</f>
        <v>10.026533154117967</v>
      </c>
      <c r="T418" s="9">
        <f>testdata[[#This Row],[I2'']]*R417-testdata[[#This Row],[Q2'']]*Q417</f>
        <v>4.5949883310365047</v>
      </c>
      <c r="U418" s="9">
        <f>0.2*testdata[[#This Row],[Re]]+0.8*U417</f>
        <v>15.769087923268646</v>
      </c>
      <c r="V418" s="9">
        <f>0.2*testdata[[#This Row],[Im]]+0.8*V417</f>
        <v>6.6888778161033651</v>
      </c>
      <c r="W418" s="9">
        <f>IF(AND(testdata[[#This Row],[Re'']]&lt;&gt;0,testdata[[#This Row],[Im'']]&lt;&gt;0),2*PI()/ATAN(testdata[[#This Row],[Im'']]/testdata[[#This Row],[Re'']]),0)</f>
        <v>15.662034419322021</v>
      </c>
      <c r="X418" s="9">
        <f>IF(testdata[[#This Row],[pd-atan]]&gt;1.5*Z417,1.5*Z417,IF(testdata[[#This Row],[pd-atan]]&lt;0.67*Z417,0.67*Z417,testdata[[#This Row],[pd-atan]]))</f>
        <v>15.662034419322021</v>
      </c>
      <c r="Y418" s="9">
        <f>IF(testdata[[#This Row],[pd-limit1]]&lt;6,6,IF(testdata[[#This Row],[pd-limit1]]&gt;50,50,testdata[[#This Row],[pd-limit1]]))</f>
        <v>15.662034419322021</v>
      </c>
      <c r="Z418" s="14">
        <f>0.2*testdata[[#This Row],[pd-limit2]]+0.8*Z417</f>
        <v>18.961630906215213</v>
      </c>
      <c r="AA418" s="14">
        <f>0.33*testdata[[#This Row],[period]]+0.67*AA417</f>
        <v>20.900391461941481</v>
      </c>
      <c r="AB418" s="31">
        <f>TRUNC(testdata[[#This Row],[SmPd]]+0.5,0)</f>
        <v>21</v>
      </c>
      <c r="AC418" s="14">
        <f ca="1">IF(testdata[[#This Row],[PdInt]]&lt;=0,0,AVERAGE(OFFSET(testdata[[#This Row],[price]],0,0,-testdata[[#This Row],[PdInt]],1)))</f>
        <v>276.45238095238102</v>
      </c>
      <c r="AD418" s="14">
        <f ca="1">IF(testdata[[#This Row],[i]]&lt;11,testdata[[#This Row],[price]],(4*testdata[[#This Row],[iTrend]]+3*AC417+2*AC416+AC415)/10)</f>
        <v>276.01097362601172</v>
      </c>
      <c r="AE418" s="14">
        <f>(4*testdata[[#This Row],[price]]+3*H417+2*H416+H415)/10</f>
        <v>280.49300000000005</v>
      </c>
      <c r="AF418" t="str">
        <f ca="1">IF(OR(ROUND(testdata[[#This Row],[Trendline]],4)&lt;&gt;Table3[[#This Row],[Trendline]],ROUND(testdata[[#This Row],[SmPrice]],4)&lt;&gt;Table3[[#This Row],[SmPrice]]),"ERR","")</f>
        <v/>
      </c>
      <c r="AG418" s="3">
        <v>43340</v>
      </c>
      <c r="AH418" s="14">
        <v>20.900400000000001</v>
      </c>
      <c r="AI418" s="34">
        <v>21</v>
      </c>
      <c r="AJ418" s="14">
        <v>276.45240000000001</v>
      </c>
      <c r="AK418" s="14">
        <v>276.01100000000002</v>
      </c>
      <c r="AL418" s="14">
        <v>280.49299999999999</v>
      </c>
      <c r="AN418" s="38">
        <f t="shared" si="19"/>
        <v>0</v>
      </c>
      <c r="AO418" s="38">
        <f t="shared" si="20"/>
        <v>0</v>
      </c>
      <c r="AQ418" s="37">
        <v>43340</v>
      </c>
      <c r="AR418">
        <v>21</v>
      </c>
      <c r="AS418">
        <v>276.01097362601098</v>
      </c>
      <c r="AT418">
        <v>280.49299999999999</v>
      </c>
      <c r="AV418" s="37">
        <v>43340</v>
      </c>
      <c r="AW418">
        <v>21</v>
      </c>
      <c r="AX418">
        <v>276.01097362601098</v>
      </c>
      <c r="AY418">
        <v>280.49299999999999</v>
      </c>
      <c r="BA418" s="38">
        <f>AX418-Table3[[#This Row],[Trendline]]</f>
        <v>-2.6373989044259361E-5</v>
      </c>
      <c r="BB418" s="38">
        <f>AY418-Table3[[#This Row],[SmPrice]]</f>
        <v>0</v>
      </c>
    </row>
    <row r="419" spans="1:54" x14ac:dyDescent="0.35">
      <c r="A419" s="6">
        <v>417</v>
      </c>
      <c r="B419" s="3">
        <v>43341</v>
      </c>
      <c r="C419" s="2">
        <v>281.83999999999997</v>
      </c>
      <c r="D419" s="2">
        <v>283.37</v>
      </c>
      <c r="E419" s="2">
        <v>281.57</v>
      </c>
      <c r="F419" s="2">
        <v>283.12</v>
      </c>
      <c r="G419" s="1">
        <v>63300776</v>
      </c>
      <c r="H419" s="30">
        <f>(testdata[[#This Row],[high]]+testdata[[#This Row],[low]])/2</f>
        <v>282.47000000000003</v>
      </c>
      <c r="I419" s="23">
        <f>(4*testdata[[#This Row],[price]]+3*H418+2*H417+H416)/10</f>
        <v>281.54500000000002</v>
      </c>
      <c r="J419" s="9">
        <f>(0.0962*testdata[[#This Row],[smooth]]+0.5769*I417-0.5769*I415-0.0962*I413)*(0.075*$Z418+0.54)</f>
        <v>2.4342859609698113</v>
      </c>
      <c r="K419" s="14">
        <f t="shared" si="18"/>
        <v>2.496669286255222</v>
      </c>
      <c r="L419" s="14">
        <f>(0.0962*testdata[[#This Row],[detrender]]+0.5769*J417-0.5769*J415-0.0962*J413)*(0.075*$Z418+0.54)</f>
        <v>-1.8857939091121199</v>
      </c>
      <c r="M419" s="9">
        <f>(0.0962*testdata[[#This Row],[I1]]+0.5769*K417-0.5769*K415-0.0962*K413)*(0.075*$Z418+0.54)</f>
        <v>4.2708463322423871</v>
      </c>
      <c r="N419" s="9">
        <f>(0.0962*testdata[[#This Row],[Q1]]+0.5769*L417-0.5769*L415-0.0962*L413)*(0.075*$Z418+0.54)</f>
        <v>-5.7235487293803766</v>
      </c>
      <c r="O419" s="9">
        <f>testdata[[#This Row],[I1]]-testdata[[#This Row],[JQ]]</f>
        <v>8.2202180156355986</v>
      </c>
      <c r="P419" s="9">
        <f>testdata[[#This Row],[Q1]]+testdata[[#This Row],[jI]]</f>
        <v>2.3850524231302672</v>
      </c>
      <c r="Q419" s="9">
        <f>0.2*testdata[[#This Row],[I2]]+0.8*Q418</f>
        <v>-0.49456333584556056</v>
      </c>
      <c r="R419" s="9">
        <f>0.2*testdata[[#This Row],[Q2]]+0.8*R418</f>
        <v>1.8417746291769601</v>
      </c>
      <c r="S419" s="9">
        <f>testdata[[#This Row],[I2'']]*Q418+testdata[[#This Row],[Q2'']]*R418</f>
        <v>4.4640806975563114</v>
      </c>
      <c r="T419" s="9">
        <f>testdata[[#This Row],[I2'']]*R418-testdata[[#This Row],[Q2'']]*Q418</f>
        <v>4.0798371175127155</v>
      </c>
      <c r="U419" s="9">
        <f>0.2*testdata[[#This Row],[Re]]+0.8*U418</f>
        <v>13.508086478126181</v>
      </c>
      <c r="V419" s="9">
        <f>0.2*testdata[[#This Row],[Im]]+0.8*V418</f>
        <v>6.1670696763852355</v>
      </c>
      <c r="W419" s="9">
        <f>IF(AND(testdata[[#This Row],[Re'']]&lt;&gt;0,testdata[[#This Row],[Im'']]&lt;&gt;0),2*PI()/ATAN(testdata[[#This Row],[Im'']]/testdata[[#This Row],[Re'']]),0)</f>
        <v>14.670582619898623</v>
      </c>
      <c r="X419" s="9">
        <f>IF(testdata[[#This Row],[pd-atan]]&gt;1.5*Z418,1.5*Z418,IF(testdata[[#This Row],[pd-atan]]&lt;0.67*Z418,0.67*Z418,testdata[[#This Row],[pd-atan]]))</f>
        <v>14.670582619898623</v>
      </c>
      <c r="Y419" s="9">
        <f>IF(testdata[[#This Row],[pd-limit1]]&lt;6,6,IF(testdata[[#This Row],[pd-limit1]]&gt;50,50,testdata[[#This Row],[pd-limit1]]))</f>
        <v>14.670582619898623</v>
      </c>
      <c r="Z419" s="14">
        <f>0.2*testdata[[#This Row],[pd-limit2]]+0.8*Z418</f>
        <v>18.103421248951896</v>
      </c>
      <c r="AA419" s="14">
        <f>0.33*testdata[[#This Row],[period]]+0.67*AA418</f>
        <v>19.977391291654918</v>
      </c>
      <c r="AB419" s="31">
        <f>TRUNC(testdata[[#This Row],[SmPd]]+0.5,0)</f>
        <v>20</v>
      </c>
      <c r="AC419" s="14">
        <f ca="1">IF(testdata[[#This Row],[PdInt]]&lt;=0,0,AVERAGE(OFFSET(testdata[[#This Row],[price]],0,0,-testdata[[#This Row],[PdInt]],1)))</f>
        <v>277.08825000000002</v>
      </c>
      <c r="AD419" s="14">
        <f ca="1">IF(testdata[[#This Row],[i]]&lt;11,testdata[[#This Row],[price]],(4*testdata[[#This Row],[iTrend]]+3*AC418+2*AC417+AC416)/10)</f>
        <v>276.51981468097119</v>
      </c>
      <c r="AE419" s="14">
        <f>(4*testdata[[#This Row],[price]]+3*H418+2*H417+H416)/10</f>
        <v>281.54500000000002</v>
      </c>
      <c r="AF419" t="str">
        <f ca="1">IF(OR(ROUND(testdata[[#This Row],[Trendline]],4)&lt;&gt;Table3[[#This Row],[Trendline]],ROUND(testdata[[#This Row],[SmPrice]],4)&lt;&gt;Table3[[#This Row],[SmPrice]]),"ERR","")</f>
        <v/>
      </c>
      <c r="AG419" s="3">
        <v>43341</v>
      </c>
      <c r="AH419" s="14">
        <v>19.977399999999999</v>
      </c>
      <c r="AI419" s="34">
        <v>20</v>
      </c>
      <c r="AJ419" s="14">
        <v>277.0883</v>
      </c>
      <c r="AK419" s="14">
        <v>276.51979999999998</v>
      </c>
      <c r="AL419" s="14">
        <v>281.54500000000002</v>
      </c>
      <c r="AN419" s="38">
        <f t="shared" si="19"/>
        <v>0</v>
      </c>
      <c r="AO419" s="38">
        <f t="shared" si="20"/>
        <v>0</v>
      </c>
      <c r="AQ419" s="37">
        <v>43341</v>
      </c>
      <c r="AR419">
        <v>20</v>
      </c>
      <c r="AS419">
        <v>276.51981468097102</v>
      </c>
      <c r="AT419">
        <v>281.54500000000002</v>
      </c>
      <c r="AV419" s="37">
        <v>43341</v>
      </c>
      <c r="AW419">
        <v>20</v>
      </c>
      <c r="AX419">
        <v>276.51981468097102</v>
      </c>
      <c r="AY419">
        <v>281.54500000000002</v>
      </c>
      <c r="BA419" s="38">
        <f>AX419-Table3[[#This Row],[Trendline]]</f>
        <v>1.468097104861954E-5</v>
      </c>
      <c r="BB419" s="38">
        <f>AY419-Table3[[#This Row],[SmPrice]]</f>
        <v>0</v>
      </c>
    </row>
    <row r="420" spans="1:54" x14ac:dyDescent="0.35">
      <c r="A420" s="6">
        <v>418</v>
      </c>
      <c r="B420" s="3">
        <v>43342</v>
      </c>
      <c r="C420" s="2">
        <v>282.60000000000002</v>
      </c>
      <c r="D420" s="2">
        <v>283</v>
      </c>
      <c r="E420" s="2">
        <v>281.32</v>
      </c>
      <c r="F420" s="2">
        <v>281.98</v>
      </c>
      <c r="G420" s="1">
        <v>63037208</v>
      </c>
      <c r="H420" s="30">
        <f>(testdata[[#This Row],[high]]+testdata[[#This Row],[low]])/2</f>
        <v>282.15999999999997</v>
      </c>
      <c r="I420" s="23">
        <f>(4*testdata[[#This Row],[price]]+3*H419+2*H418+H417)/10</f>
        <v>282.02349999999996</v>
      </c>
      <c r="J420" s="9">
        <f>(0.0962*testdata[[#This Row],[smooth]]+0.5769*I418-0.5769*I416-0.0962*I414)*(0.075*$Z419+0.54)</f>
        <v>3.1411562761837319</v>
      </c>
      <c r="K420" s="14">
        <f t="shared" si="18"/>
        <v>1.5023814049657169</v>
      </c>
      <c r="L420" s="14">
        <f>(0.0962*testdata[[#This Row],[detrender]]+0.5769*J418-0.5769*J416-0.0962*J414)*(0.075*$Z419+0.54)</f>
        <v>-1.0128731667656301</v>
      </c>
      <c r="M420" s="9">
        <f>(0.0962*testdata[[#This Row],[I1]]+0.5769*K418-0.5769*K416-0.0962*K414)*(0.075*$Z419+0.54)</f>
        <v>2.1128263155852869</v>
      </c>
      <c r="N420" s="9">
        <f>(0.0962*testdata[[#This Row],[Q1]]+0.5769*L418-0.5769*L416-0.0962*L414)*(0.075*$Z419+0.54)</f>
        <v>-5.5120532557008364</v>
      </c>
      <c r="O420" s="9">
        <f>testdata[[#This Row],[I1]]-testdata[[#This Row],[JQ]]</f>
        <v>7.0144346606665531</v>
      </c>
      <c r="P420" s="9">
        <f>testdata[[#This Row],[Q1]]+testdata[[#This Row],[jI]]</f>
        <v>1.0999531488196568</v>
      </c>
      <c r="Q420" s="9">
        <f>0.2*testdata[[#This Row],[I2]]+0.8*Q419</f>
        <v>1.0072362634568621</v>
      </c>
      <c r="R420" s="9">
        <f>0.2*testdata[[#This Row],[Q2]]+0.8*R419</f>
        <v>1.6934103331054995</v>
      </c>
      <c r="S420" s="9">
        <f>testdata[[#This Row],[I2'']]*Q419+testdata[[#This Row],[Q2'']]*R419</f>
        <v>2.6207380618599703</v>
      </c>
      <c r="T420" s="9">
        <f>testdata[[#This Row],[I2'']]*R419-testdata[[#This Row],[Q2'']]*Q419</f>
        <v>2.6926008589178467</v>
      </c>
      <c r="U420" s="9">
        <f>0.2*testdata[[#This Row],[Re]]+0.8*U419</f>
        <v>11.33061679487294</v>
      </c>
      <c r="V420" s="9">
        <f>0.2*testdata[[#This Row],[Im]]+0.8*V419</f>
        <v>5.4721759128917586</v>
      </c>
      <c r="W420" s="9">
        <f>IF(AND(testdata[[#This Row],[Re'']]&lt;&gt;0,testdata[[#This Row],[Im'']]&lt;&gt;0),2*PI()/ATAN(testdata[[#This Row],[Im'']]/testdata[[#This Row],[Re'']]),0)</f>
        <v>13.965156703219483</v>
      </c>
      <c r="X420" s="9">
        <f>IF(testdata[[#This Row],[pd-atan]]&gt;1.5*Z419,1.5*Z419,IF(testdata[[#This Row],[pd-atan]]&lt;0.67*Z419,0.67*Z419,testdata[[#This Row],[pd-atan]]))</f>
        <v>13.965156703219483</v>
      </c>
      <c r="Y420" s="9">
        <f>IF(testdata[[#This Row],[pd-limit1]]&lt;6,6,IF(testdata[[#This Row],[pd-limit1]]&gt;50,50,testdata[[#This Row],[pd-limit1]]))</f>
        <v>13.965156703219483</v>
      </c>
      <c r="Z420" s="14">
        <f>0.2*testdata[[#This Row],[pd-limit2]]+0.8*Z419</f>
        <v>17.275768339805413</v>
      </c>
      <c r="AA420" s="14">
        <f>0.33*testdata[[#This Row],[period]]+0.67*AA419</f>
        <v>19.085855717544582</v>
      </c>
      <c r="AB420" s="31">
        <f>TRUNC(testdata[[#This Row],[SmPd]]+0.5,0)</f>
        <v>19</v>
      </c>
      <c r="AC420" s="14">
        <f ca="1">IF(testdata[[#This Row],[PdInt]]&lt;=0,0,AVERAGE(OFFSET(testdata[[#This Row],[price]],0,0,-testdata[[#This Row],[PdInt]],1)))</f>
        <v>277.69657894736844</v>
      </c>
      <c r="AD420" s="14">
        <f ca="1">IF(testdata[[#This Row],[i]]&lt;11,testdata[[#This Row],[price]],(4*testdata[[#This Row],[iTrend]]+3*AC419+2*AC418+AC417)/10)</f>
        <v>277.08828731487813</v>
      </c>
      <c r="AE420" s="14">
        <f>(4*testdata[[#This Row],[price]]+3*H419+2*H418+H417)/10</f>
        <v>282.02349999999996</v>
      </c>
      <c r="AF420" t="str">
        <f ca="1">IF(OR(ROUND(testdata[[#This Row],[Trendline]],4)&lt;&gt;Table3[[#This Row],[Trendline]],ROUND(testdata[[#This Row],[SmPrice]],4)&lt;&gt;Table3[[#This Row],[SmPrice]]),"ERR","")</f>
        <v/>
      </c>
      <c r="AG420" s="3">
        <v>43342</v>
      </c>
      <c r="AH420" s="14">
        <v>19.085899999999999</v>
      </c>
      <c r="AI420" s="34">
        <v>19</v>
      </c>
      <c r="AJ420" s="14">
        <v>277.69659999999999</v>
      </c>
      <c r="AK420" s="14">
        <v>277.0883</v>
      </c>
      <c r="AL420" s="14">
        <v>282.02350000000001</v>
      </c>
      <c r="AN420" s="38">
        <f t="shared" si="19"/>
        <v>0</v>
      </c>
      <c r="AO420" s="38">
        <f t="shared" si="20"/>
        <v>0</v>
      </c>
      <c r="AQ420" s="37">
        <v>43342</v>
      </c>
      <c r="AR420">
        <v>19</v>
      </c>
      <c r="AS420">
        <v>277.08828731487802</v>
      </c>
      <c r="AT420">
        <v>282.02350000000001</v>
      </c>
      <c r="AV420" s="37">
        <v>43342</v>
      </c>
      <c r="AW420">
        <v>19</v>
      </c>
      <c r="AX420">
        <v>277.08828731487802</v>
      </c>
      <c r="AY420">
        <v>282.02350000000001</v>
      </c>
      <c r="BA420" s="38">
        <f>AX420-Table3[[#This Row],[Trendline]]</f>
        <v>-1.2685121987487946E-5</v>
      </c>
      <c r="BB420" s="38">
        <f>AY420-Table3[[#This Row],[SmPrice]]</f>
        <v>0</v>
      </c>
    </row>
    <row r="421" spans="1:54" x14ac:dyDescent="0.35">
      <c r="A421" s="6">
        <v>419</v>
      </c>
      <c r="B421" s="3">
        <v>43343</v>
      </c>
      <c r="C421" s="2">
        <v>281.52999999999997</v>
      </c>
      <c r="D421" s="2">
        <v>282.47000000000003</v>
      </c>
      <c r="E421" s="2">
        <v>280.99</v>
      </c>
      <c r="F421" s="2">
        <v>281.98</v>
      </c>
      <c r="G421" s="1">
        <v>68093544</v>
      </c>
      <c r="H421" s="30">
        <f>(testdata[[#This Row],[high]]+testdata[[#This Row],[low]])/2</f>
        <v>281.73</v>
      </c>
      <c r="I421" s="23">
        <f>(4*testdata[[#This Row],[price]]+3*H420+2*H419+H418)/10</f>
        <v>281.99350000000004</v>
      </c>
      <c r="J421" s="9">
        <f>(0.0962*testdata[[#This Row],[smooth]]+0.5769*I419-0.5769*I417-0.0962*I415)*(0.075*$Z420+0.54)</f>
        <v>2.9521699471576714</v>
      </c>
      <c r="K421" s="14">
        <f t="shared" si="18"/>
        <v>1.4605514849071128</v>
      </c>
      <c r="L421" s="14">
        <f>(0.0962*testdata[[#This Row],[detrender]]+0.5769*J419-0.5769*J417-0.0962*J415)*(0.075*$Z420+0.54)</f>
        <v>0.93470311707906784</v>
      </c>
      <c r="M421" s="9">
        <f>(0.0962*testdata[[#This Row],[I1]]+0.5769*K419-0.5769*K417-0.0962*K415)*(0.075*$Z420+0.54)</f>
        <v>0.36875954106846615</v>
      </c>
      <c r="N421" s="9">
        <f>(0.0962*testdata[[#This Row],[Q1]]+0.5769*L419-0.5769*L417-0.0962*L415)*(0.075*$Z420+0.54)</f>
        <v>-5.5386142486366126</v>
      </c>
      <c r="O421" s="9">
        <f>testdata[[#This Row],[I1]]-testdata[[#This Row],[JQ]]</f>
        <v>6.999165733543725</v>
      </c>
      <c r="P421" s="9">
        <f>testdata[[#This Row],[Q1]]+testdata[[#This Row],[jI]]</f>
        <v>1.3034626581475339</v>
      </c>
      <c r="Q421" s="9">
        <f>0.2*testdata[[#This Row],[I2]]+0.8*Q420</f>
        <v>2.2056221574742345</v>
      </c>
      <c r="R421" s="9">
        <f>0.2*testdata[[#This Row],[Q2]]+0.8*R420</f>
        <v>1.6154207981139064</v>
      </c>
      <c r="S421" s="9">
        <f>testdata[[#This Row],[I2'']]*Q420+testdata[[#This Row],[Q2'']]*R420</f>
        <v>4.9571528923316333</v>
      </c>
      <c r="T421" s="9">
        <f>testdata[[#This Row],[I2'']]*R420-testdata[[#This Row],[Q2'']]*Q420</f>
        <v>2.107912943790561</v>
      </c>
      <c r="U421" s="9">
        <f>0.2*testdata[[#This Row],[Re]]+0.8*U420</f>
        <v>10.055924014364679</v>
      </c>
      <c r="V421" s="9">
        <f>0.2*testdata[[#This Row],[Im]]+0.8*V420</f>
        <v>4.7993233190715197</v>
      </c>
      <c r="W421" s="9">
        <f>IF(AND(testdata[[#This Row],[Re'']]&lt;&gt;0,testdata[[#This Row],[Im'']]&lt;&gt;0),2*PI()/ATAN(testdata[[#This Row],[Im'']]/testdata[[#This Row],[Re'']]),0)</f>
        <v>14.110215817137393</v>
      </c>
      <c r="X421" s="9">
        <f>IF(testdata[[#This Row],[pd-atan]]&gt;1.5*Z420,1.5*Z420,IF(testdata[[#This Row],[pd-atan]]&lt;0.67*Z420,0.67*Z420,testdata[[#This Row],[pd-atan]]))</f>
        <v>14.110215817137393</v>
      </c>
      <c r="Y421" s="9">
        <f>IF(testdata[[#This Row],[pd-limit1]]&lt;6,6,IF(testdata[[#This Row],[pd-limit1]]&gt;50,50,testdata[[#This Row],[pd-limit1]]))</f>
        <v>14.110215817137393</v>
      </c>
      <c r="Z421" s="14">
        <f>0.2*testdata[[#This Row],[pd-limit2]]+0.8*Z420</f>
        <v>16.642657835271812</v>
      </c>
      <c r="AA421" s="14">
        <f>0.33*testdata[[#This Row],[period]]+0.67*AA420</f>
        <v>18.279600416394569</v>
      </c>
      <c r="AB421" s="31">
        <f>TRUNC(testdata[[#This Row],[SmPd]]+0.5,0)</f>
        <v>18</v>
      </c>
      <c r="AC421" s="14">
        <f ca="1">IF(testdata[[#This Row],[PdInt]]&lt;=0,0,AVERAGE(OFFSET(testdata[[#This Row],[price]],0,0,-testdata[[#This Row],[PdInt]],1)))</f>
        <v>278.03222222222223</v>
      </c>
      <c r="AD421" s="14">
        <f ca="1">IF(testdata[[#This Row],[i]]&lt;11,testdata[[#This Row],[price]],(4*testdata[[#This Row],[iTrend]]+3*AC420+2*AC419+AC418)/10)</f>
        <v>277.58475066833756</v>
      </c>
      <c r="AE421" s="14">
        <f>(4*testdata[[#This Row],[price]]+3*H420+2*H419+H418)/10</f>
        <v>281.99350000000004</v>
      </c>
      <c r="AF421" t="str">
        <f ca="1">IF(OR(ROUND(testdata[[#This Row],[Trendline]],4)&lt;&gt;Table3[[#This Row],[Trendline]],ROUND(testdata[[#This Row],[SmPrice]],4)&lt;&gt;Table3[[#This Row],[SmPrice]]),"ERR","")</f>
        <v/>
      </c>
      <c r="AG421" s="3">
        <v>43343</v>
      </c>
      <c r="AH421" s="14">
        <v>18.279599999999999</v>
      </c>
      <c r="AI421" s="34">
        <v>18</v>
      </c>
      <c r="AJ421" s="14">
        <v>278.03219999999999</v>
      </c>
      <c r="AK421" s="14">
        <v>277.58479999999997</v>
      </c>
      <c r="AL421" s="14">
        <v>281.99349999999998</v>
      </c>
      <c r="AN421" s="38">
        <f t="shared" si="19"/>
        <v>0</v>
      </c>
      <c r="AO421" s="38">
        <f t="shared" si="20"/>
        <v>0</v>
      </c>
      <c r="AQ421" s="37">
        <v>43343</v>
      </c>
      <c r="AR421">
        <v>18</v>
      </c>
      <c r="AS421">
        <v>277.58475066833699</v>
      </c>
      <c r="AT421">
        <v>281.99349999999998</v>
      </c>
      <c r="AV421" s="37">
        <v>43343</v>
      </c>
      <c r="AW421">
        <v>18</v>
      </c>
      <c r="AX421">
        <v>277.58475066833699</v>
      </c>
      <c r="AY421">
        <v>281.99349999999998</v>
      </c>
      <c r="BA421" s="38">
        <f>AX421-Table3[[#This Row],[Trendline]]</f>
        <v>-4.9331662978602253E-5</v>
      </c>
      <c r="BB421" s="38">
        <f>AY421-Table3[[#This Row],[SmPrice]]</f>
        <v>0</v>
      </c>
    </row>
    <row r="422" spans="1:54" x14ac:dyDescent="0.35">
      <c r="A422" s="6">
        <v>420</v>
      </c>
      <c r="B422" s="3">
        <v>43347</v>
      </c>
      <c r="C422" s="2">
        <v>281.52999999999997</v>
      </c>
      <c r="D422" s="2">
        <v>281.89</v>
      </c>
      <c r="E422" s="2">
        <v>280.39999999999998</v>
      </c>
      <c r="F422" s="2">
        <v>281.5</v>
      </c>
      <c r="G422" s="1">
        <v>59294748</v>
      </c>
      <c r="H422" s="30">
        <f>(testdata[[#This Row],[high]]+testdata[[#This Row],[low]])/2</f>
        <v>281.14499999999998</v>
      </c>
      <c r="I422" s="23">
        <f>(4*testdata[[#This Row],[price]]+3*H421+2*H420+H419)/10</f>
        <v>281.65600000000006</v>
      </c>
      <c r="J422" s="9">
        <f>(0.0962*testdata[[#This Row],[smooth]]+0.5769*I420-0.5769*I418-0.0962*I416)*(0.075*$Z421+0.54)</f>
        <v>2.1505208004502934</v>
      </c>
      <c r="K422" s="14">
        <f t="shared" si="18"/>
        <v>2.4342859609698113</v>
      </c>
      <c r="L422" s="14">
        <f>(0.0962*testdata[[#This Row],[detrender]]+0.5769*J420-0.5769*J418-0.0962*J416)*(0.075*$Z421+0.54)</f>
        <v>1.6741862866785755</v>
      </c>
      <c r="M422" s="9">
        <f>(0.0962*testdata[[#This Row],[I1]]+0.5769*K420-0.5769*K418-0.0962*K416)*(0.075*$Z421+0.54)</f>
        <v>-1.7186366967710049</v>
      </c>
      <c r="N422" s="9">
        <f>(0.0962*testdata[[#This Row],[Q1]]+0.5769*L420-0.5769*L418-0.0962*L416)*(0.075*$Z421+0.54)</f>
        <v>-1.9962472351178473</v>
      </c>
      <c r="O422" s="9">
        <f>testdata[[#This Row],[I1]]-testdata[[#This Row],[JQ]]</f>
        <v>4.4305331960876586</v>
      </c>
      <c r="P422" s="9">
        <f>testdata[[#This Row],[Q1]]+testdata[[#This Row],[jI]]</f>
        <v>-4.4450410092429449E-2</v>
      </c>
      <c r="Q422" s="9">
        <f>0.2*testdata[[#This Row],[I2]]+0.8*Q421</f>
        <v>2.6506043651969193</v>
      </c>
      <c r="R422" s="9">
        <f>0.2*testdata[[#This Row],[Q2]]+0.8*R421</f>
        <v>1.2834465564726394</v>
      </c>
      <c r="S422" s="9">
        <f>testdata[[#This Row],[I2'']]*Q421+testdata[[#This Row],[Q2'']]*R421</f>
        <v>7.9195379791698297</v>
      </c>
      <c r="T422" s="9">
        <f>testdata[[#This Row],[I2'']]*R421-testdata[[#This Row],[Q2'']]*Q421</f>
        <v>1.4510432562205522</v>
      </c>
      <c r="U422" s="9">
        <f>0.2*testdata[[#This Row],[Re]]+0.8*U421</f>
        <v>9.6286468073257083</v>
      </c>
      <c r="V422" s="9">
        <f>0.2*testdata[[#This Row],[Im]]+0.8*V421</f>
        <v>4.129667306501327</v>
      </c>
      <c r="W422" s="9">
        <f>IF(AND(testdata[[#This Row],[Re'']]&lt;&gt;0,testdata[[#This Row],[Im'']]&lt;&gt;0),2*PI()/ATAN(testdata[[#This Row],[Im'']]/testdata[[#This Row],[Re'']]),0)</f>
        <v>15.507752872991315</v>
      </c>
      <c r="X422" s="9">
        <f>IF(testdata[[#This Row],[pd-atan]]&gt;1.5*Z421,1.5*Z421,IF(testdata[[#This Row],[pd-atan]]&lt;0.67*Z421,0.67*Z421,testdata[[#This Row],[pd-atan]]))</f>
        <v>15.507752872991315</v>
      </c>
      <c r="Y422" s="9">
        <f>IF(testdata[[#This Row],[pd-limit1]]&lt;6,6,IF(testdata[[#This Row],[pd-limit1]]&gt;50,50,testdata[[#This Row],[pd-limit1]]))</f>
        <v>15.507752872991315</v>
      </c>
      <c r="Z422" s="14">
        <f>0.2*testdata[[#This Row],[pd-limit2]]+0.8*Z421</f>
        <v>16.415676842815714</v>
      </c>
      <c r="AA422" s="14">
        <f>0.33*testdata[[#This Row],[period]]+0.67*AA421</f>
        <v>17.664505637113546</v>
      </c>
      <c r="AB422" s="31">
        <f>TRUNC(testdata[[#This Row],[SmPd]]+0.5,0)</f>
        <v>18</v>
      </c>
      <c r="AC422" s="14">
        <f ca="1">IF(testdata[[#This Row],[PdInt]]&lt;=0,0,AVERAGE(OFFSET(testdata[[#This Row],[price]],0,0,-testdata[[#This Row],[PdInt]],1)))</f>
        <v>278.24916666666672</v>
      </c>
      <c r="AD422" s="14">
        <f ca="1">IF(testdata[[#This Row],[i]]&lt;11,testdata[[#This Row],[price]],(4*testdata[[#This Row],[iTrend]]+3*AC421+2*AC420+AC419)/10)</f>
        <v>277.95747412280707</v>
      </c>
      <c r="AE422" s="14">
        <f>(4*testdata[[#This Row],[price]]+3*H421+2*H420+H419)/10</f>
        <v>281.65600000000006</v>
      </c>
      <c r="AF422" t="str">
        <f ca="1">IF(OR(ROUND(testdata[[#This Row],[Trendline]],4)&lt;&gt;Table3[[#This Row],[Trendline]],ROUND(testdata[[#This Row],[SmPrice]],4)&lt;&gt;Table3[[#This Row],[SmPrice]]),"ERR","")</f>
        <v/>
      </c>
      <c r="AG422" s="3">
        <v>43347</v>
      </c>
      <c r="AH422" s="14">
        <v>17.6645</v>
      </c>
      <c r="AI422" s="34">
        <v>18</v>
      </c>
      <c r="AJ422" s="14">
        <v>278.24919999999997</v>
      </c>
      <c r="AK422" s="14">
        <v>277.95749999999998</v>
      </c>
      <c r="AL422" s="14">
        <v>281.65600000000001</v>
      </c>
      <c r="AN422" s="38">
        <f t="shared" si="19"/>
        <v>0</v>
      </c>
      <c r="AO422" s="38">
        <f t="shared" si="20"/>
        <v>0</v>
      </c>
      <c r="AQ422" s="37">
        <v>43347</v>
      </c>
      <c r="AR422">
        <v>18</v>
      </c>
      <c r="AS422">
        <v>277.95747412280701</v>
      </c>
      <c r="AT422">
        <v>281.65600000000001</v>
      </c>
      <c r="AV422" s="37">
        <v>43347</v>
      </c>
      <c r="AW422">
        <v>18</v>
      </c>
      <c r="AX422">
        <v>277.95747412280701</v>
      </c>
      <c r="AY422">
        <v>281.65600000000001</v>
      </c>
      <c r="BA422" s="38">
        <f>AX422-Table3[[#This Row],[Trendline]]</f>
        <v>-2.587719296798241E-5</v>
      </c>
      <c r="BB422" s="38">
        <f>AY422-Table3[[#This Row],[SmPrice]]</f>
        <v>0</v>
      </c>
    </row>
    <row r="423" spans="1:54" x14ac:dyDescent="0.35">
      <c r="A423" s="6">
        <v>421</v>
      </c>
      <c r="B423" s="3">
        <v>43348</v>
      </c>
      <c r="C423" s="2">
        <v>281.11</v>
      </c>
      <c r="D423" s="2">
        <v>281.33</v>
      </c>
      <c r="E423" s="2">
        <v>279.63</v>
      </c>
      <c r="F423" s="2">
        <v>280.74</v>
      </c>
      <c r="G423" s="1">
        <v>74591480</v>
      </c>
      <c r="H423" s="30">
        <f>(testdata[[#This Row],[high]]+testdata[[#This Row],[low]])/2</f>
        <v>280.48</v>
      </c>
      <c r="I423" s="23">
        <f>(4*testdata[[#This Row],[price]]+3*H422+2*H421+H420)/10</f>
        <v>281.09749999999997</v>
      </c>
      <c r="J423" s="9">
        <f>(0.0962*testdata[[#This Row],[smooth]]+0.5769*I421-0.5769*I419-0.0962*I417)*(0.075*$Z422+0.54)</f>
        <v>0.74273467457042841</v>
      </c>
      <c r="K423" s="14">
        <f t="shared" si="18"/>
        <v>3.1411562761837319</v>
      </c>
      <c r="L423" s="14">
        <f>(0.0962*testdata[[#This Row],[detrender]]+0.5769*J421-0.5769*J419-0.0962*J417)*(0.075*$Z422+0.54)</f>
        <v>0.39973534054147725</v>
      </c>
      <c r="M423" s="9">
        <f>(0.0962*testdata[[#This Row],[I1]]+0.5769*K421-0.5769*K419-0.0962*K417)*(0.075*$Z422+0.54)</f>
        <v>-0.94531427800844492</v>
      </c>
      <c r="N423" s="9">
        <f>(0.0962*testdata[[#This Row],[Q1]]+0.5769*L421-0.5769*L419-0.0962*L417)*(0.075*$Z422+0.54)</f>
        <v>2.5520466637185684</v>
      </c>
      <c r="O423" s="9">
        <f>testdata[[#This Row],[I1]]-testdata[[#This Row],[JQ]]</f>
        <v>0.58910961246516358</v>
      </c>
      <c r="P423" s="9">
        <f>testdata[[#This Row],[Q1]]+testdata[[#This Row],[jI]]</f>
        <v>-0.54557893746696773</v>
      </c>
      <c r="Q423" s="9">
        <f>0.2*testdata[[#This Row],[I2]]+0.8*Q422</f>
        <v>2.2383054146505685</v>
      </c>
      <c r="R423" s="9">
        <f>0.2*testdata[[#This Row],[Q2]]+0.8*R422</f>
        <v>0.91764145768471794</v>
      </c>
      <c r="S423" s="9">
        <f>testdata[[#This Row],[I2'']]*Q422+testdata[[#This Row],[Q2'']]*R422</f>
        <v>7.1106058716586817</v>
      </c>
      <c r="T423" s="9">
        <f>testdata[[#This Row],[I2'']]*R422-testdata[[#This Row],[Q2'']]*Q422</f>
        <v>0.44044092334255769</v>
      </c>
      <c r="U423" s="9">
        <f>0.2*testdata[[#This Row],[Re]]+0.8*U422</f>
        <v>9.1250386201923028</v>
      </c>
      <c r="V423" s="9">
        <f>0.2*testdata[[#This Row],[Im]]+0.8*V422</f>
        <v>3.3918220298695734</v>
      </c>
      <c r="W423" s="9">
        <f>IF(AND(testdata[[#This Row],[Re'']]&lt;&gt;0,testdata[[#This Row],[Im'']]&lt;&gt;0),2*PI()/ATAN(testdata[[#This Row],[Im'']]/testdata[[#This Row],[Re'']]),0)</f>
        <v>17.655410924749798</v>
      </c>
      <c r="X423" s="9">
        <f>IF(testdata[[#This Row],[pd-atan]]&gt;1.5*Z422,1.5*Z422,IF(testdata[[#This Row],[pd-atan]]&lt;0.67*Z422,0.67*Z422,testdata[[#This Row],[pd-atan]]))</f>
        <v>17.655410924749798</v>
      </c>
      <c r="Y423" s="9">
        <f>IF(testdata[[#This Row],[pd-limit1]]&lt;6,6,IF(testdata[[#This Row],[pd-limit1]]&gt;50,50,testdata[[#This Row],[pd-limit1]]))</f>
        <v>17.655410924749798</v>
      </c>
      <c r="Z423" s="14">
        <f>0.2*testdata[[#This Row],[pd-limit2]]+0.8*Z422</f>
        <v>16.663623659202532</v>
      </c>
      <c r="AA423" s="14">
        <f>0.33*testdata[[#This Row],[period]]+0.67*AA422</f>
        <v>17.334214584402911</v>
      </c>
      <c r="AB423" s="31">
        <f>TRUNC(testdata[[#This Row],[SmPd]]+0.5,0)</f>
        <v>17</v>
      </c>
      <c r="AC423" s="14">
        <f ca="1">IF(testdata[[#This Row],[PdInt]]&lt;=0,0,AVERAGE(OFFSET(testdata[[#This Row],[price]],0,0,-testdata[[#This Row],[PdInt]],1)))</f>
        <v>278.625</v>
      </c>
      <c r="AD423" s="14">
        <f ca="1">IF(testdata[[#This Row],[i]]&lt;11,testdata[[#This Row],[price]],(4*testdata[[#This Row],[iTrend]]+3*AC422+2*AC421+AC420)/10)</f>
        <v>278.30085233918129</v>
      </c>
      <c r="AE423" s="14">
        <f>(4*testdata[[#This Row],[price]]+3*H422+2*H421+H420)/10</f>
        <v>281.09749999999997</v>
      </c>
      <c r="AF423" t="str">
        <f ca="1">IF(OR(ROUND(testdata[[#This Row],[Trendline]],4)&lt;&gt;Table3[[#This Row],[Trendline]],ROUND(testdata[[#This Row],[SmPrice]],4)&lt;&gt;Table3[[#This Row],[SmPrice]]),"ERR","")</f>
        <v/>
      </c>
      <c r="AG423" s="3">
        <v>43348</v>
      </c>
      <c r="AH423" s="14">
        <v>17.334199999999999</v>
      </c>
      <c r="AI423" s="34">
        <v>17</v>
      </c>
      <c r="AJ423" s="14">
        <v>278.625</v>
      </c>
      <c r="AK423" s="14">
        <v>278.30090000000001</v>
      </c>
      <c r="AL423" s="14">
        <v>281.09750000000003</v>
      </c>
      <c r="AN423" s="38">
        <f t="shared" si="19"/>
        <v>0</v>
      </c>
      <c r="AO423" s="38">
        <f t="shared" si="20"/>
        <v>0</v>
      </c>
      <c r="AQ423" s="37">
        <v>43348</v>
      </c>
      <c r="AR423">
        <v>17</v>
      </c>
      <c r="AS423">
        <v>278.30085233918101</v>
      </c>
      <c r="AT423">
        <v>281.097499999999</v>
      </c>
      <c r="AV423" s="37">
        <v>43348</v>
      </c>
      <c r="AW423">
        <v>17</v>
      </c>
      <c r="AX423">
        <v>278.30085233918101</v>
      </c>
      <c r="AY423">
        <v>281.097499999999</v>
      </c>
      <c r="BA423" s="38">
        <f>AX423-Table3[[#This Row],[Trendline]]</f>
        <v>-4.7660819006978272E-5</v>
      </c>
      <c r="BB423" s="38">
        <f>AY423-Table3[[#This Row],[SmPrice]]</f>
        <v>-1.0231815394945443E-12</v>
      </c>
    </row>
    <row r="424" spans="1:54" x14ac:dyDescent="0.35">
      <c r="A424" s="6">
        <v>422</v>
      </c>
      <c r="B424" s="3">
        <v>43349</v>
      </c>
      <c r="C424" s="2">
        <v>280.86</v>
      </c>
      <c r="D424" s="2">
        <v>281.19</v>
      </c>
      <c r="E424" s="2">
        <v>278.77</v>
      </c>
      <c r="F424" s="2">
        <v>279.89999999999998</v>
      </c>
      <c r="G424" s="1">
        <v>67855744</v>
      </c>
      <c r="H424" s="30">
        <f>(testdata[[#This Row],[high]]+testdata[[#This Row],[low]])/2</f>
        <v>279.98</v>
      </c>
      <c r="I424" s="23">
        <f>(4*testdata[[#This Row],[price]]+3*H423+2*H422+H421)/10</f>
        <v>280.53800000000001</v>
      </c>
      <c r="J424" s="9">
        <f>(0.0962*testdata[[#This Row],[smooth]]+0.5769*I422-0.5769*I420-0.0962*I418)*(0.075*$Z423+0.54)</f>
        <v>-0.37170293421620859</v>
      </c>
      <c r="K424" s="14">
        <f t="shared" si="18"/>
        <v>2.9521699471576714</v>
      </c>
      <c r="L424" s="14">
        <f>(0.0962*testdata[[#This Row],[detrender]]+0.5769*J422-0.5769*J420-0.0962*J418)*(0.075*$Z423+0.54)</f>
        <v>-1.3383206030614128</v>
      </c>
      <c r="M424" s="9">
        <f>(0.0962*testdata[[#This Row],[I1]]+0.5769*K422-0.5769*K420-0.0962*K418)*(0.075*$Z423+0.54)</f>
        <v>0.911325973893236</v>
      </c>
      <c r="N424" s="9">
        <f>(0.0962*testdata[[#This Row],[Q1]]+0.5769*L422-0.5769*L420-0.0962*L418)*(0.075*$Z423+0.54)</f>
        <v>2.4740094761809246</v>
      </c>
      <c r="O424" s="9">
        <f>testdata[[#This Row],[I1]]-testdata[[#This Row],[JQ]]</f>
        <v>0.47816047097674685</v>
      </c>
      <c r="P424" s="9">
        <f>testdata[[#This Row],[Q1]]+testdata[[#This Row],[jI]]</f>
        <v>-0.42699462916817676</v>
      </c>
      <c r="Q424" s="9">
        <f>0.2*testdata[[#This Row],[I2]]+0.8*Q423</f>
        <v>1.8862764259158045</v>
      </c>
      <c r="R424" s="9">
        <f>0.2*testdata[[#This Row],[Q2]]+0.8*R423</f>
        <v>0.64871424031413905</v>
      </c>
      <c r="S424" s="9">
        <f>testdata[[#This Row],[I2'']]*Q423+testdata[[#This Row],[Q2'']]*R423</f>
        <v>4.8173498187577684</v>
      </c>
      <c r="T424" s="9">
        <f>testdata[[#This Row],[I2'']]*R423-testdata[[#This Row],[Q2'']]*Q423</f>
        <v>0.27890485241763119</v>
      </c>
      <c r="U424" s="9">
        <f>0.2*testdata[[#This Row],[Re]]+0.8*U423</f>
        <v>8.2635008599053954</v>
      </c>
      <c r="V424" s="9">
        <f>0.2*testdata[[#This Row],[Im]]+0.8*V423</f>
        <v>2.7692385943791851</v>
      </c>
      <c r="W424" s="9">
        <f>IF(AND(testdata[[#This Row],[Re'']]&lt;&gt;0,testdata[[#This Row],[Im'']]&lt;&gt;0),2*PI()/ATAN(testdata[[#This Row],[Im'']]/testdata[[#This Row],[Re'']]),0)</f>
        <v>19.431236806764236</v>
      </c>
      <c r="X424" s="9">
        <f>IF(testdata[[#This Row],[pd-atan]]&gt;1.5*Z423,1.5*Z423,IF(testdata[[#This Row],[pd-atan]]&lt;0.67*Z423,0.67*Z423,testdata[[#This Row],[pd-atan]]))</f>
        <v>19.431236806764236</v>
      </c>
      <c r="Y424" s="9">
        <f>IF(testdata[[#This Row],[pd-limit1]]&lt;6,6,IF(testdata[[#This Row],[pd-limit1]]&gt;50,50,testdata[[#This Row],[pd-limit1]]))</f>
        <v>19.431236806764236</v>
      </c>
      <c r="Z424" s="14">
        <f>0.2*testdata[[#This Row],[pd-limit2]]+0.8*Z423</f>
        <v>17.217146288714872</v>
      </c>
      <c r="AA424" s="14">
        <f>0.33*testdata[[#This Row],[period]]+0.67*AA423</f>
        <v>17.29558204682586</v>
      </c>
      <c r="AB424" s="31">
        <f>TRUNC(testdata[[#This Row],[SmPd]]+0.5,0)</f>
        <v>17</v>
      </c>
      <c r="AC424" s="14">
        <f ca="1">IF(testdata[[#This Row],[PdInt]]&lt;=0,0,AVERAGE(OFFSET(testdata[[#This Row],[price]],0,0,-testdata[[#This Row],[PdInt]],1)))</f>
        <v>278.92676470588231</v>
      </c>
      <c r="AD424" s="14">
        <f ca="1">IF(testdata[[#This Row],[i]]&lt;11,testdata[[#This Row],[price]],(4*testdata[[#This Row],[iTrend]]+3*AC423+2*AC422+AC421)/10)</f>
        <v>278.61126143790847</v>
      </c>
      <c r="AE424" s="14">
        <f>(4*testdata[[#This Row],[price]]+3*H423+2*H422+H421)/10</f>
        <v>280.53800000000001</v>
      </c>
      <c r="AF424" t="str">
        <f ca="1">IF(OR(ROUND(testdata[[#This Row],[Trendline]],4)&lt;&gt;Table3[[#This Row],[Trendline]],ROUND(testdata[[#This Row],[SmPrice]],4)&lt;&gt;Table3[[#This Row],[SmPrice]]),"ERR","")</f>
        <v/>
      </c>
      <c r="AG424" s="3">
        <v>43349</v>
      </c>
      <c r="AH424" s="14">
        <v>17.2956</v>
      </c>
      <c r="AI424" s="34">
        <v>17</v>
      </c>
      <c r="AJ424" s="14">
        <v>278.92680000000001</v>
      </c>
      <c r="AK424" s="14">
        <v>278.61130000000003</v>
      </c>
      <c r="AL424" s="14">
        <v>280.53800000000001</v>
      </c>
      <c r="AN424" s="38">
        <f t="shared" si="19"/>
        <v>0</v>
      </c>
      <c r="AO424" s="38">
        <f t="shared" si="20"/>
        <v>0</v>
      </c>
      <c r="AQ424" s="37">
        <v>43349</v>
      </c>
      <c r="AR424">
        <v>17</v>
      </c>
      <c r="AS424">
        <v>278.61126143790801</v>
      </c>
      <c r="AT424">
        <v>280.53800000000001</v>
      </c>
      <c r="AV424" s="37">
        <v>43349</v>
      </c>
      <c r="AW424">
        <v>17</v>
      </c>
      <c r="AX424">
        <v>278.61126143790801</v>
      </c>
      <c r="AY424">
        <v>280.53800000000001</v>
      </c>
      <c r="BA424" s="38">
        <f>AX424-Table3[[#This Row],[Trendline]]</f>
        <v>-3.8562092015581584E-5</v>
      </c>
      <c r="BB424" s="38">
        <f>AY424-Table3[[#This Row],[SmPrice]]</f>
        <v>0</v>
      </c>
    </row>
    <row r="425" spans="1:54" x14ac:dyDescent="0.35">
      <c r="A425" s="6">
        <v>423</v>
      </c>
      <c r="B425" s="3">
        <v>43350</v>
      </c>
      <c r="C425" s="2">
        <v>278.75</v>
      </c>
      <c r="D425" s="2">
        <v>280.42</v>
      </c>
      <c r="E425" s="2">
        <v>278.49</v>
      </c>
      <c r="F425" s="2">
        <v>279.35000000000002</v>
      </c>
      <c r="G425" s="1">
        <v>75695528</v>
      </c>
      <c r="H425" s="30">
        <f>(testdata[[#This Row],[high]]+testdata[[#This Row],[low]])/2</f>
        <v>279.45500000000004</v>
      </c>
      <c r="I425" s="23">
        <f>(4*testdata[[#This Row],[price]]+3*H424+2*H423+H422)/10</f>
        <v>279.98650000000004</v>
      </c>
      <c r="J425" s="9">
        <f>(0.0962*testdata[[#This Row],[smooth]]+0.5769*I423-0.5769*I421-0.0962*I419)*(0.075*$Z424+0.54)</f>
        <v>-1.2211566076064659</v>
      </c>
      <c r="K425" s="14">
        <f t="shared" si="18"/>
        <v>2.1505208004502934</v>
      </c>
      <c r="L425" s="14">
        <f>(0.0962*testdata[[#This Row],[detrender]]+0.5769*J423-0.5769*J421-0.0962*J419)*(0.075*$Z424+0.54)</f>
        <v>-2.9781778602952587</v>
      </c>
      <c r="M425" s="9">
        <f>(0.0962*testdata[[#This Row],[I1]]+0.5769*K423-0.5769*K421-0.0962*K419)*(0.075*$Z424+0.54)</f>
        <v>1.7145257780748202</v>
      </c>
      <c r="N425" s="9">
        <f>(0.0962*testdata[[#This Row],[Q1]]+0.5769*L423-0.5769*L421-0.0962*L419)*(0.075*$Z424+0.54)</f>
        <v>-0.75762177054035329</v>
      </c>
      <c r="O425" s="9">
        <f>testdata[[#This Row],[I1]]-testdata[[#This Row],[JQ]]</f>
        <v>2.9081425709906465</v>
      </c>
      <c r="P425" s="9">
        <f>testdata[[#This Row],[Q1]]+testdata[[#This Row],[jI]]</f>
        <v>-1.2636520822204385</v>
      </c>
      <c r="Q425" s="9">
        <f>0.2*testdata[[#This Row],[I2]]+0.8*Q424</f>
        <v>2.0906496549307731</v>
      </c>
      <c r="R425" s="9">
        <f>0.2*testdata[[#This Row],[Q2]]+0.8*R424</f>
        <v>0.26624097580722356</v>
      </c>
      <c r="S425" s="9">
        <f>testdata[[#This Row],[I2'']]*Q424+testdata[[#This Row],[Q2'']]*R424</f>
        <v>4.1162574713062066</v>
      </c>
      <c r="T425" s="9">
        <f>testdata[[#This Row],[I2'']]*R424-testdata[[#This Row],[Q2'']]*Q424</f>
        <v>0.85403012638344755</v>
      </c>
      <c r="U425" s="9">
        <f>0.2*testdata[[#This Row],[Re]]+0.8*U424</f>
        <v>7.4340521821855585</v>
      </c>
      <c r="V425" s="9">
        <f>0.2*testdata[[#This Row],[Im]]+0.8*V424</f>
        <v>2.3861969007800377</v>
      </c>
      <c r="W425" s="9">
        <f>IF(AND(testdata[[#This Row],[Re'']]&lt;&gt;0,testdata[[#This Row],[Im'']]&lt;&gt;0),2*PI()/ATAN(testdata[[#This Row],[Im'']]/testdata[[#This Row],[Re'']]),0)</f>
        <v>20.229611758420837</v>
      </c>
      <c r="X425" s="9">
        <f>IF(testdata[[#This Row],[pd-atan]]&gt;1.5*Z424,1.5*Z424,IF(testdata[[#This Row],[pd-atan]]&lt;0.67*Z424,0.67*Z424,testdata[[#This Row],[pd-atan]]))</f>
        <v>20.229611758420837</v>
      </c>
      <c r="Y425" s="9">
        <f>IF(testdata[[#This Row],[pd-limit1]]&lt;6,6,IF(testdata[[#This Row],[pd-limit1]]&gt;50,50,testdata[[#This Row],[pd-limit1]]))</f>
        <v>20.229611758420837</v>
      </c>
      <c r="Z425" s="14">
        <f>0.2*testdata[[#This Row],[pd-limit2]]+0.8*Z424</f>
        <v>17.819639382656067</v>
      </c>
      <c r="AA425" s="14">
        <f>0.33*testdata[[#This Row],[period]]+0.67*AA424</f>
        <v>17.46852096764983</v>
      </c>
      <c r="AB425" s="31">
        <f>TRUNC(testdata[[#This Row],[SmPd]]+0.5,0)</f>
        <v>17</v>
      </c>
      <c r="AC425" s="14">
        <f ca="1">IF(testdata[[#This Row],[PdInt]]&lt;=0,0,AVERAGE(OFFSET(testdata[[#This Row],[price]],0,0,-testdata[[#This Row],[PdInt]],1)))</f>
        <v>279.17705882352942</v>
      </c>
      <c r="AD425" s="14">
        <f ca="1">IF(testdata[[#This Row],[i]]&lt;11,testdata[[#This Row],[price]],(4*testdata[[#This Row],[iTrend]]+3*AC424+2*AC423+AC422)/10)</f>
        <v>278.89876960784312</v>
      </c>
      <c r="AE425" s="14">
        <f>(4*testdata[[#This Row],[price]]+3*H424+2*H423+H422)/10</f>
        <v>279.98650000000004</v>
      </c>
      <c r="AF425" t="str">
        <f ca="1">IF(OR(ROUND(testdata[[#This Row],[Trendline]],4)&lt;&gt;Table3[[#This Row],[Trendline]],ROUND(testdata[[#This Row],[SmPrice]],4)&lt;&gt;Table3[[#This Row],[SmPrice]]),"ERR","")</f>
        <v/>
      </c>
      <c r="AG425" s="3">
        <v>43350</v>
      </c>
      <c r="AH425" s="14">
        <v>17.468499999999999</v>
      </c>
      <c r="AI425" s="34">
        <v>17</v>
      </c>
      <c r="AJ425" s="14">
        <v>279.1771</v>
      </c>
      <c r="AK425" s="14">
        <v>278.89879999999999</v>
      </c>
      <c r="AL425" s="14">
        <v>279.98649999999998</v>
      </c>
      <c r="AN425" s="38">
        <f t="shared" si="19"/>
        <v>0</v>
      </c>
      <c r="AO425" s="38">
        <f t="shared" si="20"/>
        <v>0</v>
      </c>
      <c r="AQ425" s="37">
        <v>43350</v>
      </c>
      <c r="AR425">
        <v>17</v>
      </c>
      <c r="AS425">
        <v>278.89876960784301</v>
      </c>
      <c r="AT425">
        <v>279.98649999999998</v>
      </c>
      <c r="AV425" s="37">
        <v>43350</v>
      </c>
      <c r="AW425">
        <v>17</v>
      </c>
      <c r="AX425">
        <v>278.89876960784301</v>
      </c>
      <c r="AY425">
        <v>279.98649999999998</v>
      </c>
      <c r="BA425" s="38">
        <f>AX425-Table3[[#This Row],[Trendline]]</f>
        <v>-3.039215698663611E-5</v>
      </c>
      <c r="BB425" s="38">
        <f>AY425-Table3[[#This Row],[SmPrice]]</f>
        <v>0</v>
      </c>
    </row>
    <row r="426" spans="1:54" x14ac:dyDescent="0.35">
      <c r="A426" s="6">
        <v>424</v>
      </c>
      <c r="B426" s="3">
        <v>43353</v>
      </c>
      <c r="C426" s="2">
        <v>280.45999999999998</v>
      </c>
      <c r="D426" s="2">
        <v>280.75</v>
      </c>
      <c r="E426" s="2">
        <v>279.62</v>
      </c>
      <c r="F426" s="2">
        <v>279.83999999999997</v>
      </c>
      <c r="G426" s="1">
        <v>51693300</v>
      </c>
      <c r="H426" s="30">
        <f>(testdata[[#This Row],[high]]+testdata[[#This Row],[low]])/2</f>
        <v>280.185</v>
      </c>
      <c r="I426" s="23">
        <f>(4*testdata[[#This Row],[price]]+3*H425+2*H424+H423)/10</f>
        <v>279.9545</v>
      </c>
      <c r="J426" s="9">
        <f>(0.0962*testdata[[#This Row],[smooth]]+0.5769*I424-0.5769*I422-0.0962*I420)*(0.075*$Z425+0.54)</f>
        <v>-1.5837656905976123</v>
      </c>
      <c r="K426" s="14">
        <f t="shared" si="18"/>
        <v>0.74273467457042841</v>
      </c>
      <c r="L426" s="14">
        <f>(0.0962*testdata[[#This Row],[detrender]]+0.5769*J424-0.5769*J422-0.0962*J420)*(0.075*$Z425+0.54)</f>
        <v>-3.5833284504565968</v>
      </c>
      <c r="M426" s="9">
        <f>(0.0962*testdata[[#This Row],[I1]]+0.5769*K424-0.5769*K422-0.0962*K420)*(0.075*$Z425+0.54)</f>
        <v>0.42349978513927383</v>
      </c>
      <c r="N426" s="9">
        <f>(0.0962*testdata[[#This Row],[Q1]]+0.5769*L424-0.5769*L422-0.0962*L420)*(0.075*$Z425+0.54)</f>
        <v>-3.7251610154982187</v>
      </c>
      <c r="O426" s="9">
        <f>testdata[[#This Row],[I1]]-testdata[[#This Row],[JQ]]</f>
        <v>4.4678956900686471</v>
      </c>
      <c r="P426" s="9">
        <f>testdata[[#This Row],[Q1]]+testdata[[#This Row],[jI]]</f>
        <v>-3.1598286653173231</v>
      </c>
      <c r="Q426" s="9">
        <f>0.2*testdata[[#This Row],[I2]]+0.8*Q425</f>
        <v>2.566098861958348</v>
      </c>
      <c r="R426" s="9">
        <f>0.2*testdata[[#This Row],[Q2]]+0.8*R425</f>
        <v>-0.41897295241768584</v>
      </c>
      <c r="S426" s="9">
        <f>testdata[[#This Row],[I2'']]*Q425+testdata[[#This Row],[Q2'']]*R425</f>
        <v>5.253265932582952</v>
      </c>
      <c r="T426" s="9">
        <f>testdata[[#This Row],[I2'']]*R425-testdata[[#This Row],[Q2'']]*Q425</f>
        <v>1.5591263234229586</v>
      </c>
      <c r="U426" s="9">
        <f>0.2*testdata[[#This Row],[Re]]+0.8*U425</f>
        <v>6.9978949322650372</v>
      </c>
      <c r="V426" s="9">
        <f>0.2*testdata[[#This Row],[Im]]+0.8*V425</f>
        <v>2.2207827853086219</v>
      </c>
      <c r="W426" s="9">
        <f>IF(AND(testdata[[#This Row],[Re'']]&lt;&gt;0,testdata[[#This Row],[Im'']]&lt;&gt;0),2*PI()/ATAN(testdata[[#This Row],[Im'']]/testdata[[#This Row],[Re'']]),0)</f>
        <v>20.446597087378752</v>
      </c>
      <c r="X426" s="9">
        <f>IF(testdata[[#This Row],[pd-atan]]&gt;1.5*Z425,1.5*Z425,IF(testdata[[#This Row],[pd-atan]]&lt;0.67*Z425,0.67*Z425,testdata[[#This Row],[pd-atan]]))</f>
        <v>20.446597087378752</v>
      </c>
      <c r="Y426" s="9">
        <f>IF(testdata[[#This Row],[pd-limit1]]&lt;6,6,IF(testdata[[#This Row],[pd-limit1]]&gt;50,50,testdata[[#This Row],[pd-limit1]]))</f>
        <v>20.446597087378752</v>
      </c>
      <c r="Z426" s="14">
        <f>0.2*testdata[[#This Row],[pd-limit2]]+0.8*Z425</f>
        <v>18.345030923600604</v>
      </c>
      <c r="AA426" s="14">
        <f>0.33*testdata[[#This Row],[period]]+0.67*AA425</f>
        <v>17.757769253113587</v>
      </c>
      <c r="AB426" s="31">
        <f>TRUNC(testdata[[#This Row],[SmPd]]+0.5,0)</f>
        <v>18</v>
      </c>
      <c r="AC426" s="14">
        <f ca="1">IF(testdata[[#This Row],[PdInt]]&lt;=0,0,AVERAGE(OFFSET(testdata[[#This Row],[price]],0,0,-testdata[[#This Row],[PdInt]],1)))</f>
        <v>279.23305555555561</v>
      </c>
      <c r="AD426" s="14">
        <f ca="1">IF(testdata[[#This Row],[i]]&lt;11,testdata[[#This Row],[price]],(4*testdata[[#This Row],[iTrend]]+3*AC425+2*AC424+AC423)/10)</f>
        <v>279.09419281045751</v>
      </c>
      <c r="AE426" s="14">
        <f>(4*testdata[[#This Row],[price]]+3*H425+2*H424+H423)/10</f>
        <v>279.9545</v>
      </c>
      <c r="AF426" t="str">
        <f ca="1">IF(OR(ROUND(testdata[[#This Row],[Trendline]],4)&lt;&gt;Table3[[#This Row],[Trendline]],ROUND(testdata[[#This Row],[SmPrice]],4)&lt;&gt;Table3[[#This Row],[SmPrice]]),"ERR","")</f>
        <v/>
      </c>
      <c r="AG426" s="3">
        <v>43353</v>
      </c>
      <c r="AH426" s="14">
        <v>17.7578</v>
      </c>
      <c r="AI426" s="34">
        <v>18</v>
      </c>
      <c r="AJ426" s="14">
        <v>279.23309999999998</v>
      </c>
      <c r="AK426" s="14">
        <v>279.0942</v>
      </c>
      <c r="AL426" s="14">
        <v>279.9545</v>
      </c>
      <c r="AN426" s="38">
        <f t="shared" si="19"/>
        <v>0</v>
      </c>
      <c r="AO426" s="38">
        <f t="shared" si="20"/>
        <v>0</v>
      </c>
      <c r="AQ426" s="37">
        <v>43353</v>
      </c>
      <c r="AR426">
        <v>18</v>
      </c>
      <c r="AS426">
        <v>279.094192810457</v>
      </c>
      <c r="AT426">
        <v>279.9545</v>
      </c>
      <c r="AV426" s="37">
        <v>43353</v>
      </c>
      <c r="AW426">
        <v>18</v>
      </c>
      <c r="AX426">
        <v>279.094192810457</v>
      </c>
      <c r="AY426">
        <v>279.9545</v>
      </c>
      <c r="BA426" s="38">
        <f>AX426-Table3[[#This Row],[Trendline]]</f>
        <v>-7.1895429982760106E-6</v>
      </c>
      <c r="BB426" s="38">
        <f>AY426-Table3[[#This Row],[SmPrice]]</f>
        <v>0</v>
      </c>
    </row>
    <row r="427" spans="1:54" x14ac:dyDescent="0.35">
      <c r="A427" s="6">
        <v>425</v>
      </c>
      <c r="B427" s="3">
        <v>43354</v>
      </c>
      <c r="C427" s="2">
        <v>279.13</v>
      </c>
      <c r="D427" s="2">
        <v>281.25</v>
      </c>
      <c r="E427" s="2">
        <v>278.75</v>
      </c>
      <c r="F427" s="2">
        <v>280.76</v>
      </c>
      <c r="G427" s="1">
        <v>52022324</v>
      </c>
      <c r="H427" s="30">
        <f>(testdata[[#This Row],[high]]+testdata[[#This Row],[low]])/2</f>
        <v>280</v>
      </c>
      <c r="I427" s="23">
        <f>(4*testdata[[#This Row],[price]]+3*H426+2*H425+H424)/10</f>
        <v>279.94450000000001</v>
      </c>
      <c r="J427" s="9">
        <f>(0.0962*testdata[[#This Row],[smooth]]+0.5769*I425-0.5769*I423-0.0962*I421)*(0.075*$Z426+0.54)</f>
        <v>-1.6056004126510095</v>
      </c>
      <c r="K427" s="14">
        <f t="shared" si="18"/>
        <v>-0.37170293421620859</v>
      </c>
      <c r="L427" s="14">
        <f>(0.0962*testdata[[#This Row],[detrender]]+0.5769*J425-0.5769*J423-0.0962*J421)*(0.075*$Z426+0.54)</f>
        <v>-3.0106601781650593</v>
      </c>
      <c r="M427" s="9">
        <f>(0.0962*testdata[[#This Row],[I1]]+0.5769*K425-0.5769*K423-0.0962*K421)*(0.075*$Z426+0.54)</f>
        <v>-1.4326173459290157</v>
      </c>
      <c r="N427" s="9">
        <f>(0.0962*testdata[[#This Row],[Q1]]+0.5769*L425-0.5769*L423-0.0962*L421)*(0.075*$Z426+0.54)</f>
        <v>-4.460664501976086</v>
      </c>
      <c r="O427" s="9">
        <f>testdata[[#This Row],[I1]]-testdata[[#This Row],[JQ]]</f>
        <v>4.0889615677598776</v>
      </c>
      <c r="P427" s="9">
        <f>testdata[[#This Row],[Q1]]+testdata[[#This Row],[jI]]</f>
        <v>-4.4432775240940749</v>
      </c>
      <c r="Q427" s="9">
        <f>0.2*testdata[[#This Row],[I2]]+0.8*Q426</f>
        <v>2.8706714031186538</v>
      </c>
      <c r="R427" s="9">
        <f>0.2*testdata[[#This Row],[Q2]]+0.8*R426</f>
        <v>-1.2238338667529638</v>
      </c>
      <c r="S427" s="9">
        <f>testdata[[#This Row],[I2'']]*Q426+testdata[[#This Row],[Q2'']]*R426</f>
        <v>7.879179909021393</v>
      </c>
      <c r="T427" s="9">
        <f>testdata[[#This Row],[I2'']]*R426-testdata[[#This Row],[Q2'']]*Q426</f>
        <v>1.9377450195152219</v>
      </c>
      <c r="U427" s="9">
        <f>0.2*testdata[[#This Row],[Re]]+0.8*U426</f>
        <v>7.1741519276163084</v>
      </c>
      <c r="V427" s="9">
        <f>0.2*testdata[[#This Row],[Im]]+0.8*V426</f>
        <v>2.1641752321499421</v>
      </c>
      <c r="W427" s="9">
        <f>IF(AND(testdata[[#This Row],[Re'']]&lt;&gt;0,testdata[[#This Row],[Im'']]&lt;&gt;0),2*PI()/ATAN(testdata[[#This Row],[Im'']]/testdata[[#This Row],[Re'']]),0)</f>
        <v>21.445660775918313</v>
      </c>
      <c r="X427" s="9">
        <f>IF(testdata[[#This Row],[pd-atan]]&gt;1.5*Z426,1.5*Z426,IF(testdata[[#This Row],[pd-atan]]&lt;0.67*Z426,0.67*Z426,testdata[[#This Row],[pd-atan]]))</f>
        <v>21.445660775918313</v>
      </c>
      <c r="Y427" s="9">
        <f>IF(testdata[[#This Row],[pd-limit1]]&lt;6,6,IF(testdata[[#This Row],[pd-limit1]]&gt;50,50,testdata[[#This Row],[pd-limit1]]))</f>
        <v>21.445660775918313</v>
      </c>
      <c r="Z427" s="14">
        <f>0.2*testdata[[#This Row],[pd-limit2]]+0.8*Z426</f>
        <v>18.965156894064148</v>
      </c>
      <c r="AA427" s="14">
        <f>0.33*testdata[[#This Row],[period]]+0.67*AA426</f>
        <v>18.156207174627273</v>
      </c>
      <c r="AB427" s="31">
        <f>TRUNC(testdata[[#This Row],[SmPd]]+0.5,0)</f>
        <v>18</v>
      </c>
      <c r="AC427" s="14">
        <f ca="1">IF(testdata[[#This Row],[PdInt]]&lt;=0,0,AVERAGE(OFFSET(testdata[[#This Row],[price]],0,0,-testdata[[#This Row],[PdInt]],1)))</f>
        <v>279.60611111111115</v>
      </c>
      <c r="AD427" s="14">
        <f ca="1">IF(testdata[[#This Row],[i]]&lt;11,testdata[[#This Row],[price]],(4*testdata[[#This Row],[iTrend]]+3*AC426+2*AC425+AC424)/10)</f>
        <v>279.34044934640525</v>
      </c>
      <c r="AE427" s="14">
        <f>(4*testdata[[#This Row],[price]]+3*H426+2*H425+H424)/10</f>
        <v>279.94450000000001</v>
      </c>
      <c r="AF427" t="str">
        <f ca="1">IF(OR(ROUND(testdata[[#This Row],[Trendline]],4)&lt;&gt;Table3[[#This Row],[Trendline]],ROUND(testdata[[#This Row],[SmPrice]],4)&lt;&gt;Table3[[#This Row],[SmPrice]]),"ERR","")</f>
        <v/>
      </c>
      <c r="AG427" s="3">
        <v>43354</v>
      </c>
      <c r="AH427" s="14">
        <v>18.156199999999998</v>
      </c>
      <c r="AI427" s="34">
        <v>18</v>
      </c>
      <c r="AJ427" s="14">
        <v>279.60610000000003</v>
      </c>
      <c r="AK427" s="14">
        <v>279.34039999999999</v>
      </c>
      <c r="AL427" s="14">
        <v>279.94450000000001</v>
      </c>
      <c r="AN427" s="38">
        <f t="shared" si="19"/>
        <v>0</v>
      </c>
      <c r="AO427" s="38">
        <f t="shared" si="20"/>
        <v>0</v>
      </c>
      <c r="AQ427" s="37">
        <v>43354</v>
      </c>
      <c r="AR427">
        <v>18</v>
      </c>
      <c r="AS427">
        <v>279.34044934640502</v>
      </c>
      <c r="AT427">
        <v>279.94450000000001</v>
      </c>
      <c r="AV427" s="37">
        <v>43354</v>
      </c>
      <c r="AW427">
        <v>18</v>
      </c>
      <c r="AX427">
        <v>279.34044934640502</v>
      </c>
      <c r="AY427">
        <v>279.94450000000001</v>
      </c>
      <c r="BA427" s="38">
        <f>AX427-Table3[[#This Row],[Trendline]]</f>
        <v>4.9346405035066709E-5</v>
      </c>
      <c r="BB427" s="38">
        <f>AY427-Table3[[#This Row],[SmPrice]]</f>
        <v>0</v>
      </c>
    </row>
    <row r="428" spans="1:54" x14ac:dyDescent="0.35">
      <c r="A428" s="6">
        <v>426</v>
      </c>
      <c r="B428" s="3">
        <v>43355</v>
      </c>
      <c r="C428" s="2">
        <v>280.77</v>
      </c>
      <c r="D428" s="2">
        <v>281.49</v>
      </c>
      <c r="E428" s="2">
        <v>279.95999999999998</v>
      </c>
      <c r="F428" s="2">
        <v>280.83</v>
      </c>
      <c r="G428" s="1">
        <v>61576576</v>
      </c>
      <c r="H428" s="30">
        <f>(testdata[[#This Row],[high]]+testdata[[#This Row],[low]])/2</f>
        <v>280.72500000000002</v>
      </c>
      <c r="I428" s="23">
        <f>(4*testdata[[#This Row],[price]]+3*H427+2*H426+H425)/10</f>
        <v>280.27249999999998</v>
      </c>
      <c r="J428" s="9">
        <f>(0.0962*testdata[[#This Row],[smooth]]+0.5769*I426-0.5769*I424-0.0962*I422)*(0.075*$Z427+0.54)</f>
        <v>-0.92176024354242725</v>
      </c>
      <c r="K428" s="14">
        <f t="shared" si="18"/>
        <v>-1.2211566076064659</v>
      </c>
      <c r="L428" s="14">
        <f>(0.0962*testdata[[#This Row],[detrender]]+0.5769*J426-0.5769*J424-0.0962*J422)*(0.075*$Z427+0.54)</f>
        <v>-1.9521675213770935</v>
      </c>
      <c r="M428" s="9">
        <f>(0.0962*testdata[[#This Row],[I1]]+0.5769*K426-0.5769*K424-0.0962*K422)*(0.075*$Z427+0.54)</f>
        <v>-3.1913840402008349</v>
      </c>
      <c r="N428" s="9">
        <f>(0.0962*testdata[[#This Row],[Q1]]+0.5769*L426-0.5769*L424-0.0962*L422)*(0.075*$Z427+0.54)</f>
        <v>-3.226164362121601</v>
      </c>
      <c r="O428" s="9">
        <f>testdata[[#This Row],[I1]]-testdata[[#This Row],[JQ]]</f>
        <v>2.0050077545151348</v>
      </c>
      <c r="P428" s="9">
        <f>testdata[[#This Row],[Q1]]+testdata[[#This Row],[jI]]</f>
        <v>-5.1435515615779286</v>
      </c>
      <c r="Q428" s="9">
        <f>0.2*testdata[[#This Row],[I2]]+0.8*Q427</f>
        <v>2.6975386733979501</v>
      </c>
      <c r="R428" s="9">
        <f>0.2*testdata[[#This Row],[Q2]]+0.8*R427</f>
        <v>-2.0077774057179569</v>
      </c>
      <c r="S428" s="9">
        <f>testdata[[#This Row],[I2'']]*Q427+testdata[[#This Row],[Q2'']]*R427</f>
        <v>10.200933114549166</v>
      </c>
      <c r="T428" s="9">
        <f>testdata[[#This Row],[I2'']]*R427-testdata[[#This Row],[Q2'']]*Q427</f>
        <v>2.4623299970420245</v>
      </c>
      <c r="U428" s="9">
        <f>0.2*testdata[[#This Row],[Re]]+0.8*U427</f>
        <v>7.7795081650028806</v>
      </c>
      <c r="V428" s="9">
        <f>0.2*testdata[[#This Row],[Im]]+0.8*V427</f>
        <v>2.2238061851283586</v>
      </c>
      <c r="W428" s="9">
        <f>IF(AND(testdata[[#This Row],[Re'']]&lt;&gt;0,testdata[[#This Row],[Im'']]&lt;&gt;0),2*PI()/ATAN(testdata[[#This Row],[Im'']]/testdata[[#This Row],[Re'']]),0)</f>
        <v>22.566550717179684</v>
      </c>
      <c r="X428" s="9">
        <f>IF(testdata[[#This Row],[pd-atan]]&gt;1.5*Z427,1.5*Z427,IF(testdata[[#This Row],[pd-atan]]&lt;0.67*Z427,0.67*Z427,testdata[[#This Row],[pd-atan]]))</f>
        <v>22.566550717179684</v>
      </c>
      <c r="Y428" s="9">
        <f>IF(testdata[[#This Row],[pd-limit1]]&lt;6,6,IF(testdata[[#This Row],[pd-limit1]]&gt;50,50,testdata[[#This Row],[pd-limit1]]))</f>
        <v>22.566550717179684</v>
      </c>
      <c r="Z428" s="14">
        <f>0.2*testdata[[#This Row],[pd-limit2]]+0.8*Z427</f>
        <v>19.685435658687254</v>
      </c>
      <c r="AA428" s="14">
        <f>0.33*testdata[[#This Row],[period]]+0.67*AA427</f>
        <v>18.66085257436707</v>
      </c>
      <c r="AB428" s="31">
        <f>TRUNC(testdata[[#This Row],[SmPd]]+0.5,0)</f>
        <v>19</v>
      </c>
      <c r="AC428" s="14">
        <f ca="1">IF(testdata[[#This Row],[PdInt]]&lt;=0,0,AVERAGE(OFFSET(testdata[[#This Row],[price]],0,0,-testdata[[#This Row],[PdInt]],1)))</f>
        <v>279.66500000000008</v>
      </c>
      <c r="AD428" s="14">
        <f ca="1">IF(testdata[[#This Row],[i]]&lt;11,testdata[[#This Row],[price]],(4*testdata[[#This Row],[iTrend]]+3*AC427+2*AC426+AC425)/10)</f>
        <v>279.51215032679744</v>
      </c>
      <c r="AE428" s="14">
        <f>(4*testdata[[#This Row],[price]]+3*H427+2*H426+H425)/10</f>
        <v>280.27249999999998</v>
      </c>
      <c r="AF428" t="str">
        <f ca="1">IF(OR(ROUND(testdata[[#This Row],[Trendline]],4)&lt;&gt;Table3[[#This Row],[Trendline]],ROUND(testdata[[#This Row],[SmPrice]],4)&lt;&gt;Table3[[#This Row],[SmPrice]]),"ERR","")</f>
        <v/>
      </c>
      <c r="AG428" s="3">
        <v>43355</v>
      </c>
      <c r="AH428" s="14">
        <v>18.660900000000002</v>
      </c>
      <c r="AI428" s="34">
        <v>19</v>
      </c>
      <c r="AJ428" s="14">
        <v>279.66500000000002</v>
      </c>
      <c r="AK428" s="14">
        <v>279.51220000000001</v>
      </c>
      <c r="AL428" s="14">
        <v>280.27249999999998</v>
      </c>
      <c r="AN428" s="38">
        <f t="shared" si="19"/>
        <v>0</v>
      </c>
      <c r="AO428" s="38">
        <f t="shared" si="20"/>
        <v>0</v>
      </c>
      <c r="AQ428" s="37">
        <v>43355</v>
      </c>
      <c r="AR428">
        <v>19</v>
      </c>
      <c r="AS428">
        <v>279.51215032679698</v>
      </c>
      <c r="AT428">
        <v>280.27249999999998</v>
      </c>
      <c r="AV428" s="37">
        <v>43355</v>
      </c>
      <c r="AW428">
        <v>19</v>
      </c>
      <c r="AX428">
        <v>279.51215032679698</v>
      </c>
      <c r="AY428">
        <v>280.27249999999998</v>
      </c>
      <c r="BA428" s="38">
        <f>AX428-Table3[[#This Row],[Trendline]]</f>
        <v>-4.9673203022848611E-5</v>
      </c>
      <c r="BB428" s="38">
        <f>AY428-Table3[[#This Row],[SmPrice]]</f>
        <v>0</v>
      </c>
    </row>
    <row r="429" spans="1:54" x14ac:dyDescent="0.35">
      <c r="A429" s="6">
        <v>427</v>
      </c>
      <c r="B429" s="3">
        <v>43356</v>
      </c>
      <c r="C429" s="2">
        <v>281.99</v>
      </c>
      <c r="D429" s="2">
        <v>282.69</v>
      </c>
      <c r="E429" s="2">
        <v>281.68</v>
      </c>
      <c r="F429" s="2">
        <v>282.49</v>
      </c>
      <c r="G429" s="1">
        <v>52540928</v>
      </c>
      <c r="H429" s="30">
        <f>(testdata[[#This Row],[high]]+testdata[[#This Row],[low]])/2</f>
        <v>282.185</v>
      </c>
      <c r="I429" s="23">
        <f>(4*testdata[[#This Row],[price]]+3*H428+2*H427+H426)/10</f>
        <v>281.11</v>
      </c>
      <c r="J429" s="9">
        <f>(0.0962*testdata[[#This Row],[smooth]]+0.5769*I427-0.5769*I425-0.0962*I423)*(0.075*$Z428+0.54)</f>
        <v>-4.6432424440758929E-2</v>
      </c>
      <c r="K429" s="14">
        <f t="shared" si="18"/>
        <v>-1.5837656905976123</v>
      </c>
      <c r="L429" s="14">
        <f>(0.0962*testdata[[#This Row],[detrender]]+0.5769*J427-0.5769*J425-0.0962*J423)*(0.075*$Z428+0.54)</f>
        <v>-0.60029163430569632</v>
      </c>
      <c r="M429" s="9">
        <f>(0.0962*testdata[[#This Row],[I1]]+0.5769*K427-0.5769*K425-0.0962*K423)*(0.075*$Z428+0.54)</f>
        <v>-3.8505489637663595</v>
      </c>
      <c r="N429" s="9">
        <f>(0.0962*testdata[[#This Row],[Q1]]+0.5769*L427-0.5769*L425-0.0962*L423)*(0.075*$Z428+0.54)</f>
        <v>-0.23176921339131726</v>
      </c>
      <c r="O429" s="9">
        <f>testdata[[#This Row],[I1]]-testdata[[#This Row],[JQ]]</f>
        <v>-1.3519964772062951</v>
      </c>
      <c r="P429" s="9">
        <f>testdata[[#This Row],[Q1]]+testdata[[#This Row],[jI]]</f>
        <v>-4.4508405980720553</v>
      </c>
      <c r="Q429" s="9">
        <f>0.2*testdata[[#This Row],[I2]]+0.8*Q428</f>
        <v>1.887631643277101</v>
      </c>
      <c r="R429" s="9">
        <f>0.2*testdata[[#This Row],[Q2]]+0.8*R428</f>
        <v>-2.496390044188777</v>
      </c>
      <c r="S429" s="9">
        <f>testdata[[#This Row],[I2'']]*Q428+testdata[[#This Row],[Q2'']]*R428</f>
        <v>10.104154885451182</v>
      </c>
      <c r="T429" s="9">
        <f>testdata[[#This Row],[I2'']]*R428-testdata[[#This Row],[Q2'']]*Q428</f>
        <v>2.9441645243948216</v>
      </c>
      <c r="U429" s="9">
        <f>0.2*testdata[[#This Row],[Re]]+0.8*U428</f>
        <v>8.2444375090925419</v>
      </c>
      <c r="V429" s="9">
        <f>0.2*testdata[[#This Row],[Im]]+0.8*V428</f>
        <v>2.3678778529816511</v>
      </c>
      <c r="W429" s="9">
        <f>IF(AND(testdata[[#This Row],[Re'']]&lt;&gt;0,testdata[[#This Row],[Im'']]&lt;&gt;0),2*PI()/ATAN(testdata[[#This Row],[Im'']]/testdata[[#This Row],[Re'']]),0)</f>
        <v>22.465529915656525</v>
      </c>
      <c r="X429" s="9">
        <f>IF(testdata[[#This Row],[pd-atan]]&gt;1.5*Z428,1.5*Z428,IF(testdata[[#This Row],[pd-atan]]&lt;0.67*Z428,0.67*Z428,testdata[[#This Row],[pd-atan]]))</f>
        <v>22.465529915656525</v>
      </c>
      <c r="Y429" s="9">
        <f>IF(testdata[[#This Row],[pd-limit1]]&lt;6,6,IF(testdata[[#This Row],[pd-limit1]]&gt;50,50,testdata[[#This Row],[pd-limit1]]))</f>
        <v>22.465529915656525</v>
      </c>
      <c r="Z429" s="14">
        <f>0.2*testdata[[#This Row],[pd-limit2]]+0.8*Z428</f>
        <v>20.241454510081109</v>
      </c>
      <c r="AA429" s="14">
        <f>0.33*testdata[[#This Row],[period]]+0.67*AA428</f>
        <v>19.182451213152703</v>
      </c>
      <c r="AB429" s="31">
        <f>TRUNC(testdata[[#This Row],[SmPd]]+0.5,0)</f>
        <v>19</v>
      </c>
      <c r="AC429" s="14">
        <f ca="1">IF(testdata[[#This Row],[PdInt]]&lt;=0,0,AVERAGE(OFFSET(testdata[[#This Row],[price]],0,0,-testdata[[#This Row],[PdInt]],1)))</f>
        <v>279.98789473684218</v>
      </c>
      <c r="AD429" s="14">
        <f ca="1">IF(testdata[[#This Row],[i]]&lt;11,testdata[[#This Row],[price]],(4*testdata[[#This Row],[iTrend]]+3*AC428+2*AC427+AC426)/10)</f>
        <v>279.73918567251468</v>
      </c>
      <c r="AE429" s="14">
        <f>(4*testdata[[#This Row],[price]]+3*H428+2*H427+H426)/10</f>
        <v>281.11</v>
      </c>
      <c r="AF429" t="str">
        <f ca="1">IF(OR(ROUND(testdata[[#This Row],[Trendline]],4)&lt;&gt;Table3[[#This Row],[Trendline]],ROUND(testdata[[#This Row],[SmPrice]],4)&lt;&gt;Table3[[#This Row],[SmPrice]]),"ERR","")</f>
        <v/>
      </c>
      <c r="AG429" s="3">
        <v>43356</v>
      </c>
      <c r="AH429" s="14">
        <v>19.182500000000001</v>
      </c>
      <c r="AI429" s="34">
        <v>19</v>
      </c>
      <c r="AJ429" s="14">
        <v>279.98790000000002</v>
      </c>
      <c r="AK429" s="14">
        <v>279.73919999999998</v>
      </c>
      <c r="AL429" s="14">
        <v>281.11</v>
      </c>
      <c r="AN429" s="38">
        <f t="shared" si="19"/>
        <v>0</v>
      </c>
      <c r="AO429" s="38">
        <f t="shared" si="20"/>
        <v>0</v>
      </c>
      <c r="AQ429" s="37">
        <v>43356</v>
      </c>
      <c r="AR429">
        <v>19</v>
      </c>
      <c r="AS429">
        <v>279.739185672514</v>
      </c>
      <c r="AT429">
        <v>281.11</v>
      </c>
      <c r="AV429" s="37">
        <v>43356</v>
      </c>
      <c r="AW429">
        <v>19</v>
      </c>
      <c r="AX429">
        <v>279.739185672514</v>
      </c>
      <c r="AY429">
        <v>281.11</v>
      </c>
      <c r="BA429" s="38">
        <f>AX429-Table3[[#This Row],[Trendline]]</f>
        <v>-1.4327485985177191E-5</v>
      </c>
      <c r="BB429" s="38">
        <f>AY429-Table3[[#This Row],[SmPrice]]</f>
        <v>0</v>
      </c>
    </row>
    <row r="430" spans="1:54" x14ac:dyDescent="0.35">
      <c r="A430" s="6">
        <v>428</v>
      </c>
      <c r="B430" s="3">
        <v>43357</v>
      </c>
      <c r="C430" s="2">
        <v>282.70999999999998</v>
      </c>
      <c r="D430" s="2">
        <v>282.92</v>
      </c>
      <c r="E430" s="2">
        <v>281.68</v>
      </c>
      <c r="F430" s="2">
        <v>282.54000000000002</v>
      </c>
      <c r="G430" s="1">
        <v>56706020</v>
      </c>
      <c r="H430" s="30">
        <f>(testdata[[#This Row],[high]]+testdata[[#This Row],[low]])/2</f>
        <v>282.3</v>
      </c>
      <c r="I430" s="23">
        <f>(4*testdata[[#This Row],[price]]+3*H429+2*H428+H427)/10</f>
        <v>281.72050000000002</v>
      </c>
      <c r="J430" s="9">
        <f>(0.0962*testdata[[#This Row],[smooth]]+0.5769*I428-0.5769*I426-0.0962*I424)*(0.075*$Z429+0.54)</f>
        <v>0.61169204279696865</v>
      </c>
      <c r="K430" s="14">
        <f t="shared" si="18"/>
        <v>-1.6056004126510095</v>
      </c>
      <c r="L430" s="14">
        <f>(0.0962*testdata[[#This Row],[detrender]]+0.5769*J428-0.5769*J426-0.0962*J424)*(0.075*$Z429+0.54)</f>
        <v>0.98071684569389728</v>
      </c>
      <c r="M430" s="9">
        <f>(0.0962*testdata[[#This Row],[I1]]+0.5769*K428-0.5769*K426-0.0962*K424)*(0.075*$Z429+0.54)</f>
        <v>-3.2341669333467462</v>
      </c>
      <c r="N430" s="9">
        <f>(0.0962*testdata[[#This Row],[Q1]]+0.5769*L428-0.5769*L426-0.0962*L424)*(0.075*$Z429+0.54)</f>
        <v>2.3958615479078782</v>
      </c>
      <c r="O430" s="9">
        <f>testdata[[#This Row],[I1]]-testdata[[#This Row],[JQ]]</f>
        <v>-4.0014619605588875</v>
      </c>
      <c r="P430" s="9">
        <f>testdata[[#This Row],[Q1]]+testdata[[#This Row],[jI]]</f>
        <v>-2.2534500876528489</v>
      </c>
      <c r="Q430" s="9">
        <f>0.2*testdata[[#This Row],[I2]]+0.8*Q429</f>
        <v>0.70981292250990347</v>
      </c>
      <c r="R430" s="9">
        <f>0.2*testdata[[#This Row],[Q2]]+0.8*R429</f>
        <v>-2.4478020528815914</v>
      </c>
      <c r="S430" s="9">
        <f>testdata[[#This Row],[I2'']]*Q429+testdata[[#This Row],[Q2'']]*R429</f>
        <v>7.4505340082951452</v>
      </c>
      <c r="T430" s="9">
        <f>testdata[[#This Row],[I2'']]*R429-testdata[[#This Row],[Q2'']]*Q429</f>
        <v>2.8485786985076769</v>
      </c>
      <c r="U430" s="9">
        <f>0.2*testdata[[#This Row],[Re]]+0.8*U429</f>
        <v>8.0856568089330629</v>
      </c>
      <c r="V430" s="9">
        <f>0.2*testdata[[#This Row],[Im]]+0.8*V429</f>
        <v>2.4640180220868566</v>
      </c>
      <c r="W430" s="9">
        <f>IF(AND(testdata[[#This Row],[Re'']]&lt;&gt;0,testdata[[#This Row],[Im'']]&lt;&gt;0),2*PI()/ATAN(testdata[[#This Row],[Im'']]/testdata[[#This Row],[Re'']]),0)</f>
        <v>21.241390275607099</v>
      </c>
      <c r="X430" s="9">
        <f>IF(testdata[[#This Row],[pd-atan]]&gt;1.5*Z429,1.5*Z429,IF(testdata[[#This Row],[pd-atan]]&lt;0.67*Z429,0.67*Z429,testdata[[#This Row],[pd-atan]]))</f>
        <v>21.241390275607099</v>
      </c>
      <c r="Y430" s="9">
        <f>IF(testdata[[#This Row],[pd-limit1]]&lt;6,6,IF(testdata[[#This Row],[pd-limit1]]&gt;50,50,testdata[[#This Row],[pd-limit1]]))</f>
        <v>21.241390275607099</v>
      </c>
      <c r="Z430" s="14">
        <f>0.2*testdata[[#This Row],[pd-limit2]]+0.8*Z429</f>
        <v>20.441441663186311</v>
      </c>
      <c r="AA430" s="14">
        <f>0.33*testdata[[#This Row],[period]]+0.67*AA429</f>
        <v>19.597918061663794</v>
      </c>
      <c r="AB430" s="31">
        <f>TRUNC(testdata[[#This Row],[SmPd]]+0.5,0)</f>
        <v>20</v>
      </c>
      <c r="AC430" s="14">
        <f ca="1">IF(testdata[[#This Row],[PdInt]]&lt;=0,0,AVERAGE(OFFSET(testdata[[#This Row],[price]],0,0,-testdata[[#This Row],[PdInt]],1)))</f>
        <v>280.10350000000005</v>
      </c>
      <c r="AD430" s="14">
        <f ca="1">IF(testdata[[#This Row],[i]]&lt;11,testdata[[#This Row],[price]],(4*testdata[[#This Row],[iTrend]]+3*AC429+2*AC428+AC427)/10)</f>
        <v>279.93137953216382</v>
      </c>
      <c r="AE430" s="14">
        <f>(4*testdata[[#This Row],[price]]+3*H429+2*H428+H427)/10</f>
        <v>281.72050000000002</v>
      </c>
      <c r="AF430" t="str">
        <f ca="1">IF(OR(ROUND(testdata[[#This Row],[Trendline]],4)&lt;&gt;Table3[[#This Row],[Trendline]],ROUND(testdata[[#This Row],[SmPrice]],4)&lt;&gt;Table3[[#This Row],[SmPrice]]),"ERR","")</f>
        <v/>
      </c>
      <c r="AG430" s="3">
        <v>43357</v>
      </c>
      <c r="AH430" s="14">
        <v>19.597899999999999</v>
      </c>
      <c r="AI430" s="34">
        <v>20</v>
      </c>
      <c r="AJ430" s="14">
        <v>280.1035</v>
      </c>
      <c r="AK430" s="14">
        <v>279.9314</v>
      </c>
      <c r="AL430" s="14">
        <v>281.72050000000002</v>
      </c>
      <c r="AN430" s="38">
        <f t="shared" si="19"/>
        <v>0</v>
      </c>
      <c r="AO430" s="38">
        <f t="shared" si="20"/>
        <v>0</v>
      </c>
      <c r="AQ430" s="37">
        <v>43357</v>
      </c>
      <c r="AR430">
        <v>20</v>
      </c>
      <c r="AS430">
        <v>279.93137953216302</v>
      </c>
      <c r="AT430">
        <v>281.72050000000002</v>
      </c>
      <c r="AV430" s="37">
        <v>43357</v>
      </c>
      <c r="AW430">
        <v>20</v>
      </c>
      <c r="AX430">
        <v>279.93137953216302</v>
      </c>
      <c r="AY430">
        <v>281.72050000000002</v>
      </c>
      <c r="BA430" s="38">
        <f>AX430-Table3[[#This Row],[Trendline]]</f>
        <v>-2.046783697551291E-5</v>
      </c>
      <c r="BB430" s="38">
        <f>AY430-Table3[[#This Row],[SmPrice]]</f>
        <v>0</v>
      </c>
    </row>
    <row r="431" spans="1:54" x14ac:dyDescent="0.35">
      <c r="A431" s="6">
        <v>429</v>
      </c>
      <c r="B431" s="3">
        <v>43360</v>
      </c>
      <c r="C431" s="2">
        <v>282.48</v>
      </c>
      <c r="D431" s="2">
        <v>282.52</v>
      </c>
      <c r="E431" s="2">
        <v>280.74</v>
      </c>
      <c r="F431" s="2">
        <v>281.04000000000002</v>
      </c>
      <c r="G431" s="1">
        <v>70258840</v>
      </c>
      <c r="H431" s="30">
        <f>(testdata[[#This Row],[high]]+testdata[[#This Row],[low]])/2</f>
        <v>281.63</v>
      </c>
      <c r="I431" s="23">
        <f>(4*testdata[[#This Row],[price]]+3*H430+2*H429+H428)/10</f>
        <v>281.85149999999999</v>
      </c>
      <c r="J431" s="9">
        <f>(0.0962*testdata[[#This Row],[smooth]]+0.5769*I429-0.5769*I427-0.0962*I425)*(0.075*$Z430+0.54)</f>
        <v>1.7658526659160272</v>
      </c>
      <c r="K431" s="14">
        <f t="shared" si="18"/>
        <v>-0.92176024354242725</v>
      </c>
      <c r="L431" s="14">
        <f>(0.0962*testdata[[#This Row],[detrender]]+0.5769*J429-0.5769*J427-0.0962*J425)*(0.075*$Z430+0.54)</f>
        <v>2.4604358394014234</v>
      </c>
      <c r="M431" s="9">
        <f>(0.0962*testdata[[#This Row],[I1]]+0.5769*K429-0.5769*K427-0.0962*K425)*(0.075*$Z430+0.54)</f>
        <v>-2.0623122910129972</v>
      </c>
      <c r="N431" s="9">
        <f>(0.0962*testdata[[#This Row],[Q1]]+0.5769*L429-0.5769*L427-0.0962*L425)*(0.075*$Z430+0.54)</f>
        <v>3.9673821702721823</v>
      </c>
      <c r="O431" s="9">
        <f>testdata[[#This Row],[I1]]-testdata[[#This Row],[JQ]]</f>
        <v>-4.8891424138146098</v>
      </c>
      <c r="P431" s="9">
        <f>testdata[[#This Row],[Q1]]+testdata[[#This Row],[jI]]</f>
        <v>0.39812354838842623</v>
      </c>
      <c r="Q431" s="9">
        <f>0.2*testdata[[#This Row],[I2]]+0.8*Q430</f>
        <v>-0.40997814475499916</v>
      </c>
      <c r="R431" s="9">
        <f>0.2*testdata[[#This Row],[Q2]]+0.8*R430</f>
        <v>-1.8786169326275879</v>
      </c>
      <c r="S431" s="9">
        <f>testdata[[#This Row],[I2'']]*Q430+testdata[[#This Row],[Q2'']]*R430</f>
        <v>4.3074745991701935</v>
      </c>
      <c r="T431" s="9">
        <f>testdata[[#This Row],[I2'']]*R430-testdata[[#This Row],[Q2'']]*Q430</f>
        <v>2.337011919592852</v>
      </c>
      <c r="U431" s="9">
        <f>0.2*testdata[[#This Row],[Re]]+0.8*U430</f>
        <v>7.3300203669804898</v>
      </c>
      <c r="V431" s="9">
        <f>0.2*testdata[[#This Row],[Im]]+0.8*V430</f>
        <v>2.438616801588056</v>
      </c>
      <c r="W431" s="9">
        <f>IF(AND(testdata[[#This Row],[Re'']]&lt;&gt;0,testdata[[#This Row],[Im'']]&lt;&gt;0),2*PI()/ATAN(testdata[[#This Row],[Im'']]/testdata[[#This Row],[Re'']]),0)</f>
        <v>19.563394851217293</v>
      </c>
      <c r="X431" s="9">
        <f>IF(testdata[[#This Row],[pd-atan]]&gt;1.5*Z430,1.5*Z430,IF(testdata[[#This Row],[pd-atan]]&lt;0.67*Z430,0.67*Z430,testdata[[#This Row],[pd-atan]]))</f>
        <v>19.563394851217293</v>
      </c>
      <c r="Y431" s="9">
        <f>IF(testdata[[#This Row],[pd-limit1]]&lt;6,6,IF(testdata[[#This Row],[pd-limit1]]&gt;50,50,testdata[[#This Row],[pd-limit1]]))</f>
        <v>19.563394851217293</v>
      </c>
      <c r="Z431" s="14">
        <f>0.2*testdata[[#This Row],[pd-limit2]]+0.8*Z430</f>
        <v>20.265832300792507</v>
      </c>
      <c r="AA431" s="14">
        <f>0.33*testdata[[#This Row],[period]]+0.67*AA430</f>
        <v>19.818329760576269</v>
      </c>
      <c r="AB431" s="31">
        <f>TRUNC(testdata[[#This Row],[SmPd]]+0.5,0)</f>
        <v>20</v>
      </c>
      <c r="AC431" s="14">
        <f ca="1">IF(testdata[[#This Row],[PdInt]]&lt;=0,0,AVERAGE(OFFSET(testdata[[#This Row],[price]],0,0,-testdata[[#This Row],[PdInt]],1)))</f>
        <v>280.36975000000007</v>
      </c>
      <c r="AD431" s="14">
        <f ca="1">IF(testdata[[#This Row],[i]]&lt;11,testdata[[#This Row],[price]],(4*testdata[[#This Row],[iTrend]]+3*AC430+2*AC429+AC428)/10)</f>
        <v>280.14302894736846</v>
      </c>
      <c r="AE431" s="14">
        <f>(4*testdata[[#This Row],[price]]+3*H430+2*H429+H428)/10</f>
        <v>281.85149999999999</v>
      </c>
      <c r="AF431" t="str">
        <f ca="1">IF(OR(ROUND(testdata[[#This Row],[Trendline]],4)&lt;&gt;Table3[[#This Row],[Trendline]],ROUND(testdata[[#This Row],[SmPrice]],4)&lt;&gt;Table3[[#This Row],[SmPrice]]),"ERR","")</f>
        <v/>
      </c>
      <c r="AG431" s="3">
        <v>43360</v>
      </c>
      <c r="AH431" s="14">
        <v>19.818300000000001</v>
      </c>
      <c r="AI431" s="34">
        <v>20</v>
      </c>
      <c r="AJ431" s="14">
        <v>280.3698</v>
      </c>
      <c r="AK431" s="14">
        <v>280.14299999999997</v>
      </c>
      <c r="AL431" s="14">
        <v>281.85149999999999</v>
      </c>
      <c r="AN431" s="38">
        <f t="shared" si="19"/>
        <v>0</v>
      </c>
      <c r="AO431" s="38">
        <f t="shared" si="20"/>
        <v>0</v>
      </c>
      <c r="AQ431" s="37">
        <v>43360</v>
      </c>
      <c r="AR431">
        <v>20</v>
      </c>
      <c r="AS431">
        <v>280.14302894736801</v>
      </c>
      <c r="AT431">
        <v>281.85149999999999</v>
      </c>
      <c r="AV431" s="37">
        <v>43360</v>
      </c>
      <c r="AW431">
        <v>20</v>
      </c>
      <c r="AX431">
        <v>280.14302894736801</v>
      </c>
      <c r="AY431">
        <v>281.85149999999999</v>
      </c>
      <c r="BA431" s="38">
        <f>AX431-Table3[[#This Row],[Trendline]]</f>
        <v>2.8947368036824628E-5</v>
      </c>
      <c r="BB431" s="38">
        <f>AY431-Table3[[#This Row],[SmPrice]]</f>
        <v>0</v>
      </c>
    </row>
    <row r="432" spans="1:54" x14ac:dyDescent="0.35">
      <c r="A432" s="6">
        <v>430</v>
      </c>
      <c r="B432" s="3">
        <v>43361</v>
      </c>
      <c r="C432" s="2">
        <v>281.27999999999997</v>
      </c>
      <c r="D432" s="2">
        <v>283.22000000000003</v>
      </c>
      <c r="E432" s="2">
        <v>281.25</v>
      </c>
      <c r="F432" s="2">
        <v>282.57</v>
      </c>
      <c r="G432" s="1">
        <v>63758804</v>
      </c>
      <c r="H432" s="30">
        <f>(testdata[[#This Row],[high]]+testdata[[#This Row],[low]])/2</f>
        <v>282.23500000000001</v>
      </c>
      <c r="I432" s="23">
        <f>(4*testdata[[#This Row],[price]]+3*H431+2*H430+H429)/10</f>
        <v>282.06149999999997</v>
      </c>
      <c r="J432" s="9">
        <f>(0.0962*testdata[[#This Row],[smooth]]+0.5769*I430-0.5769*I428-0.0962*I426)*(0.075*$Z431+0.54)</f>
        <v>2.1383069178257776</v>
      </c>
      <c r="K432" s="14">
        <f t="shared" si="18"/>
        <v>-4.6432424440758929E-2</v>
      </c>
      <c r="L432" s="14">
        <f>(0.0962*testdata[[#This Row],[detrender]]+0.5769*J430-0.5769*J428-0.0962*J426)*(0.075*$Z431+0.54)</f>
        <v>2.5599089726373534</v>
      </c>
      <c r="M432" s="9">
        <f>(0.0962*testdata[[#This Row],[I1]]+0.5769*K430-0.5769*K428-0.0962*K426)*(0.075*$Z431+0.54)</f>
        <v>-0.61325059294999562</v>
      </c>
      <c r="N432" s="9">
        <f>(0.0962*testdata[[#This Row],[Q1]]+0.5769*L430-0.5769*L428-0.0962*L426)*(0.075*$Z431+0.54)</f>
        <v>4.7027556269969724</v>
      </c>
      <c r="O432" s="9">
        <f>testdata[[#This Row],[I1]]-testdata[[#This Row],[JQ]]</f>
        <v>-4.7491880514377316</v>
      </c>
      <c r="P432" s="9">
        <f>testdata[[#This Row],[Q1]]+testdata[[#This Row],[jI]]</f>
        <v>1.9466583796873578</v>
      </c>
      <c r="Q432" s="9">
        <f>0.2*testdata[[#This Row],[I2]]+0.8*Q431</f>
        <v>-1.2778201260915456</v>
      </c>
      <c r="R432" s="9">
        <f>0.2*testdata[[#This Row],[Q2]]+0.8*R431</f>
        <v>-1.1135618701645988</v>
      </c>
      <c r="S432" s="9">
        <f>testdata[[#This Row],[I2'']]*Q431+testdata[[#This Row],[Q2'']]*R431</f>
        <v>2.61583450944527</v>
      </c>
      <c r="T432" s="9">
        <f>testdata[[#This Row],[I2'']]*R431-testdata[[#This Row],[Q2'']]*Q431</f>
        <v>1.9439984961279078</v>
      </c>
      <c r="U432" s="9">
        <f>0.2*testdata[[#This Row],[Re]]+0.8*U431</f>
        <v>6.3871831954734457</v>
      </c>
      <c r="V432" s="9">
        <f>0.2*testdata[[#This Row],[Im]]+0.8*V431</f>
        <v>2.3396931404960264</v>
      </c>
      <c r="W432" s="9">
        <f>IF(AND(testdata[[#This Row],[Re'']]&lt;&gt;0,testdata[[#This Row],[Im'']]&lt;&gt;0),2*PI()/ATAN(testdata[[#This Row],[Im'']]/testdata[[#This Row],[Re'']]),0)</f>
        <v>17.894138422313183</v>
      </c>
      <c r="X432" s="9">
        <f>IF(testdata[[#This Row],[pd-atan]]&gt;1.5*Z431,1.5*Z431,IF(testdata[[#This Row],[pd-atan]]&lt;0.67*Z431,0.67*Z431,testdata[[#This Row],[pd-atan]]))</f>
        <v>17.894138422313183</v>
      </c>
      <c r="Y432" s="9">
        <f>IF(testdata[[#This Row],[pd-limit1]]&lt;6,6,IF(testdata[[#This Row],[pd-limit1]]&gt;50,50,testdata[[#This Row],[pd-limit1]]))</f>
        <v>17.894138422313183</v>
      </c>
      <c r="Z432" s="14">
        <f>0.2*testdata[[#This Row],[pd-limit2]]+0.8*Z431</f>
        <v>19.791493525096644</v>
      </c>
      <c r="AA432" s="14">
        <f>0.33*testdata[[#This Row],[period]]+0.67*AA431</f>
        <v>19.809473802867991</v>
      </c>
      <c r="AB432" s="31">
        <f>TRUNC(testdata[[#This Row],[SmPd]]+0.5,0)</f>
        <v>20</v>
      </c>
      <c r="AC432" s="14">
        <f ca="1">IF(testdata[[#This Row],[PdInt]]&lt;=0,0,AVERAGE(OFFSET(testdata[[#This Row],[price]],0,0,-testdata[[#This Row],[PdInt]],1)))</f>
        <v>280.61500000000007</v>
      </c>
      <c r="AD432" s="14">
        <f ca="1">IF(testdata[[#This Row],[i]]&lt;11,testdata[[#This Row],[price]],(4*testdata[[#This Row],[iTrend]]+3*AC431+2*AC430+AC429)/10)</f>
        <v>280.37641447368429</v>
      </c>
      <c r="AE432" s="14">
        <f>(4*testdata[[#This Row],[price]]+3*H431+2*H430+H429)/10</f>
        <v>282.06149999999997</v>
      </c>
      <c r="AF432" t="str">
        <f ca="1">IF(OR(ROUND(testdata[[#This Row],[Trendline]],4)&lt;&gt;Table3[[#This Row],[Trendline]],ROUND(testdata[[#This Row],[SmPrice]],4)&lt;&gt;Table3[[#This Row],[SmPrice]]),"ERR","")</f>
        <v/>
      </c>
      <c r="AG432" s="3">
        <v>43361</v>
      </c>
      <c r="AH432" s="14">
        <v>19.8095</v>
      </c>
      <c r="AI432" s="34">
        <v>20</v>
      </c>
      <c r="AJ432" s="14">
        <v>280.61500000000001</v>
      </c>
      <c r="AK432" s="14">
        <v>280.37639999999999</v>
      </c>
      <c r="AL432" s="14">
        <v>282.06150000000002</v>
      </c>
      <c r="AN432" s="38">
        <f t="shared" si="19"/>
        <v>0</v>
      </c>
      <c r="AO432" s="38">
        <f t="shared" si="20"/>
        <v>0</v>
      </c>
      <c r="AQ432" s="37">
        <v>43361</v>
      </c>
      <c r="AR432">
        <v>20</v>
      </c>
      <c r="AS432">
        <v>280.37641447368401</v>
      </c>
      <c r="AT432">
        <v>282.061499999999</v>
      </c>
      <c r="AV432" s="37">
        <v>43361</v>
      </c>
      <c r="AW432">
        <v>20</v>
      </c>
      <c r="AX432">
        <v>280.37641447368401</v>
      </c>
      <c r="AY432">
        <v>282.061499999999</v>
      </c>
      <c r="BA432" s="38">
        <f>AX432-Table3[[#This Row],[Trendline]]</f>
        <v>1.4473684018412314E-5</v>
      </c>
      <c r="BB432" s="38">
        <f>AY432-Table3[[#This Row],[SmPrice]]</f>
        <v>-1.0231815394945443E-12</v>
      </c>
    </row>
    <row r="433" spans="1:54" x14ac:dyDescent="0.35">
      <c r="A433" s="6">
        <v>431</v>
      </c>
      <c r="B433" s="3">
        <v>43362</v>
      </c>
      <c r="C433" s="2">
        <v>282.63</v>
      </c>
      <c r="D433" s="2">
        <v>283.33</v>
      </c>
      <c r="E433" s="2">
        <v>282.48</v>
      </c>
      <c r="F433" s="2">
        <v>282.87</v>
      </c>
      <c r="G433" s="1">
        <v>50529584</v>
      </c>
      <c r="H433" s="30">
        <f>(testdata[[#This Row],[high]]+testdata[[#This Row],[low]])/2</f>
        <v>282.90499999999997</v>
      </c>
      <c r="I433" s="23">
        <f>(4*testdata[[#This Row],[price]]+3*H432+2*H431+H430)/10</f>
        <v>282.38850000000002</v>
      </c>
      <c r="J433" s="9">
        <f>(0.0962*testdata[[#This Row],[smooth]]+0.5769*I431-0.5769*I429-0.0962*I427)*(0.075*$Z432+0.54)</f>
        <v>1.3419174931959854</v>
      </c>
      <c r="K433" s="14">
        <f t="shared" si="18"/>
        <v>0.61169204279696865</v>
      </c>
      <c r="L433" s="14">
        <f>(0.0962*testdata[[#This Row],[detrender]]+0.5769*J431-0.5769*J429-0.0962*J427)*(0.075*$Z432+0.54)</f>
        <v>2.6904955244153372</v>
      </c>
      <c r="M433" s="9">
        <f>(0.0962*testdata[[#This Row],[I1]]+0.5769*K431-0.5769*K429-0.0962*K427)*(0.075*$Z432+0.54)</f>
        <v>0.96463590808480759</v>
      </c>
      <c r="N433" s="9">
        <f>(0.0962*testdata[[#This Row],[Q1]]+0.5769*L431-0.5769*L429-0.0962*L427)*(0.075*$Z432+0.54)</f>
        <v>4.6847479211376584</v>
      </c>
      <c r="O433" s="9">
        <f>testdata[[#This Row],[I1]]-testdata[[#This Row],[JQ]]</f>
        <v>-4.0730558783406901</v>
      </c>
      <c r="P433" s="9">
        <f>testdata[[#This Row],[Q1]]+testdata[[#This Row],[jI]]</f>
        <v>3.6551314325001449</v>
      </c>
      <c r="Q433" s="9">
        <f>0.2*testdata[[#This Row],[I2]]+0.8*Q432</f>
        <v>-1.8368672765413745</v>
      </c>
      <c r="R433" s="9">
        <f>0.2*testdata[[#This Row],[Q2]]+0.8*R432</f>
        <v>-0.15982320963165009</v>
      </c>
      <c r="S433" s="9">
        <f>testdata[[#This Row],[I2'']]*Q432+testdata[[#This Row],[Q2'']]*R432</f>
        <v>2.5251590071366623</v>
      </c>
      <c r="T433" s="9">
        <f>testdata[[#This Row],[I2'']]*R432-testdata[[#This Row],[Q2'']]*Q432</f>
        <v>1.8412400458256957</v>
      </c>
      <c r="U433" s="9">
        <f>0.2*testdata[[#This Row],[Re]]+0.8*U432</f>
        <v>5.614778357806089</v>
      </c>
      <c r="V433" s="9">
        <f>0.2*testdata[[#This Row],[Im]]+0.8*V432</f>
        <v>2.2400025215619603</v>
      </c>
      <c r="W433" s="9">
        <f>IF(AND(testdata[[#This Row],[Re'']]&lt;&gt;0,testdata[[#This Row],[Im'']]&lt;&gt;0),2*PI()/ATAN(testdata[[#This Row],[Im'']]/testdata[[#This Row],[Re'']]),0)</f>
        <v>16.552172351758067</v>
      </c>
      <c r="X433" s="9">
        <f>IF(testdata[[#This Row],[pd-atan]]&gt;1.5*Z432,1.5*Z432,IF(testdata[[#This Row],[pd-atan]]&lt;0.67*Z432,0.67*Z432,testdata[[#This Row],[pd-atan]]))</f>
        <v>16.552172351758067</v>
      </c>
      <c r="Y433" s="9">
        <f>IF(testdata[[#This Row],[pd-limit1]]&lt;6,6,IF(testdata[[#This Row],[pd-limit1]]&gt;50,50,testdata[[#This Row],[pd-limit1]]))</f>
        <v>16.552172351758067</v>
      </c>
      <c r="Z433" s="14">
        <f>0.2*testdata[[#This Row],[pd-limit2]]+0.8*Z432</f>
        <v>19.14362929042893</v>
      </c>
      <c r="AA433" s="14">
        <f>0.33*testdata[[#This Row],[period]]+0.67*AA432</f>
        <v>19.589745113763101</v>
      </c>
      <c r="AB433" s="31">
        <f>TRUNC(testdata[[#This Row],[SmPd]]+0.5,0)</f>
        <v>20</v>
      </c>
      <c r="AC433" s="14">
        <f ca="1">IF(testdata[[#This Row],[PdInt]]&lt;=0,0,AVERAGE(OFFSET(testdata[[#This Row],[price]],0,0,-testdata[[#This Row],[PdInt]],1)))</f>
        <v>280.84550000000002</v>
      </c>
      <c r="AD433" s="14">
        <f ca="1">IF(testdata[[#This Row],[i]]&lt;11,testdata[[#This Row],[price]],(4*testdata[[#This Row],[iTrend]]+3*AC432+2*AC431+AC430)/10)</f>
        <v>280.60700000000008</v>
      </c>
      <c r="AE433" s="14">
        <f>(4*testdata[[#This Row],[price]]+3*H432+2*H431+H430)/10</f>
        <v>282.38850000000002</v>
      </c>
      <c r="AF433" t="str">
        <f ca="1">IF(OR(ROUND(testdata[[#This Row],[Trendline]],4)&lt;&gt;Table3[[#This Row],[Trendline]],ROUND(testdata[[#This Row],[SmPrice]],4)&lt;&gt;Table3[[#This Row],[SmPrice]]),"ERR","")</f>
        <v/>
      </c>
      <c r="AG433" s="3">
        <v>43362</v>
      </c>
      <c r="AH433" s="14">
        <v>19.589700000000001</v>
      </c>
      <c r="AI433" s="34">
        <v>20</v>
      </c>
      <c r="AJ433" s="14">
        <v>280.84550000000002</v>
      </c>
      <c r="AK433" s="14">
        <v>280.60700000000003</v>
      </c>
      <c r="AL433" s="14">
        <v>282.38850000000002</v>
      </c>
      <c r="AN433" s="38">
        <f t="shared" si="19"/>
        <v>0</v>
      </c>
      <c r="AO433" s="38">
        <f t="shared" si="20"/>
        <v>0</v>
      </c>
      <c r="AQ433" s="37">
        <v>43362</v>
      </c>
      <c r="AR433">
        <v>20</v>
      </c>
      <c r="AS433">
        <v>280.60700000000003</v>
      </c>
      <c r="AT433">
        <v>282.38850000000002</v>
      </c>
      <c r="AV433" s="37">
        <v>43362</v>
      </c>
      <c r="AW433">
        <v>20</v>
      </c>
      <c r="AX433">
        <v>280.60700000000003</v>
      </c>
      <c r="AY433">
        <v>282.38850000000002</v>
      </c>
      <c r="BA433" s="38">
        <f>AX433-Table3[[#This Row],[Trendline]]</f>
        <v>0</v>
      </c>
      <c r="BB433" s="38">
        <f>AY433-Table3[[#This Row],[SmPrice]]</f>
        <v>0</v>
      </c>
    </row>
    <row r="434" spans="1:54" x14ac:dyDescent="0.35">
      <c r="A434" s="6">
        <v>432</v>
      </c>
      <c r="B434" s="3">
        <v>43363</v>
      </c>
      <c r="C434" s="2">
        <v>284.25</v>
      </c>
      <c r="D434" s="2">
        <v>285.51</v>
      </c>
      <c r="E434" s="2">
        <v>282.88</v>
      </c>
      <c r="F434" s="2">
        <v>285.16000000000003</v>
      </c>
      <c r="G434" s="1">
        <v>103323632</v>
      </c>
      <c r="H434" s="30">
        <f>(testdata[[#This Row],[high]]+testdata[[#This Row],[low]])/2</f>
        <v>284.19499999999999</v>
      </c>
      <c r="I434" s="23">
        <f>(4*testdata[[#This Row],[price]]+3*H433+2*H432+H431)/10</f>
        <v>283.15950000000004</v>
      </c>
      <c r="J434" s="9">
        <f>(0.0962*testdata[[#This Row],[smooth]]+0.5769*I432-0.5769*I430-0.0962*I428)*(0.075*$Z433+0.54)</f>
        <v>0.93740966303933071</v>
      </c>
      <c r="K434" s="14">
        <f t="shared" si="18"/>
        <v>1.7658526659160272</v>
      </c>
      <c r="L434" s="14">
        <f>(0.0962*testdata[[#This Row],[detrender]]+0.5769*J432-0.5769*J430-0.0962*J428)*(0.075*$Z433+0.54)</f>
        <v>2.0934418121135931</v>
      </c>
      <c r="M434" s="9">
        <f>(0.0962*testdata[[#This Row],[I1]]+0.5769*K432-0.5769*K430-0.0962*K428)*(0.075*$Z433+0.54)</f>
        <v>2.3449142210408427</v>
      </c>
      <c r="N434" s="9">
        <f>(0.0962*testdata[[#This Row],[Q1]]+0.5769*L432-0.5769*L430-0.0962*L428)*(0.075*$Z433+0.54)</f>
        <v>2.5689455513790591</v>
      </c>
      <c r="O434" s="9">
        <f>testdata[[#This Row],[I1]]-testdata[[#This Row],[JQ]]</f>
        <v>-0.80309288546303192</v>
      </c>
      <c r="P434" s="9">
        <f>testdata[[#This Row],[Q1]]+testdata[[#This Row],[jI]]</f>
        <v>4.4383560331544363</v>
      </c>
      <c r="Q434" s="9">
        <f>0.2*testdata[[#This Row],[I2]]+0.8*Q433</f>
        <v>-1.6301123983257062</v>
      </c>
      <c r="R434" s="9">
        <f>0.2*testdata[[#This Row],[Q2]]+0.8*R433</f>
        <v>0.75981263892556716</v>
      </c>
      <c r="S434" s="9">
        <f>testdata[[#This Row],[I2'']]*Q433+testdata[[#This Row],[Q2'']]*R433</f>
        <v>2.87286442689709</v>
      </c>
      <c r="T434" s="9">
        <f>testdata[[#This Row],[I2'']]*R433-testdata[[#This Row],[Q2'']]*Q433</f>
        <v>1.6562047683056826</v>
      </c>
      <c r="U434" s="9">
        <f>0.2*testdata[[#This Row],[Re]]+0.8*U433</f>
        <v>5.0663955716242892</v>
      </c>
      <c r="V434" s="9">
        <f>0.2*testdata[[#This Row],[Im]]+0.8*V433</f>
        <v>2.123242970910705</v>
      </c>
      <c r="W434" s="9">
        <f>IF(AND(testdata[[#This Row],[Re'']]&lt;&gt;0,testdata[[#This Row],[Im'']]&lt;&gt;0),2*PI()/ATAN(testdata[[#This Row],[Im'']]/testdata[[#This Row],[Re'']]),0)</f>
        <v>15.832697392301654</v>
      </c>
      <c r="X434" s="9">
        <f>IF(testdata[[#This Row],[pd-atan]]&gt;1.5*Z433,1.5*Z433,IF(testdata[[#This Row],[pd-atan]]&lt;0.67*Z433,0.67*Z433,testdata[[#This Row],[pd-atan]]))</f>
        <v>15.832697392301654</v>
      </c>
      <c r="Y434" s="9">
        <f>IF(testdata[[#This Row],[pd-limit1]]&lt;6,6,IF(testdata[[#This Row],[pd-limit1]]&gt;50,50,testdata[[#This Row],[pd-limit1]]))</f>
        <v>15.832697392301654</v>
      </c>
      <c r="Z434" s="14">
        <f>0.2*testdata[[#This Row],[pd-limit2]]+0.8*Z433</f>
        <v>18.481442910803473</v>
      </c>
      <c r="AA434" s="14">
        <f>0.33*testdata[[#This Row],[period]]+0.67*AA433</f>
        <v>19.224005386786423</v>
      </c>
      <c r="AB434" s="31">
        <f>TRUNC(testdata[[#This Row],[SmPd]]+0.5,0)</f>
        <v>19</v>
      </c>
      <c r="AC434" s="14">
        <f ca="1">IF(testdata[[#This Row],[PdInt]]&lt;=0,0,AVERAGE(OFFSET(testdata[[#This Row],[price]],0,0,-testdata[[#This Row],[PdInt]],1)))</f>
        <v>281.32447368421049</v>
      </c>
      <c r="AD434" s="14">
        <f ca="1">IF(testdata[[#This Row],[i]]&lt;11,testdata[[#This Row],[price]],(4*testdata[[#This Row],[iTrend]]+3*AC433+2*AC432+AC431)/10)</f>
        <v>280.94341447368424</v>
      </c>
      <c r="AE434" s="14">
        <f>(4*testdata[[#This Row],[price]]+3*H433+2*H432+H431)/10</f>
        <v>283.15950000000004</v>
      </c>
      <c r="AF434" t="str">
        <f ca="1">IF(OR(ROUND(testdata[[#This Row],[Trendline]],4)&lt;&gt;Table3[[#This Row],[Trendline]],ROUND(testdata[[#This Row],[SmPrice]],4)&lt;&gt;Table3[[#This Row],[SmPrice]]),"ERR","")</f>
        <v/>
      </c>
      <c r="AG434" s="3">
        <v>43363</v>
      </c>
      <c r="AH434" s="14">
        <v>19.224</v>
      </c>
      <c r="AI434" s="34">
        <v>19</v>
      </c>
      <c r="AJ434" s="14">
        <v>281.3245</v>
      </c>
      <c r="AK434" s="14">
        <v>280.9434</v>
      </c>
      <c r="AL434" s="14">
        <v>283.15949999999998</v>
      </c>
      <c r="AN434" s="38">
        <f t="shared" si="19"/>
        <v>0</v>
      </c>
      <c r="AO434" s="38">
        <f t="shared" si="20"/>
        <v>0</v>
      </c>
      <c r="AQ434" s="37">
        <v>43363</v>
      </c>
      <c r="AR434">
        <v>19</v>
      </c>
      <c r="AS434">
        <v>280.94341447368402</v>
      </c>
      <c r="AT434">
        <v>283.15949999999998</v>
      </c>
      <c r="AV434" s="37">
        <v>43363</v>
      </c>
      <c r="AW434">
        <v>19</v>
      </c>
      <c r="AX434">
        <v>280.94341447368402</v>
      </c>
      <c r="AY434">
        <v>283.15949999999998</v>
      </c>
      <c r="BA434" s="38">
        <f>AX434-Table3[[#This Row],[Trendline]]</f>
        <v>1.4473684018412314E-5</v>
      </c>
      <c r="BB434" s="38">
        <f>AY434-Table3[[#This Row],[SmPrice]]</f>
        <v>0</v>
      </c>
    </row>
    <row r="435" spans="1:54" x14ac:dyDescent="0.35">
      <c r="A435" s="6">
        <v>433</v>
      </c>
      <c r="B435" s="3">
        <v>43364</v>
      </c>
      <c r="C435" s="2">
        <v>285.97000000000003</v>
      </c>
      <c r="D435" s="2">
        <v>286.10000000000002</v>
      </c>
      <c r="E435" s="2">
        <v>284.72000000000003</v>
      </c>
      <c r="F435" s="2">
        <v>284.89999999999998</v>
      </c>
      <c r="G435" s="1">
        <v>108104552</v>
      </c>
      <c r="H435" s="30">
        <f>(testdata[[#This Row],[high]]+testdata[[#This Row],[low]])/2</f>
        <v>285.41000000000003</v>
      </c>
      <c r="I435" s="23">
        <f>(4*testdata[[#This Row],[price]]+3*H434+2*H433+H432)/10</f>
        <v>284.22699999999998</v>
      </c>
      <c r="J435" s="9">
        <f>(0.0962*testdata[[#This Row],[smooth]]+0.5769*I433-0.5769*I431-0.0962*I429)*(0.075*$Z434+0.54)</f>
        <v>1.1742532235686434</v>
      </c>
      <c r="K435" s="14">
        <f t="shared" si="18"/>
        <v>2.1383069178257776</v>
      </c>
      <c r="L435" s="14">
        <f>(0.0962*testdata[[#This Row],[detrender]]+0.5769*J433-0.5769*J431-0.0962*J429)*(0.075*$Z434+0.54)</f>
        <v>-0.24488201239959997</v>
      </c>
      <c r="M435" s="9">
        <f>(0.0962*testdata[[#This Row],[I1]]+0.5769*K433-0.5769*K431-0.0962*K429)*(0.075*$Z434+0.54)</f>
        <v>2.3935978133727565</v>
      </c>
      <c r="N435" s="9">
        <f>(0.0962*testdata[[#This Row],[Q1]]+0.5769*L433-0.5769*L431-0.0962*L429)*(0.075*$Z434+0.54)</f>
        <v>0.3214902627353679</v>
      </c>
      <c r="O435" s="9">
        <f>testdata[[#This Row],[I1]]-testdata[[#This Row],[JQ]]</f>
        <v>1.8168166550904097</v>
      </c>
      <c r="P435" s="9">
        <f>testdata[[#This Row],[Q1]]+testdata[[#This Row],[jI]]</f>
        <v>2.1487158009731564</v>
      </c>
      <c r="Q435" s="9">
        <f>0.2*testdata[[#This Row],[I2]]+0.8*Q434</f>
        <v>-0.94072658764248307</v>
      </c>
      <c r="R435" s="9">
        <f>0.2*testdata[[#This Row],[Q2]]+0.8*R434</f>
        <v>1.0375932713350851</v>
      </c>
      <c r="S435" s="9">
        <f>testdata[[#This Row],[I2'']]*Q434+testdata[[#This Row],[Q2'']]*R434</f>
        <v>2.3218665555751685</v>
      </c>
      <c r="T435" s="9">
        <f>testdata[[#This Row],[I2'']]*R434-testdata[[#This Row],[Q2'']]*Q434</f>
        <v>0.97661770495857192</v>
      </c>
      <c r="U435" s="9">
        <f>0.2*testdata[[#This Row],[Re]]+0.8*U434</f>
        <v>4.5174897684144648</v>
      </c>
      <c r="V435" s="9">
        <f>0.2*testdata[[#This Row],[Im]]+0.8*V434</f>
        <v>1.8939179177202785</v>
      </c>
      <c r="W435" s="9">
        <f>IF(AND(testdata[[#This Row],[Re'']]&lt;&gt;0,testdata[[#This Row],[Im'']]&lt;&gt;0),2*PI()/ATAN(testdata[[#This Row],[Im'']]/testdata[[#This Row],[Re'']]),0)</f>
        <v>15.827348388813185</v>
      </c>
      <c r="X435" s="9">
        <f>IF(testdata[[#This Row],[pd-atan]]&gt;1.5*Z434,1.5*Z434,IF(testdata[[#This Row],[pd-atan]]&lt;0.67*Z434,0.67*Z434,testdata[[#This Row],[pd-atan]]))</f>
        <v>15.827348388813185</v>
      </c>
      <c r="Y435" s="9">
        <f>IF(testdata[[#This Row],[pd-limit1]]&lt;6,6,IF(testdata[[#This Row],[pd-limit1]]&gt;50,50,testdata[[#This Row],[pd-limit1]]))</f>
        <v>15.827348388813185</v>
      </c>
      <c r="Z435" s="14">
        <f>0.2*testdata[[#This Row],[pd-limit2]]+0.8*Z434</f>
        <v>17.950624006405416</v>
      </c>
      <c r="AA435" s="14">
        <f>0.33*testdata[[#This Row],[period]]+0.67*AA434</f>
        <v>18.803789531260691</v>
      </c>
      <c r="AB435" s="31">
        <f>TRUNC(testdata[[#This Row],[SmPd]]+0.5,0)</f>
        <v>19</v>
      </c>
      <c r="AC435" s="14">
        <f ca="1">IF(testdata[[#This Row],[PdInt]]&lt;=0,0,AVERAGE(OFFSET(testdata[[#This Row],[price]],0,0,-testdata[[#This Row],[PdInt]],1)))</f>
        <v>281.67263157894729</v>
      </c>
      <c r="AD435" s="14">
        <f ca="1">IF(testdata[[#This Row],[i]]&lt;11,testdata[[#This Row],[price]],(4*testdata[[#This Row],[iTrend]]+3*AC434+2*AC433+AC432)/10)</f>
        <v>281.29699473684207</v>
      </c>
      <c r="AE435" s="14">
        <f>(4*testdata[[#This Row],[price]]+3*H434+2*H433+H432)/10</f>
        <v>284.22699999999998</v>
      </c>
      <c r="AF435" t="str">
        <f ca="1">IF(OR(ROUND(testdata[[#This Row],[Trendline]],4)&lt;&gt;Table3[[#This Row],[Trendline]],ROUND(testdata[[#This Row],[SmPrice]],4)&lt;&gt;Table3[[#This Row],[SmPrice]]),"ERR","")</f>
        <v/>
      </c>
      <c r="AG435" s="3">
        <v>43364</v>
      </c>
      <c r="AH435" s="14">
        <v>18.803799999999999</v>
      </c>
      <c r="AI435" s="34">
        <v>19</v>
      </c>
      <c r="AJ435" s="14">
        <v>281.67259999999999</v>
      </c>
      <c r="AK435" s="14">
        <v>281.29700000000003</v>
      </c>
      <c r="AL435" s="14">
        <v>284.22699999999998</v>
      </c>
      <c r="AN435" s="38">
        <f t="shared" si="19"/>
        <v>0</v>
      </c>
      <c r="AO435" s="38">
        <f t="shared" si="20"/>
        <v>0</v>
      </c>
      <c r="AQ435" s="37">
        <v>43364</v>
      </c>
      <c r="AR435">
        <v>19</v>
      </c>
      <c r="AS435">
        <v>281.29699473684201</v>
      </c>
      <c r="AT435">
        <v>284.22699999999998</v>
      </c>
      <c r="AV435" s="37">
        <v>43364</v>
      </c>
      <c r="AW435">
        <v>19</v>
      </c>
      <c r="AX435">
        <v>281.29699473684201</v>
      </c>
      <c r="AY435">
        <v>284.22699999999998</v>
      </c>
      <c r="BA435" s="38">
        <f>AX435-Table3[[#This Row],[Trendline]]</f>
        <v>-5.2631580160777958E-6</v>
      </c>
      <c r="BB435" s="38">
        <f>AY435-Table3[[#This Row],[SmPrice]]</f>
        <v>0</v>
      </c>
    </row>
    <row r="436" spans="1:54" x14ac:dyDescent="0.35">
      <c r="A436" s="6">
        <v>434</v>
      </c>
      <c r="B436" s="3">
        <v>43367</v>
      </c>
      <c r="C436" s="2">
        <v>284.27</v>
      </c>
      <c r="D436" s="2">
        <v>284.42</v>
      </c>
      <c r="E436" s="2">
        <v>283.32</v>
      </c>
      <c r="F436" s="2">
        <v>283.95</v>
      </c>
      <c r="G436" s="1">
        <v>54738760</v>
      </c>
      <c r="H436" s="30">
        <f>(testdata[[#This Row],[high]]+testdata[[#This Row],[low]])/2</f>
        <v>283.87</v>
      </c>
      <c r="I436" s="23">
        <f>(4*testdata[[#This Row],[price]]+3*H435+2*H434+H433)/10</f>
        <v>284.3005</v>
      </c>
      <c r="J436" s="9">
        <f>(0.0962*testdata[[#This Row],[smooth]]+0.5769*I434-0.5769*I432-0.0962*I430)*(0.075*$Z435+0.54)</f>
        <v>1.6630199980605389</v>
      </c>
      <c r="K436" s="14">
        <f t="shared" si="18"/>
        <v>1.3419174931959854</v>
      </c>
      <c r="L436" s="14">
        <f>(0.0962*testdata[[#This Row],[detrender]]+0.5769*J434-0.5769*J432-0.0962*J430)*(0.075*$Z435+0.54)</f>
        <v>-1.1160461329387654</v>
      </c>
      <c r="M436" s="9">
        <f>(0.0962*testdata[[#This Row],[I1]]+0.5769*K434-0.5769*K432-0.0962*K430)*(0.075*$Z435+0.54)</f>
        <v>2.506998779543987</v>
      </c>
      <c r="N436" s="9">
        <f>(0.0962*testdata[[#This Row],[Q1]]+0.5769*L434-0.5769*L432-0.0962*L430)*(0.075*$Z435+0.54)</f>
        <v>-0.88809400518187398</v>
      </c>
      <c r="O436" s="9">
        <f>testdata[[#This Row],[I1]]-testdata[[#This Row],[JQ]]</f>
        <v>2.2300114983778592</v>
      </c>
      <c r="P436" s="9">
        <f>testdata[[#This Row],[Q1]]+testdata[[#This Row],[jI]]</f>
        <v>1.3909526466052216</v>
      </c>
      <c r="Q436" s="9">
        <f>0.2*testdata[[#This Row],[I2]]+0.8*Q435</f>
        <v>-0.30657897043841459</v>
      </c>
      <c r="R436" s="9">
        <f>0.2*testdata[[#This Row],[Q2]]+0.8*R435</f>
        <v>1.1082651463891124</v>
      </c>
      <c r="S436" s="9">
        <f>testdata[[#This Row],[I2'']]*Q435+testdata[[#This Row],[Q2'']]*R435</f>
        <v>1.4383354474520116</v>
      </c>
      <c r="T436" s="9">
        <f>testdata[[#This Row],[I2'']]*R435-testdata[[#This Row],[Q2'']]*Q435</f>
        <v>0.72447021250598986</v>
      </c>
      <c r="U436" s="9">
        <f>0.2*testdata[[#This Row],[Re]]+0.8*U435</f>
        <v>3.901658904221974</v>
      </c>
      <c r="V436" s="9">
        <f>0.2*testdata[[#This Row],[Im]]+0.8*V435</f>
        <v>1.6600283766774209</v>
      </c>
      <c r="W436" s="9">
        <f>IF(AND(testdata[[#This Row],[Re'']]&lt;&gt;0,testdata[[#This Row],[Im'']]&lt;&gt;0),2*PI()/ATAN(testdata[[#This Row],[Im'']]/testdata[[#This Row],[Re'']]),0)</f>
        <v>15.619463029476654</v>
      </c>
      <c r="X436" s="9">
        <f>IF(testdata[[#This Row],[pd-atan]]&gt;1.5*Z435,1.5*Z435,IF(testdata[[#This Row],[pd-atan]]&lt;0.67*Z435,0.67*Z435,testdata[[#This Row],[pd-atan]]))</f>
        <v>15.619463029476654</v>
      </c>
      <c r="Y436" s="9">
        <f>IF(testdata[[#This Row],[pd-limit1]]&lt;6,6,IF(testdata[[#This Row],[pd-limit1]]&gt;50,50,testdata[[#This Row],[pd-limit1]]))</f>
        <v>15.619463029476654</v>
      </c>
      <c r="Z436" s="14">
        <f>0.2*testdata[[#This Row],[pd-limit2]]+0.8*Z435</f>
        <v>17.484391811019666</v>
      </c>
      <c r="AA436" s="14">
        <f>0.33*testdata[[#This Row],[period]]+0.67*AA435</f>
        <v>18.368388283581154</v>
      </c>
      <c r="AB436" s="31">
        <f>TRUNC(testdata[[#This Row],[SmPd]]+0.5,0)</f>
        <v>18</v>
      </c>
      <c r="AC436" s="14">
        <f ca="1">IF(testdata[[#This Row],[PdInt]]&lt;=0,0,AVERAGE(OFFSET(testdata[[#This Row],[price]],0,0,-testdata[[#This Row],[PdInt]],1)))</f>
        <v>281.83666666666664</v>
      </c>
      <c r="AD436" s="14">
        <f ca="1">IF(testdata[[#This Row],[i]]&lt;11,testdata[[#This Row],[price]],(4*testdata[[#This Row],[iTrend]]+3*AC435+2*AC434+AC433)/10)</f>
        <v>281.58590087719296</v>
      </c>
      <c r="AE436" s="14">
        <f>(4*testdata[[#This Row],[price]]+3*H435+2*H434+H433)/10</f>
        <v>284.3005</v>
      </c>
      <c r="AF436" t="str">
        <f ca="1">IF(OR(ROUND(testdata[[#This Row],[Trendline]],4)&lt;&gt;Table3[[#This Row],[Trendline]],ROUND(testdata[[#This Row],[SmPrice]],4)&lt;&gt;Table3[[#This Row],[SmPrice]]),"ERR","")</f>
        <v/>
      </c>
      <c r="AG436" s="3">
        <v>43367</v>
      </c>
      <c r="AH436" s="14">
        <v>18.368400000000001</v>
      </c>
      <c r="AI436" s="34">
        <v>18</v>
      </c>
      <c r="AJ436" s="14">
        <v>281.83670000000001</v>
      </c>
      <c r="AK436" s="14">
        <v>281.58589999999998</v>
      </c>
      <c r="AL436" s="14">
        <v>284.3005</v>
      </c>
      <c r="AN436" s="38">
        <f t="shared" si="19"/>
        <v>0</v>
      </c>
      <c r="AO436" s="38">
        <f t="shared" si="20"/>
        <v>0</v>
      </c>
      <c r="AQ436" s="37">
        <v>43367</v>
      </c>
      <c r="AR436">
        <v>18</v>
      </c>
      <c r="AS436">
        <v>281.58590087719199</v>
      </c>
      <c r="AT436">
        <v>284.3005</v>
      </c>
      <c r="AV436" s="37">
        <v>43367</v>
      </c>
      <c r="AW436">
        <v>18</v>
      </c>
      <c r="AX436">
        <v>281.58590087719199</v>
      </c>
      <c r="AY436">
        <v>284.3005</v>
      </c>
      <c r="BA436" s="38">
        <f>AX436-Table3[[#This Row],[Trendline]]</f>
        <v>8.7719200791980256E-7</v>
      </c>
      <c r="BB436" s="38">
        <f>AY436-Table3[[#This Row],[SmPrice]]</f>
        <v>0</v>
      </c>
    </row>
    <row r="437" spans="1:54" x14ac:dyDescent="0.35">
      <c r="A437" s="6">
        <v>435</v>
      </c>
      <c r="B437" s="3">
        <v>43368</v>
      </c>
      <c r="C437" s="2">
        <v>284.45</v>
      </c>
      <c r="D437" s="2">
        <v>284.57</v>
      </c>
      <c r="E437" s="2">
        <v>283.43</v>
      </c>
      <c r="F437" s="2">
        <v>283.69</v>
      </c>
      <c r="G437" s="1">
        <v>45474200</v>
      </c>
      <c r="H437" s="30">
        <f>(testdata[[#This Row],[high]]+testdata[[#This Row],[low]])/2</f>
        <v>284</v>
      </c>
      <c r="I437" s="23">
        <f>(4*testdata[[#This Row],[price]]+3*H436+2*H435+H434)/10</f>
        <v>284.26250000000005</v>
      </c>
      <c r="J437" s="9">
        <f>(0.0962*testdata[[#This Row],[smooth]]+0.5769*I435-0.5769*I433-0.0962*I431)*(0.075*$Z436+0.54)</f>
        <v>2.3929706952089238</v>
      </c>
      <c r="K437" s="14">
        <f t="shared" si="18"/>
        <v>0.93740966303933071</v>
      </c>
      <c r="L437" s="14">
        <f>(0.0962*testdata[[#This Row],[detrender]]+0.5769*J435-0.5769*J433-0.0962*J431)*(0.075*$Z436+0.54)</f>
        <v>-6.7382396391071436E-2</v>
      </c>
      <c r="M437" s="9">
        <f>(0.0962*testdata[[#This Row],[I1]]+0.5769*K435-0.5769*K433-0.0962*K431)*(0.075*$Z436+0.54)</f>
        <v>1.9615876519549054</v>
      </c>
      <c r="N437" s="9">
        <f>(0.0962*testdata[[#This Row],[Q1]]+0.5769*L435-0.5769*L433-0.0962*L431)*(0.075*$Z436+0.54)</f>
        <v>-3.5852760007494631</v>
      </c>
      <c r="O437" s="9">
        <f>testdata[[#This Row],[I1]]-testdata[[#This Row],[JQ]]</f>
        <v>4.5226856637887938</v>
      </c>
      <c r="P437" s="9">
        <f>testdata[[#This Row],[Q1]]+testdata[[#This Row],[jI]]</f>
        <v>1.894205255563834</v>
      </c>
      <c r="Q437" s="9">
        <f>0.2*testdata[[#This Row],[I2]]+0.8*Q436</f>
        <v>0.65927395640702713</v>
      </c>
      <c r="R437" s="9">
        <f>0.2*testdata[[#This Row],[Q2]]+0.8*R436</f>
        <v>1.2654531682240568</v>
      </c>
      <c r="S437" s="9">
        <f>testdata[[#This Row],[I2'']]*Q436+testdata[[#This Row],[Q2'']]*R436</f>
        <v>1.2003381099382739</v>
      </c>
      <c r="T437" s="9">
        <f>testdata[[#This Row],[I2'']]*R436-testdata[[#This Row],[Q2'']]*Q436</f>
        <v>1.1186116772601244</v>
      </c>
      <c r="U437" s="9">
        <f>0.2*testdata[[#This Row],[Re]]+0.8*U436</f>
        <v>3.3613947453652342</v>
      </c>
      <c r="V437" s="9">
        <f>0.2*testdata[[#This Row],[Im]]+0.8*V436</f>
        <v>1.5517450367939616</v>
      </c>
      <c r="W437" s="9">
        <f>IF(AND(testdata[[#This Row],[Re'']]&lt;&gt;0,testdata[[#This Row],[Im'']]&lt;&gt;0),2*PI()/ATAN(testdata[[#This Row],[Im'']]/testdata[[#This Row],[Re'']]),0)</f>
        <v>14.527958351152485</v>
      </c>
      <c r="X437" s="9">
        <f>IF(testdata[[#This Row],[pd-atan]]&gt;1.5*Z436,1.5*Z436,IF(testdata[[#This Row],[pd-atan]]&lt;0.67*Z436,0.67*Z436,testdata[[#This Row],[pd-atan]]))</f>
        <v>14.527958351152485</v>
      </c>
      <c r="Y437" s="9">
        <f>IF(testdata[[#This Row],[pd-limit1]]&lt;6,6,IF(testdata[[#This Row],[pd-limit1]]&gt;50,50,testdata[[#This Row],[pd-limit1]]))</f>
        <v>14.527958351152485</v>
      </c>
      <c r="Z437" s="14">
        <f>0.2*testdata[[#This Row],[pd-limit2]]+0.8*Z436</f>
        <v>16.893105119046229</v>
      </c>
      <c r="AA437" s="14">
        <f>0.33*testdata[[#This Row],[period]]+0.67*AA436</f>
        <v>17.881544839284629</v>
      </c>
      <c r="AB437" s="31">
        <f>TRUNC(testdata[[#This Row],[SmPd]]+0.5,0)</f>
        <v>18</v>
      </c>
      <c r="AC437" s="14">
        <f ca="1">IF(testdata[[#This Row],[PdInt]]&lt;=0,0,AVERAGE(OFFSET(testdata[[#This Row],[price]],0,0,-testdata[[#This Row],[PdInt]],1)))</f>
        <v>281.92166666666662</v>
      </c>
      <c r="AD437" s="14">
        <f ca="1">IF(testdata[[#This Row],[i]]&lt;11,testdata[[#This Row],[price]],(4*testdata[[#This Row],[iTrend]]+3*AC436+2*AC435+AC434)/10)</f>
        <v>281.78664035087712</v>
      </c>
      <c r="AE437" s="14">
        <f>(4*testdata[[#This Row],[price]]+3*H436+2*H435+H434)/10</f>
        <v>284.26250000000005</v>
      </c>
      <c r="AF437" t="str">
        <f ca="1">IF(OR(ROUND(testdata[[#This Row],[Trendline]],4)&lt;&gt;Table3[[#This Row],[Trendline]],ROUND(testdata[[#This Row],[SmPrice]],4)&lt;&gt;Table3[[#This Row],[SmPrice]]),"ERR","")</f>
        <v/>
      </c>
      <c r="AG437" s="3">
        <v>43368</v>
      </c>
      <c r="AH437" s="14">
        <v>17.881499999999999</v>
      </c>
      <c r="AI437" s="34">
        <v>18</v>
      </c>
      <c r="AJ437" s="14">
        <v>281.92169999999999</v>
      </c>
      <c r="AK437" s="14">
        <v>281.78660000000002</v>
      </c>
      <c r="AL437" s="14">
        <v>284.26249999999999</v>
      </c>
      <c r="AN437" s="38">
        <f t="shared" si="19"/>
        <v>0</v>
      </c>
      <c r="AO437" s="38">
        <f t="shared" si="20"/>
        <v>0</v>
      </c>
      <c r="AQ437" s="37">
        <v>43368</v>
      </c>
      <c r="AR437">
        <v>18</v>
      </c>
      <c r="AS437">
        <v>281.78664035087701</v>
      </c>
      <c r="AT437">
        <v>284.26249999999999</v>
      </c>
      <c r="AV437" s="37">
        <v>43368</v>
      </c>
      <c r="AW437">
        <v>18</v>
      </c>
      <c r="AX437">
        <v>281.78664035087701</v>
      </c>
      <c r="AY437">
        <v>284.26249999999999</v>
      </c>
      <c r="BA437" s="38">
        <f>AX437-Table3[[#This Row],[Trendline]]</f>
        <v>4.0350876986394724E-5</v>
      </c>
      <c r="BB437" s="38">
        <f>AY437-Table3[[#This Row],[SmPrice]]</f>
        <v>0</v>
      </c>
    </row>
    <row r="438" spans="1:54" x14ac:dyDescent="0.35">
      <c r="A438" s="6">
        <v>436</v>
      </c>
      <c r="B438" s="3">
        <v>43369</v>
      </c>
      <c r="C438" s="2">
        <v>283.85000000000002</v>
      </c>
      <c r="D438" s="2">
        <v>285.14</v>
      </c>
      <c r="E438" s="2">
        <v>282.38</v>
      </c>
      <c r="F438" s="2">
        <v>282.83999999999997</v>
      </c>
      <c r="G438" s="1">
        <v>81724024</v>
      </c>
      <c r="H438" s="30">
        <f>(testdata[[#This Row],[high]]+testdata[[#This Row],[low]])/2</f>
        <v>283.76</v>
      </c>
      <c r="I438" s="23">
        <f>(4*testdata[[#This Row],[price]]+3*H437+2*H436+H435)/10</f>
        <v>284.01899999999995</v>
      </c>
      <c r="J438" s="9">
        <f>(0.0962*testdata[[#This Row],[smooth]]+0.5769*I436-0.5769*I434-0.0962*I432)*(0.075*$Z437+0.54)</f>
        <v>1.5297093111142859</v>
      </c>
      <c r="K438" s="14">
        <f t="shared" si="18"/>
        <v>1.1742532235686434</v>
      </c>
      <c r="L438" s="14">
        <f>(0.0962*testdata[[#This Row],[detrender]]+0.5769*J436-0.5769*J434-0.0962*J432)*(0.075*$Z437+0.54)</f>
        <v>0.65061776233197788</v>
      </c>
      <c r="M438" s="9">
        <f>(0.0962*testdata[[#This Row],[I1]]+0.5769*K436-0.5769*K434-0.0962*K432)*(0.075*$Z437+0.54)</f>
        <v>-0.22973662683202237</v>
      </c>
      <c r="N438" s="9">
        <f>(0.0962*testdata[[#This Row],[Q1]]+0.5769*L436-0.5769*L434-0.0962*L432)*(0.075*$Z437+0.54)</f>
        <v>-3.6776210946493397</v>
      </c>
      <c r="O438" s="9">
        <f>testdata[[#This Row],[I1]]-testdata[[#This Row],[JQ]]</f>
        <v>4.8518743182179831</v>
      </c>
      <c r="P438" s="9">
        <f>testdata[[#This Row],[Q1]]+testdata[[#This Row],[jI]]</f>
        <v>0.42088113549995554</v>
      </c>
      <c r="Q438" s="9">
        <f>0.2*testdata[[#This Row],[I2]]+0.8*Q437</f>
        <v>1.4977940287692184</v>
      </c>
      <c r="R438" s="9">
        <f>0.2*testdata[[#This Row],[Q2]]+0.8*R437</f>
        <v>1.0965387616792366</v>
      </c>
      <c r="S438" s="9">
        <f>testdata[[#This Row],[I2'']]*Q437+testdata[[#This Row],[Q2'']]*R437</f>
        <v>2.3750750452769771</v>
      </c>
      <c r="T438" s="9">
        <f>testdata[[#This Row],[I2'']]*R437-testdata[[#This Row],[Q2'']]*Q437</f>
        <v>1.1724687512871492</v>
      </c>
      <c r="U438" s="9">
        <f>0.2*testdata[[#This Row],[Re]]+0.8*U437</f>
        <v>3.164130805347583</v>
      </c>
      <c r="V438" s="9">
        <f>0.2*testdata[[#This Row],[Im]]+0.8*V437</f>
        <v>1.4758897796925992</v>
      </c>
      <c r="W438" s="9">
        <f>IF(AND(testdata[[#This Row],[Re'']]&lt;&gt;0,testdata[[#This Row],[Im'']]&lt;&gt;0),2*PI()/ATAN(testdata[[#This Row],[Im'']]/testdata[[#This Row],[Re'']]),0)</f>
        <v>14.396305619867556</v>
      </c>
      <c r="X438" s="9">
        <f>IF(testdata[[#This Row],[pd-atan]]&gt;1.5*Z437,1.5*Z437,IF(testdata[[#This Row],[pd-atan]]&lt;0.67*Z437,0.67*Z437,testdata[[#This Row],[pd-atan]]))</f>
        <v>14.396305619867556</v>
      </c>
      <c r="Y438" s="9">
        <f>IF(testdata[[#This Row],[pd-limit1]]&lt;6,6,IF(testdata[[#This Row],[pd-limit1]]&gt;50,50,testdata[[#This Row],[pd-limit1]]))</f>
        <v>14.396305619867556</v>
      </c>
      <c r="Z438" s="14">
        <f>0.2*testdata[[#This Row],[pd-limit2]]+0.8*Z437</f>
        <v>16.393745219210494</v>
      </c>
      <c r="AA438" s="14">
        <f>0.33*testdata[[#This Row],[period]]+0.67*AA437</f>
        <v>17.390570964660167</v>
      </c>
      <c r="AB438" s="31">
        <f>TRUNC(testdata[[#This Row],[SmPd]]+0.5,0)</f>
        <v>17</v>
      </c>
      <c r="AC438" s="14">
        <f ca="1">IF(testdata[[#This Row],[PdInt]]&lt;=0,0,AVERAGE(OFFSET(testdata[[#This Row],[price]],0,0,-testdata[[#This Row],[PdInt]],1)))</f>
        <v>282.02705882352944</v>
      </c>
      <c r="AD438" s="14">
        <f ca="1">IF(testdata[[#This Row],[i]]&lt;11,testdata[[#This Row],[price]],(4*testdata[[#This Row],[iTrend]]+3*AC437+2*AC436+AC435)/10)</f>
        <v>281.92192002063985</v>
      </c>
      <c r="AE438" s="14">
        <f>(4*testdata[[#This Row],[price]]+3*H437+2*H436+H435)/10</f>
        <v>284.01899999999995</v>
      </c>
      <c r="AF438" t="str">
        <f ca="1">IF(OR(ROUND(testdata[[#This Row],[Trendline]],4)&lt;&gt;Table3[[#This Row],[Trendline]],ROUND(testdata[[#This Row],[SmPrice]],4)&lt;&gt;Table3[[#This Row],[SmPrice]]),"ERR","")</f>
        <v/>
      </c>
      <c r="AG438" s="3">
        <v>43369</v>
      </c>
      <c r="AH438" s="14">
        <v>17.390599999999999</v>
      </c>
      <c r="AI438" s="34">
        <v>17</v>
      </c>
      <c r="AJ438" s="14">
        <v>282.02710000000002</v>
      </c>
      <c r="AK438" s="14">
        <v>281.92189999999999</v>
      </c>
      <c r="AL438" s="14">
        <v>284.01900000000001</v>
      </c>
      <c r="AN438" s="38">
        <f t="shared" si="19"/>
        <v>0</v>
      </c>
      <c r="AO438" s="38">
        <f t="shared" si="20"/>
        <v>0</v>
      </c>
      <c r="AQ438" s="37">
        <v>43369</v>
      </c>
      <c r="AR438">
        <v>17</v>
      </c>
      <c r="AS438">
        <v>281.92192002063899</v>
      </c>
      <c r="AT438">
        <v>284.01899999999898</v>
      </c>
      <c r="AV438" s="37">
        <v>43369</v>
      </c>
      <c r="AW438">
        <v>17</v>
      </c>
      <c r="AX438">
        <v>281.92192002063899</v>
      </c>
      <c r="AY438">
        <v>284.01899999999898</v>
      </c>
      <c r="BA438" s="38">
        <f>AX438-Table3[[#This Row],[Trendline]]</f>
        <v>2.0020638999085349E-5</v>
      </c>
      <c r="BB438" s="38">
        <f>AY438-Table3[[#This Row],[SmPrice]]</f>
        <v>-1.0231815394945443E-12</v>
      </c>
    </row>
    <row r="439" spans="1:54" x14ac:dyDescent="0.35">
      <c r="A439" s="6">
        <v>437</v>
      </c>
      <c r="B439" s="3">
        <v>43370</v>
      </c>
      <c r="C439" s="2">
        <v>283.36</v>
      </c>
      <c r="D439" s="2">
        <v>284.82</v>
      </c>
      <c r="E439" s="2">
        <v>283.06</v>
      </c>
      <c r="F439" s="2">
        <v>283.63</v>
      </c>
      <c r="G439" s="1">
        <v>60723896</v>
      </c>
      <c r="H439" s="30">
        <f>(testdata[[#This Row],[high]]+testdata[[#This Row],[low]])/2</f>
        <v>283.94</v>
      </c>
      <c r="I439" s="23">
        <f>(4*testdata[[#This Row],[price]]+3*H438+2*H437+H436)/10</f>
        <v>283.89099999999996</v>
      </c>
      <c r="J439" s="9">
        <f>(0.0962*testdata[[#This Row],[smooth]]+0.5769*I437-0.5769*I435-0.0962*I433)*(0.075*$Z438+0.54)</f>
        <v>0.29200878399451657</v>
      </c>
      <c r="K439" s="14">
        <f t="shared" si="18"/>
        <v>1.6630199980605389</v>
      </c>
      <c r="L439" s="14">
        <f>(0.0962*testdata[[#This Row],[detrender]]+0.5769*J437-0.5769*J435-0.0962*J433)*(0.075*$Z438+0.54)</f>
        <v>1.0653936586453139</v>
      </c>
      <c r="M439" s="9">
        <f>(0.0962*testdata[[#This Row],[I1]]+0.5769*K437-0.5769*K435-0.0962*K433)*(0.075*$Z438+0.54)</f>
        <v>-1.0469604295597652</v>
      </c>
      <c r="N439" s="9">
        <f>(0.0962*testdata[[#This Row],[Q1]]+0.5769*L437-0.5769*L435-0.0962*L433)*(0.075*$Z438+0.54)</f>
        <v>-9.5440128193533216E-2</v>
      </c>
      <c r="O439" s="9">
        <f>testdata[[#This Row],[I1]]-testdata[[#This Row],[JQ]]</f>
        <v>1.7584601262540722</v>
      </c>
      <c r="P439" s="9">
        <f>testdata[[#This Row],[Q1]]+testdata[[#This Row],[jI]]</f>
        <v>1.8433229085548675E-2</v>
      </c>
      <c r="Q439" s="9">
        <f>0.2*testdata[[#This Row],[I2]]+0.8*Q438</f>
        <v>1.5499272482661892</v>
      </c>
      <c r="R439" s="9">
        <f>0.2*testdata[[#This Row],[Q2]]+0.8*R438</f>
        <v>0.88091765516049902</v>
      </c>
      <c r="S439" s="9">
        <f>testdata[[#This Row],[I2'']]*Q438+testdata[[#This Row],[Q2'']]*R438</f>
        <v>3.2874321322108742</v>
      </c>
      <c r="T439" s="9">
        <f>testdata[[#This Row],[I2'']]*R438-testdata[[#This Row],[Q2'']]*Q438</f>
        <v>0.38012210176993699</v>
      </c>
      <c r="U439" s="9">
        <f>0.2*testdata[[#This Row],[Re]]+0.8*U438</f>
        <v>3.1887910707202414</v>
      </c>
      <c r="V439" s="9">
        <f>0.2*testdata[[#This Row],[Im]]+0.8*V438</f>
        <v>1.2567362441080669</v>
      </c>
      <c r="W439" s="9">
        <f>IF(AND(testdata[[#This Row],[Re'']]&lt;&gt;0,testdata[[#This Row],[Im'']]&lt;&gt;0),2*PI()/ATAN(testdata[[#This Row],[Im'']]/testdata[[#This Row],[Re'']]),0)</f>
        <v>16.736461132737364</v>
      </c>
      <c r="X439" s="9">
        <f>IF(testdata[[#This Row],[pd-atan]]&gt;1.5*Z438,1.5*Z438,IF(testdata[[#This Row],[pd-atan]]&lt;0.67*Z438,0.67*Z438,testdata[[#This Row],[pd-atan]]))</f>
        <v>16.736461132737364</v>
      </c>
      <c r="Y439" s="9">
        <f>IF(testdata[[#This Row],[pd-limit1]]&lt;6,6,IF(testdata[[#This Row],[pd-limit1]]&gt;50,50,testdata[[#This Row],[pd-limit1]]))</f>
        <v>16.736461132737364</v>
      </c>
      <c r="Z439" s="14">
        <f>0.2*testdata[[#This Row],[pd-limit2]]+0.8*Z438</f>
        <v>16.46228840191587</v>
      </c>
      <c r="AA439" s="14">
        <f>0.33*testdata[[#This Row],[period]]+0.67*AA438</f>
        <v>17.084237718954551</v>
      </c>
      <c r="AB439" s="31">
        <f>TRUNC(testdata[[#This Row],[SmPd]]+0.5,0)</f>
        <v>17</v>
      </c>
      <c r="AC439" s="14">
        <f ca="1">IF(testdata[[#This Row],[PdInt]]&lt;=0,0,AVERAGE(OFFSET(testdata[[#This Row],[price]],0,0,-testdata[[#This Row],[PdInt]],1)))</f>
        <v>282.19147058823529</v>
      </c>
      <c r="AD439" s="14">
        <f ca="1">IF(testdata[[#This Row],[i]]&lt;11,testdata[[#This Row],[price]],(4*testdata[[#This Row],[iTrend]]+3*AC438+2*AC437+AC436)/10)</f>
        <v>282.05270588235294</v>
      </c>
      <c r="AE439" s="14">
        <f>(4*testdata[[#This Row],[price]]+3*H438+2*H437+H436)/10</f>
        <v>283.89099999999996</v>
      </c>
      <c r="AF439" t="str">
        <f ca="1">IF(OR(ROUND(testdata[[#This Row],[Trendline]],4)&lt;&gt;Table3[[#This Row],[Trendline]],ROUND(testdata[[#This Row],[SmPrice]],4)&lt;&gt;Table3[[#This Row],[SmPrice]]),"ERR","")</f>
        <v/>
      </c>
      <c r="AG439" s="3">
        <v>43370</v>
      </c>
      <c r="AH439" s="14">
        <v>17.084199999999999</v>
      </c>
      <c r="AI439" s="34">
        <v>17</v>
      </c>
      <c r="AJ439" s="14">
        <v>282.19150000000002</v>
      </c>
      <c r="AK439" s="14">
        <v>282.05270000000002</v>
      </c>
      <c r="AL439" s="14">
        <v>283.89100000000002</v>
      </c>
      <c r="AN439" s="38">
        <f t="shared" si="19"/>
        <v>0</v>
      </c>
      <c r="AO439" s="38">
        <f t="shared" si="20"/>
        <v>0</v>
      </c>
      <c r="AQ439" s="37">
        <v>43370</v>
      </c>
      <c r="AR439">
        <v>17</v>
      </c>
      <c r="AS439">
        <v>282.05270588235197</v>
      </c>
      <c r="AT439">
        <v>283.890999999999</v>
      </c>
      <c r="AV439" s="37">
        <v>43370</v>
      </c>
      <c r="AW439">
        <v>17</v>
      </c>
      <c r="AX439">
        <v>282.05270588235197</v>
      </c>
      <c r="AY439">
        <v>283.890999999999</v>
      </c>
      <c r="BA439" s="38">
        <f>AX439-Table3[[#This Row],[Trendline]]</f>
        <v>5.882351956643106E-6</v>
      </c>
      <c r="BB439" s="38">
        <f>AY439-Table3[[#This Row],[SmPrice]]</f>
        <v>-1.0231815394945443E-12</v>
      </c>
    </row>
    <row r="440" spans="1:54" x14ac:dyDescent="0.35">
      <c r="A440" s="6">
        <v>438</v>
      </c>
      <c r="B440" s="3">
        <v>43371</v>
      </c>
      <c r="C440" s="2">
        <v>282.95</v>
      </c>
      <c r="D440" s="2">
        <v>284.20999999999998</v>
      </c>
      <c r="E440" s="2">
        <v>282.91000000000003</v>
      </c>
      <c r="F440" s="2">
        <v>283.66000000000003</v>
      </c>
      <c r="G440" s="1">
        <v>71835632</v>
      </c>
      <c r="H440" s="30">
        <f>(testdata[[#This Row],[high]]+testdata[[#This Row],[low]])/2</f>
        <v>283.56</v>
      </c>
      <c r="I440" s="23">
        <f>(4*testdata[[#This Row],[price]]+3*H439+2*H438+H437)/10</f>
        <v>283.75799999999998</v>
      </c>
      <c r="J440" s="9">
        <f>(0.0962*testdata[[#This Row],[smooth]]+0.5769*I438-0.5769*I436-0.0962*I434)*(0.075*$Z439+0.54)</f>
        <v>-0.18602400847991102</v>
      </c>
      <c r="K440" s="14">
        <f t="shared" si="18"/>
        <v>2.3929706952089238</v>
      </c>
      <c r="L440" s="14">
        <f>(0.0962*testdata[[#This Row],[detrender]]+0.5769*J438-0.5769*J436-0.0962*J434)*(0.075*$Z439+0.54)</f>
        <v>-0.32828098446855397</v>
      </c>
      <c r="M440" s="9">
        <f>(0.0962*testdata[[#This Row],[I1]]+0.5769*K438-0.5769*K436-0.0962*K434)*(0.075*$Z439+0.54)</f>
        <v>-6.4592302246067976E-2</v>
      </c>
      <c r="N440" s="9">
        <f>(0.0962*testdata[[#This Row],[Q1]]+0.5769*L438-0.5769*L436-0.0962*L434)*(0.075*$Z439+0.54)</f>
        <v>1.3952799654560297</v>
      </c>
      <c r="O440" s="9">
        <f>testdata[[#This Row],[I1]]-testdata[[#This Row],[JQ]]</f>
        <v>0.99769072975289408</v>
      </c>
      <c r="P440" s="9">
        <f>testdata[[#This Row],[Q1]]+testdata[[#This Row],[jI]]</f>
        <v>-0.39287328671462196</v>
      </c>
      <c r="Q440" s="9">
        <f>0.2*testdata[[#This Row],[I2]]+0.8*Q439</f>
        <v>1.4394799445635305</v>
      </c>
      <c r="R440" s="9">
        <f>0.2*testdata[[#This Row],[Q2]]+0.8*R439</f>
        <v>0.62615946678547485</v>
      </c>
      <c r="S440" s="9">
        <f>testdata[[#This Row],[I2'']]*Q439+testdata[[#This Row],[Q2'']]*R439</f>
        <v>2.7826841186489286</v>
      </c>
      <c r="T440" s="9">
        <f>testdata[[#This Row],[I2'']]*R439-testdata[[#This Row],[Q2'']]*Q439</f>
        <v>0.29756167808483502</v>
      </c>
      <c r="U440" s="9">
        <f>0.2*testdata[[#This Row],[Re]]+0.8*U439</f>
        <v>3.1075696803059789</v>
      </c>
      <c r="V440" s="9">
        <f>0.2*testdata[[#This Row],[Im]]+0.8*V439</f>
        <v>1.0649013309034205</v>
      </c>
      <c r="W440" s="9">
        <f>IF(AND(testdata[[#This Row],[Re'']]&lt;&gt;0,testdata[[#This Row],[Im'']]&lt;&gt;0),2*PI()/ATAN(testdata[[#This Row],[Im'']]/testdata[[#This Row],[Re'']]),0)</f>
        <v>19.03195917031384</v>
      </c>
      <c r="X440" s="9">
        <f>IF(testdata[[#This Row],[pd-atan]]&gt;1.5*Z439,1.5*Z439,IF(testdata[[#This Row],[pd-atan]]&lt;0.67*Z439,0.67*Z439,testdata[[#This Row],[pd-atan]]))</f>
        <v>19.03195917031384</v>
      </c>
      <c r="Y440" s="9">
        <f>IF(testdata[[#This Row],[pd-limit1]]&lt;6,6,IF(testdata[[#This Row],[pd-limit1]]&gt;50,50,testdata[[#This Row],[pd-limit1]]))</f>
        <v>19.03195917031384</v>
      </c>
      <c r="Z440" s="14">
        <f>0.2*testdata[[#This Row],[pd-limit2]]+0.8*Z439</f>
        <v>16.976222555595466</v>
      </c>
      <c r="AA440" s="14">
        <f>0.33*testdata[[#This Row],[period]]+0.67*AA439</f>
        <v>17.048592715046055</v>
      </c>
      <c r="AB440" s="31">
        <f>TRUNC(testdata[[#This Row],[SmPd]]+0.5,0)</f>
        <v>17</v>
      </c>
      <c r="AC440" s="14">
        <f ca="1">IF(testdata[[#This Row],[PdInt]]&lt;=0,0,AVERAGE(OFFSET(testdata[[#This Row],[price]],0,0,-testdata[[#This Row],[PdInt]],1)))</f>
        <v>282.37264705882353</v>
      </c>
      <c r="AD440" s="14">
        <f ca="1">IF(testdata[[#This Row],[i]]&lt;11,testdata[[#This Row],[price]],(4*testdata[[#This Row],[iTrend]]+3*AC439+2*AC438+AC437)/10)</f>
        <v>282.20407843137252</v>
      </c>
      <c r="AE440" s="14">
        <f>(4*testdata[[#This Row],[price]]+3*H439+2*H438+H437)/10</f>
        <v>283.75799999999998</v>
      </c>
      <c r="AF440" t="str">
        <f ca="1">IF(OR(ROUND(testdata[[#This Row],[Trendline]],4)&lt;&gt;Table3[[#This Row],[Trendline]],ROUND(testdata[[#This Row],[SmPrice]],4)&lt;&gt;Table3[[#This Row],[SmPrice]]),"ERR","")</f>
        <v/>
      </c>
      <c r="AG440" s="3">
        <v>43371</v>
      </c>
      <c r="AH440" s="14">
        <v>17.0486</v>
      </c>
      <c r="AI440" s="34">
        <v>17</v>
      </c>
      <c r="AJ440" s="14">
        <v>282.37259999999998</v>
      </c>
      <c r="AK440" s="14">
        <v>282.20409999999998</v>
      </c>
      <c r="AL440" s="14">
        <v>283.75799999999998</v>
      </c>
      <c r="AN440" s="38">
        <f t="shared" si="19"/>
        <v>0</v>
      </c>
      <c r="AO440" s="38">
        <f t="shared" si="20"/>
        <v>0</v>
      </c>
      <c r="AQ440" s="37">
        <v>43371</v>
      </c>
      <c r="AR440">
        <v>17</v>
      </c>
      <c r="AS440">
        <v>282.20407843137201</v>
      </c>
      <c r="AT440">
        <v>283.75799999999998</v>
      </c>
      <c r="AV440" s="37">
        <v>43371</v>
      </c>
      <c r="AW440">
        <v>17</v>
      </c>
      <c r="AX440">
        <v>282.20407843137201</v>
      </c>
      <c r="AY440">
        <v>283.75799999999998</v>
      </c>
      <c r="BA440" s="38">
        <f>AX440-Table3[[#This Row],[Trendline]]</f>
        <v>-2.1568627971646492E-5</v>
      </c>
      <c r="BB440" s="38">
        <f>AY440-Table3[[#This Row],[SmPrice]]</f>
        <v>0</v>
      </c>
    </row>
    <row r="441" spans="1:54" x14ac:dyDescent="0.35">
      <c r="A441" s="6">
        <v>439</v>
      </c>
      <c r="B441" s="3">
        <v>43374</v>
      </c>
      <c r="C441" s="2">
        <v>285.02</v>
      </c>
      <c r="D441" s="2">
        <v>285.82</v>
      </c>
      <c r="E441" s="2">
        <v>283.91000000000003</v>
      </c>
      <c r="F441" s="2">
        <v>284.64999999999998</v>
      </c>
      <c r="G441" s="1">
        <v>63623792</v>
      </c>
      <c r="H441" s="30">
        <f>(testdata[[#This Row],[high]]+testdata[[#This Row],[low]])/2</f>
        <v>284.86500000000001</v>
      </c>
      <c r="I441" s="23">
        <f>(4*testdata[[#This Row],[price]]+3*H440+2*H439+H438)/10</f>
        <v>284.178</v>
      </c>
      <c r="J441" s="9">
        <f>(0.0962*testdata[[#This Row],[smooth]]+0.5769*I439-0.5769*I437-0.0962*I435)*(0.075*$Z440+0.54)</f>
        <v>-0.39715275039239634</v>
      </c>
      <c r="K441" s="14">
        <f t="shared" si="18"/>
        <v>1.5297093111142859</v>
      </c>
      <c r="L441" s="14">
        <f>(0.0962*testdata[[#This Row],[detrender]]+0.5769*J439-0.5769*J437-0.0962*J435)*(0.075*$Z440+0.54)</f>
        <v>-2.471802707807973</v>
      </c>
      <c r="M441" s="9">
        <f>(0.0962*testdata[[#This Row],[I1]]+0.5769*K439-0.5769*K437-0.0962*K435)*(0.075*$Z440+0.54)</f>
        <v>0.6528622916407254</v>
      </c>
      <c r="N441" s="9">
        <f>(0.0962*testdata[[#This Row],[Q1]]+0.5769*L439-0.5769*L437-0.0962*L435)*(0.075*$Z440+0.54)</f>
        <v>0.79648940288791925</v>
      </c>
      <c r="O441" s="9">
        <f>testdata[[#This Row],[I1]]-testdata[[#This Row],[JQ]]</f>
        <v>0.73321990822636662</v>
      </c>
      <c r="P441" s="9">
        <f>testdata[[#This Row],[Q1]]+testdata[[#This Row],[jI]]</f>
        <v>-1.8189404161672476</v>
      </c>
      <c r="Q441" s="9">
        <f>0.2*testdata[[#This Row],[I2]]+0.8*Q440</f>
        <v>1.2982279372960979</v>
      </c>
      <c r="R441" s="9">
        <f>0.2*testdata[[#This Row],[Q2]]+0.8*R440</f>
        <v>0.13713949019493038</v>
      </c>
      <c r="S441" s="9">
        <f>testdata[[#This Row],[I2'']]*Q440+testdata[[#This Row],[Q2'']]*R440</f>
        <v>1.9546442692655028</v>
      </c>
      <c r="T441" s="9">
        <f>testdata[[#This Row],[I2'']]*R440-testdata[[#This Row],[Q2'']]*Q440</f>
        <v>0.61548816724006228</v>
      </c>
      <c r="U441" s="9">
        <f>0.2*testdata[[#This Row],[Re]]+0.8*U440</f>
        <v>2.8769845980978843</v>
      </c>
      <c r="V441" s="9">
        <f>0.2*testdata[[#This Row],[Im]]+0.8*V440</f>
        <v>0.97501869817074893</v>
      </c>
      <c r="W441" s="9">
        <f>IF(AND(testdata[[#This Row],[Re'']]&lt;&gt;0,testdata[[#This Row],[Im'']]&lt;&gt;0),2*PI()/ATAN(testdata[[#This Row],[Im'']]/testdata[[#This Row],[Re'']]),0)</f>
        <v>19.229050062439327</v>
      </c>
      <c r="X441" s="9">
        <f>IF(testdata[[#This Row],[pd-atan]]&gt;1.5*Z440,1.5*Z440,IF(testdata[[#This Row],[pd-atan]]&lt;0.67*Z440,0.67*Z440,testdata[[#This Row],[pd-atan]]))</f>
        <v>19.229050062439327</v>
      </c>
      <c r="Y441" s="9">
        <f>IF(testdata[[#This Row],[pd-limit1]]&lt;6,6,IF(testdata[[#This Row],[pd-limit1]]&gt;50,50,testdata[[#This Row],[pd-limit1]]))</f>
        <v>19.229050062439327</v>
      </c>
      <c r="Z441" s="14">
        <f>0.2*testdata[[#This Row],[pd-limit2]]+0.8*Z440</f>
        <v>17.426788056964241</v>
      </c>
      <c r="AA441" s="14">
        <f>0.33*testdata[[#This Row],[period]]+0.67*AA440</f>
        <v>17.17339717787906</v>
      </c>
      <c r="AB441" s="31">
        <f>TRUNC(testdata[[#This Row],[SmPd]]+0.5,0)</f>
        <v>17</v>
      </c>
      <c r="AC441" s="14">
        <f ca="1">IF(testdata[[#This Row],[PdInt]]&lt;=0,0,AVERAGE(OFFSET(testdata[[#This Row],[price]],0,0,-testdata[[#This Row],[PdInt]],1)))</f>
        <v>282.65999999999997</v>
      </c>
      <c r="AD441" s="14">
        <f ca="1">IF(testdata[[#This Row],[i]]&lt;11,testdata[[#This Row],[price]],(4*testdata[[#This Row],[iTrend]]+3*AC440+2*AC439+AC438)/10)</f>
        <v>282.41679411764704</v>
      </c>
      <c r="AE441" s="14">
        <f>(4*testdata[[#This Row],[price]]+3*H440+2*H439+H438)/10</f>
        <v>284.178</v>
      </c>
      <c r="AF441" t="str">
        <f ca="1">IF(OR(ROUND(testdata[[#This Row],[Trendline]],4)&lt;&gt;Table3[[#This Row],[Trendline]],ROUND(testdata[[#This Row],[SmPrice]],4)&lt;&gt;Table3[[#This Row],[SmPrice]]),"ERR","")</f>
        <v/>
      </c>
      <c r="AG441" s="3">
        <v>43374</v>
      </c>
      <c r="AH441" s="14">
        <v>17.173400000000001</v>
      </c>
      <c r="AI441" s="34">
        <v>17</v>
      </c>
      <c r="AJ441" s="14">
        <v>282.66000000000003</v>
      </c>
      <c r="AK441" s="14">
        <v>282.41680000000002</v>
      </c>
      <c r="AL441" s="14">
        <v>284.178</v>
      </c>
      <c r="AN441" s="38">
        <f t="shared" si="19"/>
        <v>0</v>
      </c>
      <c r="AO441" s="38">
        <f t="shared" si="20"/>
        <v>0</v>
      </c>
      <c r="AQ441" s="37">
        <v>43374</v>
      </c>
      <c r="AR441">
        <v>17</v>
      </c>
      <c r="AS441">
        <v>282.41679411764699</v>
      </c>
      <c r="AT441">
        <v>284.178</v>
      </c>
      <c r="AV441" s="37">
        <v>43374</v>
      </c>
      <c r="AW441">
        <v>17</v>
      </c>
      <c r="AX441">
        <v>282.41679411764699</v>
      </c>
      <c r="AY441">
        <v>284.178</v>
      </c>
      <c r="BA441" s="38">
        <f>AX441-Table3[[#This Row],[Trendline]]</f>
        <v>-5.8823530366680643E-6</v>
      </c>
      <c r="BB441" s="38">
        <f>AY441-Table3[[#This Row],[SmPrice]]</f>
        <v>0</v>
      </c>
    </row>
    <row r="442" spans="1:54" x14ac:dyDescent="0.35">
      <c r="A442" s="6">
        <v>440</v>
      </c>
      <c r="B442" s="3">
        <v>43375</v>
      </c>
      <c r="C442" s="2">
        <v>284.48</v>
      </c>
      <c r="D442" s="2">
        <v>285.26</v>
      </c>
      <c r="E442" s="2">
        <v>284.07</v>
      </c>
      <c r="F442" s="2">
        <v>284.48</v>
      </c>
      <c r="G442" s="1">
        <v>48434264</v>
      </c>
      <c r="H442" s="30">
        <f>(testdata[[#This Row],[high]]+testdata[[#This Row],[low]])/2</f>
        <v>284.66499999999996</v>
      </c>
      <c r="I442" s="23">
        <f>(4*testdata[[#This Row],[price]]+3*H441+2*H440+H439)/10</f>
        <v>284.43150000000003</v>
      </c>
      <c r="J442" s="9">
        <f>(0.0962*testdata[[#This Row],[smooth]]+0.5769*I440-0.5769*I438-0.0962*I436)*(0.075*$Z441+0.54)</f>
        <v>-0.25482944500461296</v>
      </c>
      <c r="K442" s="14">
        <f t="shared" si="18"/>
        <v>0.29200878399451657</v>
      </c>
      <c r="L442" s="14">
        <f>(0.0962*testdata[[#This Row],[detrender]]+0.5769*J440-0.5769*J438-0.0962*J436)*(0.075*$Z441+0.54)</f>
        <v>-2.1689495668938972</v>
      </c>
      <c r="M442" s="9">
        <f>(0.0962*testdata[[#This Row],[I1]]+0.5769*K440-0.5769*K438-0.0962*K436)*(0.075*$Z441+0.54)</f>
        <v>1.1120415001908637</v>
      </c>
      <c r="N442" s="9">
        <f>(0.0962*testdata[[#This Row],[Q1]]+0.5769*L440-0.5769*L438-0.0962*L436)*(0.075*$Z441+0.54)</f>
        <v>-1.2301376107439457</v>
      </c>
      <c r="O442" s="9">
        <f>testdata[[#This Row],[I1]]-testdata[[#This Row],[JQ]]</f>
        <v>1.5221463947384621</v>
      </c>
      <c r="P442" s="9">
        <f>testdata[[#This Row],[Q1]]+testdata[[#This Row],[jI]]</f>
        <v>-1.0569080667030335</v>
      </c>
      <c r="Q442" s="9">
        <f>0.2*testdata[[#This Row],[I2]]+0.8*Q441</f>
        <v>1.3430116287845708</v>
      </c>
      <c r="R442" s="9">
        <f>0.2*testdata[[#This Row],[Q2]]+0.8*R441</f>
        <v>-0.1016700211846624</v>
      </c>
      <c r="S442" s="9">
        <f>testdata[[#This Row],[I2'']]*Q441+testdata[[#This Row],[Q2'']]*R441</f>
        <v>1.7295922417282936</v>
      </c>
      <c r="T442" s="9">
        <f>testdata[[#This Row],[I2'']]*R441-testdata[[#This Row],[Q2'']]*Q441</f>
        <v>0.31617079198479392</v>
      </c>
      <c r="U442" s="9">
        <f>0.2*testdata[[#This Row],[Re]]+0.8*U441</f>
        <v>2.6475061268239664</v>
      </c>
      <c r="V442" s="9">
        <f>0.2*testdata[[#This Row],[Im]]+0.8*V441</f>
        <v>0.84324911693355797</v>
      </c>
      <c r="W442" s="9">
        <f>IF(AND(testdata[[#This Row],[Re'']]&lt;&gt;0,testdata[[#This Row],[Im'']]&lt;&gt;0),2*PI()/ATAN(testdata[[#This Row],[Im'']]/testdata[[#This Row],[Re'']]),0)</f>
        <v>20.376928999039652</v>
      </c>
      <c r="X442" s="9">
        <f>IF(testdata[[#This Row],[pd-atan]]&gt;1.5*Z441,1.5*Z441,IF(testdata[[#This Row],[pd-atan]]&lt;0.67*Z441,0.67*Z441,testdata[[#This Row],[pd-atan]]))</f>
        <v>20.376928999039652</v>
      </c>
      <c r="Y442" s="9">
        <f>IF(testdata[[#This Row],[pd-limit1]]&lt;6,6,IF(testdata[[#This Row],[pd-limit1]]&gt;50,50,testdata[[#This Row],[pd-limit1]]))</f>
        <v>20.376928999039652</v>
      </c>
      <c r="Z442" s="14">
        <f>0.2*testdata[[#This Row],[pd-limit2]]+0.8*Z441</f>
        <v>18.016816245379324</v>
      </c>
      <c r="AA442" s="14">
        <f>0.33*testdata[[#This Row],[period]]+0.67*AA441</f>
        <v>17.451725470154148</v>
      </c>
      <c r="AB442" s="31">
        <f>TRUNC(testdata[[#This Row],[SmPd]]+0.5,0)</f>
        <v>17</v>
      </c>
      <c r="AC442" s="14">
        <f ca="1">IF(testdata[[#This Row],[PdInt]]&lt;=0,0,AVERAGE(OFFSET(testdata[[#This Row],[price]],0,0,-testdata[[#This Row],[PdInt]],1)))</f>
        <v>282.96647058823527</v>
      </c>
      <c r="AD442" s="14">
        <f ca="1">IF(testdata[[#This Row],[i]]&lt;11,testdata[[#This Row],[price]],(4*testdata[[#This Row],[iTrend]]+3*AC441+2*AC440+AC439)/10)</f>
        <v>282.67826470588233</v>
      </c>
      <c r="AE442" s="14">
        <f>(4*testdata[[#This Row],[price]]+3*H441+2*H440+H439)/10</f>
        <v>284.43150000000003</v>
      </c>
      <c r="AF442" t="str">
        <f ca="1">IF(OR(ROUND(testdata[[#This Row],[Trendline]],4)&lt;&gt;Table3[[#This Row],[Trendline]],ROUND(testdata[[#This Row],[SmPrice]],4)&lt;&gt;Table3[[#This Row],[SmPrice]]),"ERR","")</f>
        <v/>
      </c>
      <c r="AG442" s="3">
        <v>43375</v>
      </c>
      <c r="AH442" s="14">
        <v>17.451699999999999</v>
      </c>
      <c r="AI442" s="34">
        <v>17</v>
      </c>
      <c r="AJ442" s="14">
        <v>282.9665</v>
      </c>
      <c r="AK442" s="14">
        <v>282.67829999999998</v>
      </c>
      <c r="AL442" s="14">
        <v>284.43150000000003</v>
      </c>
      <c r="AN442" s="38">
        <f t="shared" si="19"/>
        <v>0</v>
      </c>
      <c r="AO442" s="38">
        <f t="shared" si="20"/>
        <v>0</v>
      </c>
      <c r="AQ442" s="37">
        <v>43375</v>
      </c>
      <c r="AR442">
        <v>17</v>
      </c>
      <c r="AS442">
        <v>282.67826470588199</v>
      </c>
      <c r="AT442">
        <v>284.43150000000003</v>
      </c>
      <c r="AV442" s="37">
        <v>43375</v>
      </c>
      <c r="AW442">
        <v>17</v>
      </c>
      <c r="AX442">
        <v>282.67826470588199</v>
      </c>
      <c r="AY442">
        <v>284.43150000000003</v>
      </c>
      <c r="BA442" s="38">
        <f>AX442-Table3[[#This Row],[Trendline]]</f>
        <v>-3.529411799263471E-5</v>
      </c>
      <c r="BB442" s="38">
        <f>AY442-Table3[[#This Row],[SmPrice]]</f>
        <v>0</v>
      </c>
    </row>
    <row r="443" spans="1:54" x14ac:dyDescent="0.35">
      <c r="A443" s="6">
        <v>441</v>
      </c>
      <c r="B443" s="3">
        <v>43376</v>
      </c>
      <c r="C443" s="2">
        <v>285.63</v>
      </c>
      <c r="D443" s="2">
        <v>286.08999999999997</v>
      </c>
      <c r="E443" s="2">
        <v>284.25</v>
      </c>
      <c r="F443" s="2">
        <v>284.64</v>
      </c>
      <c r="G443" s="1">
        <v>66304540</v>
      </c>
      <c r="H443" s="30">
        <f>(testdata[[#This Row],[high]]+testdata[[#This Row],[low]])/2</f>
        <v>285.16999999999996</v>
      </c>
      <c r="I443" s="23">
        <f>(4*testdata[[#This Row],[price]]+3*H442+2*H441+H440)/10</f>
        <v>284.79649999999998</v>
      </c>
      <c r="J443" s="9">
        <f>(0.0962*testdata[[#This Row],[smooth]]+0.5769*I441-0.5769*I439-0.0962*I437)*(0.075*$Z442+0.54)</f>
        <v>0.41029228910777721</v>
      </c>
      <c r="K443" s="14">
        <f t="shared" si="18"/>
        <v>-0.18602400847991102</v>
      </c>
      <c r="L443" s="14">
        <f>(0.0962*testdata[[#This Row],[detrender]]+0.5769*J441-0.5769*J439-0.0962*J437)*(0.075*$Z442+0.54)</f>
        <v>-1.1126496876048892</v>
      </c>
      <c r="M443" s="9">
        <f>(0.0962*testdata[[#This Row],[I1]]+0.5769*K441-0.5769*K439-0.0962*K437)*(0.075*$Z442+0.54)</f>
        <v>-0.34984787276641788</v>
      </c>
      <c r="N443" s="9">
        <f>(0.0962*testdata[[#This Row],[Q1]]+0.5769*L441-0.5769*L439-0.0962*L437)*(0.075*$Z442+0.54)</f>
        <v>-4.0494991063042027</v>
      </c>
      <c r="O443" s="9">
        <f>testdata[[#This Row],[I1]]-testdata[[#This Row],[JQ]]</f>
        <v>3.8634750978242915</v>
      </c>
      <c r="P443" s="9">
        <f>testdata[[#This Row],[Q1]]+testdata[[#This Row],[jI]]</f>
        <v>-1.4624975603713071</v>
      </c>
      <c r="Q443" s="9">
        <f>0.2*testdata[[#This Row],[I2]]+0.8*Q442</f>
        <v>1.847104322592515</v>
      </c>
      <c r="R443" s="9">
        <f>0.2*testdata[[#This Row],[Q2]]+0.8*R442</f>
        <v>-0.37383552902199135</v>
      </c>
      <c r="S443" s="9">
        <f>testdata[[#This Row],[I2'']]*Q442+testdata[[#This Row],[Q2'']]*R442</f>
        <v>2.5186904509752401</v>
      </c>
      <c r="T443" s="9">
        <f>testdata[[#This Row],[I2'']]*R442-testdata[[#This Row],[Q2'']]*Q442</f>
        <v>0.31427032712110375</v>
      </c>
      <c r="U443" s="9">
        <f>0.2*testdata[[#This Row],[Re]]+0.8*U442</f>
        <v>2.6217429916542212</v>
      </c>
      <c r="V443" s="9">
        <f>0.2*testdata[[#This Row],[Im]]+0.8*V442</f>
        <v>0.73745335897106723</v>
      </c>
      <c r="W443" s="9">
        <f>IF(AND(testdata[[#This Row],[Re'']]&lt;&gt;0,testdata[[#This Row],[Im'']]&lt;&gt;0),2*PI()/ATAN(testdata[[#This Row],[Im'']]/testdata[[#This Row],[Re'']]),0)</f>
        <v>22.914723722697662</v>
      </c>
      <c r="X443" s="9">
        <f>IF(testdata[[#This Row],[pd-atan]]&gt;1.5*Z442,1.5*Z442,IF(testdata[[#This Row],[pd-atan]]&lt;0.67*Z442,0.67*Z442,testdata[[#This Row],[pd-atan]]))</f>
        <v>22.914723722697662</v>
      </c>
      <c r="Y443" s="9">
        <f>IF(testdata[[#This Row],[pd-limit1]]&lt;6,6,IF(testdata[[#This Row],[pd-limit1]]&gt;50,50,testdata[[#This Row],[pd-limit1]]))</f>
        <v>22.914723722697662</v>
      </c>
      <c r="Z443" s="14">
        <f>0.2*testdata[[#This Row],[pd-limit2]]+0.8*Z442</f>
        <v>18.996397740842994</v>
      </c>
      <c r="AA443" s="14">
        <f>0.33*testdata[[#This Row],[period]]+0.67*AA442</f>
        <v>17.961467319481468</v>
      </c>
      <c r="AB443" s="31">
        <f>TRUNC(testdata[[#This Row],[SmPd]]+0.5,0)</f>
        <v>18</v>
      </c>
      <c r="AC443" s="14">
        <f ca="1">IF(testdata[[#This Row],[PdInt]]&lt;=0,0,AVERAGE(OFFSET(testdata[[#This Row],[price]],0,0,-testdata[[#This Row],[PdInt]],1)))</f>
        <v>283.08888888888885</v>
      </c>
      <c r="AD443" s="14">
        <f ca="1">IF(testdata[[#This Row],[i]]&lt;11,testdata[[#This Row],[price]],(4*testdata[[#This Row],[iTrend]]+3*AC442+2*AC441+AC440)/10)</f>
        <v>282.89476143790841</v>
      </c>
      <c r="AE443" s="14">
        <f>(4*testdata[[#This Row],[price]]+3*H442+2*H441+H440)/10</f>
        <v>284.79649999999998</v>
      </c>
      <c r="AF443" t="str">
        <f ca="1">IF(OR(ROUND(testdata[[#This Row],[Trendline]],4)&lt;&gt;Table3[[#This Row],[Trendline]],ROUND(testdata[[#This Row],[SmPrice]],4)&lt;&gt;Table3[[#This Row],[SmPrice]]),"ERR","")</f>
        <v/>
      </c>
      <c r="AG443" s="3">
        <v>43376</v>
      </c>
      <c r="AH443" s="14">
        <v>17.961500000000001</v>
      </c>
      <c r="AI443" s="34">
        <v>18</v>
      </c>
      <c r="AJ443" s="14">
        <v>283.08890000000002</v>
      </c>
      <c r="AK443" s="14">
        <v>282.89479999999998</v>
      </c>
      <c r="AL443" s="14">
        <v>284.79649999999998</v>
      </c>
      <c r="AN443" s="38">
        <f t="shared" si="19"/>
        <v>0</v>
      </c>
      <c r="AO443" s="38">
        <f t="shared" si="20"/>
        <v>0</v>
      </c>
      <c r="AQ443" s="37">
        <v>43376</v>
      </c>
      <c r="AR443">
        <v>18</v>
      </c>
      <c r="AS443">
        <v>282.89476143790802</v>
      </c>
      <c r="AT443">
        <v>284.79649999999998</v>
      </c>
      <c r="AV443" s="37">
        <v>43376</v>
      </c>
      <c r="AW443">
        <v>18</v>
      </c>
      <c r="AX443">
        <v>282.89476143790802</v>
      </c>
      <c r="AY443">
        <v>284.79649999999998</v>
      </c>
      <c r="BA443" s="38">
        <f>AX443-Table3[[#This Row],[Trendline]]</f>
        <v>-3.8562091958738165E-5</v>
      </c>
      <c r="BB443" s="38">
        <f>AY443-Table3[[#This Row],[SmPrice]]</f>
        <v>0</v>
      </c>
    </row>
    <row r="444" spans="1:54" x14ac:dyDescent="0.35">
      <c r="A444" s="6">
        <v>442</v>
      </c>
      <c r="B444" s="3">
        <v>43377</v>
      </c>
      <c r="C444" s="2">
        <v>284.11</v>
      </c>
      <c r="D444" s="2">
        <v>284.17</v>
      </c>
      <c r="E444" s="2">
        <v>280.68</v>
      </c>
      <c r="F444" s="2">
        <v>282.41000000000003</v>
      </c>
      <c r="G444" s="1">
        <v>114321768</v>
      </c>
      <c r="H444" s="30">
        <f>(testdata[[#This Row],[high]]+testdata[[#This Row],[low]])/2</f>
        <v>282.42500000000001</v>
      </c>
      <c r="I444" s="23">
        <f>(4*testdata[[#This Row],[price]]+3*H443+2*H442+H441)/10</f>
        <v>283.94049999999999</v>
      </c>
      <c r="J444" s="9">
        <f>(0.0962*testdata[[#This Row],[smooth]]+0.5769*I442-0.5769*I440-0.0962*I438)*(0.075*$Z443+0.54)</f>
        <v>0.74854330227478805</v>
      </c>
      <c r="K444" s="14">
        <f t="shared" si="18"/>
        <v>-0.39715275039239634</v>
      </c>
      <c r="L444" s="14">
        <f>(0.0962*testdata[[#This Row],[detrender]]+0.5769*J442-0.5769*J440-0.0962*J438)*(0.075*$Z443+0.54)</f>
        <v>-0.22563355503398372</v>
      </c>
      <c r="M444" s="9">
        <f>(0.0962*testdata[[#This Row],[I1]]+0.5769*K442-0.5769*K440-0.0962*K438)*(0.075*$Z443+0.54)</f>
        <v>-2.6783475673971151</v>
      </c>
      <c r="N444" s="9">
        <f>(0.0962*testdata[[#This Row],[Q1]]+0.5769*L442-0.5769*L440-0.0962*L438)*(0.075*$Z443+0.54)</f>
        <v>-2.2519283039792888</v>
      </c>
      <c r="O444" s="9">
        <f>testdata[[#This Row],[I1]]-testdata[[#This Row],[JQ]]</f>
        <v>1.8547755535868924</v>
      </c>
      <c r="P444" s="9">
        <f>testdata[[#This Row],[Q1]]+testdata[[#This Row],[jI]]</f>
        <v>-2.903981122431099</v>
      </c>
      <c r="Q444" s="9">
        <f>0.2*testdata[[#This Row],[I2]]+0.8*Q443</f>
        <v>1.8486385687913907</v>
      </c>
      <c r="R444" s="9">
        <f>0.2*testdata[[#This Row],[Q2]]+0.8*R443</f>
        <v>-0.8798646477038129</v>
      </c>
      <c r="S444" s="9">
        <f>testdata[[#This Row],[I2'']]*Q443+testdata[[#This Row],[Q2'']]*R443</f>
        <v>3.7435529573679212</v>
      </c>
      <c r="T444" s="9">
        <f>testdata[[#This Row],[I2'']]*R443-testdata[[#This Row],[Q2'']]*Q443</f>
        <v>0.93411501673546671</v>
      </c>
      <c r="U444" s="9">
        <f>0.2*testdata[[#This Row],[Re]]+0.8*U443</f>
        <v>2.8461049847969613</v>
      </c>
      <c r="V444" s="9">
        <f>0.2*testdata[[#This Row],[Im]]+0.8*V443</f>
        <v>0.77678569052394719</v>
      </c>
      <c r="W444" s="9">
        <f>IF(AND(testdata[[#This Row],[Re'']]&lt;&gt;0,testdata[[#This Row],[Im'']]&lt;&gt;0),2*PI()/ATAN(testdata[[#This Row],[Im'']]/testdata[[#This Row],[Re'']]),0)</f>
        <v>23.581975273001305</v>
      </c>
      <c r="X444" s="9">
        <f>IF(testdata[[#This Row],[pd-atan]]&gt;1.5*Z443,1.5*Z443,IF(testdata[[#This Row],[pd-atan]]&lt;0.67*Z443,0.67*Z443,testdata[[#This Row],[pd-atan]]))</f>
        <v>23.581975273001305</v>
      </c>
      <c r="Y444" s="9">
        <f>IF(testdata[[#This Row],[pd-limit1]]&lt;6,6,IF(testdata[[#This Row],[pd-limit1]]&gt;50,50,testdata[[#This Row],[pd-limit1]]))</f>
        <v>23.581975273001305</v>
      </c>
      <c r="Z444" s="14">
        <f>0.2*testdata[[#This Row],[pd-limit2]]+0.8*Z443</f>
        <v>19.913513247274658</v>
      </c>
      <c r="AA444" s="14">
        <f>0.33*testdata[[#This Row],[period]]+0.67*AA443</f>
        <v>18.605642475653219</v>
      </c>
      <c r="AB444" s="31">
        <f>TRUNC(testdata[[#This Row],[SmPd]]+0.5,0)</f>
        <v>19</v>
      </c>
      <c r="AC444" s="14">
        <f ca="1">IF(testdata[[#This Row],[PdInt]]&lt;=0,0,AVERAGE(OFFSET(testdata[[#This Row],[price]],0,0,-testdata[[#This Row],[PdInt]],1)))</f>
        <v>283.05394736842101</v>
      </c>
      <c r="AD444" s="14">
        <f ca="1">IF(testdata[[#This Row],[i]]&lt;11,testdata[[#This Row],[price]],(4*testdata[[#This Row],[iTrend]]+3*AC443+2*AC442+AC441)/10)</f>
        <v>283.00753973168213</v>
      </c>
      <c r="AE444" s="14">
        <f>(4*testdata[[#This Row],[price]]+3*H443+2*H442+H441)/10</f>
        <v>283.94049999999999</v>
      </c>
      <c r="AF444" t="str">
        <f ca="1">IF(OR(ROUND(testdata[[#This Row],[Trendline]],4)&lt;&gt;Table3[[#This Row],[Trendline]],ROUND(testdata[[#This Row],[SmPrice]],4)&lt;&gt;Table3[[#This Row],[SmPrice]]),"ERR","")</f>
        <v/>
      </c>
      <c r="AG444" s="3">
        <v>43377</v>
      </c>
      <c r="AH444" s="14">
        <v>18.605599999999999</v>
      </c>
      <c r="AI444" s="34">
        <v>19</v>
      </c>
      <c r="AJ444" s="14">
        <v>283.0539</v>
      </c>
      <c r="AK444" s="14">
        <v>283.00749999999999</v>
      </c>
      <c r="AL444" s="14">
        <v>283.94049999999999</v>
      </c>
      <c r="AN444" s="38">
        <f t="shared" si="19"/>
        <v>0</v>
      </c>
      <c r="AO444" s="38">
        <f t="shared" si="20"/>
        <v>0</v>
      </c>
      <c r="AQ444" s="37">
        <v>43377</v>
      </c>
      <c r="AR444">
        <v>19</v>
      </c>
      <c r="AS444">
        <v>283.00753973168202</v>
      </c>
      <c r="AT444">
        <v>283.94049999999999</v>
      </c>
      <c r="AV444" s="37">
        <v>43377</v>
      </c>
      <c r="AW444">
        <v>19</v>
      </c>
      <c r="AX444">
        <v>283.00753973168202</v>
      </c>
      <c r="AY444">
        <v>283.94049999999999</v>
      </c>
      <c r="BA444" s="38">
        <f>AX444-Table3[[#This Row],[Trendline]]</f>
        <v>3.9731682022647874E-5</v>
      </c>
      <c r="BB444" s="38">
        <f>AY444-Table3[[#This Row],[SmPrice]]</f>
        <v>0</v>
      </c>
    </row>
    <row r="445" spans="1:54" x14ac:dyDescent="0.35">
      <c r="A445" s="6">
        <v>443</v>
      </c>
      <c r="B445" s="3">
        <v>43378</v>
      </c>
      <c r="C445" s="2">
        <v>282.66000000000003</v>
      </c>
      <c r="D445" s="2">
        <v>283.22000000000003</v>
      </c>
      <c r="E445" s="2">
        <v>279.27</v>
      </c>
      <c r="F445" s="2">
        <v>280.83</v>
      </c>
      <c r="G445" s="1">
        <v>108588344</v>
      </c>
      <c r="H445" s="30">
        <f>(testdata[[#This Row],[high]]+testdata[[#This Row],[low]])/2</f>
        <v>281.245</v>
      </c>
      <c r="I445" s="23">
        <f>(4*testdata[[#This Row],[price]]+3*H444+2*H443+H442)/10</f>
        <v>282.726</v>
      </c>
      <c r="J445" s="9">
        <f>(0.0962*testdata[[#This Row],[smooth]]+0.5769*I443-0.5769*I441-0.0962*I439)*(0.075*$Z444+0.54)</f>
        <v>0.49768138068065537</v>
      </c>
      <c r="K445" s="14">
        <f t="shared" si="18"/>
        <v>-0.25482944500461296</v>
      </c>
      <c r="L445" s="14">
        <f>(0.0962*testdata[[#This Row],[detrender]]+0.5769*J443-0.5769*J441-0.0962*J439)*(0.075*$Z444+0.54)</f>
        <v>0.98747567168101391</v>
      </c>
      <c r="M445" s="9">
        <f>(0.0962*testdata[[#This Row],[I1]]+0.5769*K443-0.5769*K441-0.0962*K439)*(0.075*$Z444+0.54)</f>
        <v>-2.3879623554082587</v>
      </c>
      <c r="N445" s="9">
        <f>(0.0962*testdata[[#This Row],[Q1]]+0.5769*L443-0.5769*L441-0.0962*L439)*(0.075*$Z444+0.54)</f>
        <v>1.5792259019462134</v>
      </c>
      <c r="O445" s="9">
        <f>testdata[[#This Row],[I1]]-testdata[[#This Row],[JQ]]</f>
        <v>-1.8340553469508263</v>
      </c>
      <c r="P445" s="9">
        <f>testdata[[#This Row],[Q1]]+testdata[[#This Row],[jI]]</f>
        <v>-1.4004866837272449</v>
      </c>
      <c r="Q445" s="9">
        <f>0.2*testdata[[#This Row],[I2]]+0.8*Q444</f>
        <v>1.1120997856429473</v>
      </c>
      <c r="R445" s="9">
        <f>0.2*testdata[[#This Row],[Q2]]+0.8*R444</f>
        <v>-0.98398905490849942</v>
      </c>
      <c r="S445" s="9">
        <f>testdata[[#This Row],[I2'']]*Q444+testdata[[#This Row],[Q2'']]*R444</f>
        <v>2.9216477392256648</v>
      </c>
      <c r="T445" s="9">
        <f>testdata[[#This Row],[I2'']]*R444-testdata[[#This Row],[Q2'']]*Q444</f>
        <v>0.84054283206622371</v>
      </c>
      <c r="U445" s="9">
        <f>0.2*testdata[[#This Row],[Re]]+0.8*U444</f>
        <v>2.8612135356827024</v>
      </c>
      <c r="V445" s="9">
        <f>0.2*testdata[[#This Row],[Im]]+0.8*V444</f>
        <v>0.78953711883240263</v>
      </c>
      <c r="W445" s="9">
        <f>IF(AND(testdata[[#This Row],[Re'']]&lt;&gt;0,testdata[[#This Row],[Im'']]&lt;&gt;0),2*PI()/ATAN(testdata[[#This Row],[Im'']]/testdata[[#This Row],[Re'']]),0)</f>
        <v>23.336362968297902</v>
      </c>
      <c r="X445" s="9">
        <f>IF(testdata[[#This Row],[pd-atan]]&gt;1.5*Z444,1.5*Z444,IF(testdata[[#This Row],[pd-atan]]&lt;0.67*Z444,0.67*Z444,testdata[[#This Row],[pd-atan]]))</f>
        <v>23.336362968297902</v>
      </c>
      <c r="Y445" s="9">
        <f>IF(testdata[[#This Row],[pd-limit1]]&lt;6,6,IF(testdata[[#This Row],[pd-limit1]]&gt;50,50,testdata[[#This Row],[pd-limit1]]))</f>
        <v>23.336362968297902</v>
      </c>
      <c r="Z445" s="14">
        <f>0.2*testdata[[#This Row],[pd-limit2]]+0.8*Z444</f>
        <v>20.598083191479308</v>
      </c>
      <c r="AA445" s="14">
        <f>0.33*testdata[[#This Row],[period]]+0.67*AA444</f>
        <v>19.26314791187583</v>
      </c>
      <c r="AB445" s="31">
        <f>TRUNC(testdata[[#This Row],[SmPd]]+0.5,0)</f>
        <v>19</v>
      </c>
      <c r="AC445" s="14">
        <f ca="1">IF(testdata[[#This Row],[PdInt]]&lt;=0,0,AVERAGE(OFFSET(testdata[[#This Row],[price]],0,0,-testdata[[#This Row],[PdInt]],1)))</f>
        <v>283.10973684210529</v>
      </c>
      <c r="AD445" s="14">
        <f ca="1">IF(testdata[[#This Row],[i]]&lt;11,testdata[[#This Row],[price]],(4*testdata[[#This Row],[iTrend]]+3*AC444+2*AC443+AC442)/10)</f>
        <v>283.0745037839697</v>
      </c>
      <c r="AE445" s="14">
        <f>(4*testdata[[#This Row],[price]]+3*H444+2*H443+H442)/10</f>
        <v>282.726</v>
      </c>
      <c r="AF445" t="str">
        <f ca="1">IF(OR(ROUND(testdata[[#This Row],[Trendline]],4)&lt;&gt;Table3[[#This Row],[Trendline]],ROUND(testdata[[#This Row],[SmPrice]],4)&lt;&gt;Table3[[#This Row],[SmPrice]]),"ERR","")</f>
        <v/>
      </c>
      <c r="AG445" s="3">
        <v>43378</v>
      </c>
      <c r="AH445" s="14">
        <v>19.263100000000001</v>
      </c>
      <c r="AI445" s="34">
        <v>19</v>
      </c>
      <c r="AJ445" s="14">
        <v>283.10969999999998</v>
      </c>
      <c r="AK445" s="14">
        <v>283.0745</v>
      </c>
      <c r="AL445" s="14">
        <v>282.726</v>
      </c>
      <c r="AN445" s="38">
        <f t="shared" si="19"/>
        <v>0</v>
      </c>
      <c r="AO445" s="38">
        <f t="shared" si="20"/>
        <v>0</v>
      </c>
      <c r="AQ445" s="37">
        <v>43378</v>
      </c>
      <c r="AR445">
        <v>19</v>
      </c>
      <c r="AS445">
        <v>283.07450378396902</v>
      </c>
      <c r="AT445">
        <v>282.726</v>
      </c>
      <c r="AV445" s="37">
        <v>43378</v>
      </c>
      <c r="AW445">
        <v>19</v>
      </c>
      <c r="AX445">
        <v>283.07450378396902</v>
      </c>
      <c r="AY445">
        <v>282.726</v>
      </c>
      <c r="BA445" s="38">
        <f>AX445-Table3[[#This Row],[Trendline]]</f>
        <v>3.783969020787481E-6</v>
      </c>
      <c r="BB445" s="38">
        <f>AY445-Table3[[#This Row],[SmPrice]]</f>
        <v>0</v>
      </c>
    </row>
    <row r="446" spans="1:54" x14ac:dyDescent="0.35">
      <c r="A446" s="6">
        <v>444</v>
      </c>
      <c r="B446" s="3">
        <v>43381</v>
      </c>
      <c r="C446" s="2">
        <v>280.08</v>
      </c>
      <c r="D446" s="2">
        <v>281.22000000000003</v>
      </c>
      <c r="E446" s="2">
        <v>278.57</v>
      </c>
      <c r="F446" s="2">
        <v>280.83</v>
      </c>
      <c r="G446" s="1">
        <v>89925664</v>
      </c>
      <c r="H446" s="30">
        <f>(testdata[[#This Row],[high]]+testdata[[#This Row],[low]])/2</f>
        <v>279.89499999999998</v>
      </c>
      <c r="I446" s="23">
        <f>(4*testdata[[#This Row],[price]]+3*H445+2*H444+H443)/10</f>
        <v>281.33350000000002</v>
      </c>
      <c r="J446" s="9">
        <f>(0.0962*testdata[[#This Row],[smooth]]+0.5769*I444-0.5769*I442-0.0962*I440)*(0.075*$Z445+0.54)</f>
        <v>-1.0768174063775153</v>
      </c>
      <c r="K446" s="14">
        <f t="shared" si="18"/>
        <v>0.41029228910777721</v>
      </c>
      <c r="L446" s="14">
        <f>(0.0962*testdata[[#This Row],[detrender]]+0.5769*J444-0.5769*J442-0.0962*J440)*(0.075*$Z445+0.54)</f>
        <v>1.0281498004005452</v>
      </c>
      <c r="M446" s="9">
        <f>(0.0962*testdata[[#This Row],[I1]]+0.5769*K444-0.5769*K442-0.0962*K440)*(0.075*$Z445+0.54)</f>
        <v>-1.2265437586587338</v>
      </c>
      <c r="N446" s="9">
        <f>(0.0962*testdata[[#This Row],[Q1]]+0.5769*L444-0.5769*L442-0.0962*L440)*(0.075*$Z445+0.54)</f>
        <v>2.6093803185960129</v>
      </c>
      <c r="O446" s="9">
        <f>testdata[[#This Row],[I1]]-testdata[[#This Row],[JQ]]</f>
        <v>-2.1990880294882356</v>
      </c>
      <c r="P446" s="9">
        <f>testdata[[#This Row],[Q1]]+testdata[[#This Row],[jI]]</f>
        <v>-0.19839395825818862</v>
      </c>
      <c r="Q446" s="9">
        <f>0.2*testdata[[#This Row],[I2]]+0.8*Q445</f>
        <v>0.44986222261671077</v>
      </c>
      <c r="R446" s="9">
        <f>0.2*testdata[[#This Row],[Q2]]+0.8*R445</f>
        <v>-0.8268700355784373</v>
      </c>
      <c r="S446" s="9">
        <f>testdata[[#This Row],[I2'']]*Q445+testdata[[#This Row],[Q2'']]*R445</f>
        <v>1.3139227461818876</v>
      </c>
      <c r="T446" s="9">
        <f>testdata[[#This Row],[I2'']]*R445-testdata[[#This Row],[Q2'']]*Q445</f>
        <v>0.47690248604970215</v>
      </c>
      <c r="U446" s="9">
        <f>0.2*testdata[[#This Row],[Re]]+0.8*U445</f>
        <v>2.5517553777825395</v>
      </c>
      <c r="V446" s="9">
        <f>0.2*testdata[[#This Row],[Im]]+0.8*V445</f>
        <v>0.72701019227586261</v>
      </c>
      <c r="W446" s="9">
        <f>IF(AND(testdata[[#This Row],[Re'']]&lt;&gt;0,testdata[[#This Row],[Im'']]&lt;&gt;0),2*PI()/ATAN(testdata[[#This Row],[Im'']]/testdata[[#This Row],[Re'']]),0)</f>
        <v>22.63785616600854</v>
      </c>
      <c r="X446" s="9">
        <f>IF(testdata[[#This Row],[pd-atan]]&gt;1.5*Z445,1.5*Z445,IF(testdata[[#This Row],[pd-atan]]&lt;0.67*Z445,0.67*Z445,testdata[[#This Row],[pd-atan]]))</f>
        <v>22.63785616600854</v>
      </c>
      <c r="Y446" s="9">
        <f>IF(testdata[[#This Row],[pd-limit1]]&lt;6,6,IF(testdata[[#This Row],[pd-limit1]]&gt;50,50,testdata[[#This Row],[pd-limit1]]))</f>
        <v>22.63785616600854</v>
      </c>
      <c r="Z446" s="14">
        <f>0.2*testdata[[#This Row],[pd-limit2]]+0.8*Z445</f>
        <v>21.006037786385157</v>
      </c>
      <c r="AA446" s="14">
        <f>0.33*testdata[[#This Row],[period]]+0.67*AA445</f>
        <v>19.838301570463909</v>
      </c>
      <c r="AB446" s="31">
        <f>TRUNC(testdata[[#This Row],[SmPd]]+0.5,0)</f>
        <v>20</v>
      </c>
      <c r="AC446" s="14">
        <f ca="1">IF(testdata[[#This Row],[PdInt]]&lt;=0,0,AVERAGE(OFFSET(testdata[[#This Row],[price]],0,0,-testdata[[#This Row],[PdInt]],1)))</f>
        <v>282.94899999999996</v>
      </c>
      <c r="AD446" s="14">
        <f ca="1">IF(testdata[[#This Row],[i]]&lt;11,testdata[[#This Row],[price]],(4*testdata[[#This Row],[iTrend]]+3*AC445+2*AC444+AC443)/10)</f>
        <v>283.03219941520467</v>
      </c>
      <c r="AE446" s="14">
        <f>(4*testdata[[#This Row],[price]]+3*H445+2*H444+H443)/10</f>
        <v>281.33350000000002</v>
      </c>
      <c r="AF446" t="str">
        <f ca="1">IF(OR(ROUND(testdata[[#This Row],[Trendline]],4)&lt;&gt;Table3[[#This Row],[Trendline]],ROUND(testdata[[#This Row],[SmPrice]],4)&lt;&gt;Table3[[#This Row],[SmPrice]]),"ERR","")</f>
        <v/>
      </c>
      <c r="AG446" s="3">
        <v>43381</v>
      </c>
      <c r="AH446" s="14">
        <v>19.8383</v>
      </c>
      <c r="AI446" s="34">
        <v>20</v>
      </c>
      <c r="AJ446" s="14">
        <v>282.94900000000001</v>
      </c>
      <c r="AK446" s="14">
        <v>283.03219999999999</v>
      </c>
      <c r="AL446" s="14">
        <v>281.33350000000002</v>
      </c>
      <c r="AN446" s="38">
        <f t="shared" si="19"/>
        <v>0</v>
      </c>
      <c r="AO446" s="38">
        <f t="shared" si="20"/>
        <v>0</v>
      </c>
      <c r="AQ446" s="37">
        <v>43381</v>
      </c>
      <c r="AR446">
        <v>20</v>
      </c>
      <c r="AS446">
        <v>283.03219941520399</v>
      </c>
      <c r="AT446">
        <v>281.33350000000002</v>
      </c>
      <c r="AV446" s="37">
        <v>43381</v>
      </c>
      <c r="AW446">
        <v>20</v>
      </c>
      <c r="AX446">
        <v>283.03219941520399</v>
      </c>
      <c r="AY446">
        <v>281.33350000000002</v>
      </c>
      <c r="BA446" s="38">
        <f>AX446-Table3[[#This Row],[Trendline]]</f>
        <v>-5.8479599829297513E-7</v>
      </c>
      <c r="BB446" s="38">
        <f>AY446-Table3[[#This Row],[SmPrice]]</f>
        <v>0</v>
      </c>
    </row>
    <row r="447" spans="1:54" x14ac:dyDescent="0.35">
      <c r="A447" s="6">
        <v>445</v>
      </c>
      <c r="B447" s="3">
        <v>43382</v>
      </c>
      <c r="C447" s="2">
        <v>280.41000000000003</v>
      </c>
      <c r="D447" s="2">
        <v>281.85000000000002</v>
      </c>
      <c r="E447" s="2">
        <v>279.81</v>
      </c>
      <c r="F447" s="2">
        <v>280.42</v>
      </c>
      <c r="G447" s="1">
        <v>76188928</v>
      </c>
      <c r="H447" s="30">
        <f>(testdata[[#This Row],[high]]+testdata[[#This Row],[low]])/2</f>
        <v>280.83000000000004</v>
      </c>
      <c r="I447" s="23">
        <f>(4*testdata[[#This Row],[price]]+3*H446+2*H445+H444)/10</f>
        <v>280.79200000000003</v>
      </c>
      <c r="J447" s="9">
        <f>(0.0962*testdata[[#This Row],[smooth]]+0.5769*I445-0.5769*I443-0.0962*I441)*(0.075*$Z446+0.54)</f>
        <v>-3.2159212350703141</v>
      </c>
      <c r="K447" s="14">
        <f t="shared" si="18"/>
        <v>0.74854330227478805</v>
      </c>
      <c r="L447" s="14">
        <f>(0.0962*testdata[[#This Row],[detrender]]+0.5769*J445-0.5769*J443-0.0962*J441)*(0.075*$Z446+0.54)</f>
        <v>-0.4669878235900517</v>
      </c>
      <c r="M447" s="9">
        <f>(0.0962*testdata[[#This Row],[I1]]+0.5769*K445-0.5769*K443-0.0962*K441)*(0.075*$Z446+0.54)</f>
        <v>-0.24294289016853809</v>
      </c>
      <c r="N447" s="9">
        <f>(0.0962*testdata[[#This Row],[Q1]]+0.5769*L445-0.5769*L443-0.0962*L441)*(0.075*$Z446+0.54)</f>
        <v>2.9709959286979735</v>
      </c>
      <c r="O447" s="9">
        <f>testdata[[#This Row],[I1]]-testdata[[#This Row],[JQ]]</f>
        <v>-2.2224526264231854</v>
      </c>
      <c r="P447" s="9">
        <f>testdata[[#This Row],[Q1]]+testdata[[#This Row],[jI]]</f>
        <v>-0.70993071375858974</v>
      </c>
      <c r="Q447" s="9">
        <f>0.2*testdata[[#This Row],[I2]]+0.8*Q446</f>
        <v>-8.4600747191268477E-2</v>
      </c>
      <c r="R447" s="9">
        <f>0.2*testdata[[#This Row],[Q2]]+0.8*R446</f>
        <v>-0.80348217121446786</v>
      </c>
      <c r="S447" s="9">
        <f>testdata[[#This Row],[I2'']]*Q446+testdata[[#This Row],[Q2'']]*R446</f>
        <v>0.62631665133224856</v>
      </c>
      <c r="T447" s="9">
        <f>testdata[[#This Row],[I2'']]*R446-testdata[[#This Row],[Q2'']]*Q446</f>
        <v>0.43141009821544762</v>
      </c>
      <c r="U447" s="9">
        <f>0.2*testdata[[#This Row],[Re]]+0.8*U446</f>
        <v>2.1666676324924814</v>
      </c>
      <c r="V447" s="9">
        <f>0.2*testdata[[#This Row],[Im]]+0.8*V446</f>
        <v>0.66789017346377966</v>
      </c>
      <c r="W447" s="9">
        <f>IF(AND(testdata[[#This Row],[Re'']]&lt;&gt;0,testdata[[#This Row],[Im'']]&lt;&gt;0),2*PI()/ATAN(testdata[[#This Row],[Im'']]/testdata[[#This Row],[Re'']]),0)</f>
        <v>21.012972959073284</v>
      </c>
      <c r="X447" s="9">
        <f>IF(testdata[[#This Row],[pd-atan]]&gt;1.5*Z446,1.5*Z446,IF(testdata[[#This Row],[pd-atan]]&lt;0.67*Z446,0.67*Z446,testdata[[#This Row],[pd-atan]]))</f>
        <v>21.012972959073284</v>
      </c>
      <c r="Y447" s="9">
        <f>IF(testdata[[#This Row],[pd-limit1]]&lt;6,6,IF(testdata[[#This Row],[pd-limit1]]&gt;50,50,testdata[[#This Row],[pd-limit1]]))</f>
        <v>21.012972959073284</v>
      </c>
      <c r="Z447" s="14">
        <f>0.2*testdata[[#This Row],[pd-limit2]]+0.8*Z446</f>
        <v>21.007424820922786</v>
      </c>
      <c r="AA447" s="14">
        <f>0.33*testdata[[#This Row],[period]]+0.67*AA446</f>
        <v>20.224112243115339</v>
      </c>
      <c r="AB447" s="31">
        <f>TRUNC(testdata[[#This Row],[SmPd]]+0.5,0)</f>
        <v>20</v>
      </c>
      <c r="AC447" s="14">
        <f ca="1">IF(testdata[[#This Row],[PdInt]]&lt;=0,0,AVERAGE(OFFSET(testdata[[#This Row],[price]],0,0,-testdata[[#This Row],[PdInt]],1)))</f>
        <v>282.9905</v>
      </c>
      <c r="AD447" s="14">
        <f ca="1">IF(testdata[[#This Row],[i]]&lt;11,testdata[[#This Row],[price]],(4*testdata[[#This Row],[iTrend]]+3*AC446+2*AC445+AC444)/10)</f>
        <v>283.00824210526315</v>
      </c>
      <c r="AE447" s="14">
        <f>(4*testdata[[#This Row],[price]]+3*H446+2*H445+H444)/10</f>
        <v>280.79200000000003</v>
      </c>
      <c r="AF447" t="str">
        <f ca="1">IF(OR(ROUND(testdata[[#This Row],[Trendline]],4)&lt;&gt;Table3[[#This Row],[Trendline]],ROUND(testdata[[#This Row],[SmPrice]],4)&lt;&gt;Table3[[#This Row],[SmPrice]]),"ERR","")</f>
        <v/>
      </c>
      <c r="AG447" s="3">
        <v>43382</v>
      </c>
      <c r="AH447" s="14">
        <v>20.2241</v>
      </c>
      <c r="AI447" s="34">
        <v>20</v>
      </c>
      <c r="AJ447" s="14">
        <v>282.9905</v>
      </c>
      <c r="AK447" s="14">
        <v>283.00819999999999</v>
      </c>
      <c r="AL447" s="14">
        <v>280.79199999999997</v>
      </c>
      <c r="AN447" s="38">
        <f t="shared" si="19"/>
        <v>0</v>
      </c>
      <c r="AO447" s="38">
        <f t="shared" si="20"/>
        <v>0</v>
      </c>
      <c r="AQ447" s="37">
        <v>43382</v>
      </c>
      <c r="AR447">
        <v>20</v>
      </c>
      <c r="AS447">
        <v>283.00824210526298</v>
      </c>
      <c r="AT447">
        <v>280.79199999999997</v>
      </c>
      <c r="AV447" s="37">
        <v>43382</v>
      </c>
      <c r="AW447">
        <v>20</v>
      </c>
      <c r="AX447">
        <v>283.00824210526298</v>
      </c>
      <c r="AY447">
        <v>280.79199999999997</v>
      </c>
      <c r="BA447" s="38">
        <f>AX447-Table3[[#This Row],[Trendline]]</f>
        <v>4.2105262991753989E-5</v>
      </c>
      <c r="BB447" s="38">
        <f>AY447-Table3[[#This Row],[SmPrice]]</f>
        <v>0</v>
      </c>
    </row>
    <row r="448" spans="1:54" x14ac:dyDescent="0.35">
      <c r="A448" s="6">
        <v>446</v>
      </c>
      <c r="B448" s="3">
        <v>43383</v>
      </c>
      <c r="C448" s="2">
        <v>279.87</v>
      </c>
      <c r="D448" s="2">
        <v>279.94</v>
      </c>
      <c r="E448" s="2">
        <v>271.13</v>
      </c>
      <c r="F448" s="2">
        <v>271.54000000000002</v>
      </c>
      <c r="G448" s="1">
        <v>220074688</v>
      </c>
      <c r="H448" s="30">
        <f>(testdata[[#This Row],[high]]+testdata[[#This Row],[low]])/2</f>
        <v>275.53499999999997</v>
      </c>
      <c r="I448" s="23">
        <f>(4*testdata[[#This Row],[price]]+3*H447+2*H446+H445)/10</f>
        <v>278.56650000000002</v>
      </c>
      <c r="J448" s="9">
        <f>(0.0962*testdata[[#This Row],[smooth]]+0.5769*I446-0.5769*I444-0.0962*I442)*(0.075*$Z447+0.54)</f>
        <v>-4.3753762957526936</v>
      </c>
      <c r="K448" s="14">
        <f t="shared" si="18"/>
        <v>0.49768138068065537</v>
      </c>
      <c r="L448" s="14">
        <f>(0.0962*testdata[[#This Row],[detrender]]+0.5769*J446-0.5769*J444-0.0962*J442)*(0.075*$Z447+0.54)</f>
        <v>-3.0663879691534595</v>
      </c>
      <c r="M448" s="9">
        <f>(0.0962*testdata[[#This Row],[I1]]+0.5769*K446-0.5769*K444-0.0962*K442)*(0.075*$Z447+0.54)</f>
        <v>1.0273159924869648</v>
      </c>
      <c r="N448" s="9">
        <f>(0.0962*testdata[[#This Row],[Q1]]+0.5769*L446-0.5769*L444-0.0962*L442)*(0.075*$Z447+0.54)</f>
        <v>1.3475548082680748</v>
      </c>
      <c r="O448" s="9">
        <f>testdata[[#This Row],[I1]]-testdata[[#This Row],[JQ]]</f>
        <v>-0.84987342758741946</v>
      </c>
      <c r="P448" s="9">
        <f>testdata[[#This Row],[Q1]]+testdata[[#This Row],[jI]]</f>
        <v>-2.0390719766664946</v>
      </c>
      <c r="Q448" s="9">
        <f>0.2*testdata[[#This Row],[I2]]+0.8*Q447</f>
        <v>-0.23765528327049867</v>
      </c>
      <c r="R448" s="9">
        <f>0.2*testdata[[#This Row],[Q2]]+0.8*R447</f>
        <v>-1.0506001323048733</v>
      </c>
      <c r="S448" s="9">
        <f>testdata[[#This Row],[I2'']]*Q447+testdata[[#This Row],[Q2'']]*R447</f>
        <v>0.86424428992116353</v>
      </c>
      <c r="T448" s="9">
        <f>testdata[[#This Row],[I2'']]*R447-testdata[[#This Row],[Q2'']]*Q447</f>
        <v>0.10207022681053189</v>
      </c>
      <c r="U448" s="9">
        <f>0.2*testdata[[#This Row],[Re]]+0.8*U447</f>
        <v>1.906182963978218</v>
      </c>
      <c r="V448" s="9">
        <f>0.2*testdata[[#This Row],[Im]]+0.8*V447</f>
        <v>0.55472618413313013</v>
      </c>
      <c r="W448" s="9">
        <f>IF(AND(testdata[[#This Row],[Re'']]&lt;&gt;0,testdata[[#This Row],[Im'']]&lt;&gt;0),2*PI()/ATAN(testdata[[#This Row],[Im'']]/testdata[[#This Row],[Re'']]),0)</f>
        <v>22.1869662300304</v>
      </c>
      <c r="X448" s="9">
        <f>IF(testdata[[#This Row],[pd-atan]]&gt;1.5*Z447,1.5*Z447,IF(testdata[[#This Row],[pd-atan]]&lt;0.67*Z447,0.67*Z447,testdata[[#This Row],[pd-atan]]))</f>
        <v>22.1869662300304</v>
      </c>
      <c r="Y448" s="9">
        <f>IF(testdata[[#This Row],[pd-limit1]]&lt;6,6,IF(testdata[[#This Row],[pd-limit1]]&gt;50,50,testdata[[#This Row],[pd-limit1]]))</f>
        <v>22.1869662300304</v>
      </c>
      <c r="Z448" s="14">
        <f>0.2*testdata[[#This Row],[pd-limit2]]+0.8*Z447</f>
        <v>21.243333102744312</v>
      </c>
      <c r="AA448" s="14">
        <f>0.33*testdata[[#This Row],[period]]+0.67*AA447</f>
        <v>20.560455126792903</v>
      </c>
      <c r="AB448" s="31">
        <f>TRUNC(testdata[[#This Row],[SmPd]]+0.5,0)</f>
        <v>21</v>
      </c>
      <c r="AC448" s="14">
        <f ca="1">IF(testdata[[#This Row],[PdInt]]&lt;=0,0,AVERAGE(OFFSET(testdata[[#This Row],[price]],0,0,-testdata[[#This Row],[PdInt]],1)))</f>
        <v>282.63547619047614</v>
      </c>
      <c r="AD448" s="14">
        <f ca="1">IF(testdata[[#This Row],[i]]&lt;11,testdata[[#This Row],[price]],(4*testdata[[#This Row],[iTrend]]+3*AC447+2*AC446+AC445)/10)</f>
        <v>282.8521141604009</v>
      </c>
      <c r="AE448" s="14">
        <f>(4*testdata[[#This Row],[price]]+3*H447+2*H446+H445)/10</f>
        <v>278.56650000000002</v>
      </c>
      <c r="AF448" t="str">
        <f ca="1">IF(OR(ROUND(testdata[[#This Row],[Trendline]],4)&lt;&gt;Table3[[#This Row],[Trendline]],ROUND(testdata[[#This Row],[SmPrice]],4)&lt;&gt;Table3[[#This Row],[SmPrice]]),"ERR","")</f>
        <v/>
      </c>
      <c r="AG448" s="3">
        <v>43383</v>
      </c>
      <c r="AH448" s="14">
        <v>20.560500000000001</v>
      </c>
      <c r="AI448" s="34">
        <v>21</v>
      </c>
      <c r="AJ448" s="14">
        <v>282.63549999999998</v>
      </c>
      <c r="AK448" s="14">
        <v>282.85210000000001</v>
      </c>
      <c r="AL448" s="14">
        <v>278.56650000000002</v>
      </c>
      <c r="AN448" s="38">
        <f t="shared" si="19"/>
        <v>0</v>
      </c>
      <c r="AO448" s="38">
        <f t="shared" si="20"/>
        <v>0</v>
      </c>
      <c r="AQ448" s="37">
        <v>43383</v>
      </c>
      <c r="AR448">
        <v>21</v>
      </c>
      <c r="AS448">
        <v>282.85211416039999</v>
      </c>
      <c r="AT448">
        <v>278.56650000000002</v>
      </c>
      <c r="AV448" s="37">
        <v>43383</v>
      </c>
      <c r="AW448">
        <v>21</v>
      </c>
      <c r="AX448">
        <v>282.85211416039999</v>
      </c>
      <c r="AY448">
        <v>278.56650000000002</v>
      </c>
      <c r="BA448" s="38">
        <f>AX448-Table3[[#This Row],[Trendline]]</f>
        <v>1.4160399985030381E-5</v>
      </c>
      <c r="BB448" s="38">
        <f>AY448-Table3[[#This Row],[SmPrice]]</f>
        <v>0</v>
      </c>
    </row>
    <row r="449" spans="1:54" x14ac:dyDescent="0.35">
      <c r="A449" s="6">
        <v>447</v>
      </c>
      <c r="B449" s="3">
        <v>43384</v>
      </c>
      <c r="C449" s="2">
        <v>270.35000000000002</v>
      </c>
      <c r="D449" s="2">
        <v>272.13</v>
      </c>
      <c r="E449" s="2">
        <v>263.8</v>
      </c>
      <c r="F449" s="2">
        <v>265.56</v>
      </c>
      <c r="G449" s="1">
        <v>281680000</v>
      </c>
      <c r="H449" s="30">
        <f>(testdata[[#This Row],[high]]+testdata[[#This Row],[low]])/2</f>
        <v>267.96500000000003</v>
      </c>
      <c r="I449" s="23">
        <f>(4*testdata[[#This Row],[price]]+3*H448+2*H447+H446)/10</f>
        <v>274.00200000000001</v>
      </c>
      <c r="J449" s="9">
        <f>(0.0962*testdata[[#This Row],[smooth]]+0.5769*I447-0.5769*I445-0.0962*I443)*(0.075*$Z448+0.54)</f>
        <v>-4.5953521831206201</v>
      </c>
      <c r="K449" s="14">
        <f t="shared" si="18"/>
        <v>-1.0768174063775153</v>
      </c>
      <c r="L449" s="14">
        <f>(0.0962*testdata[[#This Row],[detrender]]+0.5769*J447-0.5769*J445-0.0962*J443)*(0.075*$Z448+0.54)</f>
        <v>-5.5974780354034133</v>
      </c>
      <c r="M449" s="9">
        <f>(0.0962*testdata[[#This Row],[I1]]+0.5769*K447-0.5769*K445-0.0962*K443)*(0.075*$Z448+0.54)</f>
        <v>1.0520152433127721</v>
      </c>
      <c r="N449" s="9">
        <f>(0.0962*testdata[[#This Row],[Q1]]+0.5769*L447-0.5769*L445-0.0962*L443)*(0.075*$Z448+0.54)</f>
        <v>-2.7103377866118086</v>
      </c>
      <c r="O449" s="9">
        <f>testdata[[#This Row],[I1]]-testdata[[#This Row],[JQ]]</f>
        <v>1.6335203802342932</v>
      </c>
      <c r="P449" s="9">
        <f>testdata[[#This Row],[Q1]]+testdata[[#This Row],[jI]]</f>
        <v>-4.5454627920906407</v>
      </c>
      <c r="Q449" s="9">
        <f>0.2*testdata[[#This Row],[I2]]+0.8*Q448</f>
        <v>0.13657984943045975</v>
      </c>
      <c r="R449" s="9">
        <f>0.2*testdata[[#This Row],[Q2]]+0.8*R448</f>
        <v>-1.7495726642620268</v>
      </c>
      <c r="S449" s="9">
        <f>testdata[[#This Row],[I2'']]*Q448+testdata[[#This Row],[Q2'']]*R448</f>
        <v>1.805642349745237</v>
      </c>
      <c r="T449" s="9">
        <f>testdata[[#This Row],[I2'']]*R448-testdata[[#This Row],[Q2'']]*Q448</f>
        <v>-0.55928599500933374</v>
      </c>
      <c r="U449" s="9">
        <f>0.2*testdata[[#This Row],[Re]]+0.8*U448</f>
        <v>1.8860748411316217</v>
      </c>
      <c r="V449" s="9">
        <f>0.2*testdata[[#This Row],[Im]]+0.8*V448</f>
        <v>0.33192374830463739</v>
      </c>
      <c r="W449" s="9">
        <f>IF(AND(testdata[[#This Row],[Re'']]&lt;&gt;0,testdata[[#This Row],[Im'']]&lt;&gt;0),2*PI()/ATAN(testdata[[#This Row],[Im'']]/testdata[[#This Row],[Re'']]),0)</f>
        <v>36.06824053165564</v>
      </c>
      <c r="X449" s="9">
        <f>IF(testdata[[#This Row],[pd-atan]]&gt;1.5*Z448,1.5*Z448,IF(testdata[[#This Row],[pd-atan]]&lt;0.67*Z448,0.67*Z448,testdata[[#This Row],[pd-atan]]))</f>
        <v>31.864999654116467</v>
      </c>
      <c r="Y449" s="9">
        <f>IF(testdata[[#This Row],[pd-limit1]]&lt;6,6,IF(testdata[[#This Row],[pd-limit1]]&gt;50,50,testdata[[#This Row],[pd-limit1]]))</f>
        <v>31.864999654116467</v>
      </c>
      <c r="Z449" s="14">
        <f>0.2*testdata[[#This Row],[pd-limit2]]+0.8*Z448</f>
        <v>23.367666413018746</v>
      </c>
      <c r="AA449" s="14">
        <f>0.33*testdata[[#This Row],[period]]+0.67*AA448</f>
        <v>21.48683485124743</v>
      </c>
      <c r="AB449" s="31">
        <f>TRUNC(testdata[[#This Row],[SmPd]]+0.5,0)</f>
        <v>21</v>
      </c>
      <c r="AC449" s="14">
        <f ca="1">IF(testdata[[#This Row],[PdInt]]&lt;=0,0,AVERAGE(OFFSET(testdata[[#This Row],[price]],0,0,-testdata[[#This Row],[PdInt]],1)))</f>
        <v>282.0278571428571</v>
      </c>
      <c r="AD449" s="14">
        <f ca="1">IF(testdata[[#This Row],[i]]&lt;11,testdata[[#This Row],[price]],(4*testdata[[#This Row],[iTrend]]+3*AC448+2*AC447+AC446)/10)</f>
        <v>282.49478571428568</v>
      </c>
      <c r="AE449" s="14">
        <f>(4*testdata[[#This Row],[price]]+3*H448+2*H447+H446)/10</f>
        <v>274.00200000000001</v>
      </c>
      <c r="AF449" t="str">
        <f ca="1">IF(OR(ROUND(testdata[[#This Row],[Trendline]],4)&lt;&gt;Table3[[#This Row],[Trendline]],ROUND(testdata[[#This Row],[SmPrice]],4)&lt;&gt;Table3[[#This Row],[SmPrice]]),"ERR","")</f>
        <v/>
      </c>
      <c r="AG449" s="3">
        <v>43384</v>
      </c>
      <c r="AH449" s="14">
        <v>21.486799999999999</v>
      </c>
      <c r="AI449" s="34">
        <v>21</v>
      </c>
      <c r="AJ449" s="14">
        <v>282.02789999999999</v>
      </c>
      <c r="AK449" s="14">
        <v>282.4948</v>
      </c>
      <c r="AL449" s="14">
        <v>274.00200000000001</v>
      </c>
      <c r="AN449" s="38">
        <f t="shared" si="19"/>
        <v>0</v>
      </c>
      <c r="AO449" s="38">
        <f t="shared" si="20"/>
        <v>0</v>
      </c>
      <c r="AQ449" s="37">
        <v>43384</v>
      </c>
      <c r="AR449">
        <v>21</v>
      </c>
      <c r="AS449">
        <v>282.494785714285</v>
      </c>
      <c r="AT449">
        <v>274.00200000000001</v>
      </c>
      <c r="AV449" s="37">
        <v>43384</v>
      </c>
      <c r="AW449">
        <v>21</v>
      </c>
      <c r="AX449">
        <v>282.494785714285</v>
      </c>
      <c r="AY449">
        <v>274.00200000000001</v>
      </c>
      <c r="BA449" s="38">
        <f>AX449-Table3[[#This Row],[Trendline]]</f>
        <v>-1.4285714996731258E-5</v>
      </c>
      <c r="BB449" s="38">
        <f>AY449-Table3[[#This Row],[SmPrice]]</f>
        <v>0</v>
      </c>
    </row>
    <row r="450" spans="1:54" x14ac:dyDescent="0.35">
      <c r="A450" s="6">
        <v>448</v>
      </c>
      <c r="B450" s="3">
        <v>43385</v>
      </c>
      <c r="C450" s="2">
        <v>270.05</v>
      </c>
      <c r="D450" s="2">
        <v>270.36</v>
      </c>
      <c r="E450" s="2">
        <v>265.76</v>
      </c>
      <c r="F450" s="2">
        <v>269.25</v>
      </c>
      <c r="G450" s="1">
        <v>187745152</v>
      </c>
      <c r="H450" s="30">
        <f>(testdata[[#This Row],[high]]+testdata[[#This Row],[low]])/2</f>
        <v>268.06</v>
      </c>
      <c r="I450" s="23">
        <f>(4*testdata[[#This Row],[price]]+3*H449+2*H448+H447)/10</f>
        <v>270.80349999999999</v>
      </c>
      <c r="J450" s="9">
        <f>(0.0962*testdata[[#This Row],[smooth]]+0.5769*I448-0.5769*I446-0.0962*I444)*(0.075*$Z449+0.54)</f>
        <v>-6.5569058974688783</v>
      </c>
      <c r="K450" s="14">
        <f t="shared" si="18"/>
        <v>-3.2159212350703141</v>
      </c>
      <c r="L450" s="14">
        <f>(0.0962*testdata[[#This Row],[detrender]]+0.5769*J448-0.5769*J446-0.0962*J444)*(0.075*$Z449+0.54)</f>
        <v>-5.9738149818508148</v>
      </c>
      <c r="M450" s="9">
        <f>(0.0962*testdata[[#This Row],[I1]]+0.5769*K448-0.5769*K446-0.0962*K444)*(0.075*$Z449+0.54)</f>
        <v>-0.50608767238242336</v>
      </c>
      <c r="N450" s="9">
        <f>(0.0962*testdata[[#This Row],[Q1]]+0.5769*L448-0.5769*L446-0.0962*L444)*(0.075*$Z449+0.54)</f>
        <v>-6.6831171766777429</v>
      </c>
      <c r="O450" s="9">
        <f>testdata[[#This Row],[I1]]-testdata[[#This Row],[JQ]]</f>
        <v>3.4671959416074287</v>
      </c>
      <c r="P450" s="9">
        <f>testdata[[#This Row],[Q1]]+testdata[[#This Row],[jI]]</f>
        <v>-6.4799026542332383</v>
      </c>
      <c r="Q450" s="9">
        <f>0.2*testdata[[#This Row],[I2]]+0.8*Q449</f>
        <v>0.80270306786585355</v>
      </c>
      <c r="R450" s="9">
        <f>0.2*testdata[[#This Row],[Q2]]+0.8*R449</f>
        <v>-2.6956386622562691</v>
      </c>
      <c r="S450" s="9">
        <f>testdata[[#This Row],[I2'']]*Q449+testdata[[#This Row],[Q2'']]*R449</f>
        <v>4.8258487803579131</v>
      </c>
      <c r="T450" s="9">
        <f>testdata[[#This Row],[I2'']]*R449-testdata[[#This Row],[Q2'']]*Q449</f>
        <v>-1.0362174224474767</v>
      </c>
      <c r="U450" s="9">
        <f>0.2*testdata[[#This Row],[Re]]+0.8*U449</f>
        <v>2.4740296289768802</v>
      </c>
      <c r="V450" s="9">
        <f>0.2*testdata[[#This Row],[Im]]+0.8*V449</f>
        <v>5.8295514154214578E-2</v>
      </c>
      <c r="W450" s="9">
        <f>IF(AND(testdata[[#This Row],[Re'']]&lt;&gt;0,testdata[[#This Row],[Im'']]&lt;&gt;0),2*PI()/ATAN(testdata[[#This Row],[Im'']]/testdata[[#This Row],[Re'']]),0)</f>
        <v>266.70427920457905</v>
      </c>
      <c r="X450" s="9">
        <f>IF(testdata[[#This Row],[pd-atan]]&gt;1.5*Z449,1.5*Z449,IF(testdata[[#This Row],[pd-atan]]&lt;0.67*Z449,0.67*Z449,testdata[[#This Row],[pd-atan]]))</f>
        <v>35.051499619528116</v>
      </c>
      <c r="Y450" s="9">
        <f>IF(testdata[[#This Row],[pd-limit1]]&lt;6,6,IF(testdata[[#This Row],[pd-limit1]]&gt;50,50,testdata[[#This Row],[pd-limit1]]))</f>
        <v>35.051499619528116</v>
      </c>
      <c r="Z450" s="14">
        <f>0.2*testdata[[#This Row],[pd-limit2]]+0.8*Z449</f>
        <v>25.704433054320621</v>
      </c>
      <c r="AA450" s="14">
        <f>0.33*testdata[[#This Row],[period]]+0.67*AA449</f>
        <v>22.878642258261586</v>
      </c>
      <c r="AB450" s="31">
        <f>TRUNC(testdata[[#This Row],[SmPd]]+0.5,0)</f>
        <v>23</v>
      </c>
      <c r="AC450" s="14">
        <f ca="1">IF(testdata[[#This Row],[PdInt]]&lt;=0,0,AVERAGE(OFFSET(testdata[[#This Row],[price]],0,0,-testdata[[#This Row],[PdInt]],1)))</f>
        <v>281.36391304347825</v>
      </c>
      <c r="AD450" s="14">
        <f ca="1">IF(testdata[[#This Row],[i]]&lt;11,testdata[[#This Row],[price]],(4*testdata[[#This Row],[iTrend]]+3*AC449+2*AC448+AC447)/10)</f>
        <v>281.98006759834368</v>
      </c>
      <c r="AE450" s="14">
        <f>(4*testdata[[#This Row],[price]]+3*H449+2*H448+H447)/10</f>
        <v>270.80349999999999</v>
      </c>
      <c r="AF450" t="str">
        <f ca="1">IF(OR(ROUND(testdata[[#This Row],[Trendline]],4)&lt;&gt;Table3[[#This Row],[Trendline]],ROUND(testdata[[#This Row],[SmPrice]],4)&lt;&gt;Table3[[#This Row],[SmPrice]]),"ERR","")</f>
        <v/>
      </c>
      <c r="AG450" s="3">
        <v>43385</v>
      </c>
      <c r="AH450" s="14">
        <v>22.878599999999999</v>
      </c>
      <c r="AI450" s="34">
        <v>23</v>
      </c>
      <c r="AJ450" s="14">
        <v>281.3639</v>
      </c>
      <c r="AK450" s="14">
        <v>281.98009999999999</v>
      </c>
      <c r="AL450" s="14">
        <v>270.80349999999999</v>
      </c>
      <c r="AN450" s="38">
        <f t="shared" si="19"/>
        <v>0</v>
      </c>
      <c r="AO450" s="38">
        <f t="shared" si="20"/>
        <v>0</v>
      </c>
      <c r="AQ450" s="37">
        <v>43385</v>
      </c>
      <c r="AR450">
        <v>23</v>
      </c>
      <c r="AS450">
        <v>281.980067598343</v>
      </c>
      <c r="AT450">
        <v>270.80349999999999</v>
      </c>
      <c r="AV450" s="37">
        <v>43385</v>
      </c>
      <c r="AW450">
        <v>23</v>
      </c>
      <c r="AX450">
        <v>281.980067598343</v>
      </c>
      <c r="AY450">
        <v>270.80349999999999</v>
      </c>
      <c r="BA450" s="38">
        <f>AX450-Table3[[#This Row],[Trendline]]</f>
        <v>-3.2401656994807126E-5</v>
      </c>
      <c r="BB450" s="38">
        <f>AY450-Table3[[#This Row],[SmPrice]]</f>
        <v>0</v>
      </c>
    </row>
    <row r="451" spans="1:54" x14ac:dyDescent="0.35">
      <c r="A451" s="6">
        <v>449</v>
      </c>
      <c r="B451" s="3">
        <v>43388</v>
      </c>
      <c r="C451" s="2">
        <v>268.86</v>
      </c>
      <c r="D451" s="2">
        <v>270.31</v>
      </c>
      <c r="E451" s="2">
        <v>267.64</v>
      </c>
      <c r="F451" s="2">
        <v>267.74</v>
      </c>
      <c r="G451" s="1">
        <v>104808584</v>
      </c>
      <c r="H451" s="30">
        <f>(testdata[[#This Row],[high]]+testdata[[#This Row],[low]])/2</f>
        <v>268.97500000000002</v>
      </c>
      <c r="I451" s="23">
        <f>(4*testdata[[#This Row],[price]]+3*H450+2*H449+H448)/10</f>
        <v>269.15449999999998</v>
      </c>
      <c r="J451" s="9">
        <f>(0.0962*testdata[[#This Row],[smooth]]+0.5769*I449-0.5769*I447-0.0962*I445)*(0.075*$Z450+0.54)</f>
        <v>-12.888820995951619</v>
      </c>
      <c r="K451" s="14">
        <f t="shared" si="18"/>
        <v>-4.3753762957526936</v>
      </c>
      <c r="L451" s="14">
        <f>(0.0962*testdata[[#This Row],[detrender]]+0.5769*J449-0.5769*J447-0.0962*J445)*(0.075*$Z450+0.54)</f>
        <v>-5.1419146561896971</v>
      </c>
      <c r="M451" s="9">
        <f>(0.0962*testdata[[#This Row],[I1]]+0.5769*K449-0.5769*K447-0.0962*K445)*(0.075*$Z450+0.54)</f>
        <v>-3.5769928765260253</v>
      </c>
      <c r="N451" s="9">
        <f>(0.0962*testdata[[#This Row],[Q1]]+0.5769*L449-0.5769*L447-0.0962*L445)*(0.075*$Z450+0.54)</f>
        <v>-8.7593916096299349</v>
      </c>
      <c r="O451" s="9">
        <f>testdata[[#This Row],[I1]]-testdata[[#This Row],[JQ]]</f>
        <v>4.3840153138772413</v>
      </c>
      <c r="P451" s="9">
        <f>testdata[[#This Row],[Q1]]+testdata[[#This Row],[jI]]</f>
        <v>-8.7189075327157219</v>
      </c>
      <c r="Q451" s="9">
        <f>0.2*testdata[[#This Row],[I2]]+0.8*Q450</f>
        <v>1.5189655170681311</v>
      </c>
      <c r="R451" s="9">
        <f>0.2*testdata[[#This Row],[Q2]]+0.8*R450</f>
        <v>-3.9002924363481601</v>
      </c>
      <c r="S451" s="9">
        <f>testdata[[#This Row],[I2'']]*Q450+testdata[[#This Row],[Q2'']]*R450</f>
        <v>11.73305736605883</v>
      </c>
      <c r="T451" s="9">
        <f>testdata[[#This Row],[I2'']]*R450-testdata[[#This Row],[Q2'']]*Q450</f>
        <v>-0.96380547021228669</v>
      </c>
      <c r="U451" s="9">
        <f>0.2*testdata[[#This Row],[Re]]+0.8*U450</f>
        <v>4.3258351763932703</v>
      </c>
      <c r="V451" s="9">
        <f>0.2*testdata[[#This Row],[Im]]+0.8*V450</f>
        <v>-0.14612468271908569</v>
      </c>
      <c r="W451" s="9">
        <f>IF(AND(testdata[[#This Row],[Re'']]&lt;&gt;0,testdata[[#This Row],[Im'']]&lt;&gt;0),2*PI()/ATAN(testdata[[#This Row],[Im'']]/testdata[[#This Row],[Re'']]),0)</f>
        <v>-186.07642702604656</v>
      </c>
      <c r="X451" s="9">
        <f>IF(testdata[[#This Row],[pd-atan]]&gt;1.5*Z450,1.5*Z450,IF(testdata[[#This Row],[pd-atan]]&lt;0.67*Z450,0.67*Z450,testdata[[#This Row],[pd-atan]]))</f>
        <v>17.221970146394817</v>
      </c>
      <c r="Y451" s="9">
        <f>IF(testdata[[#This Row],[pd-limit1]]&lt;6,6,IF(testdata[[#This Row],[pd-limit1]]&gt;50,50,testdata[[#This Row],[pd-limit1]]))</f>
        <v>17.221970146394817</v>
      </c>
      <c r="Z451" s="14">
        <f>0.2*testdata[[#This Row],[pd-limit2]]+0.8*Z450</f>
        <v>24.007940472735463</v>
      </c>
      <c r="AA451" s="14">
        <f>0.33*testdata[[#This Row],[period]]+0.67*AA450</f>
        <v>23.251310669037967</v>
      </c>
      <c r="AB451" s="31">
        <f>TRUNC(testdata[[#This Row],[SmPd]]+0.5,0)</f>
        <v>23</v>
      </c>
      <c r="AC451" s="14">
        <f ca="1">IF(testdata[[#This Row],[PdInt]]&lt;=0,0,AVERAGE(OFFSET(testdata[[#This Row],[price]],0,0,-testdata[[#This Row],[PdInt]],1)))</f>
        <v>280.85304347826087</v>
      </c>
      <c r="AD451" s="14">
        <f ca="1">IF(testdata[[#This Row],[i]]&lt;11,testdata[[#This Row],[price]],(4*testdata[[#This Row],[iTrend]]+3*AC450+2*AC449+AC448)/10)</f>
        <v>281.41951035196684</v>
      </c>
      <c r="AE451" s="14">
        <f>(4*testdata[[#This Row],[price]]+3*H450+2*H449+H448)/10</f>
        <v>269.15449999999998</v>
      </c>
      <c r="AF451" t="str">
        <f ca="1">IF(OR(ROUND(testdata[[#This Row],[Trendline]],4)&lt;&gt;Table3[[#This Row],[Trendline]],ROUND(testdata[[#This Row],[SmPrice]],4)&lt;&gt;Table3[[#This Row],[SmPrice]]),"ERR","")</f>
        <v/>
      </c>
      <c r="AG451" s="3">
        <v>43388</v>
      </c>
      <c r="AH451" s="14">
        <v>23.251300000000001</v>
      </c>
      <c r="AI451" s="34">
        <v>23</v>
      </c>
      <c r="AJ451" s="14">
        <v>280.85300000000001</v>
      </c>
      <c r="AK451" s="14">
        <v>281.41950000000003</v>
      </c>
      <c r="AL451" s="14">
        <v>269.15449999999998</v>
      </c>
      <c r="AN451" s="38">
        <f t="shared" si="19"/>
        <v>0</v>
      </c>
      <c r="AO451" s="38">
        <f t="shared" si="20"/>
        <v>0</v>
      </c>
      <c r="AQ451" s="37">
        <v>43388</v>
      </c>
      <c r="AR451">
        <v>23</v>
      </c>
      <c r="AS451">
        <v>281.41951035196598</v>
      </c>
      <c r="AT451">
        <v>269.15449999999998</v>
      </c>
      <c r="AV451" s="37">
        <v>43388</v>
      </c>
      <c r="AW451">
        <v>23</v>
      </c>
      <c r="AX451">
        <v>281.41951035196598</v>
      </c>
      <c r="AY451">
        <v>269.15449999999998</v>
      </c>
      <c r="BA451" s="38">
        <f>AX451-Table3[[#This Row],[Trendline]]</f>
        <v>1.035196595466914E-5</v>
      </c>
      <c r="BB451" s="38">
        <f>AY451-Table3[[#This Row],[SmPrice]]</f>
        <v>0</v>
      </c>
    </row>
    <row r="452" spans="1:54" x14ac:dyDescent="0.35">
      <c r="A452" s="6">
        <v>450</v>
      </c>
      <c r="B452" s="3">
        <v>43389</v>
      </c>
      <c r="C452" s="2">
        <v>269.88</v>
      </c>
      <c r="D452" s="2">
        <v>274</v>
      </c>
      <c r="E452" s="2">
        <v>269.37</v>
      </c>
      <c r="F452" s="2">
        <v>273.58999999999997</v>
      </c>
      <c r="G452" s="1">
        <v>121198672</v>
      </c>
      <c r="H452" s="30">
        <f>(testdata[[#This Row],[high]]+testdata[[#This Row],[low]])/2</f>
        <v>271.685</v>
      </c>
      <c r="I452" s="23">
        <f>(4*testdata[[#This Row],[price]]+3*H451+2*H450+H449)/10</f>
        <v>269.77499999999998</v>
      </c>
      <c r="J452" s="9">
        <f>(0.0962*testdata[[#This Row],[smooth]]+0.5769*I450-0.5769*I448-0.0962*I446)*(0.075*$Z451+0.54)</f>
        <v>-13.084870898837899</v>
      </c>
      <c r="K452" s="14">
        <f t="shared" si="18"/>
        <v>-4.5953521831206201</v>
      </c>
      <c r="L452" s="14">
        <f>(0.0962*testdata[[#This Row],[detrender]]+0.5769*J450-0.5769*J448-0.0962*J446)*(0.075*$Z451+0.54)</f>
        <v>-5.6494935087348628</v>
      </c>
      <c r="M452" s="9">
        <f>(0.0962*testdata[[#This Row],[I1]]+0.5769*K450-0.5769*K448-0.0962*K446)*(0.075*$Z451+0.54)</f>
        <v>-6.1415362501752533</v>
      </c>
      <c r="N452" s="9">
        <f>(0.0962*testdata[[#This Row],[Q1]]+0.5769*L450-0.5769*L448-0.0962*L446)*(0.075*$Z451+0.54)</f>
        <v>-5.4294418501406563</v>
      </c>
      <c r="O452" s="9">
        <f>testdata[[#This Row],[I1]]-testdata[[#This Row],[JQ]]</f>
        <v>0.83408966702003617</v>
      </c>
      <c r="P452" s="9">
        <f>testdata[[#This Row],[Q1]]+testdata[[#This Row],[jI]]</f>
        <v>-11.791029758910117</v>
      </c>
      <c r="Q452" s="9">
        <f>0.2*testdata[[#This Row],[I2]]+0.8*Q451</f>
        <v>1.3819903470585122</v>
      </c>
      <c r="R452" s="9">
        <f>0.2*testdata[[#This Row],[Q2]]+0.8*R451</f>
        <v>-5.4784399008605522</v>
      </c>
      <c r="S452" s="9">
        <f>testdata[[#This Row],[I2'']]*Q451+testdata[[#This Row],[Q2'']]*R451</f>
        <v>23.466713390417276</v>
      </c>
      <c r="T452" s="9">
        <f>testdata[[#This Row],[I2'']]*R451-testdata[[#This Row],[Q2'']]*Q451</f>
        <v>2.9313947989988449</v>
      </c>
      <c r="U452" s="9">
        <f>0.2*testdata[[#This Row],[Re]]+0.8*U451</f>
        <v>8.1540108191980725</v>
      </c>
      <c r="V452" s="9">
        <f>0.2*testdata[[#This Row],[Im]]+0.8*V451</f>
        <v>0.46937921362450041</v>
      </c>
      <c r="W452" s="9">
        <f>IF(AND(testdata[[#This Row],[Re'']]&lt;&gt;0,testdata[[#This Row],[Im'']]&lt;&gt;0),2*PI()/ATAN(testdata[[#This Row],[Im'']]/testdata[[#This Row],[Re'']]),0)</f>
        <v>109.27135024354136</v>
      </c>
      <c r="X452" s="9">
        <f>IF(testdata[[#This Row],[pd-atan]]&gt;1.5*Z451,1.5*Z451,IF(testdata[[#This Row],[pd-atan]]&lt;0.67*Z451,0.67*Z451,testdata[[#This Row],[pd-atan]]))</f>
        <v>36.011910709103191</v>
      </c>
      <c r="Y452" s="9">
        <f>IF(testdata[[#This Row],[pd-limit1]]&lt;6,6,IF(testdata[[#This Row],[pd-limit1]]&gt;50,50,testdata[[#This Row],[pd-limit1]]))</f>
        <v>36.011910709103191</v>
      </c>
      <c r="Z452" s="14">
        <f>0.2*testdata[[#This Row],[pd-limit2]]+0.8*Z451</f>
        <v>26.408734520009009</v>
      </c>
      <c r="AA452" s="14">
        <f>0.33*testdata[[#This Row],[period]]+0.67*AA451</f>
        <v>24.293260539858412</v>
      </c>
      <c r="AB452" s="31">
        <f>TRUNC(testdata[[#This Row],[SmPd]]+0.5,0)</f>
        <v>24</v>
      </c>
      <c r="AC452" s="14">
        <f ca="1">IF(testdata[[#This Row],[PdInt]]&lt;=0,0,AVERAGE(OFFSET(testdata[[#This Row],[price]],0,0,-testdata[[#This Row],[PdInt]],1)))</f>
        <v>280.47104166666668</v>
      </c>
      <c r="AD452" s="14">
        <f ca="1">IF(testdata[[#This Row],[i]]&lt;11,testdata[[#This Row],[price]],(4*testdata[[#This Row],[iTrend]]+3*AC451+2*AC450+AC449)/10)</f>
        <v>280.91989803312629</v>
      </c>
      <c r="AE452" s="14">
        <f>(4*testdata[[#This Row],[price]]+3*H451+2*H450+H449)/10</f>
        <v>269.77499999999998</v>
      </c>
      <c r="AF452" t="str">
        <f ca="1">IF(OR(ROUND(testdata[[#This Row],[Trendline]],4)&lt;&gt;Table3[[#This Row],[Trendline]],ROUND(testdata[[#This Row],[SmPrice]],4)&lt;&gt;Table3[[#This Row],[SmPrice]]),"ERR","")</f>
        <v/>
      </c>
      <c r="AG452" s="3">
        <v>43389</v>
      </c>
      <c r="AH452" s="14">
        <v>24.293299999999999</v>
      </c>
      <c r="AI452" s="34">
        <v>24</v>
      </c>
      <c r="AJ452" s="14">
        <v>280.471</v>
      </c>
      <c r="AK452" s="14">
        <v>280.91989999999998</v>
      </c>
      <c r="AL452" s="14">
        <v>269.77499999999998</v>
      </c>
      <c r="AN452" s="38">
        <f t="shared" si="19"/>
        <v>0</v>
      </c>
      <c r="AO452" s="38">
        <f t="shared" si="20"/>
        <v>0</v>
      </c>
      <c r="AQ452" s="37">
        <v>43389</v>
      </c>
      <c r="AR452">
        <v>24</v>
      </c>
      <c r="AS452">
        <v>280.919898033126</v>
      </c>
      <c r="AT452">
        <v>269.77499999999998</v>
      </c>
      <c r="AV452" s="37">
        <v>43389</v>
      </c>
      <c r="AW452">
        <v>24</v>
      </c>
      <c r="AX452">
        <v>280.919898033126</v>
      </c>
      <c r="AY452">
        <v>269.77499999999998</v>
      </c>
      <c r="BA452" s="38">
        <f>AX452-Table3[[#This Row],[Trendline]]</f>
        <v>-1.9668739810185798E-6</v>
      </c>
      <c r="BB452" s="38">
        <f>AY452-Table3[[#This Row],[SmPrice]]</f>
        <v>0</v>
      </c>
    </row>
    <row r="453" spans="1:54" x14ac:dyDescent="0.35">
      <c r="A453" s="6">
        <v>451</v>
      </c>
      <c r="B453" s="3">
        <v>43390</v>
      </c>
      <c r="C453" s="2">
        <v>273.63</v>
      </c>
      <c r="D453" s="2">
        <v>274.32</v>
      </c>
      <c r="E453" s="2">
        <v>270.82</v>
      </c>
      <c r="F453" s="2">
        <v>273.64</v>
      </c>
      <c r="G453" s="1">
        <v>113378952</v>
      </c>
      <c r="H453" s="30">
        <f>(testdata[[#This Row],[high]]+testdata[[#This Row],[low]])/2</f>
        <v>272.57</v>
      </c>
      <c r="I453" s="23">
        <f>(4*testdata[[#This Row],[price]]+3*H452+2*H451+H450)/10</f>
        <v>271.1345</v>
      </c>
      <c r="J453" s="9">
        <f>(0.0962*testdata[[#This Row],[smooth]]+0.5769*I451-0.5769*I449-0.0962*I447)*(0.075*$Z452+0.54)</f>
        <v>-9.3908876927124858</v>
      </c>
      <c r="K453" s="14">
        <f t="shared" ref="K453:K503" si="21">J450</f>
        <v>-6.5569058974688783</v>
      </c>
      <c r="L453" s="14">
        <f>(0.0962*testdata[[#This Row],[detrender]]+0.5769*J451-0.5769*J449-0.0962*J447)*(0.075*$Z452+0.54)</f>
        <v>-13.557428925413582</v>
      </c>
      <c r="M453" s="9">
        <f>(0.0962*testdata[[#This Row],[I1]]+0.5769*K451-0.5769*K449-0.0962*K447)*(0.075*$Z452+0.54)</f>
        <v>-6.5681285278344861</v>
      </c>
      <c r="N453" s="9">
        <f>(0.0962*testdata[[#This Row],[Q1]]+0.5769*L451-0.5769*L449-0.0962*L447)*(0.075*$Z452+0.54)</f>
        <v>-2.5117973066939836</v>
      </c>
      <c r="O453" s="9">
        <f>testdata[[#This Row],[I1]]-testdata[[#This Row],[JQ]]</f>
        <v>-4.0451085907748947</v>
      </c>
      <c r="P453" s="9">
        <f>testdata[[#This Row],[Q1]]+testdata[[#This Row],[jI]]</f>
        <v>-20.125557453248067</v>
      </c>
      <c r="Q453" s="9">
        <f>0.2*testdata[[#This Row],[I2]]+0.8*Q452</f>
        <v>0.29657055949183087</v>
      </c>
      <c r="R453" s="9">
        <f>0.2*testdata[[#This Row],[Q2]]+0.8*R452</f>
        <v>-8.4078634113380559</v>
      </c>
      <c r="S453" s="9">
        <f>testdata[[#This Row],[I2'']]*Q452+testdata[[#This Row],[Q2'']]*R452</f>
        <v>46.471832044099379</v>
      </c>
      <c r="T453" s="9">
        <f>testdata[[#This Row],[I2'']]*R452-testdata[[#This Row],[Q2'']]*Q452</f>
        <v>9.9948420873150621</v>
      </c>
      <c r="U453" s="9">
        <f>0.2*testdata[[#This Row],[Re]]+0.8*U452</f>
        <v>15.817575064178335</v>
      </c>
      <c r="V453" s="9">
        <f>0.2*testdata[[#This Row],[Im]]+0.8*V452</f>
        <v>2.3744717883626127</v>
      </c>
      <c r="W453" s="9">
        <f>IF(AND(testdata[[#This Row],[Re'']]&lt;&gt;0,testdata[[#This Row],[Im'']]&lt;&gt;0),2*PI()/ATAN(testdata[[#This Row],[Im'']]/testdata[[#This Row],[Re'']]),0)</f>
        <v>42.168056558834785</v>
      </c>
      <c r="X453" s="9">
        <f>IF(testdata[[#This Row],[pd-atan]]&gt;1.5*Z452,1.5*Z452,IF(testdata[[#This Row],[pd-atan]]&lt;0.67*Z452,0.67*Z452,testdata[[#This Row],[pd-atan]]))</f>
        <v>39.613101780013515</v>
      </c>
      <c r="Y453" s="9">
        <f>IF(testdata[[#This Row],[pd-limit1]]&lt;6,6,IF(testdata[[#This Row],[pd-limit1]]&gt;50,50,testdata[[#This Row],[pd-limit1]]))</f>
        <v>39.613101780013515</v>
      </c>
      <c r="Z453" s="14">
        <f>0.2*testdata[[#This Row],[pd-limit2]]+0.8*Z452</f>
        <v>29.049607972009913</v>
      </c>
      <c r="AA453" s="14">
        <f>0.33*testdata[[#This Row],[period]]+0.67*AA452</f>
        <v>25.862855192468409</v>
      </c>
      <c r="AB453" s="31">
        <f>TRUNC(testdata[[#This Row],[SmPd]]+0.5,0)</f>
        <v>26</v>
      </c>
      <c r="AC453" s="14">
        <f ca="1">IF(testdata[[#This Row],[PdInt]]&lt;=0,0,AVERAGE(OFFSET(testdata[[#This Row],[price]],0,0,-testdata[[#This Row],[PdInt]],1)))</f>
        <v>280.17692307692312</v>
      </c>
      <c r="AD453" s="14">
        <f ca="1">IF(testdata[[#This Row],[i]]&lt;11,testdata[[#This Row],[price]],(4*testdata[[#This Row],[iTrend]]+3*AC452+2*AC451+AC450)/10)</f>
        <v>280.51908173076924</v>
      </c>
      <c r="AE453" s="14">
        <f>(4*testdata[[#This Row],[price]]+3*H452+2*H451+H450)/10</f>
        <v>271.1345</v>
      </c>
      <c r="AF453" t="str">
        <f ca="1">IF(OR(ROUND(testdata[[#This Row],[Trendline]],4)&lt;&gt;Table3[[#This Row],[Trendline]],ROUND(testdata[[#This Row],[SmPrice]],4)&lt;&gt;Table3[[#This Row],[SmPrice]]),"ERR","")</f>
        <v/>
      </c>
      <c r="AG453" s="3">
        <v>43390</v>
      </c>
      <c r="AH453" s="14">
        <v>25.8629</v>
      </c>
      <c r="AI453" s="34">
        <v>26</v>
      </c>
      <c r="AJ453" s="14">
        <v>280.17689999999999</v>
      </c>
      <c r="AK453" s="14">
        <v>280.51909999999998</v>
      </c>
      <c r="AL453" s="14">
        <v>271.1345</v>
      </c>
      <c r="AN453" s="38">
        <f t="shared" si="19"/>
        <v>0</v>
      </c>
      <c r="AO453" s="38">
        <f t="shared" si="20"/>
        <v>0</v>
      </c>
      <c r="AQ453" s="37">
        <v>43390</v>
      </c>
      <c r="AR453">
        <v>26</v>
      </c>
      <c r="AS453">
        <v>280.51908173076902</v>
      </c>
      <c r="AT453">
        <v>271.1345</v>
      </c>
      <c r="AV453" s="37">
        <v>43390</v>
      </c>
      <c r="AW453">
        <v>26</v>
      </c>
      <c r="AX453">
        <v>280.51908173076902</v>
      </c>
      <c r="AY453">
        <v>271.1345</v>
      </c>
      <c r="BA453" s="38">
        <f>AX453-Table3[[#This Row],[Trendline]]</f>
        <v>-1.8269230963596783E-5</v>
      </c>
      <c r="BB453" s="38">
        <f>AY453-Table3[[#This Row],[SmPrice]]</f>
        <v>0</v>
      </c>
    </row>
    <row r="454" spans="1:54" x14ac:dyDescent="0.35">
      <c r="A454" s="6">
        <v>452</v>
      </c>
      <c r="B454" s="3">
        <v>43391</v>
      </c>
      <c r="C454" s="2">
        <v>272.62</v>
      </c>
      <c r="D454" s="2">
        <v>273.27</v>
      </c>
      <c r="E454" s="2">
        <v>268.29000000000002</v>
      </c>
      <c r="F454" s="2">
        <v>269.69</v>
      </c>
      <c r="G454" s="1">
        <v>137906032</v>
      </c>
      <c r="H454" s="30">
        <f>(testdata[[#This Row],[high]]+testdata[[#This Row],[low]])/2</f>
        <v>270.77999999999997</v>
      </c>
      <c r="I454" s="23">
        <f>(4*testdata[[#This Row],[price]]+3*H453+2*H452+H451)/10</f>
        <v>271.3175</v>
      </c>
      <c r="J454" s="9">
        <f>(0.0962*testdata[[#This Row],[smooth]]+0.5769*I452-0.5769*I450-0.0962*I448)*(0.075*$Z453+0.54)</f>
        <v>-3.5090403055318204</v>
      </c>
      <c r="K454" s="14">
        <f t="shared" si="21"/>
        <v>-12.888820995951619</v>
      </c>
      <c r="L454" s="14">
        <f>(0.0962*testdata[[#This Row],[detrender]]+0.5769*J452-0.5769*J450-0.0962*J448)*(0.075*$Z453+0.54)</f>
        <v>-10.012073265473752</v>
      </c>
      <c r="M454" s="9">
        <f>(0.0962*testdata[[#This Row],[I1]]+0.5769*K452-0.5769*K450-0.0962*K448)*(0.075*$Z453+0.54)</f>
        <v>-5.6646589292300176</v>
      </c>
      <c r="N454" s="9">
        <f>(0.0962*testdata[[#This Row],[Q1]]+0.5769*L452-0.5769*L450-0.0962*L448)*(0.075*$Z453+0.54)</f>
        <v>-1.3079054331337518</v>
      </c>
      <c r="O454" s="9">
        <f>testdata[[#This Row],[I1]]-testdata[[#This Row],[JQ]]</f>
        <v>-11.580915562817868</v>
      </c>
      <c r="P454" s="9">
        <f>testdata[[#This Row],[Q1]]+testdata[[#This Row],[jI]]</f>
        <v>-15.676732194703771</v>
      </c>
      <c r="Q454" s="9">
        <f>0.2*testdata[[#This Row],[I2]]+0.8*Q453</f>
        <v>-2.0789266649701088</v>
      </c>
      <c r="R454" s="9">
        <f>0.2*testdata[[#This Row],[Q2]]+0.8*R453</f>
        <v>-9.8616371680111996</v>
      </c>
      <c r="S454" s="9">
        <f>testdata[[#This Row],[I2'']]*Q453+testdata[[#This Row],[Q2'']]*R453</f>
        <v>82.298749876640144</v>
      </c>
      <c r="T454" s="9">
        <f>testdata[[#This Row],[I2'']]*R453-testdata[[#This Row],[Q2'']]*Q453</f>
        <v>20.404002693679743</v>
      </c>
      <c r="U454" s="9">
        <f>0.2*testdata[[#This Row],[Re]]+0.8*U453</f>
        <v>29.113810026670699</v>
      </c>
      <c r="V454" s="9">
        <f>0.2*testdata[[#This Row],[Im]]+0.8*V453</f>
        <v>5.9803779694260397</v>
      </c>
      <c r="W454" s="9">
        <f>IF(AND(testdata[[#This Row],[Re'']]&lt;&gt;0,testdata[[#This Row],[Im'']]&lt;&gt;0),2*PI()/ATAN(testdata[[#This Row],[Im'']]/testdata[[#This Row],[Re'']]),0)</f>
        <v>31.013424483898518</v>
      </c>
      <c r="X454" s="9">
        <f>IF(testdata[[#This Row],[pd-atan]]&gt;1.5*Z453,1.5*Z453,IF(testdata[[#This Row],[pd-atan]]&lt;0.67*Z453,0.67*Z453,testdata[[#This Row],[pd-atan]]))</f>
        <v>31.013424483898518</v>
      </c>
      <c r="Y454" s="9">
        <f>IF(testdata[[#This Row],[pd-limit1]]&lt;6,6,IF(testdata[[#This Row],[pd-limit1]]&gt;50,50,testdata[[#This Row],[pd-limit1]]))</f>
        <v>31.013424483898518</v>
      </c>
      <c r="Z454" s="14">
        <f>0.2*testdata[[#This Row],[pd-limit2]]+0.8*Z453</f>
        <v>29.442371274387636</v>
      </c>
      <c r="AA454" s="14">
        <f>0.33*testdata[[#This Row],[period]]+0.67*AA453</f>
        <v>27.044095499501758</v>
      </c>
      <c r="AB454" s="31">
        <f>TRUNC(testdata[[#This Row],[SmPd]]+0.5,0)</f>
        <v>27</v>
      </c>
      <c r="AC454" s="14">
        <f ca="1">IF(testdata[[#This Row],[PdInt]]&lt;=0,0,AVERAGE(OFFSET(testdata[[#This Row],[price]],0,0,-testdata[[#This Row],[PdInt]],1)))</f>
        <v>279.82888888888891</v>
      </c>
      <c r="AD454" s="14">
        <f ca="1">IF(testdata[[#This Row],[i]]&lt;11,testdata[[#This Row],[price]],(4*testdata[[#This Row],[iTrend]]+3*AC453+2*AC452+AC451)/10)</f>
        <v>280.16414515979193</v>
      </c>
      <c r="AE454" s="14">
        <f>(4*testdata[[#This Row],[price]]+3*H453+2*H452+H451)/10</f>
        <v>271.3175</v>
      </c>
      <c r="AF454" t="str">
        <f ca="1">IF(OR(ROUND(testdata[[#This Row],[Trendline]],4)&lt;&gt;Table3[[#This Row],[Trendline]],ROUND(testdata[[#This Row],[SmPrice]],4)&lt;&gt;Table3[[#This Row],[SmPrice]]),"ERR","")</f>
        <v/>
      </c>
      <c r="AG454" s="3">
        <v>43391</v>
      </c>
      <c r="AH454" s="14">
        <v>27.0441</v>
      </c>
      <c r="AI454" s="34">
        <v>27</v>
      </c>
      <c r="AJ454" s="14">
        <v>279.82889999999998</v>
      </c>
      <c r="AK454" s="14">
        <v>280.16410000000002</v>
      </c>
      <c r="AL454" s="14">
        <v>271.3175</v>
      </c>
      <c r="AN454" s="38">
        <f t="shared" si="19"/>
        <v>0</v>
      </c>
      <c r="AO454" s="38">
        <f t="shared" si="20"/>
        <v>0</v>
      </c>
      <c r="AQ454" s="37">
        <v>43391</v>
      </c>
      <c r="AR454">
        <v>27</v>
      </c>
      <c r="AS454">
        <v>280.16414515979102</v>
      </c>
      <c r="AT454">
        <v>271.3175</v>
      </c>
      <c r="AV454" s="37">
        <v>43391</v>
      </c>
      <c r="AW454">
        <v>27</v>
      </c>
      <c r="AX454">
        <v>280.16414515979102</v>
      </c>
      <c r="AY454">
        <v>271.3175</v>
      </c>
      <c r="BA454" s="38">
        <f>AX454-Table3[[#This Row],[Trendline]]</f>
        <v>4.5159791000060068E-5</v>
      </c>
      <c r="BB454" s="38">
        <f>AY454-Table3[[#This Row],[SmPrice]]</f>
        <v>0</v>
      </c>
    </row>
    <row r="455" spans="1:54" x14ac:dyDescent="0.35">
      <c r="A455" s="6">
        <v>453</v>
      </c>
      <c r="B455" s="3">
        <v>43392</v>
      </c>
      <c r="C455" s="2">
        <v>270.39999999999998</v>
      </c>
      <c r="D455" s="2">
        <v>272.52</v>
      </c>
      <c r="E455" s="2">
        <v>268.77999999999997</v>
      </c>
      <c r="F455" s="2">
        <v>269.54000000000002</v>
      </c>
      <c r="G455" s="1">
        <v>143383136</v>
      </c>
      <c r="H455" s="30">
        <f>(testdata[[#This Row],[high]]+testdata[[#This Row],[low]])/2</f>
        <v>270.64999999999998</v>
      </c>
      <c r="I455" s="23">
        <f>(4*testdata[[#This Row],[price]]+3*H454+2*H453+H452)/10</f>
        <v>271.17649999999998</v>
      </c>
      <c r="J455" s="9">
        <f>(0.0962*testdata[[#This Row],[smooth]]+0.5769*I453-0.5769*I451-0.0962*I449)*(0.075*$Z454+0.54)</f>
        <v>2.3921483826887311</v>
      </c>
      <c r="K455" s="14">
        <f t="shared" si="21"/>
        <v>-13.084870898837899</v>
      </c>
      <c r="L455" s="14">
        <f>(0.0962*testdata[[#This Row],[detrender]]+0.5769*J453-0.5769*J451-0.0962*J449)*(0.075*$Z454+0.54)</f>
        <v>7.3930251336100721</v>
      </c>
      <c r="M455" s="9">
        <f>(0.0962*testdata[[#This Row],[I1]]+0.5769*K453-0.5769*K451-0.0962*K449)*(0.075*$Z454+0.54)</f>
        <v>-6.6332745936938355</v>
      </c>
      <c r="N455" s="9">
        <f>(0.0962*testdata[[#This Row],[Q1]]+0.5769*L453-0.5769*L451-0.0962*L449)*(0.075*$Z454+0.54)</f>
        <v>-9.90779611246065</v>
      </c>
      <c r="O455" s="9">
        <f>testdata[[#This Row],[I1]]-testdata[[#This Row],[JQ]]</f>
        <v>-3.1770747863772488</v>
      </c>
      <c r="P455" s="9">
        <f>testdata[[#This Row],[Q1]]+testdata[[#This Row],[jI]]</f>
        <v>0.75975053991623653</v>
      </c>
      <c r="Q455" s="9">
        <f>0.2*testdata[[#This Row],[I2]]+0.8*Q454</f>
        <v>-2.298556289251537</v>
      </c>
      <c r="R455" s="9">
        <f>0.2*testdata[[#This Row],[Q2]]+0.8*R454</f>
        <v>-7.7373596264257127</v>
      </c>
      <c r="S455" s="9">
        <f>testdata[[#This Row],[I2'']]*Q454+testdata[[#This Row],[Q2'']]*R454</f>
        <v>81.081563234888833</v>
      </c>
      <c r="T455" s="9">
        <f>testdata[[#This Row],[I2'']]*R454-testdata[[#This Row],[Q2'']]*Q454</f>
        <v>6.5821248910092827</v>
      </c>
      <c r="U455" s="9">
        <f>0.2*testdata[[#This Row],[Re]]+0.8*U454</f>
        <v>39.507360668314327</v>
      </c>
      <c r="V455" s="9">
        <f>0.2*testdata[[#This Row],[Im]]+0.8*V454</f>
        <v>6.1007273537426885</v>
      </c>
      <c r="W455" s="9">
        <f>IF(AND(testdata[[#This Row],[Re'']]&lt;&gt;0,testdata[[#This Row],[Im'']]&lt;&gt;0),2*PI()/ATAN(testdata[[#This Row],[Im'']]/testdata[[#This Row],[Re'']]),0)</f>
        <v>41.010315254317966</v>
      </c>
      <c r="X455" s="9">
        <f>IF(testdata[[#This Row],[pd-atan]]&gt;1.5*Z454,1.5*Z454,IF(testdata[[#This Row],[pd-atan]]&lt;0.67*Z454,0.67*Z454,testdata[[#This Row],[pd-atan]]))</f>
        <v>41.010315254317966</v>
      </c>
      <c r="Y455" s="9">
        <f>IF(testdata[[#This Row],[pd-limit1]]&lt;6,6,IF(testdata[[#This Row],[pd-limit1]]&gt;50,50,testdata[[#This Row],[pd-limit1]]))</f>
        <v>41.010315254317966</v>
      </c>
      <c r="Z455" s="14">
        <f>0.2*testdata[[#This Row],[pd-limit2]]+0.8*Z454</f>
        <v>31.755960070373703</v>
      </c>
      <c r="AA455" s="14">
        <f>0.33*testdata[[#This Row],[period]]+0.67*AA454</f>
        <v>28.599010807889503</v>
      </c>
      <c r="AB455" s="31">
        <f>TRUNC(testdata[[#This Row],[SmPd]]+0.5,0)</f>
        <v>29</v>
      </c>
      <c r="AC455" s="14">
        <f ca="1">IF(testdata[[#This Row],[PdInt]]&lt;=0,0,AVERAGE(OFFSET(testdata[[#This Row],[price]],0,0,-testdata[[#This Row],[PdInt]],1)))</f>
        <v>279.51827586206895</v>
      </c>
      <c r="AD455" s="14">
        <f ca="1">IF(testdata[[#This Row],[i]]&lt;11,testdata[[#This Row],[price]],(4*testdata[[#This Row],[iTrend]]+3*AC454+2*AC453+AC452)/10)</f>
        <v>279.83846579354554</v>
      </c>
      <c r="AE455" s="14">
        <f>(4*testdata[[#This Row],[price]]+3*H454+2*H453+H452)/10</f>
        <v>271.17649999999998</v>
      </c>
      <c r="AF455" t="str">
        <f ca="1">IF(OR(ROUND(testdata[[#This Row],[Trendline]],4)&lt;&gt;Table3[[#This Row],[Trendline]],ROUND(testdata[[#This Row],[SmPrice]],4)&lt;&gt;Table3[[#This Row],[SmPrice]]),"ERR","")</f>
        <v/>
      </c>
      <c r="AG455" s="3">
        <v>43392</v>
      </c>
      <c r="AH455" s="14">
        <v>28.599</v>
      </c>
      <c r="AI455" s="34">
        <v>29</v>
      </c>
      <c r="AJ455" s="14">
        <v>279.51830000000001</v>
      </c>
      <c r="AK455" s="14">
        <v>279.83850000000001</v>
      </c>
      <c r="AL455" s="14">
        <v>271.17649999999998</v>
      </c>
      <c r="AN455" s="38">
        <f t="shared" si="19"/>
        <v>0</v>
      </c>
      <c r="AO455" s="38">
        <f t="shared" si="20"/>
        <v>0</v>
      </c>
      <c r="AQ455" s="37">
        <v>43392</v>
      </c>
      <c r="AR455">
        <v>29</v>
      </c>
      <c r="AS455">
        <v>279.83846579354503</v>
      </c>
      <c r="AT455">
        <v>271.17649999999998</v>
      </c>
      <c r="AV455" s="37">
        <v>43392</v>
      </c>
      <c r="AW455">
        <v>29</v>
      </c>
      <c r="AX455">
        <v>279.83846579354503</v>
      </c>
      <c r="AY455">
        <v>271.17649999999998</v>
      </c>
      <c r="BA455" s="38">
        <f>AX455-Table3[[#This Row],[Trendline]]</f>
        <v>-3.4206454984087031E-5</v>
      </c>
      <c r="BB455" s="38">
        <f>AY455-Table3[[#This Row],[SmPrice]]</f>
        <v>0</v>
      </c>
    </row>
    <row r="456" spans="1:54" x14ac:dyDescent="0.35">
      <c r="A456" s="6">
        <v>454</v>
      </c>
      <c r="B456" s="3">
        <v>43395</v>
      </c>
      <c r="C456" s="2">
        <v>270.27</v>
      </c>
      <c r="D456" s="2">
        <v>270.63</v>
      </c>
      <c r="E456" s="2">
        <v>267.75</v>
      </c>
      <c r="F456" s="2">
        <v>268.33</v>
      </c>
      <c r="G456" s="1">
        <v>84466760</v>
      </c>
      <c r="H456" s="30">
        <f>(testdata[[#This Row],[high]]+testdata[[#This Row],[low]])/2</f>
        <v>269.19</v>
      </c>
      <c r="I456" s="23">
        <f>(4*testdata[[#This Row],[price]]+3*H455+2*H454+H453)/10</f>
        <v>270.28399999999999</v>
      </c>
      <c r="J456" s="9">
        <f>(0.0962*testdata[[#This Row],[smooth]]+0.5769*I454-0.5769*I452-0.0962*I450)*(0.075*$Z455+0.54)</f>
        <v>2.4539109637510381</v>
      </c>
      <c r="K456" s="14">
        <f t="shared" si="21"/>
        <v>-9.3908876927124858</v>
      </c>
      <c r="L456" s="14">
        <f>(0.0962*testdata[[#This Row],[detrender]]+0.5769*J454-0.5769*J452-0.0962*J450)*(0.075*$Z455+0.54)</f>
        <v>18.672966567524789</v>
      </c>
      <c r="M456" s="9">
        <f>(0.0962*testdata[[#This Row],[I1]]+0.5769*K454-0.5769*K452-0.0962*K450)*(0.075*$Z455+0.54)</f>
        <v>-15.714446480003893</v>
      </c>
      <c r="N456" s="9">
        <f>(0.0962*testdata[[#This Row],[Q1]]+0.5769*L454-0.5769*L452-0.0962*L450)*(0.075*$Z455+0.54)</f>
        <v>-0.42584282141307178</v>
      </c>
      <c r="O456" s="9">
        <f>testdata[[#This Row],[I1]]-testdata[[#This Row],[JQ]]</f>
        <v>-8.9650448712994137</v>
      </c>
      <c r="P456" s="9">
        <f>testdata[[#This Row],[Q1]]+testdata[[#This Row],[jI]]</f>
        <v>2.9585200875208955</v>
      </c>
      <c r="Q456" s="9">
        <f>0.2*testdata[[#This Row],[I2]]+0.8*Q455</f>
        <v>-3.6318540056611126</v>
      </c>
      <c r="R456" s="9">
        <f>0.2*testdata[[#This Row],[Q2]]+0.8*R455</f>
        <v>-5.5981836836363907</v>
      </c>
      <c r="S456" s="9">
        <f>testdata[[#This Row],[I2'']]*Q455+testdata[[#This Row],[Q2'']]*R455</f>
        <v>51.663181281439122</v>
      </c>
      <c r="T456" s="9">
        <f>testdata[[#This Row],[I2'']]*R455-testdata[[#This Row],[Q2'']]*Q455</f>
        <v>15.233220238067032</v>
      </c>
      <c r="U456" s="9">
        <f>0.2*testdata[[#This Row],[Re]]+0.8*U455</f>
        <v>41.93852479093929</v>
      </c>
      <c r="V456" s="9">
        <f>0.2*testdata[[#This Row],[Im]]+0.8*V455</f>
        <v>7.9272259306075572</v>
      </c>
      <c r="W456" s="9">
        <f>IF(AND(testdata[[#This Row],[Re'']]&lt;&gt;0,testdata[[#This Row],[Im'']]&lt;&gt;0),2*PI()/ATAN(testdata[[#This Row],[Im'']]/testdata[[#This Row],[Re'']]),0)</f>
        <v>33.633004131602199</v>
      </c>
      <c r="X456" s="9">
        <f>IF(testdata[[#This Row],[pd-atan]]&gt;1.5*Z455,1.5*Z455,IF(testdata[[#This Row],[pd-atan]]&lt;0.67*Z455,0.67*Z455,testdata[[#This Row],[pd-atan]]))</f>
        <v>33.633004131602199</v>
      </c>
      <c r="Y456" s="9">
        <f>IF(testdata[[#This Row],[pd-limit1]]&lt;6,6,IF(testdata[[#This Row],[pd-limit1]]&gt;50,50,testdata[[#This Row],[pd-limit1]]))</f>
        <v>33.633004131602199</v>
      </c>
      <c r="Z456" s="14">
        <f>0.2*testdata[[#This Row],[pd-limit2]]+0.8*Z455</f>
        <v>32.131368882619405</v>
      </c>
      <c r="AA456" s="14">
        <f>0.33*testdata[[#This Row],[period]]+0.67*AA455</f>
        <v>29.76468897255037</v>
      </c>
      <c r="AB456" s="31">
        <f>TRUNC(testdata[[#This Row],[SmPd]]+0.5,0)</f>
        <v>30</v>
      </c>
      <c r="AC456" s="14">
        <f ca="1">IF(testdata[[#This Row],[PdInt]]&lt;=0,0,AVERAGE(OFFSET(testdata[[#This Row],[price]],0,0,-testdata[[#This Row],[PdInt]],1)))</f>
        <v>279.17399999999998</v>
      </c>
      <c r="AD456" s="14">
        <f ca="1">IF(testdata[[#This Row],[i]]&lt;11,testdata[[#This Row],[price]],(4*testdata[[#This Row],[iTrend]]+3*AC455+2*AC454+AC453)/10)</f>
        <v>279.50855284409079</v>
      </c>
      <c r="AE456" s="14">
        <f>(4*testdata[[#This Row],[price]]+3*H455+2*H454+H453)/10</f>
        <v>270.28399999999999</v>
      </c>
      <c r="AF456" t="str">
        <f ca="1">IF(OR(ROUND(testdata[[#This Row],[Trendline]],4)&lt;&gt;Table3[[#This Row],[Trendline]],ROUND(testdata[[#This Row],[SmPrice]],4)&lt;&gt;Table3[[#This Row],[SmPrice]]),"ERR","")</f>
        <v/>
      </c>
      <c r="AG456" s="3">
        <v>43395</v>
      </c>
      <c r="AH456" s="14">
        <v>29.764700000000001</v>
      </c>
      <c r="AI456" s="34">
        <v>30</v>
      </c>
      <c r="AJ456" s="14">
        <v>279.17399999999998</v>
      </c>
      <c r="AK456" s="14">
        <v>279.5086</v>
      </c>
      <c r="AL456" s="14">
        <v>270.28399999999999</v>
      </c>
      <c r="AN456" s="38">
        <f t="shared" si="19"/>
        <v>0</v>
      </c>
      <c r="AO456" s="38">
        <f t="shared" si="20"/>
        <v>0</v>
      </c>
      <c r="AQ456" s="37">
        <v>43395</v>
      </c>
      <c r="AR456">
        <v>30</v>
      </c>
      <c r="AS456">
        <v>279.50855284408999</v>
      </c>
      <c r="AT456">
        <v>270.28399999999999</v>
      </c>
      <c r="AV456" s="37">
        <v>43395</v>
      </c>
      <c r="AW456">
        <v>30</v>
      </c>
      <c r="AX456">
        <v>279.50855284408999</v>
      </c>
      <c r="AY456">
        <v>270.28399999999999</v>
      </c>
      <c r="BA456" s="38">
        <f>AX456-Table3[[#This Row],[Trendline]]</f>
        <v>-4.7155910010587831E-5</v>
      </c>
      <c r="BB456" s="38">
        <f>AY456-Table3[[#This Row],[SmPrice]]</f>
        <v>0</v>
      </c>
    </row>
    <row r="457" spans="1:54" x14ac:dyDescent="0.35">
      <c r="A457" s="6">
        <v>455</v>
      </c>
      <c r="B457" s="3">
        <v>43396</v>
      </c>
      <c r="C457" s="2">
        <v>264.37</v>
      </c>
      <c r="D457" s="2">
        <v>268.2</v>
      </c>
      <c r="E457" s="2">
        <v>262.08999999999997</v>
      </c>
      <c r="F457" s="2">
        <v>266.97000000000003</v>
      </c>
      <c r="G457" s="1">
        <v>149994752</v>
      </c>
      <c r="H457" s="30">
        <f>(testdata[[#This Row],[high]]+testdata[[#This Row],[low]])/2</f>
        <v>265.14499999999998</v>
      </c>
      <c r="I457" s="23">
        <f>(4*testdata[[#This Row],[price]]+3*H456+2*H455+H454)/10</f>
        <v>268.02299999999997</v>
      </c>
      <c r="J457" s="9">
        <f>(0.0962*testdata[[#This Row],[smooth]]+0.5769*I455-0.5769*I453-0.0962*I451)*(0.075*$Z456+0.54)</f>
        <v>-0.2496180075398555</v>
      </c>
      <c r="K457" s="14">
        <f t="shared" si="21"/>
        <v>-3.5090403055318204</v>
      </c>
      <c r="L457" s="14">
        <f>(0.0962*testdata[[#This Row],[detrender]]+0.5769*J455-0.5769*J453-0.0962*J451)*(0.075*$Z456+0.54)</f>
        <v>23.638717613088925</v>
      </c>
      <c r="M457" s="9">
        <f>(0.0962*testdata[[#This Row],[I1]]+0.5769*K455-0.5769*K453-0.0962*K451)*(0.075*$Z456+0.54)</f>
        <v>-10.863249809162717</v>
      </c>
      <c r="N457" s="9">
        <f>(0.0962*testdata[[#This Row],[Q1]]+0.5769*L455-0.5769*L453-0.0962*L451)*(0.075*$Z456+0.54)</f>
        <v>43.820101978637688</v>
      </c>
      <c r="O457" s="9">
        <f>testdata[[#This Row],[I1]]-testdata[[#This Row],[JQ]]</f>
        <v>-47.329142284169507</v>
      </c>
      <c r="P457" s="9">
        <f>testdata[[#This Row],[Q1]]+testdata[[#This Row],[jI]]</f>
        <v>12.775467803926208</v>
      </c>
      <c r="Q457" s="9">
        <f>0.2*testdata[[#This Row],[I2]]+0.8*Q456</f>
        <v>-12.371311661362792</v>
      </c>
      <c r="R457" s="9">
        <f>0.2*testdata[[#This Row],[Q2]]+0.8*R456</f>
        <v>-1.923453386123871</v>
      </c>
      <c r="S457" s="9">
        <f>testdata[[#This Row],[I2'']]*Q456+testdata[[#This Row],[Q2'']]*R456</f>
        <v>55.69864317503631</v>
      </c>
      <c r="T457" s="9">
        <f>testdata[[#This Row],[I2'']]*R456-testdata[[#This Row],[Q2'']]*Q456</f>
        <v>62.271173202725386</v>
      </c>
      <c r="U457" s="9">
        <f>0.2*testdata[[#This Row],[Re]]+0.8*U456</f>
        <v>44.690548467758703</v>
      </c>
      <c r="V457" s="9">
        <f>0.2*testdata[[#This Row],[Im]]+0.8*V456</f>
        <v>18.796015385031126</v>
      </c>
      <c r="W457" s="9">
        <f>IF(AND(testdata[[#This Row],[Re'']]&lt;&gt;0,testdata[[#This Row],[Im'']]&lt;&gt;0),2*PI()/ATAN(testdata[[#This Row],[Im'']]/testdata[[#This Row],[Re'']]),0)</f>
        <v>15.782054271027409</v>
      </c>
      <c r="X457" s="9">
        <f>IF(testdata[[#This Row],[pd-atan]]&gt;1.5*Z456,1.5*Z456,IF(testdata[[#This Row],[pd-atan]]&lt;0.67*Z456,0.67*Z456,testdata[[#This Row],[pd-atan]]))</f>
        <v>21.528017151355002</v>
      </c>
      <c r="Y457" s="9">
        <f>IF(testdata[[#This Row],[pd-limit1]]&lt;6,6,IF(testdata[[#This Row],[pd-limit1]]&gt;50,50,testdata[[#This Row],[pd-limit1]]))</f>
        <v>21.528017151355002</v>
      </c>
      <c r="Z457" s="14">
        <f>0.2*testdata[[#This Row],[pd-limit2]]+0.8*Z456</f>
        <v>30.010698536366526</v>
      </c>
      <c r="AA457" s="14">
        <f>0.33*testdata[[#This Row],[period]]+0.67*AA456</f>
        <v>29.845872128609706</v>
      </c>
      <c r="AB457" s="31">
        <f>TRUNC(testdata[[#This Row],[SmPd]]+0.5,0)</f>
        <v>30</v>
      </c>
      <c r="AC457" s="14">
        <f ca="1">IF(testdata[[#This Row],[PdInt]]&lt;=0,0,AVERAGE(OFFSET(testdata[[#This Row],[price]],0,0,-testdata[[#This Row],[PdInt]],1)))</f>
        <v>278.67883333333333</v>
      </c>
      <c r="AD457" s="14">
        <f ca="1">IF(testdata[[#This Row],[i]]&lt;11,testdata[[#This Row],[price]],(4*testdata[[#This Row],[iTrend]]+3*AC456+2*AC455+AC454)/10)</f>
        <v>279.110277394636</v>
      </c>
      <c r="AE457" s="14">
        <f>(4*testdata[[#This Row],[price]]+3*H456+2*H455+H454)/10</f>
        <v>268.02299999999997</v>
      </c>
      <c r="AF457" t="str">
        <f ca="1">IF(OR(ROUND(testdata[[#This Row],[Trendline]],4)&lt;&gt;Table3[[#This Row],[Trendline]],ROUND(testdata[[#This Row],[SmPrice]],4)&lt;&gt;Table3[[#This Row],[SmPrice]]),"ERR","")</f>
        <v/>
      </c>
      <c r="AG457" s="3">
        <v>43396</v>
      </c>
      <c r="AH457" s="14">
        <v>29.8459</v>
      </c>
      <c r="AI457" s="34">
        <v>30</v>
      </c>
      <c r="AJ457" s="14">
        <v>278.67880000000002</v>
      </c>
      <c r="AK457" s="14">
        <v>279.1103</v>
      </c>
      <c r="AL457" s="14">
        <v>268.02300000000002</v>
      </c>
      <c r="AN457" s="38">
        <f t="shared" ref="AN457:AN503" si="22">AX457-AS457</f>
        <v>0</v>
      </c>
      <c r="AO457" s="38">
        <f t="shared" ref="AO457:AO503" si="23">AY457-AT457</f>
        <v>0</v>
      </c>
      <c r="AQ457" s="37">
        <v>43396</v>
      </c>
      <c r="AR457">
        <v>30</v>
      </c>
      <c r="AS457">
        <v>279.110277394636</v>
      </c>
      <c r="AT457">
        <v>268.022999999999</v>
      </c>
      <c r="AV457" s="37">
        <v>43396</v>
      </c>
      <c r="AW457">
        <v>30</v>
      </c>
      <c r="AX457">
        <v>279.110277394636</v>
      </c>
      <c r="AY457">
        <v>268.022999999999</v>
      </c>
      <c r="BA457" s="38">
        <f>AX457-Table3[[#This Row],[Trendline]]</f>
        <v>-2.2605363994898653E-5</v>
      </c>
      <c r="BB457" s="38">
        <f>AY457-Table3[[#This Row],[SmPrice]]</f>
        <v>-1.0231815394945443E-12</v>
      </c>
    </row>
    <row r="458" spans="1:54" x14ac:dyDescent="0.35">
      <c r="A458" s="6">
        <v>456</v>
      </c>
      <c r="B458" s="3">
        <v>43397</v>
      </c>
      <c r="C458" s="2">
        <v>266.69</v>
      </c>
      <c r="D458" s="2">
        <v>267.11</v>
      </c>
      <c r="E458" s="2">
        <v>258.27</v>
      </c>
      <c r="F458" s="2">
        <v>258.88</v>
      </c>
      <c r="G458" s="1">
        <v>182231472</v>
      </c>
      <c r="H458" s="30">
        <f>(testdata[[#This Row],[high]]+testdata[[#This Row],[low]])/2</f>
        <v>262.69</v>
      </c>
      <c r="I458" s="23">
        <f>(4*testdata[[#This Row],[price]]+3*H457+2*H456+H455)/10</f>
        <v>265.52249999999998</v>
      </c>
      <c r="J458" s="9">
        <f>(0.0962*testdata[[#This Row],[smooth]]+0.5769*I456-0.5769*I454-0.0962*I452)*(0.075*$Z457+0.54)</f>
        <v>-2.805640109755525</v>
      </c>
      <c r="K458" s="14">
        <f t="shared" si="21"/>
        <v>2.3921483826887311</v>
      </c>
      <c r="L458" s="14">
        <f>(0.0962*testdata[[#This Row],[detrender]]+0.5769*J456-0.5769*J454-0.0962*J452)*(0.075*$Z457+0.54)</f>
        <v>12.360152860676203</v>
      </c>
      <c r="M458" s="9">
        <f>(0.0962*testdata[[#This Row],[I1]]+0.5769*K456-0.5769*K454-0.0962*K452)*(0.075*$Z457+0.54)</f>
        <v>7.5076917773286951</v>
      </c>
      <c r="N458" s="9">
        <f>(0.0962*testdata[[#This Row],[Q1]]+0.5769*L456-0.5769*L454-0.0962*L452)*(0.075*$Z457+0.54)</f>
        <v>51.018456052043483</v>
      </c>
      <c r="O458" s="9">
        <f>testdata[[#This Row],[I1]]-testdata[[#This Row],[JQ]]</f>
        <v>-48.626307669354752</v>
      </c>
      <c r="P458" s="9">
        <f>testdata[[#This Row],[Q1]]+testdata[[#This Row],[jI]]</f>
        <v>19.867844638004897</v>
      </c>
      <c r="Q458" s="9">
        <f>0.2*testdata[[#This Row],[I2]]+0.8*Q457</f>
        <v>-19.622310862961186</v>
      </c>
      <c r="R458" s="9">
        <f>0.2*testdata[[#This Row],[Q2]]+0.8*R457</f>
        <v>2.4348062187018824</v>
      </c>
      <c r="S458" s="9">
        <f>testdata[[#This Row],[I2'']]*Q457+testdata[[#This Row],[Q2'']]*R457</f>
        <v>238.07048693591992</v>
      </c>
      <c r="T458" s="9">
        <f>testdata[[#This Row],[I2'']]*R457-testdata[[#This Row],[Q2'']]*Q457</f>
        <v>67.864346839523151</v>
      </c>
      <c r="U458" s="9">
        <f>0.2*testdata[[#This Row],[Re]]+0.8*U457</f>
        <v>83.366536161390954</v>
      </c>
      <c r="V458" s="9">
        <f>0.2*testdata[[#This Row],[Im]]+0.8*V457</f>
        <v>28.609681675929529</v>
      </c>
      <c r="W458" s="9">
        <f>IF(AND(testdata[[#This Row],[Re'']]&lt;&gt;0,testdata[[#This Row],[Im'']]&lt;&gt;0),2*PI()/ATAN(testdata[[#This Row],[Im'']]/testdata[[#This Row],[Re'']]),0)</f>
        <v>19.006220737134846</v>
      </c>
      <c r="X458" s="9">
        <f>IF(testdata[[#This Row],[pd-atan]]&gt;1.5*Z457,1.5*Z457,IF(testdata[[#This Row],[pd-atan]]&lt;0.67*Z457,0.67*Z457,testdata[[#This Row],[pd-atan]]))</f>
        <v>20.107168019365574</v>
      </c>
      <c r="Y458" s="9">
        <f>IF(testdata[[#This Row],[pd-limit1]]&lt;6,6,IF(testdata[[#This Row],[pd-limit1]]&gt;50,50,testdata[[#This Row],[pd-limit1]]))</f>
        <v>20.107168019365574</v>
      </c>
      <c r="Z458" s="14">
        <f>0.2*testdata[[#This Row],[pd-limit2]]+0.8*Z457</f>
        <v>28.029992432966338</v>
      </c>
      <c r="AA458" s="14">
        <f>0.33*testdata[[#This Row],[period]]+0.67*AA457</f>
        <v>29.246631829047395</v>
      </c>
      <c r="AB458" s="31">
        <f>TRUNC(testdata[[#This Row],[SmPd]]+0.5,0)</f>
        <v>29</v>
      </c>
      <c r="AC458" s="14">
        <f ca="1">IF(testdata[[#This Row],[PdInt]]&lt;=0,0,AVERAGE(OFFSET(testdata[[#This Row],[price]],0,0,-testdata[[#This Row],[PdInt]],1)))</f>
        <v>277.9360344827586</v>
      </c>
      <c r="AD458" s="14">
        <f ca="1">IF(testdata[[#This Row],[i]]&lt;11,testdata[[#This Row],[price]],(4*testdata[[#This Row],[iTrend]]+3*AC457+2*AC456+AC455)/10)</f>
        <v>278.56469137931032</v>
      </c>
      <c r="AE458" s="14">
        <f>(4*testdata[[#This Row],[price]]+3*H457+2*H456+H455)/10</f>
        <v>265.52249999999998</v>
      </c>
      <c r="AF458" t="str">
        <f ca="1">IF(OR(ROUND(testdata[[#This Row],[Trendline]],4)&lt;&gt;Table3[[#This Row],[Trendline]],ROUND(testdata[[#This Row],[SmPrice]],4)&lt;&gt;Table3[[#This Row],[SmPrice]]),"ERR","")</f>
        <v/>
      </c>
      <c r="AG458" s="3">
        <v>43397</v>
      </c>
      <c r="AH458" s="14">
        <v>29.246600000000001</v>
      </c>
      <c r="AI458" s="34">
        <v>29</v>
      </c>
      <c r="AJ458" s="14">
        <v>277.93599999999998</v>
      </c>
      <c r="AK458" s="14">
        <v>278.56470000000002</v>
      </c>
      <c r="AL458" s="14">
        <v>265.52249999999998</v>
      </c>
      <c r="AN458" s="38">
        <f t="shared" si="22"/>
        <v>0</v>
      </c>
      <c r="AO458" s="38">
        <f t="shared" si="23"/>
        <v>0</v>
      </c>
      <c r="AQ458" s="37">
        <v>43397</v>
      </c>
      <c r="AR458">
        <v>29</v>
      </c>
      <c r="AS458">
        <v>278.56469137930998</v>
      </c>
      <c r="AT458">
        <v>265.52249999999998</v>
      </c>
      <c r="AV458" s="37">
        <v>43397</v>
      </c>
      <c r="AW458">
        <v>29</v>
      </c>
      <c r="AX458">
        <v>278.56469137930998</v>
      </c>
      <c r="AY458">
        <v>265.52249999999998</v>
      </c>
      <c r="BA458" s="38">
        <f>AX458-Table3[[#This Row],[Trendline]]</f>
        <v>-8.6206900391516683E-6</v>
      </c>
      <c r="BB458" s="38">
        <f>AY458-Table3[[#This Row],[SmPrice]]</f>
        <v>0</v>
      </c>
    </row>
    <row r="459" spans="1:54" x14ac:dyDescent="0.35">
      <c r="A459" s="6">
        <v>457</v>
      </c>
      <c r="B459" s="3">
        <v>43398</v>
      </c>
      <c r="C459" s="2">
        <v>260.89</v>
      </c>
      <c r="D459" s="2">
        <v>265.20999999999998</v>
      </c>
      <c r="E459" s="2">
        <v>259.77</v>
      </c>
      <c r="F459" s="2">
        <v>263.52</v>
      </c>
      <c r="G459" s="1">
        <v>141497248</v>
      </c>
      <c r="H459" s="30">
        <f>(testdata[[#This Row],[high]]+testdata[[#This Row],[low]])/2</f>
        <v>262.49</v>
      </c>
      <c r="I459" s="23">
        <f>(4*testdata[[#This Row],[price]]+3*H458+2*H457+H456)/10</f>
        <v>263.75099999999998</v>
      </c>
      <c r="J459" s="9">
        <f>(0.0962*testdata[[#This Row],[smooth]]+0.5769*I457-0.5769*I455-0.0962*I453)*(0.075*$Z458+0.54)</f>
        <v>-6.6836937288250535</v>
      </c>
      <c r="K459" s="14">
        <f t="shared" si="21"/>
        <v>2.4539109637510381</v>
      </c>
      <c r="L459" s="14">
        <f>(0.0962*testdata[[#This Row],[detrender]]+0.5769*J457-0.5769*J455-0.0962*J453)*(0.075*$Z458+0.54)</f>
        <v>-3.3387542335155436</v>
      </c>
      <c r="M459" s="9">
        <f>(0.0962*testdata[[#This Row],[I1]]+0.5769*K457-0.5769*K455-0.0962*K453)*(0.075*$Z458+0.54)</f>
        <v>16.886978775174132</v>
      </c>
      <c r="N459" s="9">
        <f>(0.0962*testdata[[#This Row],[Q1]]+0.5769*L457-0.5769*L455-0.0962*L453)*(0.075*$Z458+0.54)</f>
        <v>27.360959221747979</v>
      </c>
      <c r="O459" s="9">
        <f>testdata[[#This Row],[I1]]-testdata[[#This Row],[JQ]]</f>
        <v>-24.907048257996941</v>
      </c>
      <c r="P459" s="9">
        <f>testdata[[#This Row],[Q1]]+testdata[[#This Row],[jI]]</f>
        <v>13.548224541658588</v>
      </c>
      <c r="Q459" s="9">
        <f>0.2*testdata[[#This Row],[I2]]+0.8*Q458</f>
        <v>-20.679258341968339</v>
      </c>
      <c r="R459" s="9">
        <f>0.2*testdata[[#This Row],[Q2]]+0.8*R458</f>
        <v>4.6574898832932234</v>
      </c>
      <c r="S459" s="9">
        <f>testdata[[#This Row],[I2'']]*Q458+testdata[[#This Row],[Q2'']]*R458</f>
        <v>417.11492093296948</v>
      </c>
      <c r="T459" s="9">
        <f>testdata[[#This Row],[I2'']]*R458-testdata[[#This Row],[Q2'']]*Q458</f>
        <v>41.040727521909147</v>
      </c>
      <c r="U459" s="9">
        <f>0.2*testdata[[#This Row],[Re]]+0.8*U458</f>
        <v>150.11621311570667</v>
      </c>
      <c r="V459" s="9">
        <f>0.2*testdata[[#This Row],[Im]]+0.8*V458</f>
        <v>31.095890845125453</v>
      </c>
      <c r="W459" s="9">
        <f>IF(AND(testdata[[#This Row],[Re'']]&lt;&gt;0,testdata[[#This Row],[Im'']]&lt;&gt;0),2*PI()/ATAN(testdata[[#This Row],[Im'']]/testdata[[#This Row],[Re'']]),0)</f>
        <v>30.761227467088908</v>
      </c>
      <c r="X459" s="9">
        <f>IF(testdata[[#This Row],[pd-atan]]&gt;1.5*Z458,1.5*Z458,IF(testdata[[#This Row],[pd-atan]]&lt;0.67*Z458,0.67*Z458,testdata[[#This Row],[pd-atan]]))</f>
        <v>30.761227467088908</v>
      </c>
      <c r="Y459" s="9">
        <f>IF(testdata[[#This Row],[pd-limit1]]&lt;6,6,IF(testdata[[#This Row],[pd-limit1]]&gt;50,50,testdata[[#This Row],[pd-limit1]]))</f>
        <v>30.761227467088908</v>
      </c>
      <c r="Z459" s="14">
        <f>0.2*testdata[[#This Row],[pd-limit2]]+0.8*Z458</f>
        <v>28.576239439790854</v>
      </c>
      <c r="AA459" s="14">
        <f>0.33*testdata[[#This Row],[period]]+0.67*AA458</f>
        <v>29.025402340592738</v>
      </c>
      <c r="AB459" s="31">
        <f>TRUNC(testdata[[#This Row],[SmPd]]+0.5,0)</f>
        <v>29</v>
      </c>
      <c r="AC459" s="14">
        <f ca="1">IF(testdata[[#This Row],[PdInt]]&lt;=0,0,AVERAGE(OFFSET(testdata[[#This Row],[price]],0,0,-testdata[[#This Row],[PdInt]],1)))</f>
        <v>277.25293103448274</v>
      </c>
      <c r="AD459" s="14">
        <f ca="1">IF(testdata[[#This Row],[i]]&lt;11,testdata[[#This Row],[price]],(4*testdata[[#This Row],[iTrend]]+3*AC458+2*AC457+AC456)/10)</f>
        <v>277.93514942528736</v>
      </c>
      <c r="AE459" s="14">
        <f>(4*testdata[[#This Row],[price]]+3*H458+2*H457+H456)/10</f>
        <v>263.75099999999998</v>
      </c>
      <c r="AF459" t="str">
        <f ca="1">IF(OR(ROUND(testdata[[#This Row],[Trendline]],4)&lt;&gt;Table3[[#This Row],[Trendline]],ROUND(testdata[[#This Row],[SmPrice]],4)&lt;&gt;Table3[[#This Row],[SmPrice]]),"ERR","")</f>
        <v/>
      </c>
      <c r="AG459" s="3">
        <v>43398</v>
      </c>
      <c r="AH459" s="14">
        <v>29.025400000000001</v>
      </c>
      <c r="AI459" s="34">
        <v>29</v>
      </c>
      <c r="AJ459" s="14">
        <v>277.25290000000001</v>
      </c>
      <c r="AK459" s="14">
        <v>277.93509999999998</v>
      </c>
      <c r="AL459" s="14">
        <v>263.75099999999998</v>
      </c>
      <c r="AN459" s="38">
        <f t="shared" si="22"/>
        <v>0</v>
      </c>
      <c r="AO459" s="38">
        <f t="shared" si="23"/>
        <v>0</v>
      </c>
      <c r="AQ459" s="37">
        <v>43398</v>
      </c>
      <c r="AR459">
        <v>29</v>
      </c>
      <c r="AS459">
        <v>277.93514942528702</v>
      </c>
      <c r="AT459">
        <v>263.75099999999998</v>
      </c>
      <c r="AV459" s="37">
        <v>43398</v>
      </c>
      <c r="AW459">
        <v>29</v>
      </c>
      <c r="AX459">
        <v>277.93514942528702</v>
      </c>
      <c r="AY459">
        <v>263.75099999999998</v>
      </c>
      <c r="BA459" s="38">
        <f>AX459-Table3[[#This Row],[Trendline]]</f>
        <v>4.9425287045323785E-5</v>
      </c>
      <c r="BB459" s="38">
        <f>AY459-Table3[[#This Row],[SmPrice]]</f>
        <v>0</v>
      </c>
    </row>
    <row r="460" spans="1:54" x14ac:dyDescent="0.35">
      <c r="A460" s="6">
        <v>458</v>
      </c>
      <c r="B460" s="3">
        <v>43399</v>
      </c>
      <c r="C460" s="2">
        <v>259.45999999999998</v>
      </c>
      <c r="D460" s="2">
        <v>264.42</v>
      </c>
      <c r="E460" s="2">
        <v>255.92</v>
      </c>
      <c r="F460" s="2">
        <v>258.89</v>
      </c>
      <c r="G460" s="1">
        <v>206590848</v>
      </c>
      <c r="H460" s="30">
        <f>(testdata[[#This Row],[high]]+testdata[[#This Row],[low]])/2</f>
        <v>260.17</v>
      </c>
      <c r="I460" s="23">
        <f>(4*testdata[[#This Row],[price]]+3*H459+2*H458+H457)/10</f>
        <v>261.86750000000001</v>
      </c>
      <c r="J460" s="9">
        <f>(0.0962*testdata[[#This Row],[smooth]]+0.5769*I458-0.5769*I456-0.0962*I454)*(0.075*$Z459+0.54)</f>
        <v>-9.8098431102989938</v>
      </c>
      <c r="K460" s="14">
        <f t="shared" si="21"/>
        <v>-0.2496180075398555</v>
      </c>
      <c r="L460" s="14">
        <f>(0.0962*testdata[[#This Row],[detrender]]+0.5769*J458-0.5769*J456-0.0962*J454)*(0.075*$Z459+0.54)</f>
        <v>-9.7679121791826162</v>
      </c>
      <c r="M460" s="9">
        <f>(0.0962*testdata[[#This Row],[I1]]+0.5769*K458-0.5769*K456-0.0962*K454)*(0.075*$Z459+0.54)</f>
        <v>21.502033755788979</v>
      </c>
      <c r="N460" s="9">
        <f>(0.0962*testdata[[#This Row],[Q1]]+0.5769*L458-0.5769*L456-0.0962*L454)*(0.075*$Z459+0.54)</f>
        <v>-9.7088859103071332</v>
      </c>
      <c r="O460" s="9">
        <f>testdata[[#This Row],[I1]]-testdata[[#This Row],[JQ]]</f>
        <v>9.4592679027672784</v>
      </c>
      <c r="P460" s="9">
        <f>testdata[[#This Row],[Q1]]+testdata[[#This Row],[jI]]</f>
        <v>11.734121576606363</v>
      </c>
      <c r="Q460" s="9">
        <f>0.2*testdata[[#This Row],[I2]]+0.8*Q459</f>
        <v>-14.651553093021217</v>
      </c>
      <c r="R460" s="9">
        <f>0.2*testdata[[#This Row],[Q2]]+0.8*R459</f>
        <v>6.0728162219558515</v>
      </c>
      <c r="S460" s="9">
        <f>testdata[[#This Row],[I2'']]*Q459+testdata[[#This Row],[Q2'']]*R459</f>
        <v>331.2673316385094</v>
      </c>
      <c r="T460" s="9">
        <f>testdata[[#This Row],[I2'']]*R459-testdata[[#This Row],[Q2'']]*Q459</f>
        <v>57.341875211841327</v>
      </c>
      <c r="U460" s="9">
        <f>0.2*testdata[[#This Row],[Re]]+0.8*U459</f>
        <v>186.34643682026723</v>
      </c>
      <c r="V460" s="9">
        <f>0.2*testdata[[#This Row],[Im]]+0.8*V459</f>
        <v>36.345087718468633</v>
      </c>
      <c r="W460" s="9">
        <f>IF(AND(testdata[[#This Row],[Re'']]&lt;&gt;0,testdata[[#This Row],[Im'']]&lt;&gt;0),2*PI()/ATAN(testdata[[#This Row],[Im'']]/testdata[[#This Row],[Re'']]),0)</f>
        <v>32.619213668080093</v>
      </c>
      <c r="X460" s="9">
        <f>IF(testdata[[#This Row],[pd-atan]]&gt;1.5*Z459,1.5*Z459,IF(testdata[[#This Row],[pd-atan]]&lt;0.67*Z459,0.67*Z459,testdata[[#This Row],[pd-atan]]))</f>
        <v>32.619213668080093</v>
      </c>
      <c r="Y460" s="9">
        <f>IF(testdata[[#This Row],[pd-limit1]]&lt;6,6,IF(testdata[[#This Row],[pd-limit1]]&gt;50,50,testdata[[#This Row],[pd-limit1]]))</f>
        <v>32.619213668080093</v>
      </c>
      <c r="Z460" s="14">
        <f>0.2*testdata[[#This Row],[pd-limit2]]+0.8*Z459</f>
        <v>29.384834285448701</v>
      </c>
      <c r="AA460" s="14">
        <f>0.33*testdata[[#This Row],[period]]+0.67*AA459</f>
        <v>29.144014882395204</v>
      </c>
      <c r="AB460" s="31">
        <f>TRUNC(testdata[[#This Row],[SmPd]]+0.5,0)</f>
        <v>29</v>
      </c>
      <c r="AC460" s="14">
        <f ca="1">IF(testdata[[#This Row],[PdInt]]&lt;=0,0,AVERAGE(OFFSET(testdata[[#This Row],[price]],0,0,-testdata[[#This Row],[PdInt]],1)))</f>
        <v>276.51293103448273</v>
      </c>
      <c r="AD460" s="14">
        <f ca="1">IF(testdata[[#This Row],[i]]&lt;11,testdata[[#This Row],[price]],(4*testdata[[#This Row],[iTrend]]+3*AC459+2*AC458+AC457)/10)</f>
        <v>277.23614195402297</v>
      </c>
      <c r="AE460" s="14">
        <f>(4*testdata[[#This Row],[price]]+3*H459+2*H458+H457)/10</f>
        <v>261.86750000000001</v>
      </c>
      <c r="AF460" t="str">
        <f ca="1">IF(OR(ROUND(testdata[[#This Row],[Trendline]],4)&lt;&gt;Table3[[#This Row],[Trendline]],ROUND(testdata[[#This Row],[SmPrice]],4)&lt;&gt;Table3[[#This Row],[SmPrice]]),"ERR","")</f>
        <v/>
      </c>
      <c r="AG460" s="3">
        <v>43399</v>
      </c>
      <c r="AH460" s="14">
        <v>29.143999999999998</v>
      </c>
      <c r="AI460" s="34">
        <v>29</v>
      </c>
      <c r="AJ460" s="14">
        <v>276.5129</v>
      </c>
      <c r="AK460" s="14">
        <v>277.23610000000002</v>
      </c>
      <c r="AL460" s="14">
        <v>261.86750000000001</v>
      </c>
      <c r="AN460" s="38">
        <f t="shared" si="22"/>
        <v>0</v>
      </c>
      <c r="AO460" s="38">
        <f t="shared" si="23"/>
        <v>0</v>
      </c>
      <c r="AQ460" s="37">
        <v>43399</v>
      </c>
      <c r="AR460">
        <v>29</v>
      </c>
      <c r="AS460">
        <v>277.236141954022</v>
      </c>
      <c r="AT460">
        <v>261.86750000000001</v>
      </c>
      <c r="AV460" s="37">
        <v>43399</v>
      </c>
      <c r="AW460">
        <v>29</v>
      </c>
      <c r="AX460">
        <v>277.236141954022</v>
      </c>
      <c r="AY460">
        <v>261.86750000000001</v>
      </c>
      <c r="BA460" s="38">
        <f>AX460-Table3[[#This Row],[Trendline]]</f>
        <v>4.1954021980927791E-5</v>
      </c>
      <c r="BB460" s="38">
        <f>AY460-Table3[[#This Row],[SmPrice]]</f>
        <v>0</v>
      </c>
    </row>
    <row r="461" spans="1:54" x14ac:dyDescent="0.35">
      <c r="A461" s="6">
        <v>459</v>
      </c>
      <c r="B461" s="3">
        <v>43402</v>
      </c>
      <c r="C461" s="2">
        <v>262.27</v>
      </c>
      <c r="D461" s="2">
        <v>263.69</v>
      </c>
      <c r="E461" s="2">
        <v>253.54</v>
      </c>
      <c r="F461" s="2">
        <v>257.45</v>
      </c>
      <c r="G461" s="1">
        <v>164749392</v>
      </c>
      <c r="H461" s="30">
        <f>(testdata[[#This Row],[high]]+testdata[[#This Row],[low]])/2</f>
        <v>258.61500000000001</v>
      </c>
      <c r="I461" s="23">
        <f>(4*testdata[[#This Row],[price]]+3*H460+2*H459+H458)/10</f>
        <v>260.26400000000001</v>
      </c>
      <c r="J461" s="9">
        <f>(0.0962*testdata[[#This Row],[smooth]]+0.5769*I459-0.5769*I457-0.0962*I455)*(0.075*$Z460+0.54)</f>
        <v>-9.6427543139976208</v>
      </c>
      <c r="K461" s="14">
        <f t="shared" si="21"/>
        <v>-2.805640109755525</v>
      </c>
      <c r="L461" s="14">
        <f>(0.0962*testdata[[#This Row],[detrender]]+0.5769*J459-0.5769*J457-0.0962*J455)*(0.075*$Z460+0.54)</f>
        <v>-13.361447113836562</v>
      </c>
      <c r="M461" s="9">
        <f>(0.0962*testdata[[#This Row],[I1]]+0.5769*K459-0.5769*K457-0.0962*K455)*(0.075*$Z460+0.54)</f>
        <v>12.152261632732266</v>
      </c>
      <c r="N461" s="9">
        <f>(0.0962*testdata[[#This Row],[Q1]]+0.5769*L459-0.5769*L457-0.0962*L455)*(0.075*$Z460+0.54)</f>
        <v>-48.181907748386351</v>
      </c>
      <c r="O461" s="9">
        <f>testdata[[#This Row],[I1]]-testdata[[#This Row],[JQ]]</f>
        <v>45.376267638630829</v>
      </c>
      <c r="P461" s="9">
        <f>testdata[[#This Row],[Q1]]+testdata[[#This Row],[jI]]</f>
        <v>-1.2091854811042957</v>
      </c>
      <c r="Q461" s="9">
        <f>0.2*testdata[[#This Row],[I2]]+0.8*Q460</f>
        <v>-2.6459889466908084</v>
      </c>
      <c r="R461" s="9">
        <f>0.2*testdata[[#This Row],[Q2]]+0.8*R460</f>
        <v>4.6164158813438227</v>
      </c>
      <c r="S461" s="9">
        <f>testdata[[#This Row],[I2'']]*Q460+testdata[[#This Row],[Q2'']]*R460</f>
        <v>66.802492787507049</v>
      </c>
      <c r="T461" s="9">
        <f>testdata[[#This Row],[I2'']]*R460-testdata[[#This Row],[Q2'']]*Q460</f>
        <v>51.56905778639554</v>
      </c>
      <c r="U461" s="9">
        <f>0.2*testdata[[#This Row],[Re]]+0.8*U460</f>
        <v>162.4376480137152</v>
      </c>
      <c r="V461" s="9">
        <f>0.2*testdata[[#This Row],[Im]]+0.8*V460</f>
        <v>39.389881732054022</v>
      </c>
      <c r="W461" s="9">
        <f>IF(AND(testdata[[#This Row],[Re'']]&lt;&gt;0,testdata[[#This Row],[Im'']]&lt;&gt;0),2*PI()/ATAN(testdata[[#This Row],[Im'']]/testdata[[#This Row],[Re'']]),0)</f>
        <v>26.411010587255216</v>
      </c>
      <c r="X461" s="9">
        <f>IF(testdata[[#This Row],[pd-atan]]&gt;1.5*Z460,1.5*Z460,IF(testdata[[#This Row],[pd-atan]]&lt;0.67*Z460,0.67*Z460,testdata[[#This Row],[pd-atan]]))</f>
        <v>26.411010587255216</v>
      </c>
      <c r="Y461" s="9">
        <f>IF(testdata[[#This Row],[pd-limit1]]&lt;6,6,IF(testdata[[#This Row],[pd-limit1]]&gt;50,50,testdata[[#This Row],[pd-limit1]]))</f>
        <v>26.411010587255216</v>
      </c>
      <c r="Z461" s="14">
        <f>0.2*testdata[[#This Row],[pd-limit2]]+0.8*Z460</f>
        <v>28.790069545810006</v>
      </c>
      <c r="AA461" s="14">
        <f>0.33*testdata[[#This Row],[period]]+0.67*AA460</f>
        <v>29.027212921322089</v>
      </c>
      <c r="AB461" s="31">
        <f>TRUNC(testdata[[#This Row],[SmPd]]+0.5,0)</f>
        <v>29</v>
      </c>
      <c r="AC461" s="14">
        <f ca="1">IF(testdata[[#This Row],[PdInt]]&lt;=0,0,AVERAGE(OFFSET(testdata[[#This Row],[price]],0,0,-testdata[[#This Row],[PdInt]],1)))</f>
        <v>275.69844827586206</v>
      </c>
      <c r="AD461" s="14">
        <f ca="1">IF(testdata[[#This Row],[i]]&lt;11,testdata[[#This Row],[price]],(4*testdata[[#This Row],[iTrend]]+3*AC460+2*AC459+AC458)/10)</f>
        <v>276.47744827586206</v>
      </c>
      <c r="AE461" s="14">
        <f>(4*testdata[[#This Row],[price]]+3*H460+2*H459+H458)/10</f>
        <v>260.26400000000001</v>
      </c>
      <c r="AF461" t="str">
        <f ca="1">IF(OR(ROUND(testdata[[#This Row],[Trendline]],4)&lt;&gt;Table3[[#This Row],[Trendline]],ROUND(testdata[[#This Row],[SmPrice]],4)&lt;&gt;Table3[[#This Row],[SmPrice]]),"ERR","")</f>
        <v/>
      </c>
      <c r="AG461" s="3">
        <v>43402</v>
      </c>
      <c r="AH461" s="14">
        <v>29.027200000000001</v>
      </c>
      <c r="AI461" s="34">
        <v>29</v>
      </c>
      <c r="AJ461" s="14">
        <v>275.69839999999999</v>
      </c>
      <c r="AK461" s="14">
        <v>276.47739999999999</v>
      </c>
      <c r="AL461" s="14">
        <v>260.26400000000001</v>
      </c>
      <c r="AN461" s="38">
        <f t="shared" si="22"/>
        <v>0</v>
      </c>
      <c r="AO461" s="38">
        <f t="shared" si="23"/>
        <v>0</v>
      </c>
      <c r="AQ461" s="37">
        <v>43402</v>
      </c>
      <c r="AR461">
        <v>29</v>
      </c>
      <c r="AS461">
        <v>276.477448275862</v>
      </c>
      <c r="AT461">
        <v>260.26400000000001</v>
      </c>
      <c r="AV461" s="37">
        <v>43402</v>
      </c>
      <c r="AW461">
        <v>29</v>
      </c>
      <c r="AX461">
        <v>276.477448275862</v>
      </c>
      <c r="AY461">
        <v>260.26400000000001</v>
      </c>
      <c r="BA461" s="38">
        <f>AX461-Table3[[#This Row],[Trendline]]</f>
        <v>4.8275862013724691E-5</v>
      </c>
      <c r="BB461" s="38">
        <f>AY461-Table3[[#This Row],[SmPrice]]</f>
        <v>0</v>
      </c>
    </row>
    <row r="462" spans="1:54" x14ac:dyDescent="0.35">
      <c r="A462" s="6">
        <v>460</v>
      </c>
      <c r="B462" s="3">
        <v>43403</v>
      </c>
      <c r="C462" s="2">
        <v>257.27</v>
      </c>
      <c r="D462" s="2">
        <v>261.61</v>
      </c>
      <c r="E462" s="2">
        <v>256.73</v>
      </c>
      <c r="F462" s="2">
        <v>261.27</v>
      </c>
      <c r="G462" s="1">
        <v>161025888</v>
      </c>
      <c r="H462" s="30">
        <f>(testdata[[#This Row],[high]]+testdata[[#This Row],[low]])/2</f>
        <v>259.17</v>
      </c>
      <c r="I462" s="23">
        <f>(4*testdata[[#This Row],[price]]+3*H461+2*H460+H459)/10</f>
        <v>259.53550000000007</v>
      </c>
      <c r="J462" s="9">
        <f>(0.0962*testdata[[#This Row],[smooth]]+0.5769*I460-0.5769*I458-0.0962*I456)*(0.075*$Z461+0.54)</f>
        <v>-8.4826125000702763</v>
      </c>
      <c r="K462" s="14">
        <f t="shared" si="21"/>
        <v>-6.6836937288250535</v>
      </c>
      <c r="L462" s="14">
        <f>(0.0962*testdata[[#This Row],[detrender]]+0.5769*J460-0.5769*J458-0.0962*J456)*(0.075*$Z461+0.54)</f>
        <v>-13.746816274341173</v>
      </c>
      <c r="M462" s="9">
        <f>(0.0962*testdata[[#This Row],[I1]]+0.5769*K460-0.5769*K458-0.0962*K456)*(0.075*$Z461+0.54)</f>
        <v>-3.4107869108751454</v>
      </c>
      <c r="N462" s="9">
        <f>(0.0962*testdata[[#This Row],[Q1]]+0.5769*L460-0.5769*L458-0.0962*L456)*(0.075*$Z461+0.54)</f>
        <v>-42.87622184785117</v>
      </c>
      <c r="O462" s="9">
        <f>testdata[[#This Row],[I1]]-testdata[[#This Row],[JQ]]</f>
        <v>36.192528119026115</v>
      </c>
      <c r="P462" s="9">
        <f>testdata[[#This Row],[Q1]]+testdata[[#This Row],[jI]]</f>
        <v>-17.157603185216317</v>
      </c>
      <c r="Q462" s="9">
        <f>0.2*testdata[[#This Row],[I2]]+0.8*Q461</f>
        <v>5.1217144664525769</v>
      </c>
      <c r="R462" s="9">
        <f>0.2*testdata[[#This Row],[Q2]]+0.8*R461</f>
        <v>0.26161206803179482</v>
      </c>
      <c r="S462" s="9">
        <f>testdata[[#This Row],[I2'']]*Q461+testdata[[#This Row],[Q2'']]*R461</f>
        <v>-12.344289760726753</v>
      </c>
      <c r="T462" s="9">
        <f>testdata[[#This Row],[I2'']]*R461-testdata[[#This Row],[Q2'']]*Q461</f>
        <v>24.336186642973132</v>
      </c>
      <c r="U462" s="9">
        <f>0.2*testdata[[#This Row],[Re]]+0.8*U461</f>
        <v>127.48126045882682</v>
      </c>
      <c r="V462" s="9">
        <f>0.2*testdata[[#This Row],[Im]]+0.8*V461</f>
        <v>36.379142714237844</v>
      </c>
      <c r="W462" s="9">
        <f>IF(AND(testdata[[#This Row],[Re'']]&lt;&gt;0,testdata[[#This Row],[Im'']]&lt;&gt;0),2*PI()/ATAN(testdata[[#This Row],[Im'']]/testdata[[#This Row],[Re'']]),0)</f>
        <v>22.603012983843524</v>
      </c>
      <c r="X462" s="9">
        <f>IF(testdata[[#This Row],[pd-atan]]&gt;1.5*Z461,1.5*Z461,IF(testdata[[#This Row],[pd-atan]]&lt;0.67*Z461,0.67*Z461,testdata[[#This Row],[pd-atan]]))</f>
        <v>22.603012983843524</v>
      </c>
      <c r="Y462" s="9">
        <f>IF(testdata[[#This Row],[pd-limit1]]&lt;6,6,IF(testdata[[#This Row],[pd-limit1]]&gt;50,50,testdata[[#This Row],[pd-limit1]]))</f>
        <v>22.603012983843524</v>
      </c>
      <c r="Z462" s="14">
        <f>0.2*testdata[[#This Row],[pd-limit2]]+0.8*Z461</f>
        <v>27.552658233416711</v>
      </c>
      <c r="AA462" s="14">
        <f>0.33*testdata[[#This Row],[period]]+0.67*AA461</f>
        <v>28.540609874313315</v>
      </c>
      <c r="AB462" s="31">
        <f>TRUNC(testdata[[#This Row],[SmPd]]+0.5,0)</f>
        <v>29</v>
      </c>
      <c r="AC462" s="14">
        <f ca="1">IF(testdata[[#This Row],[PdInt]]&lt;=0,0,AVERAGE(OFFSET(testdata[[#This Row],[price]],0,0,-testdata[[#This Row],[PdInt]],1)))</f>
        <v>274.88</v>
      </c>
      <c r="AD462" s="14">
        <f ca="1">IF(testdata[[#This Row],[i]]&lt;11,testdata[[#This Row],[price]],(4*testdata[[#This Row],[iTrend]]+3*AC461+2*AC460+AC459)/10)</f>
        <v>275.68941379310343</v>
      </c>
      <c r="AE462" s="14">
        <f>(4*testdata[[#This Row],[price]]+3*H461+2*H460+H459)/10</f>
        <v>259.53550000000007</v>
      </c>
      <c r="AF462" t="str">
        <f ca="1">IF(OR(ROUND(testdata[[#This Row],[Trendline]],4)&lt;&gt;Table3[[#This Row],[Trendline]],ROUND(testdata[[#This Row],[SmPrice]],4)&lt;&gt;Table3[[#This Row],[SmPrice]]),"ERR","")</f>
        <v/>
      </c>
      <c r="AG462" s="3">
        <v>43403</v>
      </c>
      <c r="AH462" s="14">
        <v>28.540600000000001</v>
      </c>
      <c r="AI462" s="34">
        <v>29</v>
      </c>
      <c r="AJ462" s="14">
        <v>274.88</v>
      </c>
      <c r="AK462" s="14">
        <v>275.68939999999998</v>
      </c>
      <c r="AL462" s="14">
        <v>259.53550000000001</v>
      </c>
      <c r="AN462" s="38">
        <f t="shared" si="22"/>
        <v>0</v>
      </c>
      <c r="AO462" s="38">
        <f t="shared" si="23"/>
        <v>0</v>
      </c>
      <c r="AQ462" s="37">
        <v>43403</v>
      </c>
      <c r="AR462">
        <v>29</v>
      </c>
      <c r="AS462">
        <v>275.68941379310297</v>
      </c>
      <c r="AT462">
        <v>259.53550000000001</v>
      </c>
      <c r="AV462" s="37">
        <v>43403</v>
      </c>
      <c r="AW462">
        <v>29</v>
      </c>
      <c r="AX462">
        <v>275.68941379310297</v>
      </c>
      <c r="AY462">
        <v>259.53550000000001</v>
      </c>
      <c r="BA462" s="38">
        <f>AX462-Table3[[#This Row],[Trendline]]</f>
        <v>1.3793102993986395E-5</v>
      </c>
      <c r="BB462" s="38">
        <f>AY462-Table3[[#This Row],[SmPrice]]</f>
        <v>0</v>
      </c>
    </row>
    <row r="463" spans="1:54" x14ac:dyDescent="0.35">
      <c r="A463" s="6">
        <v>461</v>
      </c>
      <c r="B463" s="3">
        <v>43404</v>
      </c>
      <c r="C463" s="2">
        <v>264.08</v>
      </c>
      <c r="D463" s="2">
        <v>266.60000000000002</v>
      </c>
      <c r="E463" s="2">
        <v>263.56</v>
      </c>
      <c r="F463" s="2">
        <v>264.06</v>
      </c>
      <c r="G463" s="1">
        <v>131489024</v>
      </c>
      <c r="H463" s="30">
        <f>(testdata[[#This Row],[high]]+testdata[[#This Row],[low]])/2</f>
        <v>265.08000000000004</v>
      </c>
      <c r="I463" s="23">
        <f>(4*testdata[[#This Row],[price]]+3*H462+2*H461+H460)/10</f>
        <v>261.52300000000002</v>
      </c>
      <c r="J463" s="9">
        <f>(0.0962*testdata[[#This Row],[smooth]]+0.5769*I461-0.5769*I459-0.0962*I457)*(0.075*$Z462+0.54)</f>
        <v>-6.873077441580385</v>
      </c>
      <c r="K463" s="14">
        <f t="shared" si="21"/>
        <v>-9.8098431102989938</v>
      </c>
      <c r="L463" s="14">
        <f>(0.0962*testdata[[#This Row],[detrender]]+0.5769*J461-0.5769*J459-0.0962*J457)*(0.075*$Z462+0.54)</f>
        <v>-6.110191994613853</v>
      </c>
      <c r="M463" s="9">
        <f>(0.0962*testdata[[#This Row],[I1]]+0.5769*K461-0.5769*K459-0.0962*K457)*(0.075*$Z462+0.54)</f>
        <v>-9.4884459331857212</v>
      </c>
      <c r="N463" s="9">
        <f>(0.0962*testdata[[#This Row],[Q1]]+0.5769*L461-0.5769*L459-0.0962*L457)*(0.075*$Z462+0.54)</f>
        <v>-22.529983153995083</v>
      </c>
      <c r="O463" s="9">
        <f>testdata[[#This Row],[I1]]-testdata[[#This Row],[JQ]]</f>
        <v>12.720140043696089</v>
      </c>
      <c r="P463" s="9">
        <f>testdata[[#This Row],[Q1]]+testdata[[#This Row],[jI]]</f>
        <v>-15.598637927799574</v>
      </c>
      <c r="Q463" s="9">
        <f>0.2*testdata[[#This Row],[I2]]+0.8*Q462</f>
        <v>6.6413995819012799</v>
      </c>
      <c r="R463" s="9">
        <f>0.2*testdata[[#This Row],[Q2]]+0.8*R462</f>
        <v>-2.9104379311344792</v>
      </c>
      <c r="S463" s="9">
        <f>testdata[[#This Row],[I2'']]*Q462+testdata[[#This Row],[Q2'']]*R462</f>
        <v>33.253946630073614</v>
      </c>
      <c r="T463" s="9">
        <f>testdata[[#This Row],[I2'']]*R462-testdata[[#This Row],[Q2'']]*Q462</f>
        <v>16.643902334850463</v>
      </c>
      <c r="U463" s="9">
        <f>0.2*testdata[[#This Row],[Re]]+0.8*U462</f>
        <v>108.63579769307619</v>
      </c>
      <c r="V463" s="9">
        <f>0.2*testdata[[#This Row],[Im]]+0.8*V462</f>
        <v>32.432094638360368</v>
      </c>
      <c r="W463" s="9">
        <f>IF(AND(testdata[[#This Row],[Re'']]&lt;&gt;0,testdata[[#This Row],[Im'']]&lt;&gt;0),2*PI()/ATAN(testdata[[#This Row],[Im'']]/testdata[[#This Row],[Re'']]),0)</f>
        <v>21.65745593887889</v>
      </c>
      <c r="X463" s="9">
        <f>IF(testdata[[#This Row],[pd-atan]]&gt;1.5*Z462,1.5*Z462,IF(testdata[[#This Row],[pd-atan]]&lt;0.67*Z462,0.67*Z462,testdata[[#This Row],[pd-atan]]))</f>
        <v>21.65745593887889</v>
      </c>
      <c r="Y463" s="9">
        <f>IF(testdata[[#This Row],[pd-limit1]]&lt;6,6,IF(testdata[[#This Row],[pd-limit1]]&gt;50,50,testdata[[#This Row],[pd-limit1]]))</f>
        <v>21.65745593887889</v>
      </c>
      <c r="Z463" s="14">
        <f>0.2*testdata[[#This Row],[pd-limit2]]+0.8*Z462</f>
        <v>26.37361777450915</v>
      </c>
      <c r="AA463" s="14">
        <f>0.33*testdata[[#This Row],[period]]+0.67*AA462</f>
        <v>27.825502481377942</v>
      </c>
      <c r="AB463" s="31">
        <f>TRUNC(testdata[[#This Row],[SmPd]]+0.5,0)</f>
        <v>28</v>
      </c>
      <c r="AC463" s="14">
        <f ca="1">IF(testdata[[#This Row],[PdInt]]&lt;=0,0,AVERAGE(OFFSET(testdata[[#This Row],[price]],0,0,-testdata[[#This Row],[PdInt]],1)))</f>
        <v>273.82124999999991</v>
      </c>
      <c r="AD463" s="14">
        <f ca="1">IF(testdata[[#This Row],[i]]&lt;11,testdata[[#This Row],[price]],(4*testdata[[#This Row],[iTrend]]+3*AC462+2*AC461+AC460)/10)</f>
        <v>274.78348275862066</v>
      </c>
      <c r="AE463" s="14">
        <f>(4*testdata[[#This Row],[price]]+3*H462+2*H461+H460)/10</f>
        <v>261.52300000000002</v>
      </c>
      <c r="AF463" t="str">
        <f ca="1">IF(OR(ROUND(testdata[[#This Row],[Trendline]],4)&lt;&gt;Table3[[#This Row],[Trendline]],ROUND(testdata[[#This Row],[SmPrice]],4)&lt;&gt;Table3[[#This Row],[SmPrice]]),"ERR","")</f>
        <v/>
      </c>
      <c r="AG463" s="3">
        <v>43404</v>
      </c>
      <c r="AH463" s="14">
        <v>27.825500000000002</v>
      </c>
      <c r="AI463" s="34">
        <v>28</v>
      </c>
      <c r="AJ463" s="14">
        <v>273.82119999999998</v>
      </c>
      <c r="AK463" s="14">
        <v>274.7835</v>
      </c>
      <c r="AL463" s="14">
        <v>261.52300000000002</v>
      </c>
      <c r="AN463" s="38">
        <f t="shared" si="22"/>
        <v>0</v>
      </c>
      <c r="AO463" s="38">
        <f t="shared" si="23"/>
        <v>0</v>
      </c>
      <c r="AQ463" s="37">
        <v>43404</v>
      </c>
      <c r="AR463">
        <v>28</v>
      </c>
      <c r="AS463">
        <v>274.78348275861998</v>
      </c>
      <c r="AT463">
        <v>261.52300000000002</v>
      </c>
      <c r="AV463" s="37">
        <v>43404</v>
      </c>
      <c r="AW463">
        <v>28</v>
      </c>
      <c r="AX463">
        <v>274.78348275861998</v>
      </c>
      <c r="AY463">
        <v>261.52300000000002</v>
      </c>
      <c r="BA463" s="38">
        <f>AX463-Table3[[#This Row],[Trendline]]</f>
        <v>-1.7241380021459918E-5</v>
      </c>
      <c r="BB463" s="38">
        <f>AY463-Table3[[#This Row],[SmPrice]]</f>
        <v>0</v>
      </c>
    </row>
    <row r="464" spans="1:54" x14ac:dyDescent="0.35">
      <c r="A464" s="6">
        <v>462</v>
      </c>
      <c r="B464" s="3">
        <v>43405</v>
      </c>
      <c r="C464" s="2">
        <v>265.01</v>
      </c>
      <c r="D464" s="2">
        <v>267.08</v>
      </c>
      <c r="E464" s="2">
        <v>263.81</v>
      </c>
      <c r="F464" s="2">
        <v>266.87</v>
      </c>
      <c r="G464" s="1">
        <v>101971008</v>
      </c>
      <c r="H464" s="30">
        <f>(testdata[[#This Row],[high]]+testdata[[#This Row],[low]])/2</f>
        <v>265.44499999999999</v>
      </c>
      <c r="I464" s="23">
        <f>(4*testdata[[#This Row],[price]]+3*H463+2*H462+H461)/10</f>
        <v>263.39750000000004</v>
      </c>
      <c r="J464" s="9">
        <f>(0.0962*testdata[[#This Row],[smooth]]+0.5769*I462-0.5769*I460-0.0962*I458)*(0.075*$Z463+0.54)</f>
        <v>-3.90231816547705</v>
      </c>
      <c r="K464" s="14">
        <f t="shared" si="21"/>
        <v>-9.6427543139976208</v>
      </c>
      <c r="L464" s="14">
        <f>(0.0962*testdata[[#This Row],[detrender]]+0.5769*J462-0.5769*J460-0.0962*J458)*(0.075*$Z463+0.54)</f>
        <v>1.6623445792376965</v>
      </c>
      <c r="M464" s="9">
        <f>(0.0962*testdata[[#This Row],[I1]]+0.5769*K462-0.5769*K460-0.0962*K458)*(0.075*$Z463+0.54)</f>
        <v>-12.261696057283793</v>
      </c>
      <c r="N464" s="9">
        <f>(0.0962*testdata[[#This Row],[Q1]]+0.5769*L462-0.5769*L460-0.0962*L458)*(0.075*$Z463+0.54)</f>
        <v>-8.3713103067622914</v>
      </c>
      <c r="O464" s="9">
        <f>testdata[[#This Row],[I1]]-testdata[[#This Row],[JQ]]</f>
        <v>-1.2714440072353295</v>
      </c>
      <c r="P464" s="9">
        <f>testdata[[#This Row],[Q1]]+testdata[[#This Row],[jI]]</f>
        <v>-10.599351478046096</v>
      </c>
      <c r="Q464" s="9">
        <f>0.2*testdata[[#This Row],[I2]]+0.8*Q463</f>
        <v>5.0588308640739585</v>
      </c>
      <c r="R464" s="9">
        <f>0.2*testdata[[#This Row],[Q2]]+0.8*R463</f>
        <v>-4.4482206405168023</v>
      </c>
      <c r="S464" s="9">
        <f>testdata[[#This Row],[I2'']]*Q463+testdata[[#This Row],[Q2'']]*R463</f>
        <v>46.543987263785482</v>
      </c>
      <c r="T464" s="9">
        <f>testdata[[#This Row],[I2'']]*R463-testdata[[#This Row],[Q2'']]*Q463</f>
        <v>14.818997468138271</v>
      </c>
      <c r="U464" s="9">
        <f>0.2*testdata[[#This Row],[Re]]+0.8*U463</f>
        <v>96.21743560721805</v>
      </c>
      <c r="V464" s="9">
        <f>0.2*testdata[[#This Row],[Im]]+0.8*V463</f>
        <v>28.90947520431595</v>
      </c>
      <c r="W464" s="9">
        <f>IF(AND(testdata[[#This Row],[Re'']]&lt;&gt;0,testdata[[#This Row],[Im'']]&lt;&gt;0),2*PI()/ATAN(testdata[[#This Row],[Im'']]/testdata[[#This Row],[Re'']]),0)</f>
        <v>21.526706845235079</v>
      </c>
      <c r="X464" s="9">
        <f>IF(testdata[[#This Row],[pd-atan]]&gt;1.5*Z463,1.5*Z463,IF(testdata[[#This Row],[pd-atan]]&lt;0.67*Z463,0.67*Z463,testdata[[#This Row],[pd-atan]]))</f>
        <v>21.526706845235079</v>
      </c>
      <c r="Y464" s="9">
        <f>IF(testdata[[#This Row],[pd-limit1]]&lt;6,6,IF(testdata[[#This Row],[pd-limit1]]&gt;50,50,testdata[[#This Row],[pd-limit1]]))</f>
        <v>21.526706845235079</v>
      </c>
      <c r="Z464" s="14">
        <f>0.2*testdata[[#This Row],[pd-limit2]]+0.8*Z463</f>
        <v>25.404235588654338</v>
      </c>
      <c r="AA464" s="14">
        <f>0.33*testdata[[#This Row],[period]]+0.67*AA463</f>
        <v>27.026484406779154</v>
      </c>
      <c r="AB464" s="31">
        <f>TRUNC(testdata[[#This Row],[SmPd]]+0.5,0)</f>
        <v>27</v>
      </c>
      <c r="AC464" s="14">
        <f ca="1">IF(testdata[[#This Row],[PdInt]]&lt;=0,0,AVERAGE(OFFSET(testdata[[#This Row],[price]],0,0,-testdata[[#This Row],[PdInt]],1)))</f>
        <v>272.76185185185176</v>
      </c>
      <c r="AD464" s="14">
        <f ca="1">IF(testdata[[#This Row],[i]]&lt;11,testdata[[#This Row],[price]],(4*testdata[[#This Row],[iTrend]]+3*AC463+2*AC462+AC461)/10)</f>
        <v>273.79696056832688</v>
      </c>
      <c r="AE464" s="14">
        <f>(4*testdata[[#This Row],[price]]+3*H463+2*H462+H461)/10</f>
        <v>263.39750000000004</v>
      </c>
      <c r="AF464" t="str">
        <f ca="1">IF(OR(ROUND(testdata[[#This Row],[Trendline]],4)&lt;&gt;Table3[[#This Row],[Trendline]],ROUND(testdata[[#This Row],[SmPrice]],4)&lt;&gt;Table3[[#This Row],[SmPrice]]),"ERR","")</f>
        <v/>
      </c>
      <c r="AG464" s="3">
        <v>43405</v>
      </c>
      <c r="AH464" s="14">
        <v>27.026499999999999</v>
      </c>
      <c r="AI464" s="34">
        <v>27</v>
      </c>
      <c r="AJ464" s="14">
        <v>272.76190000000003</v>
      </c>
      <c r="AK464" s="14">
        <v>273.79700000000003</v>
      </c>
      <c r="AL464" s="14">
        <v>263.39749999999998</v>
      </c>
      <c r="AN464" s="38">
        <f t="shared" si="22"/>
        <v>0</v>
      </c>
      <c r="AO464" s="38">
        <f t="shared" si="23"/>
        <v>0</v>
      </c>
      <c r="AQ464" s="37">
        <v>43405</v>
      </c>
      <c r="AR464">
        <v>27</v>
      </c>
      <c r="AS464">
        <v>273.79696056832603</v>
      </c>
      <c r="AT464">
        <v>263.39749999999998</v>
      </c>
      <c r="AV464" s="37">
        <v>43405</v>
      </c>
      <c r="AW464">
        <v>27</v>
      </c>
      <c r="AX464">
        <v>273.79696056832603</v>
      </c>
      <c r="AY464">
        <v>263.39749999999998</v>
      </c>
      <c r="BA464" s="38">
        <f>AX464-Table3[[#This Row],[Trendline]]</f>
        <v>-3.9431673997114558E-5</v>
      </c>
      <c r="BB464" s="38">
        <f>AY464-Table3[[#This Row],[SmPrice]]</f>
        <v>0</v>
      </c>
    </row>
    <row r="465" spans="1:54" x14ac:dyDescent="0.35">
      <c r="A465" s="6">
        <v>463</v>
      </c>
      <c r="B465" s="3">
        <v>43406</v>
      </c>
      <c r="C465" s="2">
        <v>268.08</v>
      </c>
      <c r="D465" s="2">
        <v>268.55</v>
      </c>
      <c r="E465" s="2">
        <v>263.04000000000002</v>
      </c>
      <c r="F465" s="2">
        <v>265.29000000000002</v>
      </c>
      <c r="G465" s="1">
        <v>125685896</v>
      </c>
      <c r="H465" s="30">
        <f>(testdata[[#This Row],[high]]+testdata[[#This Row],[low]])/2</f>
        <v>265.79500000000002</v>
      </c>
      <c r="I465" s="23">
        <f>(4*testdata[[#This Row],[price]]+3*H464+2*H463+H462)/10</f>
        <v>264.8845</v>
      </c>
      <c r="J465" s="9">
        <f>(0.0962*testdata[[#This Row],[smooth]]+0.5769*I463-0.5769*I461-0.0962*I459)*(0.075*$Z464+0.54)</f>
        <v>2.0427200790368962</v>
      </c>
      <c r="K465" s="14">
        <f t="shared" si="21"/>
        <v>-8.4826125000702763</v>
      </c>
      <c r="L465" s="14">
        <f>(0.0962*testdata[[#This Row],[detrender]]+0.5769*J463-0.5769*J461-0.0962*J459)*(0.075*$Z464+0.54)</f>
        <v>5.9599913296838567</v>
      </c>
      <c r="M465" s="9">
        <f>(0.0962*testdata[[#This Row],[I1]]+0.5769*K463-0.5769*K461-0.0962*K459)*(0.075*$Z464+0.54)</f>
        <v>-12.453558497075685</v>
      </c>
      <c r="N465" s="9">
        <f>(0.0962*testdata[[#This Row],[Q1]]+0.5769*L463-0.5769*L461-0.0962*L459)*(0.075*$Z464+0.54)</f>
        <v>12.416805698288814</v>
      </c>
      <c r="O465" s="9">
        <f>testdata[[#This Row],[I1]]-testdata[[#This Row],[JQ]]</f>
        <v>-20.89941819835909</v>
      </c>
      <c r="P465" s="9">
        <f>testdata[[#This Row],[Q1]]+testdata[[#This Row],[jI]]</f>
        <v>-6.493567167391828</v>
      </c>
      <c r="Q465" s="9">
        <f>0.2*testdata[[#This Row],[I2]]+0.8*Q464</f>
        <v>-0.13281894841265096</v>
      </c>
      <c r="R465" s="9">
        <f>0.2*testdata[[#This Row],[Q2]]+0.8*R464</f>
        <v>-4.8572899458918073</v>
      </c>
      <c r="S465" s="9">
        <f>testdata[[#This Row],[I2'']]*Q464+testdata[[#This Row],[Q2'']]*R464</f>
        <v>20.934388798726914</v>
      </c>
      <c r="T465" s="9">
        <f>testdata[[#This Row],[I2'']]*R464-testdata[[#This Row],[Q2'']]*Q464</f>
        <v>25.163016281814496</v>
      </c>
      <c r="U465" s="9">
        <f>0.2*testdata[[#This Row],[Re]]+0.8*U464</f>
        <v>81.160826245519829</v>
      </c>
      <c r="V465" s="9">
        <f>0.2*testdata[[#This Row],[Im]]+0.8*V464</f>
        <v>28.160183419815663</v>
      </c>
      <c r="W465" s="9">
        <f>IF(AND(testdata[[#This Row],[Re'']]&lt;&gt;0,testdata[[#This Row],[Im'']]&lt;&gt;0),2*PI()/ATAN(testdata[[#This Row],[Im'']]/testdata[[#This Row],[Re'']]),0)</f>
        <v>18.813572956542799</v>
      </c>
      <c r="X465" s="9">
        <f>IF(testdata[[#This Row],[pd-atan]]&gt;1.5*Z464,1.5*Z464,IF(testdata[[#This Row],[pd-atan]]&lt;0.67*Z464,0.67*Z464,testdata[[#This Row],[pd-atan]]))</f>
        <v>18.813572956542799</v>
      </c>
      <c r="Y465" s="9">
        <f>IF(testdata[[#This Row],[pd-limit1]]&lt;6,6,IF(testdata[[#This Row],[pd-limit1]]&gt;50,50,testdata[[#This Row],[pd-limit1]]))</f>
        <v>18.813572956542799</v>
      </c>
      <c r="Z465" s="14">
        <f>0.2*testdata[[#This Row],[pd-limit2]]+0.8*Z464</f>
        <v>24.086103062232034</v>
      </c>
      <c r="AA465" s="14">
        <f>0.33*testdata[[#This Row],[period]]+0.67*AA464</f>
        <v>26.056158563078604</v>
      </c>
      <c r="AB465" s="31">
        <f>TRUNC(testdata[[#This Row],[SmPd]]+0.5,0)</f>
        <v>26</v>
      </c>
      <c r="AC465" s="14">
        <f ca="1">IF(testdata[[#This Row],[PdInt]]&lt;=0,0,AVERAGE(OFFSET(testdata[[#This Row],[price]],0,0,-testdata[[#This Row],[PdInt]],1)))</f>
        <v>271.64096153846145</v>
      </c>
      <c r="AD465" s="14">
        <f ca="1">IF(testdata[[#This Row],[i]]&lt;11,testdata[[#This Row],[price]],(4*testdata[[#This Row],[iTrend]]+3*AC464+2*AC463+AC462)/10)</f>
        <v>272.7371901709401</v>
      </c>
      <c r="AE465" s="14">
        <f>(4*testdata[[#This Row],[price]]+3*H464+2*H463+H462)/10</f>
        <v>264.8845</v>
      </c>
      <c r="AF465" t="str">
        <f ca="1">IF(OR(ROUND(testdata[[#This Row],[Trendline]],4)&lt;&gt;Table3[[#This Row],[Trendline]],ROUND(testdata[[#This Row],[SmPrice]],4)&lt;&gt;Table3[[#This Row],[SmPrice]]),"ERR","")</f>
        <v/>
      </c>
      <c r="AG465" s="3">
        <v>43406</v>
      </c>
      <c r="AH465" s="14">
        <v>26.0562</v>
      </c>
      <c r="AI465" s="34">
        <v>26</v>
      </c>
      <c r="AJ465" s="14">
        <v>271.64100000000002</v>
      </c>
      <c r="AK465" s="14">
        <v>272.73719999999997</v>
      </c>
      <c r="AL465" s="14">
        <v>264.8845</v>
      </c>
      <c r="AN465" s="38">
        <f t="shared" si="22"/>
        <v>0</v>
      </c>
      <c r="AO465" s="38">
        <f t="shared" si="23"/>
        <v>0</v>
      </c>
      <c r="AQ465" s="37">
        <v>43406</v>
      </c>
      <c r="AR465">
        <v>26</v>
      </c>
      <c r="AS465">
        <v>272.73719017093998</v>
      </c>
      <c r="AT465">
        <v>264.8845</v>
      </c>
      <c r="AV465" s="37">
        <v>43406</v>
      </c>
      <c r="AW465">
        <v>26</v>
      </c>
      <c r="AX465">
        <v>272.73719017093998</v>
      </c>
      <c r="AY465">
        <v>264.8845</v>
      </c>
      <c r="BA465" s="38">
        <f>AX465-Table3[[#This Row],[Trendline]]</f>
        <v>-9.8290599908068543E-6</v>
      </c>
      <c r="BB465" s="38">
        <f>AY465-Table3[[#This Row],[SmPrice]]</f>
        <v>0</v>
      </c>
    </row>
    <row r="466" spans="1:54" x14ac:dyDescent="0.35">
      <c r="A466" s="6">
        <v>464</v>
      </c>
      <c r="B466" s="3">
        <v>43409</v>
      </c>
      <c r="C466" s="2">
        <v>265.82</v>
      </c>
      <c r="D466" s="2">
        <v>267.36</v>
      </c>
      <c r="E466" s="2">
        <v>264.76</v>
      </c>
      <c r="F466" s="2">
        <v>266.75</v>
      </c>
      <c r="G466" s="1">
        <v>67255520</v>
      </c>
      <c r="H466" s="30">
        <f>(testdata[[#This Row],[high]]+testdata[[#This Row],[low]])/2</f>
        <v>266.06</v>
      </c>
      <c r="I466" s="23">
        <f>(4*testdata[[#This Row],[price]]+3*H465+2*H464+H463)/10</f>
        <v>265.7595</v>
      </c>
      <c r="J466" s="9">
        <f>(0.0962*testdata[[#This Row],[smooth]]+0.5769*I464-0.5769*I462-0.0962*I460)*(0.075*$Z465+0.54)</f>
        <v>6.1064173720625003</v>
      </c>
      <c r="K466" s="14">
        <f t="shared" si="21"/>
        <v>-6.873077441580385</v>
      </c>
      <c r="L466" s="14">
        <f>(0.0962*testdata[[#This Row],[detrender]]+0.5769*J464-0.5769*J462-0.0962*J460)*(0.075*$Z465+0.54)</f>
        <v>9.7929790189484525</v>
      </c>
      <c r="M466" s="9">
        <f>(0.0962*testdata[[#This Row],[I1]]+0.5769*K464-0.5769*K462-0.0962*K460)*(0.075*$Z465+0.54)</f>
        <v>-5.5007042969075286</v>
      </c>
      <c r="N466" s="9">
        <f>(0.0962*testdata[[#This Row],[Q1]]+0.5769*L464-0.5769*L462-0.0962*L460)*(0.075*$Z465+0.54)</f>
        <v>25.274406314022592</v>
      </c>
      <c r="O466" s="9">
        <f>testdata[[#This Row],[I1]]-testdata[[#This Row],[JQ]]</f>
        <v>-32.147483755602977</v>
      </c>
      <c r="P466" s="9">
        <f>testdata[[#This Row],[Q1]]+testdata[[#This Row],[jI]]</f>
        <v>4.2922747220409239</v>
      </c>
      <c r="Q466" s="9">
        <f>0.2*testdata[[#This Row],[I2]]+0.8*Q465</f>
        <v>-6.535751909850716</v>
      </c>
      <c r="R466" s="9">
        <f>0.2*testdata[[#This Row],[Q2]]+0.8*R465</f>
        <v>-3.0273770123052612</v>
      </c>
      <c r="S466" s="9">
        <f>testdata[[#This Row],[I2'']]*Q465+testdata[[#This Row],[Q2'']]*R465</f>
        <v>15.572919620046671</v>
      </c>
      <c r="T466" s="9">
        <f>testdata[[#This Row],[I2'']]*R465-testdata[[#This Row],[Q2'']]*Q465</f>
        <v>31.343949009338044</v>
      </c>
      <c r="U466" s="9">
        <f>0.2*testdata[[#This Row],[Re]]+0.8*U465</f>
        <v>68.043244920425209</v>
      </c>
      <c r="V466" s="9">
        <f>0.2*testdata[[#This Row],[Im]]+0.8*V465</f>
        <v>28.796936537720139</v>
      </c>
      <c r="W466" s="9">
        <f>IF(AND(testdata[[#This Row],[Re'']]&lt;&gt;0,testdata[[#This Row],[Im'']]&lt;&gt;0),2*PI()/ATAN(testdata[[#This Row],[Im'']]/testdata[[#This Row],[Re'']]),0)</f>
        <v>15.693919255630545</v>
      </c>
      <c r="X466" s="9">
        <f>IF(testdata[[#This Row],[pd-atan]]&gt;1.5*Z465,1.5*Z465,IF(testdata[[#This Row],[pd-atan]]&lt;0.67*Z465,0.67*Z465,testdata[[#This Row],[pd-atan]]))</f>
        <v>16.137689051695464</v>
      </c>
      <c r="Y466" s="9">
        <f>IF(testdata[[#This Row],[pd-limit1]]&lt;6,6,IF(testdata[[#This Row],[pd-limit1]]&gt;50,50,testdata[[#This Row],[pd-limit1]]))</f>
        <v>16.137689051695464</v>
      </c>
      <c r="Z466" s="14">
        <f>0.2*testdata[[#This Row],[pd-limit2]]+0.8*Z465</f>
        <v>22.496420260124722</v>
      </c>
      <c r="AA466" s="14">
        <f>0.33*testdata[[#This Row],[period]]+0.67*AA465</f>
        <v>24.881444923103825</v>
      </c>
      <c r="AB466" s="31">
        <f>TRUNC(testdata[[#This Row],[SmPd]]+0.5,0)</f>
        <v>25</v>
      </c>
      <c r="AC466" s="14">
        <f ca="1">IF(testdata[[#This Row],[PdInt]]&lt;=0,0,AVERAGE(OFFSET(testdata[[#This Row],[price]],0,0,-testdata[[#This Row],[PdInt]],1)))</f>
        <v>270.41199999999998</v>
      </c>
      <c r="AD466" s="14">
        <f ca="1">IF(testdata[[#This Row],[i]]&lt;11,testdata[[#This Row],[price]],(4*testdata[[#This Row],[iTrend]]+3*AC465+2*AC464+AC463)/10)</f>
        <v>271.59158383190879</v>
      </c>
      <c r="AE466" s="14">
        <f>(4*testdata[[#This Row],[price]]+3*H465+2*H464+H463)/10</f>
        <v>265.7595</v>
      </c>
      <c r="AF466" t="str">
        <f ca="1">IF(OR(ROUND(testdata[[#This Row],[Trendline]],4)&lt;&gt;Table3[[#This Row],[Trendline]],ROUND(testdata[[#This Row],[SmPrice]],4)&lt;&gt;Table3[[#This Row],[SmPrice]]),"ERR","")</f>
        <v/>
      </c>
      <c r="AG466" s="3">
        <v>43409</v>
      </c>
      <c r="AH466" s="14">
        <v>24.881399999999999</v>
      </c>
      <c r="AI466" s="34">
        <v>25</v>
      </c>
      <c r="AJ466" s="14">
        <v>270.41199999999998</v>
      </c>
      <c r="AK466" s="14">
        <v>271.59160000000003</v>
      </c>
      <c r="AL466" s="14">
        <v>265.7595</v>
      </c>
      <c r="AN466" s="38">
        <f t="shared" si="22"/>
        <v>0</v>
      </c>
      <c r="AO466" s="38">
        <f t="shared" si="23"/>
        <v>0</v>
      </c>
      <c r="AQ466" s="37">
        <v>43409</v>
      </c>
      <c r="AR466">
        <v>25</v>
      </c>
      <c r="AS466">
        <v>271.591583831908</v>
      </c>
      <c r="AT466">
        <v>265.7595</v>
      </c>
      <c r="AV466" s="37">
        <v>43409</v>
      </c>
      <c r="AW466">
        <v>25</v>
      </c>
      <c r="AX466">
        <v>271.591583831908</v>
      </c>
      <c r="AY466">
        <v>265.7595</v>
      </c>
      <c r="BA466" s="38">
        <f>AX466-Table3[[#This Row],[Trendline]]</f>
        <v>-1.6168092031421111E-5</v>
      </c>
      <c r="BB466" s="38">
        <f>AY466-Table3[[#This Row],[SmPrice]]</f>
        <v>0</v>
      </c>
    </row>
    <row r="467" spans="1:54" x14ac:dyDescent="0.35">
      <c r="A467" s="6">
        <v>465</v>
      </c>
      <c r="B467" s="3">
        <v>43410</v>
      </c>
      <c r="C467" s="2">
        <v>266.68</v>
      </c>
      <c r="D467" s="2">
        <v>268.62</v>
      </c>
      <c r="E467" s="2">
        <v>266.62</v>
      </c>
      <c r="F467" s="2">
        <v>268.44</v>
      </c>
      <c r="G467" s="1">
        <v>61581152</v>
      </c>
      <c r="H467" s="30">
        <f>(testdata[[#This Row],[high]]+testdata[[#This Row],[low]])/2</f>
        <v>267.62</v>
      </c>
      <c r="I467" s="23">
        <f>(4*testdata[[#This Row],[price]]+3*H466+2*H465+H464)/10</f>
        <v>266.56950000000001</v>
      </c>
      <c r="J467" s="9">
        <f>(0.0962*testdata[[#This Row],[smooth]]+0.5769*I465-0.5769*I463-0.0962*I461)*(0.075*$Z466+0.54)</f>
        <v>5.67017163941878</v>
      </c>
      <c r="K467" s="14">
        <f t="shared" si="21"/>
        <v>-3.90231816547705</v>
      </c>
      <c r="L467" s="14">
        <f>(0.0962*testdata[[#This Row],[detrender]]+0.5769*J465-0.5769*J463-0.0962*J461)*(0.075*$Z466+0.54)</f>
        <v>14.736760355041868</v>
      </c>
      <c r="M467" s="9">
        <f>(0.0962*testdata[[#This Row],[I1]]+0.5769*K465-0.5769*K463-0.0962*K461)*(0.075*$Z466+0.54)</f>
        <v>1.470371277046701</v>
      </c>
      <c r="N467" s="9">
        <f>(0.0962*testdata[[#This Row],[Q1]]+0.5769*L465-0.5769*L463-0.0962*L461)*(0.075*$Z466+0.54)</f>
        <v>21.529168926281187</v>
      </c>
      <c r="O467" s="9">
        <f>testdata[[#This Row],[I1]]-testdata[[#This Row],[JQ]]</f>
        <v>-25.431487091758235</v>
      </c>
      <c r="P467" s="9">
        <f>testdata[[#This Row],[Q1]]+testdata[[#This Row],[jI]]</f>
        <v>16.207131632088569</v>
      </c>
      <c r="Q467" s="9">
        <f>0.2*testdata[[#This Row],[I2]]+0.8*Q466</f>
        <v>-10.314898946232221</v>
      </c>
      <c r="R467" s="9">
        <f>0.2*testdata[[#This Row],[Q2]]+0.8*R466</f>
        <v>0.8195247165735049</v>
      </c>
      <c r="S467" s="9">
        <f>testdata[[#This Row],[I2'']]*Q466+testdata[[#This Row],[Q2'']]*R466</f>
        <v>64.934610199783762</v>
      </c>
      <c r="T467" s="9">
        <f>testdata[[#This Row],[I2'']]*R466-testdata[[#This Row],[Q2'']]*Q466</f>
        <v>36.583298185590337</v>
      </c>
      <c r="U467" s="9">
        <f>0.2*testdata[[#This Row],[Re]]+0.8*U466</f>
        <v>67.421517976296926</v>
      </c>
      <c r="V467" s="9">
        <f>0.2*testdata[[#This Row],[Im]]+0.8*V466</f>
        <v>30.354208867294179</v>
      </c>
      <c r="W467" s="9">
        <f>IF(AND(testdata[[#This Row],[Re'']]&lt;&gt;0,testdata[[#This Row],[Im'']]&lt;&gt;0),2*PI()/ATAN(testdata[[#This Row],[Im'']]/testdata[[#This Row],[Re'']]),0)</f>
        <v>14.852704522203137</v>
      </c>
      <c r="X467" s="9">
        <f>IF(testdata[[#This Row],[pd-atan]]&gt;1.5*Z466,1.5*Z466,IF(testdata[[#This Row],[pd-atan]]&lt;0.67*Z466,0.67*Z466,testdata[[#This Row],[pd-atan]]))</f>
        <v>15.072601574283565</v>
      </c>
      <c r="Y467" s="9">
        <f>IF(testdata[[#This Row],[pd-limit1]]&lt;6,6,IF(testdata[[#This Row],[pd-limit1]]&gt;50,50,testdata[[#This Row],[pd-limit1]]))</f>
        <v>15.072601574283565</v>
      </c>
      <c r="Z467" s="14">
        <f>0.2*testdata[[#This Row],[pd-limit2]]+0.8*Z466</f>
        <v>21.011656522956493</v>
      </c>
      <c r="AA467" s="14">
        <f>0.33*testdata[[#This Row],[period]]+0.67*AA466</f>
        <v>23.604414751055206</v>
      </c>
      <c r="AB467" s="31">
        <f>TRUNC(testdata[[#This Row],[SmPd]]+0.5,0)</f>
        <v>24</v>
      </c>
      <c r="AC467" s="14">
        <f ca="1">IF(testdata[[#This Row],[PdInt]]&lt;=0,0,AVERAGE(OFFSET(testdata[[#This Row],[price]],0,0,-testdata[[#This Row],[PdInt]],1)))</f>
        <v>269.08687500000002</v>
      </c>
      <c r="AD467" s="14">
        <f ca="1">IF(testdata[[#This Row],[i]]&lt;11,testdata[[#This Row],[price]],(4*testdata[[#This Row],[iTrend]]+3*AC466+2*AC465+AC464)/10)</f>
        <v>270.36272749287747</v>
      </c>
      <c r="AE467" s="14">
        <f>(4*testdata[[#This Row],[price]]+3*H466+2*H465+H464)/10</f>
        <v>266.56950000000001</v>
      </c>
      <c r="AF467" t="str">
        <f ca="1">IF(OR(ROUND(testdata[[#This Row],[Trendline]],4)&lt;&gt;Table3[[#This Row],[Trendline]],ROUND(testdata[[#This Row],[SmPrice]],4)&lt;&gt;Table3[[#This Row],[SmPrice]]),"ERR","")</f>
        <v/>
      </c>
      <c r="AG467" s="3">
        <v>43410</v>
      </c>
      <c r="AH467" s="14">
        <v>23.604399999999998</v>
      </c>
      <c r="AI467" s="34">
        <v>24</v>
      </c>
      <c r="AJ467" s="14">
        <v>269.08690000000001</v>
      </c>
      <c r="AK467" s="14">
        <v>270.36270000000002</v>
      </c>
      <c r="AL467" s="14">
        <v>266.56950000000001</v>
      </c>
      <c r="AN467" s="38">
        <f t="shared" si="22"/>
        <v>0</v>
      </c>
      <c r="AO467" s="38">
        <f t="shared" si="23"/>
        <v>0</v>
      </c>
      <c r="AQ467" s="37">
        <v>43410</v>
      </c>
      <c r="AR467">
        <v>24</v>
      </c>
      <c r="AS467">
        <v>270.36272749287701</v>
      </c>
      <c r="AT467">
        <v>266.56950000000001</v>
      </c>
      <c r="AV467" s="37">
        <v>43410</v>
      </c>
      <c r="AW467">
        <v>24</v>
      </c>
      <c r="AX467">
        <v>270.36272749287701</v>
      </c>
      <c r="AY467">
        <v>266.56950000000001</v>
      </c>
      <c r="BA467" s="38">
        <f>AX467-Table3[[#This Row],[Trendline]]</f>
        <v>2.7492876995438564E-5</v>
      </c>
      <c r="BB467" s="38">
        <f>AY467-Table3[[#This Row],[SmPrice]]</f>
        <v>0</v>
      </c>
    </row>
    <row r="468" spans="1:54" x14ac:dyDescent="0.35">
      <c r="A468" s="6">
        <v>466</v>
      </c>
      <c r="B468" s="3">
        <v>43411</v>
      </c>
      <c r="C468" s="2">
        <v>270.82</v>
      </c>
      <c r="D468" s="2">
        <v>274.27</v>
      </c>
      <c r="E468" s="2">
        <v>270.35000000000002</v>
      </c>
      <c r="F468" s="2">
        <v>274.19</v>
      </c>
      <c r="G468" s="1">
        <v>105309120</v>
      </c>
      <c r="H468" s="30">
        <f>(testdata[[#This Row],[high]]+testdata[[#This Row],[low]])/2</f>
        <v>272.31</v>
      </c>
      <c r="I468" s="23">
        <f>(4*testdata[[#This Row],[price]]+3*H467+2*H466+H465)/10</f>
        <v>269.00149999999996</v>
      </c>
      <c r="J468" s="9">
        <f>(0.0962*testdata[[#This Row],[smooth]]+0.5769*I466-0.5769*I464-0.0962*I462)*(0.075*$Z467+0.54)</f>
        <v>4.809947084172836</v>
      </c>
      <c r="K468" s="14">
        <f t="shared" si="21"/>
        <v>2.0427200790368962</v>
      </c>
      <c r="L468" s="14">
        <f>(0.0962*testdata[[#This Row],[detrender]]+0.5769*J466-0.5769*J464-0.0962*J462)*(0.075*$Z467+0.54)</f>
        <v>14.922803480225323</v>
      </c>
      <c r="M468" s="9">
        <f>(0.0962*testdata[[#This Row],[I1]]+0.5769*K466-0.5769*K464-0.0962*K462)*(0.075*$Z467+0.54)</f>
        <v>5.1570363554651077</v>
      </c>
      <c r="N468" s="9">
        <f>(0.0962*testdata[[#This Row],[Q1]]+0.5769*L466-0.5769*L464-0.0962*L462)*(0.075*$Z467+0.54)</f>
        <v>15.760259447769577</v>
      </c>
      <c r="O468" s="9">
        <f>testdata[[#This Row],[I1]]-testdata[[#This Row],[JQ]]</f>
        <v>-13.71753936873268</v>
      </c>
      <c r="P468" s="9">
        <f>testdata[[#This Row],[Q1]]+testdata[[#This Row],[jI]]</f>
        <v>20.079839835690429</v>
      </c>
      <c r="Q468" s="9">
        <f>0.2*testdata[[#This Row],[I2]]+0.8*Q467</f>
        <v>-10.995427030732312</v>
      </c>
      <c r="R468" s="9">
        <f>0.2*testdata[[#This Row],[Q2]]+0.8*R467</f>
        <v>4.6715877403968902</v>
      </c>
      <c r="S468" s="9">
        <f>testdata[[#This Row],[I2'']]*Q467+testdata[[#This Row],[Q2'']]*R467</f>
        <v>117.24520031157103</v>
      </c>
      <c r="T468" s="9">
        <f>testdata[[#This Row],[I2'']]*R467-testdata[[#This Row],[Q2'']]*Q467</f>
        <v>39.175931239685696</v>
      </c>
      <c r="U468" s="9">
        <f>0.2*testdata[[#This Row],[Re]]+0.8*U467</f>
        <v>77.386254443351746</v>
      </c>
      <c r="V468" s="9">
        <f>0.2*testdata[[#This Row],[Im]]+0.8*V467</f>
        <v>32.118553341772483</v>
      </c>
      <c r="W468" s="9">
        <f>IF(AND(testdata[[#This Row],[Re'']]&lt;&gt;0,testdata[[#This Row],[Im'']]&lt;&gt;0),2*PI()/ATAN(testdata[[#This Row],[Im'']]/testdata[[#This Row],[Re'']]),0)</f>
        <v>15.971246340071898</v>
      </c>
      <c r="X468" s="9">
        <f>IF(testdata[[#This Row],[pd-atan]]&gt;1.5*Z467,1.5*Z467,IF(testdata[[#This Row],[pd-atan]]&lt;0.67*Z467,0.67*Z467,testdata[[#This Row],[pd-atan]]))</f>
        <v>15.971246340071898</v>
      </c>
      <c r="Y468" s="9">
        <f>IF(testdata[[#This Row],[pd-limit1]]&lt;6,6,IF(testdata[[#This Row],[pd-limit1]]&gt;50,50,testdata[[#This Row],[pd-limit1]]))</f>
        <v>15.971246340071898</v>
      </c>
      <c r="Z468" s="14">
        <f>0.2*testdata[[#This Row],[pd-limit2]]+0.8*Z467</f>
        <v>20.003574486379577</v>
      </c>
      <c r="AA468" s="14">
        <f>0.33*testdata[[#This Row],[period]]+0.67*AA467</f>
        <v>22.41613746371225</v>
      </c>
      <c r="AB468" s="31">
        <f>TRUNC(testdata[[#This Row],[SmPd]]+0.5,0)</f>
        <v>22</v>
      </c>
      <c r="AC468" s="14">
        <f ca="1">IF(testdata[[#This Row],[PdInt]]&lt;=0,0,AVERAGE(OFFSET(testdata[[#This Row],[price]],0,0,-testdata[[#This Row],[PdInt]],1)))</f>
        <v>267.58318181818186</v>
      </c>
      <c r="AD468" s="14">
        <f ca="1">IF(testdata[[#This Row],[i]]&lt;11,testdata[[#This Row],[price]],(4*testdata[[#This Row],[iTrend]]+3*AC467+2*AC466+AC465)/10)</f>
        <v>269.00583138111887</v>
      </c>
      <c r="AE468" s="14">
        <f>(4*testdata[[#This Row],[price]]+3*H467+2*H466+H465)/10</f>
        <v>269.00149999999996</v>
      </c>
      <c r="AF468" t="str">
        <f ca="1">IF(OR(ROUND(testdata[[#This Row],[Trendline]],4)&lt;&gt;Table3[[#This Row],[Trendline]],ROUND(testdata[[#This Row],[SmPrice]],4)&lt;&gt;Table3[[#This Row],[SmPrice]]),"ERR","")</f>
        <v/>
      </c>
      <c r="AG468" s="3">
        <v>43411</v>
      </c>
      <c r="AH468" s="14">
        <v>22.4161</v>
      </c>
      <c r="AI468" s="34">
        <v>22</v>
      </c>
      <c r="AJ468" s="14">
        <v>267.58319999999998</v>
      </c>
      <c r="AK468" s="14">
        <v>269.00580000000002</v>
      </c>
      <c r="AL468" s="14">
        <v>269.00150000000002</v>
      </c>
      <c r="AN468" s="38">
        <f t="shared" si="22"/>
        <v>0</v>
      </c>
      <c r="AO468" s="38">
        <f t="shared" si="23"/>
        <v>0</v>
      </c>
      <c r="AQ468" s="37">
        <v>43411</v>
      </c>
      <c r="AR468">
        <v>22</v>
      </c>
      <c r="AS468">
        <v>269.00583138111801</v>
      </c>
      <c r="AT468">
        <v>269.001499999999</v>
      </c>
      <c r="AV468" s="37">
        <v>43411</v>
      </c>
      <c r="AW468">
        <v>22</v>
      </c>
      <c r="AX468">
        <v>269.00583138111801</v>
      </c>
      <c r="AY468">
        <v>269.001499999999</v>
      </c>
      <c r="BA468" s="38">
        <f>AX468-Table3[[#This Row],[Trendline]]</f>
        <v>3.1381117992168583E-5</v>
      </c>
      <c r="BB468" s="38">
        <f>AY468-Table3[[#This Row],[SmPrice]]</f>
        <v>-1.0231815394945443E-12</v>
      </c>
    </row>
    <row r="469" spans="1:54" x14ac:dyDescent="0.35">
      <c r="A469" s="6">
        <v>467</v>
      </c>
      <c r="B469" s="3">
        <v>43412</v>
      </c>
      <c r="C469" s="2">
        <v>273.31</v>
      </c>
      <c r="D469" s="2">
        <v>274.39</v>
      </c>
      <c r="E469" s="2">
        <v>272.44</v>
      </c>
      <c r="F469" s="2">
        <v>273.69</v>
      </c>
      <c r="G469" s="1">
        <v>67216992</v>
      </c>
      <c r="H469" s="30">
        <f>(testdata[[#This Row],[high]]+testdata[[#This Row],[low]])/2</f>
        <v>273.41499999999996</v>
      </c>
      <c r="I469" s="23">
        <f>(4*testdata[[#This Row],[price]]+3*H468+2*H467+H466)/10</f>
        <v>271.18899999999996</v>
      </c>
      <c r="J469" s="9">
        <f>(0.0962*testdata[[#This Row],[smooth]]+0.5769*I467-0.5769*I465-0.0962*I463)*(0.075*$Z468+0.54)</f>
        <v>3.8804791139249337</v>
      </c>
      <c r="K469" s="14">
        <f t="shared" si="21"/>
        <v>6.1064173720625003</v>
      </c>
      <c r="L469" s="14">
        <f>(0.0962*testdata[[#This Row],[detrender]]+0.5769*J467-0.5769*J465-0.0962*J463)*(0.075*$Z468+0.54)</f>
        <v>6.3802630011910582</v>
      </c>
      <c r="M469" s="9">
        <f>(0.0962*testdata[[#This Row],[I1]]+0.5769*K467-0.5769*K465-0.0962*K463)*(0.075*$Z468+0.54)</f>
        <v>8.5150916256845779</v>
      </c>
      <c r="N469" s="9">
        <f>(0.0962*testdata[[#This Row],[Q1]]+0.5769*L467-0.5769*L465-0.0962*L463)*(0.075*$Z468+0.54)</f>
        <v>12.782075170435009</v>
      </c>
      <c r="O469" s="9">
        <f>testdata[[#This Row],[I1]]-testdata[[#This Row],[JQ]]</f>
        <v>-6.6756577983725087</v>
      </c>
      <c r="P469" s="9">
        <f>testdata[[#This Row],[Q1]]+testdata[[#This Row],[jI]]</f>
        <v>14.895354626875637</v>
      </c>
      <c r="Q469" s="9">
        <f>0.2*testdata[[#This Row],[I2]]+0.8*Q468</f>
        <v>-10.131473184260351</v>
      </c>
      <c r="R469" s="9">
        <f>0.2*testdata[[#This Row],[Q2]]+0.8*R468</f>
        <v>6.7163411176926395</v>
      </c>
      <c r="S469" s="9">
        <f>testdata[[#This Row],[I2'']]*Q468+testdata[[#This Row],[Q2'']]*R468</f>
        <v>142.77585093709232</v>
      </c>
      <c r="T469" s="9">
        <f>testdata[[#This Row],[I2'']]*R468-testdata[[#This Row],[Q2'']]*Q468</f>
        <v>26.51897275334602</v>
      </c>
      <c r="U469" s="9">
        <f>0.2*testdata[[#This Row],[Re]]+0.8*U468</f>
        <v>90.46417374209986</v>
      </c>
      <c r="V469" s="9">
        <f>0.2*testdata[[#This Row],[Im]]+0.8*V468</f>
        <v>30.99863722408719</v>
      </c>
      <c r="W469" s="9">
        <f>IF(AND(testdata[[#This Row],[Re'']]&lt;&gt;0,testdata[[#This Row],[Im'']]&lt;&gt;0),2*PI()/ATAN(testdata[[#This Row],[Im'']]/testdata[[#This Row],[Re'']]),0)</f>
        <v>19.032875661255396</v>
      </c>
      <c r="X469" s="9">
        <f>IF(testdata[[#This Row],[pd-atan]]&gt;1.5*Z468,1.5*Z468,IF(testdata[[#This Row],[pd-atan]]&lt;0.67*Z468,0.67*Z468,testdata[[#This Row],[pd-atan]]))</f>
        <v>19.032875661255396</v>
      </c>
      <c r="Y469" s="9">
        <f>IF(testdata[[#This Row],[pd-limit1]]&lt;6,6,IF(testdata[[#This Row],[pd-limit1]]&gt;50,50,testdata[[#This Row],[pd-limit1]]))</f>
        <v>19.032875661255396</v>
      </c>
      <c r="Z469" s="14">
        <f>0.2*testdata[[#This Row],[pd-limit2]]+0.8*Z468</f>
        <v>19.809434721354741</v>
      </c>
      <c r="AA469" s="14">
        <f>0.33*testdata[[#This Row],[period]]+0.67*AA468</f>
        <v>21.555925558734273</v>
      </c>
      <c r="AB469" s="31">
        <f>TRUNC(testdata[[#This Row],[SmPd]]+0.5,0)</f>
        <v>22</v>
      </c>
      <c r="AC469" s="14">
        <f ca="1">IF(testdata[[#This Row],[PdInt]]&lt;=0,0,AVERAGE(OFFSET(testdata[[#This Row],[price]],0,0,-testdata[[#This Row],[PdInt]],1)))</f>
        <v>267.24613636363637</v>
      </c>
      <c r="AD469" s="14">
        <f ca="1">IF(testdata[[#This Row],[i]]&lt;11,testdata[[#This Row],[price]],(4*testdata[[#This Row],[iTrend]]+3*AC468+2*AC467+AC466)/10)</f>
        <v>268.03198409090908</v>
      </c>
      <c r="AE469" s="14">
        <f>(4*testdata[[#This Row],[price]]+3*H468+2*H467+H466)/10</f>
        <v>271.18899999999996</v>
      </c>
      <c r="AF469" t="str">
        <f ca="1">IF(OR(ROUND(testdata[[#This Row],[Trendline]],4)&lt;&gt;Table3[[#This Row],[Trendline]],ROUND(testdata[[#This Row],[SmPrice]],4)&lt;&gt;Table3[[#This Row],[SmPrice]]),"ERR","")</f>
        <v/>
      </c>
      <c r="AG469" s="3">
        <v>43412</v>
      </c>
      <c r="AH469" s="14">
        <v>21.555900000000001</v>
      </c>
      <c r="AI469" s="34">
        <v>22</v>
      </c>
      <c r="AJ469" s="14">
        <v>267.24610000000001</v>
      </c>
      <c r="AK469" s="14">
        <v>268.03199999999998</v>
      </c>
      <c r="AL469" s="14">
        <v>271.18900000000002</v>
      </c>
      <c r="AN469" s="38">
        <f t="shared" si="22"/>
        <v>0</v>
      </c>
      <c r="AO469" s="38">
        <f t="shared" si="23"/>
        <v>0</v>
      </c>
      <c r="AQ469" s="37">
        <v>43412</v>
      </c>
      <c r="AR469">
        <v>22</v>
      </c>
      <c r="AS469">
        <v>268.03198409090902</v>
      </c>
      <c r="AT469">
        <v>271.188999999999</v>
      </c>
      <c r="AV469" s="37">
        <v>43412</v>
      </c>
      <c r="AW469">
        <v>22</v>
      </c>
      <c r="AX469">
        <v>268.03198409090902</v>
      </c>
      <c r="AY469">
        <v>271.188999999999</v>
      </c>
      <c r="BA469" s="38">
        <f>AX469-Table3[[#This Row],[Trendline]]</f>
        <v>-1.5909090961940819E-5</v>
      </c>
      <c r="BB469" s="38">
        <f>AY469-Table3[[#This Row],[SmPrice]]</f>
        <v>-1.0231815394945443E-12</v>
      </c>
    </row>
    <row r="470" spans="1:54" x14ac:dyDescent="0.35">
      <c r="A470" s="6">
        <v>468</v>
      </c>
      <c r="B470" s="3">
        <v>43413</v>
      </c>
      <c r="C470" s="2">
        <v>272.25</v>
      </c>
      <c r="D470" s="2">
        <v>272.45999999999998</v>
      </c>
      <c r="E470" s="2">
        <v>269.47000000000003</v>
      </c>
      <c r="F470" s="2">
        <v>271.02</v>
      </c>
      <c r="G470" s="1">
        <v>101271544</v>
      </c>
      <c r="H470" s="30">
        <f>(testdata[[#This Row],[high]]+testdata[[#This Row],[low]])/2</f>
        <v>270.96500000000003</v>
      </c>
      <c r="I470" s="23">
        <f>(4*testdata[[#This Row],[price]]+3*H469+2*H468+H467)/10</f>
        <v>271.6345</v>
      </c>
      <c r="J470" s="9">
        <f>(0.0962*testdata[[#This Row],[smooth]]+0.5769*I468-0.5769*I466-0.0962*I464)*(0.075*$Z469+0.54)</f>
        <v>5.3938702739512427</v>
      </c>
      <c r="K470" s="14">
        <f t="shared" si="21"/>
        <v>5.67017163941878</v>
      </c>
      <c r="L470" s="14">
        <f>(0.0962*testdata[[#This Row],[detrender]]+0.5769*J468-0.5769*J466-0.0962*J464)*(0.075*$Z469+0.54)</f>
        <v>0.29648179271520986</v>
      </c>
      <c r="M470" s="9">
        <f>(0.0962*testdata[[#This Row],[I1]]+0.5769*K468-0.5769*K466-0.0962*K464)*(0.075*$Z469+0.54)</f>
        <v>13.403351761835557</v>
      </c>
      <c r="N470" s="9">
        <f>(0.0962*testdata[[#This Row],[Q1]]+0.5769*L468-0.5769*L466-0.0962*L464)*(0.075*$Z469+0.54)</f>
        <v>5.7287005607949579</v>
      </c>
      <c r="O470" s="9">
        <f>testdata[[#This Row],[I1]]-testdata[[#This Row],[JQ]]</f>
        <v>-5.8528921376177934E-2</v>
      </c>
      <c r="P470" s="9">
        <f>testdata[[#This Row],[Q1]]+testdata[[#This Row],[jI]]</f>
        <v>13.699833554550766</v>
      </c>
      <c r="Q470" s="9">
        <f>0.2*testdata[[#This Row],[I2]]+0.8*Q469</f>
        <v>-8.1168843316835169</v>
      </c>
      <c r="R470" s="9">
        <f>0.2*testdata[[#This Row],[Q2]]+0.8*R469</f>
        <v>8.1130396050642659</v>
      </c>
      <c r="S470" s="9">
        <f>testdata[[#This Row],[I2'']]*Q469+testdata[[#This Row],[Q2'']]*R469</f>
        <v>136.72593743515654</v>
      </c>
      <c r="T470" s="9">
        <f>testdata[[#This Row],[I2'']]*R469-testdata[[#This Row],[Q2'']]*Q469</f>
        <v>27.681279217109655</v>
      </c>
      <c r="U470" s="9">
        <f>0.2*testdata[[#This Row],[Re]]+0.8*U469</f>
        <v>99.716526480711195</v>
      </c>
      <c r="V470" s="9">
        <f>0.2*testdata[[#This Row],[Im]]+0.8*V469</f>
        <v>30.335165622691683</v>
      </c>
      <c r="W470" s="9">
        <f>IF(AND(testdata[[#This Row],[Re'']]&lt;&gt;0,testdata[[#This Row],[Im'']]&lt;&gt;0),2*PI()/ATAN(testdata[[#This Row],[Im'']]/testdata[[#This Row],[Re'']]),0)</f>
        <v>21.275971629546721</v>
      </c>
      <c r="X470" s="9">
        <f>IF(testdata[[#This Row],[pd-atan]]&gt;1.5*Z469,1.5*Z469,IF(testdata[[#This Row],[pd-atan]]&lt;0.67*Z469,0.67*Z469,testdata[[#This Row],[pd-atan]]))</f>
        <v>21.275971629546721</v>
      </c>
      <c r="Y470" s="9">
        <f>IF(testdata[[#This Row],[pd-limit1]]&lt;6,6,IF(testdata[[#This Row],[pd-limit1]]&gt;50,50,testdata[[#This Row],[pd-limit1]]))</f>
        <v>21.275971629546721</v>
      </c>
      <c r="Z470" s="14">
        <f>0.2*testdata[[#This Row],[pd-limit2]]+0.8*Z469</f>
        <v>20.102742102993137</v>
      </c>
      <c r="AA470" s="14">
        <f>0.33*testdata[[#This Row],[period]]+0.67*AA469</f>
        <v>21.0763750183397</v>
      </c>
      <c r="AB470" s="31">
        <f>TRUNC(testdata[[#This Row],[SmPd]]+0.5,0)</f>
        <v>21</v>
      </c>
      <c r="AC470" s="14">
        <f ca="1">IF(testdata[[#This Row],[PdInt]]&lt;=0,0,AVERAGE(OFFSET(testdata[[#This Row],[price]],0,0,-testdata[[#This Row],[PdInt]],1)))</f>
        <v>266.9942857142857</v>
      </c>
      <c r="AD470" s="14">
        <f ca="1">IF(testdata[[#This Row],[i]]&lt;11,testdata[[#This Row],[price]],(4*testdata[[#This Row],[iTrend]]+3*AC469+2*AC468+AC467)/10)</f>
        <v>267.39687905844158</v>
      </c>
      <c r="AE470" s="14">
        <f>(4*testdata[[#This Row],[price]]+3*H469+2*H468+H467)/10</f>
        <v>271.6345</v>
      </c>
      <c r="AF470" t="str">
        <f ca="1">IF(OR(ROUND(testdata[[#This Row],[Trendline]],4)&lt;&gt;Table3[[#This Row],[Trendline]],ROUND(testdata[[#This Row],[SmPrice]],4)&lt;&gt;Table3[[#This Row],[SmPrice]]),"ERR","")</f>
        <v/>
      </c>
      <c r="AG470" s="3">
        <v>43413</v>
      </c>
      <c r="AH470" s="14">
        <v>21.0764</v>
      </c>
      <c r="AI470" s="34">
        <v>21</v>
      </c>
      <c r="AJ470" s="14">
        <v>266.99430000000001</v>
      </c>
      <c r="AK470" s="14">
        <v>267.39690000000002</v>
      </c>
      <c r="AL470" s="14">
        <v>271.6345</v>
      </c>
      <c r="AN470" s="38">
        <f t="shared" si="22"/>
        <v>0</v>
      </c>
      <c r="AO470" s="38">
        <f t="shared" si="23"/>
        <v>0</v>
      </c>
      <c r="AQ470" s="37">
        <v>43413</v>
      </c>
      <c r="AR470">
        <v>21</v>
      </c>
      <c r="AS470">
        <v>267.39687905844102</v>
      </c>
      <c r="AT470">
        <v>271.6345</v>
      </c>
      <c r="AV470" s="37">
        <v>43413</v>
      </c>
      <c r="AW470">
        <v>21</v>
      </c>
      <c r="AX470">
        <v>267.39687905844102</v>
      </c>
      <c r="AY470">
        <v>271.6345</v>
      </c>
      <c r="BA470" s="38">
        <f>AX470-Table3[[#This Row],[Trendline]]</f>
        <v>-2.0941559000675625E-5</v>
      </c>
      <c r="BB470" s="38">
        <f>AY470-Table3[[#This Row],[SmPrice]]</f>
        <v>0</v>
      </c>
    </row>
    <row r="471" spans="1:54" x14ac:dyDescent="0.35">
      <c r="A471" s="6">
        <v>469</v>
      </c>
      <c r="B471" s="3">
        <v>43416</v>
      </c>
      <c r="C471" s="2">
        <v>270.45999999999998</v>
      </c>
      <c r="D471" s="2">
        <v>270.72000000000003</v>
      </c>
      <c r="E471" s="2">
        <v>265.39</v>
      </c>
      <c r="F471" s="2">
        <v>265.95</v>
      </c>
      <c r="G471" s="1">
        <v>102153984</v>
      </c>
      <c r="H471" s="30">
        <f>(testdata[[#This Row],[high]]+testdata[[#This Row],[low]])/2</f>
        <v>268.05500000000001</v>
      </c>
      <c r="I471" s="23">
        <f>(4*testdata[[#This Row],[price]]+3*H470+2*H469+H468)/10</f>
        <v>270.4255</v>
      </c>
      <c r="J471" s="9">
        <f>(0.0962*testdata[[#This Row],[smooth]]+0.5769*I469-0.5769*I467-0.0962*I465)*(0.075*$Z470+0.54)</f>
        <v>6.5486318034688162</v>
      </c>
      <c r="K471" s="14">
        <f t="shared" si="21"/>
        <v>4.809947084172836</v>
      </c>
      <c r="L471" s="14">
        <f>(0.0962*testdata[[#This Row],[detrender]]+0.5769*J469-0.5769*J467-0.0962*J465)*(0.075*$Z470+0.54)</f>
        <v>-1.2265857433490435</v>
      </c>
      <c r="M471" s="9">
        <f>(0.0962*testdata[[#This Row],[I1]]+0.5769*K469-0.5769*K467-0.0962*K465)*(0.075*$Z470+0.54)</f>
        <v>14.442025215453128</v>
      </c>
      <c r="N471" s="9">
        <f>(0.0962*testdata[[#This Row],[Q1]]+0.5769*L469-0.5769*L467-0.0962*L465)*(0.075*$Z470+0.54)</f>
        <v>-11.287387776507639</v>
      </c>
      <c r="O471" s="9">
        <f>testdata[[#This Row],[I1]]-testdata[[#This Row],[JQ]]</f>
        <v>16.097334860680476</v>
      </c>
      <c r="P471" s="9">
        <f>testdata[[#This Row],[Q1]]+testdata[[#This Row],[jI]]</f>
        <v>13.215439472104086</v>
      </c>
      <c r="Q471" s="9">
        <f>0.2*testdata[[#This Row],[I2]]+0.8*Q470</f>
        <v>-3.2740404932107183</v>
      </c>
      <c r="R471" s="9">
        <f>0.2*testdata[[#This Row],[Q2]]+0.8*R470</f>
        <v>9.1335195784722298</v>
      </c>
      <c r="S471" s="9">
        <f>testdata[[#This Row],[I2'']]*Q470+testdata[[#This Row],[Q2'']]*R470</f>
        <v>100.67561405441454</v>
      </c>
      <c r="T471" s="9">
        <f>testdata[[#This Row],[I2'']]*R470-testdata[[#This Row],[Q2'']]*Q470</f>
        <v>47.573301769623185</v>
      </c>
      <c r="U471" s="9">
        <f>0.2*testdata[[#This Row],[Re]]+0.8*U470</f>
        <v>99.908343995451872</v>
      </c>
      <c r="V471" s="9">
        <f>0.2*testdata[[#This Row],[Im]]+0.8*V470</f>
        <v>33.782792852077989</v>
      </c>
      <c r="W471" s="9">
        <f>IF(AND(testdata[[#This Row],[Re'']]&lt;&gt;0,testdata[[#This Row],[Im'']]&lt;&gt;0),2*PI()/ATAN(testdata[[#This Row],[Im'']]/testdata[[#This Row],[Re'']]),0)</f>
        <v>19.269533222712425</v>
      </c>
      <c r="X471" s="9">
        <f>IF(testdata[[#This Row],[pd-atan]]&gt;1.5*Z470,1.5*Z470,IF(testdata[[#This Row],[pd-atan]]&lt;0.67*Z470,0.67*Z470,testdata[[#This Row],[pd-atan]]))</f>
        <v>19.269533222712425</v>
      </c>
      <c r="Y471" s="9">
        <f>IF(testdata[[#This Row],[pd-limit1]]&lt;6,6,IF(testdata[[#This Row],[pd-limit1]]&gt;50,50,testdata[[#This Row],[pd-limit1]]))</f>
        <v>19.269533222712425</v>
      </c>
      <c r="Z471" s="14">
        <f>0.2*testdata[[#This Row],[pd-limit2]]+0.8*Z470</f>
        <v>19.936100326936995</v>
      </c>
      <c r="AA471" s="14">
        <f>0.33*testdata[[#This Row],[period]]+0.67*AA470</f>
        <v>20.70008437017681</v>
      </c>
      <c r="AB471" s="31">
        <f>TRUNC(testdata[[#This Row],[SmPd]]+0.5,0)</f>
        <v>21</v>
      </c>
      <c r="AC471" s="14">
        <f ca="1">IF(testdata[[#This Row],[PdInt]]&lt;=0,0,AVERAGE(OFFSET(testdata[[#This Row],[price]],0,0,-testdata[[#This Row],[PdInt]],1)))</f>
        <v>266.99404761904765</v>
      </c>
      <c r="AD471" s="14">
        <f ca="1">IF(testdata[[#This Row],[i]]&lt;11,testdata[[#This Row],[price]],(4*testdata[[#This Row],[iTrend]]+3*AC470+2*AC469+AC468)/10)</f>
        <v>267.1034502164502</v>
      </c>
      <c r="AE471" s="14">
        <f>(4*testdata[[#This Row],[price]]+3*H470+2*H469+H468)/10</f>
        <v>270.4255</v>
      </c>
      <c r="AF471" t="str">
        <f ca="1">IF(OR(ROUND(testdata[[#This Row],[Trendline]],4)&lt;&gt;Table3[[#This Row],[Trendline]],ROUND(testdata[[#This Row],[SmPrice]],4)&lt;&gt;Table3[[#This Row],[SmPrice]]),"ERR","")</f>
        <v/>
      </c>
      <c r="AG471" s="3">
        <v>43416</v>
      </c>
      <c r="AH471" s="14">
        <v>20.700099999999999</v>
      </c>
      <c r="AI471" s="34">
        <v>21</v>
      </c>
      <c r="AJ471" s="14">
        <v>266.99400000000003</v>
      </c>
      <c r="AK471" s="14">
        <v>267.1035</v>
      </c>
      <c r="AL471" s="14">
        <v>270.4255</v>
      </c>
      <c r="AN471" s="38">
        <f t="shared" si="22"/>
        <v>0</v>
      </c>
      <c r="AO471" s="38">
        <f t="shared" si="23"/>
        <v>0</v>
      </c>
      <c r="AQ471" s="37">
        <v>43416</v>
      </c>
      <c r="AR471">
        <v>21</v>
      </c>
      <c r="AS471">
        <v>267.10345021645003</v>
      </c>
      <c r="AT471">
        <v>270.4255</v>
      </c>
      <c r="AV471" s="37">
        <v>43416</v>
      </c>
      <c r="AW471">
        <v>21</v>
      </c>
      <c r="AX471">
        <v>267.10345021645003</v>
      </c>
      <c r="AY471">
        <v>270.4255</v>
      </c>
      <c r="BA471" s="38">
        <f>AX471-Table3[[#This Row],[Trendline]]</f>
        <v>-4.9783549968651641E-5</v>
      </c>
      <c r="BB471" s="38">
        <f>AY471-Table3[[#This Row],[SmPrice]]</f>
        <v>0</v>
      </c>
    </row>
    <row r="472" spans="1:54" x14ac:dyDescent="0.35">
      <c r="A472" s="6">
        <v>470</v>
      </c>
      <c r="B472" s="3">
        <v>43417</v>
      </c>
      <c r="C472" s="2">
        <v>266.45999999999998</v>
      </c>
      <c r="D472" s="2">
        <v>268.64</v>
      </c>
      <c r="E472" s="2">
        <v>264.66000000000003</v>
      </c>
      <c r="F472" s="2">
        <v>265.45</v>
      </c>
      <c r="G472" s="1">
        <v>100619768</v>
      </c>
      <c r="H472" s="30">
        <f>(testdata[[#This Row],[high]]+testdata[[#This Row],[low]])/2</f>
        <v>266.64999999999998</v>
      </c>
      <c r="I472" s="23">
        <f>(4*testdata[[#This Row],[price]]+3*H471+2*H470+H469)/10</f>
        <v>268.61099999999999</v>
      </c>
      <c r="J472" s="9">
        <f>(0.0962*testdata[[#This Row],[smooth]]+0.5769*I470-0.5769*I468-0.0962*I466)*(0.075*$Z471+0.54)</f>
        <v>3.6497213720620647</v>
      </c>
      <c r="K472" s="14">
        <f t="shared" si="21"/>
        <v>3.8804791139249337</v>
      </c>
      <c r="L472" s="14">
        <f>(0.0962*testdata[[#This Row],[detrender]]+0.5769*J470-0.5769*J468-0.0962*J466)*(0.075*$Z471+0.54)</f>
        <v>0.20460171829579551</v>
      </c>
      <c r="M472" s="9">
        <f>(0.0962*testdata[[#This Row],[I1]]+0.5769*K470-0.5769*K468-0.0962*K466)*(0.075*$Z471+0.54)</f>
        <v>6.3644377689869769</v>
      </c>
      <c r="N472" s="9">
        <f>(0.0962*testdata[[#This Row],[Q1]]+0.5769*L470-0.5769*L468-0.0962*L466)*(0.075*$Z471+0.54)</f>
        <v>-19.050207693764335</v>
      </c>
      <c r="O472" s="9">
        <f>testdata[[#This Row],[I1]]-testdata[[#This Row],[JQ]]</f>
        <v>22.93068680768927</v>
      </c>
      <c r="P472" s="9">
        <f>testdata[[#This Row],[Q1]]+testdata[[#This Row],[jI]]</f>
        <v>6.5690394872827724</v>
      </c>
      <c r="Q472" s="9">
        <f>0.2*testdata[[#This Row],[I2]]+0.8*Q471</f>
        <v>1.9669049669692789</v>
      </c>
      <c r="R472" s="9">
        <f>0.2*testdata[[#This Row],[Q2]]+0.8*R471</f>
        <v>8.6206235602343391</v>
      </c>
      <c r="S472" s="9">
        <f>testdata[[#This Row],[I2'']]*Q471+testdata[[#This Row],[Q2'']]*R471</f>
        <v>72.296907557884609</v>
      </c>
      <c r="T472" s="9">
        <f>testdata[[#This Row],[I2'']]*R471-testdata[[#This Row],[Q2'']]*Q471</f>
        <v>46.189035637741753</v>
      </c>
      <c r="U472" s="9">
        <f>0.2*testdata[[#This Row],[Re]]+0.8*U471</f>
        <v>94.386056707938423</v>
      </c>
      <c r="V472" s="9">
        <f>0.2*testdata[[#This Row],[Im]]+0.8*V471</f>
        <v>36.264041409210748</v>
      </c>
      <c r="W472" s="9">
        <f>IF(AND(testdata[[#This Row],[Re'']]&lt;&gt;0,testdata[[#This Row],[Im'']]&lt;&gt;0),2*PI()/ATAN(testdata[[#This Row],[Im'']]/testdata[[#This Row],[Re'']]),0)</f>
        <v>17.12877798703947</v>
      </c>
      <c r="X472" s="9">
        <f>IF(testdata[[#This Row],[pd-atan]]&gt;1.5*Z471,1.5*Z471,IF(testdata[[#This Row],[pd-atan]]&lt;0.67*Z471,0.67*Z471,testdata[[#This Row],[pd-atan]]))</f>
        <v>17.12877798703947</v>
      </c>
      <c r="Y472" s="9">
        <f>IF(testdata[[#This Row],[pd-limit1]]&lt;6,6,IF(testdata[[#This Row],[pd-limit1]]&gt;50,50,testdata[[#This Row],[pd-limit1]]))</f>
        <v>17.12877798703947</v>
      </c>
      <c r="Z472" s="14">
        <f>0.2*testdata[[#This Row],[pd-limit2]]+0.8*Z471</f>
        <v>19.37463585895749</v>
      </c>
      <c r="AA472" s="14">
        <f>0.33*testdata[[#This Row],[period]]+0.67*AA471</f>
        <v>20.262686361474437</v>
      </c>
      <c r="AB472" s="31">
        <f>TRUNC(testdata[[#This Row],[SmPd]]+0.5,0)</f>
        <v>20</v>
      </c>
      <c r="AC472" s="14">
        <f ca="1">IF(testdata[[#This Row],[PdInt]]&lt;=0,0,AVERAGE(OFFSET(testdata[[#This Row],[price]],0,0,-testdata[[#This Row],[PdInt]],1)))</f>
        <v>266.64325000000002</v>
      </c>
      <c r="AD472" s="14">
        <f ca="1">IF(testdata[[#This Row],[i]]&lt;11,testdata[[#This Row],[price]],(4*testdata[[#This Row],[iTrend]]+3*AC471+2*AC470+AC469)/10)</f>
        <v>266.87898506493508</v>
      </c>
      <c r="AE472" s="14">
        <f>(4*testdata[[#This Row],[price]]+3*H471+2*H470+H469)/10</f>
        <v>268.61099999999999</v>
      </c>
      <c r="AF472" t="str">
        <f ca="1">IF(OR(ROUND(testdata[[#This Row],[Trendline]],4)&lt;&gt;Table3[[#This Row],[Trendline]],ROUND(testdata[[#This Row],[SmPrice]],4)&lt;&gt;Table3[[#This Row],[SmPrice]]),"ERR","")</f>
        <v/>
      </c>
      <c r="AG472" s="3">
        <v>43417</v>
      </c>
      <c r="AH472" s="14">
        <v>20.262699999999999</v>
      </c>
      <c r="AI472" s="34">
        <v>20</v>
      </c>
      <c r="AJ472" s="14">
        <v>266.64330000000001</v>
      </c>
      <c r="AK472" s="14">
        <v>266.87900000000002</v>
      </c>
      <c r="AL472" s="14">
        <v>268.61099999999999</v>
      </c>
      <c r="AN472" s="38">
        <f t="shared" si="22"/>
        <v>0</v>
      </c>
      <c r="AO472" s="38">
        <f t="shared" si="23"/>
        <v>0</v>
      </c>
      <c r="AQ472" s="37">
        <v>43417</v>
      </c>
      <c r="AR472">
        <v>20</v>
      </c>
      <c r="AS472">
        <v>266.87898506493502</v>
      </c>
      <c r="AT472">
        <v>268.61099999999999</v>
      </c>
      <c r="AV472" s="37">
        <v>43417</v>
      </c>
      <c r="AW472">
        <v>20</v>
      </c>
      <c r="AX472">
        <v>266.87898506493502</v>
      </c>
      <c r="AY472">
        <v>268.61099999999999</v>
      </c>
      <c r="BA472" s="38">
        <f>AX472-Table3[[#This Row],[Trendline]]</f>
        <v>-1.4935064996279834E-5</v>
      </c>
      <c r="BB472" s="38">
        <f>AY472-Table3[[#This Row],[SmPrice]]</f>
        <v>0</v>
      </c>
    </row>
    <row r="473" spans="1:54" x14ac:dyDescent="0.35">
      <c r="A473" s="6">
        <v>471</v>
      </c>
      <c r="B473" s="3">
        <v>43418</v>
      </c>
      <c r="C473" s="2">
        <v>267.5</v>
      </c>
      <c r="D473" s="2">
        <v>267.94</v>
      </c>
      <c r="E473" s="2">
        <v>261.93</v>
      </c>
      <c r="F473" s="2">
        <v>263.64</v>
      </c>
      <c r="G473" s="1">
        <v>128454960</v>
      </c>
      <c r="H473" s="30">
        <f>(testdata[[#This Row],[high]]+testdata[[#This Row],[low]])/2</f>
        <v>264.935</v>
      </c>
      <c r="I473" s="23">
        <f>(4*testdata[[#This Row],[price]]+3*H472+2*H471+H470)/10</f>
        <v>266.67650000000003</v>
      </c>
      <c r="J473" s="9">
        <f>(0.0962*testdata[[#This Row],[smooth]]+0.5769*I471-0.5769*I469-0.0962*I467)*(0.075*$Z472+0.54)</f>
        <v>-0.85737033478407543</v>
      </c>
      <c r="K473" s="14">
        <f t="shared" si="21"/>
        <v>5.3938702739512427</v>
      </c>
      <c r="L473" s="14">
        <f>(0.0962*testdata[[#This Row],[detrender]]+0.5769*J471-0.5769*J469-0.0962*J467)*(0.075*$Z472+0.54)</f>
        <v>1.8163253682454068</v>
      </c>
      <c r="M473" s="9">
        <f>(0.0962*testdata[[#This Row],[I1]]+0.5769*K471-0.5769*K469-0.0962*K467)*(0.075*$Z472+0.54)</f>
        <v>0.29170901803391858</v>
      </c>
      <c r="N473" s="9">
        <f>(0.0962*testdata[[#This Row],[Q1]]+0.5769*L471-0.5769*L469-0.0962*L467)*(0.075*$Z472+0.54)</f>
        <v>-11.223804536749288</v>
      </c>
      <c r="O473" s="9">
        <f>testdata[[#This Row],[I1]]-testdata[[#This Row],[JQ]]</f>
        <v>16.617674810700532</v>
      </c>
      <c r="P473" s="9">
        <f>testdata[[#This Row],[Q1]]+testdata[[#This Row],[jI]]</f>
        <v>2.1080343862793254</v>
      </c>
      <c r="Q473" s="9">
        <f>0.2*testdata[[#This Row],[I2]]+0.8*Q472</f>
        <v>4.8970589357155294</v>
      </c>
      <c r="R473" s="9">
        <f>0.2*testdata[[#This Row],[Q2]]+0.8*R472</f>
        <v>7.3181057254433366</v>
      </c>
      <c r="S473" s="9">
        <f>testdata[[#This Row],[I2'']]*Q472+testdata[[#This Row],[Q2'']]*R472</f>
        <v>72.718684177242807</v>
      </c>
      <c r="T473" s="9">
        <f>testdata[[#This Row],[I2'']]*R472-testdata[[#This Row],[Q2'']]*Q472</f>
        <v>27.821683136904571</v>
      </c>
      <c r="U473" s="9">
        <f>0.2*testdata[[#This Row],[Re]]+0.8*U472</f>
        <v>90.052582201799311</v>
      </c>
      <c r="V473" s="9">
        <f>0.2*testdata[[#This Row],[Im]]+0.8*V472</f>
        <v>34.575569754749509</v>
      </c>
      <c r="W473" s="9">
        <f>IF(AND(testdata[[#This Row],[Re'']]&lt;&gt;0,testdata[[#This Row],[Im'']]&lt;&gt;0),2*PI()/ATAN(testdata[[#This Row],[Im'']]/testdata[[#This Row],[Re'']]),0)</f>
        <v>17.139407503795368</v>
      </c>
      <c r="X473" s="9">
        <f>IF(testdata[[#This Row],[pd-atan]]&gt;1.5*Z472,1.5*Z472,IF(testdata[[#This Row],[pd-atan]]&lt;0.67*Z472,0.67*Z472,testdata[[#This Row],[pd-atan]]))</f>
        <v>17.139407503795368</v>
      </c>
      <c r="Y473" s="9">
        <f>IF(testdata[[#This Row],[pd-limit1]]&lt;6,6,IF(testdata[[#This Row],[pd-limit1]]&gt;50,50,testdata[[#This Row],[pd-limit1]]))</f>
        <v>17.139407503795368</v>
      </c>
      <c r="Z473" s="14">
        <f>0.2*testdata[[#This Row],[pd-limit2]]+0.8*Z472</f>
        <v>18.927590187925066</v>
      </c>
      <c r="AA473" s="14">
        <f>0.33*testdata[[#This Row],[period]]+0.67*AA472</f>
        <v>19.822104624203146</v>
      </c>
      <c r="AB473" s="31">
        <f>TRUNC(testdata[[#This Row],[SmPd]]+0.5,0)</f>
        <v>20</v>
      </c>
      <c r="AC473" s="14">
        <f ca="1">IF(testdata[[#This Row],[PdInt]]&lt;=0,0,AVERAGE(OFFSET(testdata[[#This Row],[price]],0,0,-testdata[[#This Row],[PdInt]],1)))</f>
        <v>266.26150000000001</v>
      </c>
      <c r="AD473" s="14">
        <f ca="1">IF(testdata[[#This Row],[i]]&lt;11,testdata[[#This Row],[price]],(4*testdata[[#This Row],[iTrend]]+3*AC472+2*AC471+AC470)/10)</f>
        <v>266.5958130952381</v>
      </c>
      <c r="AE473" s="14">
        <f>(4*testdata[[#This Row],[price]]+3*H472+2*H471+H470)/10</f>
        <v>266.67650000000003</v>
      </c>
      <c r="AF473" t="str">
        <f ca="1">IF(OR(ROUND(testdata[[#This Row],[Trendline]],4)&lt;&gt;Table3[[#This Row],[Trendline]],ROUND(testdata[[#This Row],[SmPrice]],4)&lt;&gt;Table3[[#This Row],[SmPrice]]),"ERR","")</f>
        <v/>
      </c>
      <c r="AG473" s="3">
        <v>43418</v>
      </c>
      <c r="AH473" s="14">
        <v>19.822099999999999</v>
      </c>
      <c r="AI473" s="34">
        <v>20</v>
      </c>
      <c r="AJ473" s="14">
        <v>266.26150000000001</v>
      </c>
      <c r="AK473" s="14">
        <v>266.5958</v>
      </c>
      <c r="AL473" s="14">
        <v>266.67649999999998</v>
      </c>
      <c r="AN473" s="38">
        <f t="shared" si="22"/>
        <v>0</v>
      </c>
      <c r="AO473" s="38">
        <f t="shared" si="23"/>
        <v>0</v>
      </c>
      <c r="AQ473" s="37">
        <v>43418</v>
      </c>
      <c r="AR473">
        <v>20</v>
      </c>
      <c r="AS473">
        <v>266.59581309523799</v>
      </c>
      <c r="AT473">
        <v>266.67649999999998</v>
      </c>
      <c r="AV473" s="37">
        <v>43418</v>
      </c>
      <c r="AW473">
        <v>20</v>
      </c>
      <c r="AX473">
        <v>266.59581309523799</v>
      </c>
      <c r="AY473">
        <v>266.67649999999998</v>
      </c>
      <c r="BA473" s="38">
        <f>AX473-Table3[[#This Row],[Trendline]]</f>
        <v>1.3095237989091402E-5</v>
      </c>
      <c r="BB473" s="38">
        <f>AY473-Table3[[#This Row],[SmPrice]]</f>
        <v>0</v>
      </c>
    </row>
    <row r="474" spans="1:54" x14ac:dyDescent="0.35">
      <c r="A474" s="6">
        <v>472</v>
      </c>
      <c r="B474" s="3">
        <v>43419</v>
      </c>
      <c r="C474" s="2">
        <v>262.25</v>
      </c>
      <c r="D474" s="2">
        <v>266.89999999999998</v>
      </c>
      <c r="E474" s="2">
        <v>260.52999999999997</v>
      </c>
      <c r="F474" s="2">
        <v>266.39</v>
      </c>
      <c r="G474" s="1">
        <v>138463488</v>
      </c>
      <c r="H474" s="30">
        <f>(testdata[[#This Row],[high]]+testdata[[#This Row],[low]])/2</f>
        <v>263.71499999999997</v>
      </c>
      <c r="I474" s="23">
        <f>(4*testdata[[#This Row],[price]]+3*H473+2*H472+H471)/10</f>
        <v>265.10199999999998</v>
      </c>
      <c r="J474" s="9">
        <f>(0.0962*testdata[[#This Row],[smooth]]+0.5769*I472-0.5769*I470-0.0962*I468)*(0.075*$Z473+0.54)</f>
        <v>-4.1530896410381777</v>
      </c>
      <c r="K474" s="14">
        <f t="shared" si="21"/>
        <v>6.5486318034688162</v>
      </c>
      <c r="L474" s="14">
        <f>(0.0962*testdata[[#This Row],[detrender]]+0.5769*J472-0.5769*J470-0.0962*J468)*(0.075*$Z473+0.54)</f>
        <v>-3.6613447177907341</v>
      </c>
      <c r="M474" s="9">
        <f>(0.0962*testdata[[#This Row],[I1]]+0.5769*K472-0.5769*K470-0.0962*K468)*(0.075*$Z473+0.54)</f>
        <v>-1.1737916108090083</v>
      </c>
      <c r="N474" s="9">
        <f>(0.0962*testdata[[#This Row],[Q1]]+0.5769*L472-0.5769*L470-0.0962*L468)*(0.075*$Z473+0.54)</f>
        <v>-3.6071764173558014</v>
      </c>
      <c r="O474" s="9">
        <f>testdata[[#This Row],[I1]]-testdata[[#This Row],[JQ]]</f>
        <v>10.155808220824618</v>
      </c>
      <c r="P474" s="9">
        <f>testdata[[#This Row],[Q1]]+testdata[[#This Row],[jI]]</f>
        <v>-4.8351363285997424</v>
      </c>
      <c r="Q474" s="9">
        <f>0.2*testdata[[#This Row],[I2]]+0.8*Q473</f>
        <v>5.9488087927373474</v>
      </c>
      <c r="R474" s="9">
        <f>0.2*testdata[[#This Row],[Q2]]+0.8*R473</f>
        <v>4.8874573146347213</v>
      </c>
      <c r="S474" s="9">
        <f>testdata[[#This Row],[I2'']]*Q473+testdata[[#This Row],[Q2'']]*R473</f>
        <v>64.898596612425806</v>
      </c>
      <c r="T474" s="9">
        <f>testdata[[#This Row],[I2'']]*R473-testdata[[#This Row],[Q2'']]*Q473</f>
        <v>19.599845170138654</v>
      </c>
      <c r="U474" s="9">
        <f>0.2*testdata[[#This Row],[Re]]+0.8*U473</f>
        <v>85.021785083924613</v>
      </c>
      <c r="V474" s="9">
        <f>0.2*testdata[[#This Row],[Im]]+0.8*V473</f>
        <v>31.580424837827337</v>
      </c>
      <c r="W474" s="9">
        <f>IF(AND(testdata[[#This Row],[Re'']]&lt;&gt;0,testdata[[#This Row],[Im'']]&lt;&gt;0),2*PI()/ATAN(testdata[[#This Row],[Im'']]/testdata[[#This Row],[Re'']]),0)</f>
        <v>17.667002660657776</v>
      </c>
      <c r="X474" s="9">
        <f>IF(testdata[[#This Row],[pd-atan]]&gt;1.5*Z473,1.5*Z473,IF(testdata[[#This Row],[pd-atan]]&lt;0.67*Z473,0.67*Z473,testdata[[#This Row],[pd-atan]]))</f>
        <v>17.667002660657776</v>
      </c>
      <c r="Y474" s="9">
        <f>IF(testdata[[#This Row],[pd-limit1]]&lt;6,6,IF(testdata[[#This Row],[pd-limit1]]&gt;50,50,testdata[[#This Row],[pd-limit1]]))</f>
        <v>17.667002660657776</v>
      </c>
      <c r="Z474" s="14">
        <f>0.2*testdata[[#This Row],[pd-limit2]]+0.8*Z473</f>
        <v>18.675472682471607</v>
      </c>
      <c r="AA474" s="14">
        <f>0.33*testdata[[#This Row],[period]]+0.67*AA473</f>
        <v>19.443716083431738</v>
      </c>
      <c r="AB474" s="31">
        <f>TRUNC(testdata[[#This Row],[SmPd]]+0.5,0)</f>
        <v>19</v>
      </c>
      <c r="AC474" s="14">
        <f ca="1">IF(testdata[[#This Row],[PdInt]]&lt;=0,0,AVERAGE(OFFSET(testdata[[#This Row],[price]],0,0,-testdata[[#This Row],[PdInt]],1)))</f>
        <v>265.65868421052636</v>
      </c>
      <c r="AD474" s="14">
        <f ca="1">IF(testdata[[#This Row],[i]]&lt;11,testdata[[#This Row],[price]],(4*testdata[[#This Row],[iTrend]]+3*AC473+2*AC472+AC471)/10)</f>
        <v>266.16997844611535</v>
      </c>
      <c r="AE474" s="14">
        <f>(4*testdata[[#This Row],[price]]+3*H473+2*H472+H471)/10</f>
        <v>265.10199999999998</v>
      </c>
      <c r="AF474" t="str">
        <f ca="1">IF(OR(ROUND(testdata[[#This Row],[Trendline]],4)&lt;&gt;Table3[[#This Row],[Trendline]],ROUND(testdata[[#This Row],[SmPrice]],4)&lt;&gt;Table3[[#This Row],[SmPrice]]),"ERR","")</f>
        <v/>
      </c>
      <c r="AG474" s="3">
        <v>43419</v>
      </c>
      <c r="AH474" s="14">
        <v>19.4437</v>
      </c>
      <c r="AI474" s="34">
        <v>19</v>
      </c>
      <c r="AJ474" s="14">
        <v>265.65870000000001</v>
      </c>
      <c r="AK474" s="14">
        <v>266.17</v>
      </c>
      <c r="AL474" s="14">
        <v>265.10199999999998</v>
      </c>
      <c r="AN474" s="38">
        <f t="shared" si="22"/>
        <v>0</v>
      </c>
      <c r="AO474" s="38">
        <f t="shared" si="23"/>
        <v>0</v>
      </c>
      <c r="AQ474" s="37">
        <v>43419</v>
      </c>
      <c r="AR474">
        <v>19</v>
      </c>
      <c r="AS474">
        <v>266.16997844611501</v>
      </c>
      <c r="AT474">
        <v>265.10199999999998</v>
      </c>
      <c r="AV474" s="37">
        <v>43419</v>
      </c>
      <c r="AW474">
        <v>19</v>
      </c>
      <c r="AX474">
        <v>266.16997844611501</v>
      </c>
      <c r="AY474">
        <v>265.10199999999998</v>
      </c>
      <c r="BA474" s="38">
        <f>AX474-Table3[[#This Row],[Trendline]]</f>
        <v>-2.1553885005687334E-5</v>
      </c>
      <c r="BB474" s="38">
        <f>AY474-Table3[[#This Row],[SmPrice]]</f>
        <v>0</v>
      </c>
    </row>
    <row r="475" spans="1:54" x14ac:dyDescent="0.35">
      <c r="A475" s="6">
        <v>473</v>
      </c>
      <c r="B475" s="3">
        <v>43420</v>
      </c>
      <c r="C475" s="2">
        <v>265.19</v>
      </c>
      <c r="D475" s="2">
        <v>268.08</v>
      </c>
      <c r="E475" s="2">
        <v>264.62</v>
      </c>
      <c r="F475" s="2">
        <v>267.08</v>
      </c>
      <c r="G475" s="1">
        <v>129820216</v>
      </c>
      <c r="H475" s="30">
        <f>(testdata[[#This Row],[high]]+testdata[[#This Row],[low]])/2</f>
        <v>266.35000000000002</v>
      </c>
      <c r="I475" s="23">
        <f>(4*testdata[[#This Row],[price]]+3*H474+2*H473+H472)/10</f>
        <v>265.30650000000003</v>
      </c>
      <c r="J475" s="9">
        <f>(0.0962*testdata[[#This Row],[smooth]]+0.5769*I473-0.5769*I471-0.0962*I469)*(0.075*$Z474+0.54)</f>
        <v>-5.2954696935830787</v>
      </c>
      <c r="K475" s="14">
        <f t="shared" si="21"/>
        <v>3.6497213720620647</v>
      </c>
      <c r="L475" s="14">
        <f>(0.0962*testdata[[#This Row],[detrender]]+0.5769*J473-0.5769*J471-0.0962*J469)*(0.075*$Z474+0.54)</f>
        <v>-10.004587673403028</v>
      </c>
      <c r="M475" s="9">
        <f>(0.0962*testdata[[#This Row],[I1]]+0.5769*K473-0.5769*K471-0.0962*K469)*(0.075*$Z474+0.54)</f>
        <v>0.19509679389319942</v>
      </c>
      <c r="N475" s="9">
        <f>(0.0962*testdata[[#This Row],[Q1]]+0.5769*L473-0.5769*L471-0.0962*L469)*(0.075*$Z474+0.54)</f>
        <v>0.34782997814836503</v>
      </c>
      <c r="O475" s="9">
        <f>testdata[[#This Row],[I1]]-testdata[[#This Row],[JQ]]</f>
        <v>3.3018913939136998</v>
      </c>
      <c r="P475" s="9">
        <f>testdata[[#This Row],[Q1]]+testdata[[#This Row],[jI]]</f>
        <v>-9.8094908795098288</v>
      </c>
      <c r="Q475" s="9">
        <f>0.2*testdata[[#This Row],[I2]]+0.8*Q474</f>
        <v>5.419425312972618</v>
      </c>
      <c r="R475" s="9">
        <f>0.2*testdata[[#This Row],[Q2]]+0.8*R474</f>
        <v>1.9480676758058115</v>
      </c>
      <c r="S475" s="9">
        <f>testdata[[#This Row],[I2'']]*Q474+testdata[[#This Row],[Q2'']]*R474</f>
        <v>41.760222564915438</v>
      </c>
      <c r="T475" s="9">
        <f>testdata[[#This Row],[I2'']]*R474-testdata[[#This Row],[Q2'']]*Q474</f>
        <v>14.898527768323566</v>
      </c>
      <c r="U475" s="9">
        <f>0.2*testdata[[#This Row],[Re]]+0.8*U474</f>
        <v>76.369472580122775</v>
      </c>
      <c r="V475" s="9">
        <f>0.2*testdata[[#This Row],[Im]]+0.8*V474</f>
        <v>28.244045423926586</v>
      </c>
      <c r="W475" s="9">
        <f>IF(AND(testdata[[#This Row],[Re'']]&lt;&gt;0,testdata[[#This Row],[Im'']]&lt;&gt;0),2*PI()/ATAN(testdata[[#This Row],[Im'']]/testdata[[#This Row],[Re'']]),0)</f>
        <v>17.737380998602823</v>
      </c>
      <c r="X475" s="9">
        <f>IF(testdata[[#This Row],[pd-atan]]&gt;1.5*Z474,1.5*Z474,IF(testdata[[#This Row],[pd-atan]]&lt;0.67*Z474,0.67*Z474,testdata[[#This Row],[pd-atan]]))</f>
        <v>17.737380998602823</v>
      </c>
      <c r="Y475" s="9">
        <f>IF(testdata[[#This Row],[pd-limit1]]&lt;6,6,IF(testdata[[#This Row],[pd-limit1]]&gt;50,50,testdata[[#This Row],[pd-limit1]]))</f>
        <v>17.737380998602823</v>
      </c>
      <c r="Z475" s="14">
        <f>0.2*testdata[[#This Row],[pd-limit2]]+0.8*Z474</f>
        <v>18.487854345697851</v>
      </c>
      <c r="AA475" s="14">
        <f>0.33*testdata[[#This Row],[period]]+0.67*AA474</f>
        <v>19.128281709979554</v>
      </c>
      <c r="AB475" s="31">
        <f>TRUNC(testdata[[#This Row],[SmPd]]+0.5,0)</f>
        <v>19</v>
      </c>
      <c r="AC475" s="14">
        <f ca="1">IF(testdata[[#This Row],[PdInt]]&lt;=0,0,AVERAGE(OFFSET(testdata[[#This Row],[price]],0,0,-testdata[[#This Row],[PdInt]],1)))</f>
        <v>265.50921052631583</v>
      </c>
      <c r="AD475" s="14">
        <f ca="1">IF(testdata[[#This Row],[i]]&lt;11,testdata[[#This Row],[price]],(4*testdata[[#This Row],[iTrend]]+3*AC474+2*AC473+AC472)/10)</f>
        <v>265.81791447368425</v>
      </c>
      <c r="AE475" s="14">
        <f>(4*testdata[[#This Row],[price]]+3*H474+2*H473+H472)/10</f>
        <v>265.30650000000003</v>
      </c>
      <c r="AF475" t="str">
        <f ca="1">IF(OR(ROUND(testdata[[#This Row],[Trendline]],4)&lt;&gt;Table3[[#This Row],[Trendline]],ROUND(testdata[[#This Row],[SmPrice]],4)&lt;&gt;Table3[[#This Row],[SmPrice]]),"ERR","")</f>
        <v/>
      </c>
      <c r="AG475" s="3">
        <v>43420</v>
      </c>
      <c r="AH475" s="14">
        <v>19.128299999999999</v>
      </c>
      <c r="AI475" s="34">
        <v>19</v>
      </c>
      <c r="AJ475" s="14">
        <v>265.50920000000002</v>
      </c>
      <c r="AK475" s="14">
        <v>265.81790000000001</v>
      </c>
      <c r="AL475" s="14">
        <v>265.30650000000003</v>
      </c>
      <c r="AN475" s="38">
        <f t="shared" si="22"/>
        <v>0</v>
      </c>
      <c r="AO475" s="38">
        <f t="shared" si="23"/>
        <v>0</v>
      </c>
      <c r="AQ475" s="37">
        <v>43420</v>
      </c>
      <c r="AR475">
        <v>19</v>
      </c>
      <c r="AS475">
        <v>265.81791447368403</v>
      </c>
      <c r="AT475">
        <v>265.30650000000003</v>
      </c>
      <c r="AV475" s="37">
        <v>43420</v>
      </c>
      <c r="AW475">
        <v>19</v>
      </c>
      <c r="AX475">
        <v>265.81791447368403</v>
      </c>
      <c r="AY475">
        <v>265.30650000000003</v>
      </c>
      <c r="BA475" s="38">
        <f>AX475-Table3[[#This Row],[Trendline]]</f>
        <v>1.4473684018412314E-5</v>
      </c>
      <c r="BB475" s="38">
        <f>AY475-Table3[[#This Row],[SmPrice]]</f>
        <v>0</v>
      </c>
    </row>
    <row r="476" spans="1:54" x14ac:dyDescent="0.35">
      <c r="A476" s="6">
        <v>474</v>
      </c>
      <c r="B476" s="3">
        <v>43423</v>
      </c>
      <c r="C476" s="2">
        <v>266.42</v>
      </c>
      <c r="D476" s="2">
        <v>266.74</v>
      </c>
      <c r="E476" s="2">
        <v>261.56</v>
      </c>
      <c r="F476" s="2">
        <v>262.57</v>
      </c>
      <c r="G476" s="1">
        <v>105626432</v>
      </c>
      <c r="H476" s="30">
        <f>(testdata[[#This Row],[high]]+testdata[[#This Row],[low]])/2</f>
        <v>264.14999999999998</v>
      </c>
      <c r="I476" s="23">
        <f>(4*testdata[[#This Row],[price]]+3*H475+2*H474+H473)/10</f>
        <v>264.80149999999998</v>
      </c>
      <c r="J476" s="9">
        <f>(0.0962*testdata[[#This Row],[smooth]]+0.5769*I474-0.5769*I472-0.0962*I470)*(0.075*$Z475+0.54)</f>
        <v>-5.1664890353889241</v>
      </c>
      <c r="K476" s="14">
        <f t="shared" si="21"/>
        <v>-0.85737033478407543</v>
      </c>
      <c r="L476" s="14">
        <f>(0.0962*testdata[[#This Row],[detrender]]+0.5769*J474-0.5769*J472-0.0962*J470)*(0.075*$Z475+0.54)</f>
        <v>-10.629662845375268</v>
      </c>
      <c r="M476" s="9">
        <f>(0.0962*testdata[[#This Row],[I1]]+0.5769*K474-0.5769*K472-0.0962*K470)*(0.075*$Z475+0.54)</f>
        <v>1.7557155534139604</v>
      </c>
      <c r="N476" s="9">
        <f>(0.0962*testdata[[#This Row],[Q1]]+0.5769*L474-0.5769*L472-0.0962*L470)*(0.075*$Z475+0.54)</f>
        <v>-6.321831584908268</v>
      </c>
      <c r="O476" s="9">
        <f>testdata[[#This Row],[I1]]-testdata[[#This Row],[JQ]]</f>
        <v>5.4644612501241925</v>
      </c>
      <c r="P476" s="9">
        <f>testdata[[#This Row],[Q1]]+testdata[[#This Row],[jI]]</f>
        <v>-8.8739472919613078</v>
      </c>
      <c r="Q476" s="9">
        <f>0.2*testdata[[#This Row],[I2]]+0.8*Q475</f>
        <v>5.4284325004029323</v>
      </c>
      <c r="R476" s="9">
        <f>0.2*testdata[[#This Row],[Q2]]+0.8*R475</f>
        <v>-0.21633531774761239</v>
      </c>
      <c r="S476" s="9">
        <f>testdata[[#This Row],[I2'']]*Q475+testdata[[#This Row],[Q2'']]*R475</f>
        <v>28.997548662807588</v>
      </c>
      <c r="T476" s="9">
        <f>testdata[[#This Row],[I2'']]*R475-testdata[[#This Row],[Q2'']]*Q475</f>
        <v>11.747366981420054</v>
      </c>
      <c r="U476" s="9">
        <f>0.2*testdata[[#This Row],[Re]]+0.8*U475</f>
        <v>66.895087796659737</v>
      </c>
      <c r="V476" s="9">
        <f>0.2*testdata[[#This Row],[Im]]+0.8*V475</f>
        <v>24.944709735425281</v>
      </c>
      <c r="W476" s="9">
        <f>IF(AND(testdata[[#This Row],[Re'']]&lt;&gt;0,testdata[[#This Row],[Im'']]&lt;&gt;0),2*PI()/ATAN(testdata[[#This Row],[Im'']]/testdata[[#This Row],[Re'']]),0)</f>
        <v>17.603797364800155</v>
      </c>
      <c r="X476" s="9">
        <f>IF(testdata[[#This Row],[pd-atan]]&gt;1.5*Z475,1.5*Z475,IF(testdata[[#This Row],[pd-atan]]&lt;0.67*Z475,0.67*Z475,testdata[[#This Row],[pd-atan]]))</f>
        <v>17.603797364800155</v>
      </c>
      <c r="Y476" s="9">
        <f>IF(testdata[[#This Row],[pd-limit1]]&lt;6,6,IF(testdata[[#This Row],[pd-limit1]]&gt;50,50,testdata[[#This Row],[pd-limit1]]))</f>
        <v>17.603797364800155</v>
      </c>
      <c r="Z476" s="14">
        <f>0.2*testdata[[#This Row],[pd-limit2]]+0.8*Z475</f>
        <v>18.311042949518313</v>
      </c>
      <c r="AA476" s="14">
        <f>0.33*testdata[[#This Row],[period]]+0.67*AA475</f>
        <v>18.858592919027345</v>
      </c>
      <c r="AB476" s="31">
        <f>TRUNC(testdata[[#This Row],[SmPd]]+0.5,0)</f>
        <v>19</v>
      </c>
      <c r="AC476" s="14">
        <f ca="1">IF(testdata[[#This Row],[PdInt]]&lt;=0,0,AVERAGE(OFFSET(testdata[[#This Row],[price]],0,0,-testdata[[#This Row],[PdInt]],1)))</f>
        <v>265.45684210526315</v>
      </c>
      <c r="AD476" s="14">
        <f ca="1">IF(testdata[[#This Row],[i]]&lt;11,testdata[[#This Row],[price]],(4*testdata[[#This Row],[iTrend]]+3*AC475+2*AC474+AC473)/10)</f>
        <v>265.5933868421053</v>
      </c>
      <c r="AE476" s="14">
        <f>(4*testdata[[#This Row],[price]]+3*H475+2*H474+H473)/10</f>
        <v>264.80149999999998</v>
      </c>
      <c r="AF476" t="str">
        <f ca="1">IF(OR(ROUND(testdata[[#This Row],[Trendline]],4)&lt;&gt;Table3[[#This Row],[Trendline]],ROUND(testdata[[#This Row],[SmPrice]],4)&lt;&gt;Table3[[#This Row],[SmPrice]]),"ERR","")</f>
        <v/>
      </c>
      <c r="AG476" s="3">
        <v>43423</v>
      </c>
      <c r="AH476" s="14">
        <v>18.858599999999999</v>
      </c>
      <c r="AI476" s="34">
        <v>19</v>
      </c>
      <c r="AJ476" s="14">
        <v>265.45679999999999</v>
      </c>
      <c r="AK476" s="14">
        <v>265.59339999999997</v>
      </c>
      <c r="AL476" s="14">
        <v>264.80149999999998</v>
      </c>
      <c r="AN476" s="38">
        <f t="shared" si="22"/>
        <v>0</v>
      </c>
      <c r="AO476" s="38">
        <f t="shared" si="23"/>
        <v>0</v>
      </c>
      <c r="AQ476" s="37">
        <v>43423</v>
      </c>
      <c r="AR476">
        <v>19</v>
      </c>
      <c r="AS476">
        <v>265.59338684210502</v>
      </c>
      <c r="AT476">
        <v>264.80149999999998</v>
      </c>
      <c r="AV476" s="37">
        <v>43423</v>
      </c>
      <c r="AW476">
        <v>19</v>
      </c>
      <c r="AX476">
        <v>265.59338684210502</v>
      </c>
      <c r="AY476">
        <v>264.80149999999998</v>
      </c>
      <c r="BA476" s="38">
        <f>AX476-Table3[[#This Row],[Trendline]]</f>
        <v>-1.3157894954929361E-5</v>
      </c>
      <c r="BB476" s="38">
        <f>AY476-Table3[[#This Row],[SmPrice]]</f>
        <v>0</v>
      </c>
    </row>
    <row r="477" spans="1:54" x14ac:dyDescent="0.35">
      <c r="A477" s="6">
        <v>475</v>
      </c>
      <c r="B477" s="3">
        <v>43424</v>
      </c>
      <c r="C477" s="2">
        <v>258.92</v>
      </c>
      <c r="D477" s="2">
        <v>260.52</v>
      </c>
      <c r="E477" s="2">
        <v>256.76</v>
      </c>
      <c r="F477" s="2">
        <v>257.70999999999998</v>
      </c>
      <c r="G477" s="1">
        <v>139406240</v>
      </c>
      <c r="H477" s="30">
        <f>(testdata[[#This Row],[high]]+testdata[[#This Row],[low]])/2</f>
        <v>258.64</v>
      </c>
      <c r="I477" s="23">
        <f>(4*testdata[[#This Row],[price]]+3*H476+2*H475+H474)/10</f>
        <v>262.34250000000003</v>
      </c>
      <c r="J477" s="9">
        <f>(0.0962*testdata[[#This Row],[smooth]]+0.5769*I475-0.5769*I473-0.0962*I471)*(0.075*$Z476+0.54)</f>
        <v>-2.9999792591823171</v>
      </c>
      <c r="K477" s="14">
        <f t="shared" si="21"/>
        <v>-4.1530896410381777</v>
      </c>
      <c r="L477" s="14">
        <f>(0.0962*testdata[[#This Row],[detrender]]+0.5769*J475-0.5769*J473-0.0962*J471)*(0.075*$Z476+0.54)</f>
        <v>-6.6563079789617658</v>
      </c>
      <c r="M477" s="9">
        <f>(0.0962*testdata[[#This Row],[I1]]+0.5769*K475-0.5769*K473-0.0962*K471)*(0.075*$Z476+0.54)</f>
        <v>-3.5749459355696214</v>
      </c>
      <c r="N477" s="9">
        <f>(0.0962*testdata[[#This Row],[Q1]]+0.5769*L475-0.5769*L473-0.0962*L471)*(0.075*$Z476+0.54)</f>
        <v>-14.047319078862392</v>
      </c>
      <c r="O477" s="9">
        <f>testdata[[#This Row],[I1]]-testdata[[#This Row],[JQ]]</f>
        <v>9.8942294378242153</v>
      </c>
      <c r="P477" s="9">
        <f>testdata[[#This Row],[Q1]]+testdata[[#This Row],[jI]]</f>
        <v>-10.231253914531386</v>
      </c>
      <c r="Q477" s="9">
        <f>0.2*testdata[[#This Row],[I2]]+0.8*Q476</f>
        <v>6.3215918878871893</v>
      </c>
      <c r="R477" s="9">
        <f>0.2*testdata[[#This Row],[Q2]]+0.8*R476</f>
        <v>-2.2193190371043672</v>
      </c>
      <c r="S477" s="9">
        <f>testdata[[#This Row],[I2'']]*Q476+testdata[[#This Row],[Q2'']]*R476</f>
        <v>34.79645194756565</v>
      </c>
      <c r="T477" s="9">
        <f>testdata[[#This Row],[I2'']]*R476-testdata[[#This Row],[Q2'']]*Q476</f>
        <v>10.679840000043484</v>
      </c>
      <c r="U477" s="9">
        <f>0.2*testdata[[#This Row],[Re]]+0.8*U476</f>
        <v>60.475360626840924</v>
      </c>
      <c r="V477" s="9">
        <f>0.2*testdata[[#This Row],[Im]]+0.8*V476</f>
        <v>22.09173578834892</v>
      </c>
      <c r="W477" s="9">
        <f>IF(AND(testdata[[#This Row],[Re'']]&lt;&gt;0,testdata[[#This Row],[Im'']]&lt;&gt;0),2*PI()/ATAN(testdata[[#This Row],[Im'']]/testdata[[#This Row],[Re'']]),0)</f>
        <v>17.939614355228784</v>
      </c>
      <c r="X477" s="9">
        <f>IF(testdata[[#This Row],[pd-atan]]&gt;1.5*Z476,1.5*Z476,IF(testdata[[#This Row],[pd-atan]]&lt;0.67*Z476,0.67*Z476,testdata[[#This Row],[pd-atan]]))</f>
        <v>17.939614355228784</v>
      </c>
      <c r="Y477" s="9">
        <f>IF(testdata[[#This Row],[pd-limit1]]&lt;6,6,IF(testdata[[#This Row],[pd-limit1]]&gt;50,50,testdata[[#This Row],[pd-limit1]]))</f>
        <v>17.939614355228784</v>
      </c>
      <c r="Z477" s="14">
        <f>0.2*testdata[[#This Row],[pd-limit2]]+0.8*Z476</f>
        <v>18.236757230660409</v>
      </c>
      <c r="AA477" s="14">
        <f>0.33*testdata[[#This Row],[period]]+0.67*AA476</f>
        <v>18.653387141866258</v>
      </c>
      <c r="AB477" s="31">
        <f>TRUNC(testdata[[#This Row],[SmPd]]+0.5,0)</f>
        <v>19</v>
      </c>
      <c r="AC477" s="14">
        <f ca="1">IF(testdata[[#This Row],[PdInt]]&lt;=0,0,AVERAGE(OFFSET(testdata[[#This Row],[price]],0,0,-testdata[[#This Row],[PdInt]],1)))</f>
        <v>265.24368421052634</v>
      </c>
      <c r="AD477" s="14">
        <f ca="1">IF(testdata[[#This Row],[i]]&lt;11,testdata[[#This Row],[price]],(4*testdata[[#This Row],[iTrend]]+3*AC476+2*AC475+AC474)/10)</f>
        <v>265.40223684210525</v>
      </c>
      <c r="AE477" s="14">
        <f>(4*testdata[[#This Row],[price]]+3*H476+2*H475+H474)/10</f>
        <v>262.34250000000003</v>
      </c>
      <c r="AF477" t="str">
        <f ca="1">IF(OR(ROUND(testdata[[#This Row],[Trendline]],4)&lt;&gt;Table3[[#This Row],[Trendline]],ROUND(testdata[[#This Row],[SmPrice]],4)&lt;&gt;Table3[[#This Row],[SmPrice]]),"ERR","")</f>
        <v/>
      </c>
      <c r="AG477" s="3">
        <v>43424</v>
      </c>
      <c r="AH477" s="14">
        <v>18.653400000000001</v>
      </c>
      <c r="AI477" s="34">
        <v>19</v>
      </c>
      <c r="AJ477" s="14">
        <v>265.24369999999999</v>
      </c>
      <c r="AK477" s="14">
        <v>265.40219999999999</v>
      </c>
      <c r="AL477" s="14">
        <v>262.34249999999997</v>
      </c>
      <c r="AN477" s="38">
        <f t="shared" si="22"/>
        <v>0</v>
      </c>
      <c r="AO477" s="38">
        <f t="shared" si="23"/>
        <v>0</v>
      </c>
      <c r="AQ477" s="37">
        <v>43424</v>
      </c>
      <c r="AR477">
        <v>19</v>
      </c>
      <c r="AS477">
        <v>265.40223684210503</v>
      </c>
      <c r="AT477">
        <v>262.34249999999997</v>
      </c>
      <c r="AV477" s="37">
        <v>43424</v>
      </c>
      <c r="AW477">
        <v>19</v>
      </c>
      <c r="AX477">
        <v>265.40223684210503</v>
      </c>
      <c r="AY477">
        <v>262.34249999999997</v>
      </c>
      <c r="BA477" s="38">
        <f>AX477-Table3[[#This Row],[Trendline]]</f>
        <v>3.6842105032519612E-5</v>
      </c>
      <c r="BB477" s="38">
        <f>AY477-Table3[[#This Row],[SmPrice]]</f>
        <v>0</v>
      </c>
    </row>
    <row r="478" spans="1:54" x14ac:dyDescent="0.35">
      <c r="A478" s="6">
        <v>476</v>
      </c>
      <c r="B478" s="3">
        <v>43425</v>
      </c>
      <c r="C478" s="2">
        <v>259.39999999999998</v>
      </c>
      <c r="D478" s="2">
        <v>260.66000000000003</v>
      </c>
      <c r="E478" s="2">
        <v>258.58</v>
      </c>
      <c r="F478" s="2">
        <v>258.58</v>
      </c>
      <c r="G478" s="1">
        <v>77444168</v>
      </c>
      <c r="H478" s="30">
        <f>(testdata[[#This Row],[high]]+testdata[[#This Row],[low]])/2</f>
        <v>259.62</v>
      </c>
      <c r="I478" s="23">
        <f>(4*testdata[[#This Row],[price]]+3*H477+2*H476+H475)/10</f>
        <v>260.90499999999997</v>
      </c>
      <c r="J478" s="9">
        <f>(0.0962*testdata[[#This Row],[smooth]]+0.5769*I476-0.5769*I474-0.0962*I472)*(0.075*$Z477+0.54)</f>
        <v>-1.7449786840384602</v>
      </c>
      <c r="K478" s="14">
        <f t="shared" si="21"/>
        <v>-5.2954696935830787</v>
      </c>
      <c r="L478" s="14">
        <f>(0.0962*testdata[[#This Row],[detrender]]+0.5769*J476-0.5769*J474-0.0962*J472)*(0.075*$Z477+0.54)</f>
        <v>-2.1054008843633349</v>
      </c>
      <c r="M478" s="9">
        <f>(0.0962*testdata[[#This Row],[I1]]+0.5769*K476-0.5769*K474-0.0962*K472)*(0.075*$Z477+0.54)</f>
        <v>-9.8349611218349473</v>
      </c>
      <c r="N478" s="9">
        <f>(0.0962*testdata[[#This Row],[Q1]]+0.5769*L476-0.5769*L474-0.0962*L472)*(0.075*$Z477+0.54)</f>
        <v>-8.0931716717201834</v>
      </c>
      <c r="O478" s="9">
        <f>testdata[[#This Row],[I1]]-testdata[[#This Row],[JQ]]</f>
        <v>2.7977019781371046</v>
      </c>
      <c r="P478" s="9">
        <f>testdata[[#This Row],[Q1]]+testdata[[#This Row],[jI]]</f>
        <v>-11.940362006198281</v>
      </c>
      <c r="Q478" s="9">
        <f>0.2*testdata[[#This Row],[I2]]+0.8*Q477</f>
        <v>5.6168139059371729</v>
      </c>
      <c r="R478" s="9">
        <f>0.2*testdata[[#This Row],[Q2]]+0.8*R477</f>
        <v>-4.1635276309231504</v>
      </c>
      <c r="S478" s="9">
        <f>testdata[[#This Row],[I2'']]*Q477+testdata[[#This Row],[Q2'']]*R477</f>
        <v>44.747401356362182</v>
      </c>
      <c r="T478" s="9">
        <f>testdata[[#This Row],[I2'']]*R477-testdata[[#This Row],[Q2'']]*Q477</f>
        <v>13.854620467319048</v>
      </c>
      <c r="U478" s="9">
        <f>0.2*testdata[[#This Row],[Re]]+0.8*U477</f>
        <v>57.329768772745176</v>
      </c>
      <c r="V478" s="9">
        <f>0.2*testdata[[#This Row],[Im]]+0.8*V477</f>
        <v>20.444312724142947</v>
      </c>
      <c r="W478" s="9">
        <f>IF(AND(testdata[[#This Row],[Re'']]&lt;&gt;0,testdata[[#This Row],[Im'']]&lt;&gt;0),2*PI()/ATAN(testdata[[#This Row],[Im'']]/testdata[[#This Row],[Re'']]),0)</f>
        <v>18.342366750725386</v>
      </c>
      <c r="X478" s="9">
        <f>IF(testdata[[#This Row],[pd-atan]]&gt;1.5*Z477,1.5*Z477,IF(testdata[[#This Row],[pd-atan]]&lt;0.67*Z477,0.67*Z477,testdata[[#This Row],[pd-atan]]))</f>
        <v>18.342366750725386</v>
      </c>
      <c r="Y478" s="9">
        <f>IF(testdata[[#This Row],[pd-limit1]]&lt;6,6,IF(testdata[[#This Row],[pd-limit1]]&gt;50,50,testdata[[#This Row],[pd-limit1]]))</f>
        <v>18.342366750725386</v>
      </c>
      <c r="Z478" s="14">
        <f>0.2*testdata[[#This Row],[pd-limit2]]+0.8*Z477</f>
        <v>18.257879134673406</v>
      </c>
      <c r="AA478" s="14">
        <f>0.33*testdata[[#This Row],[period]]+0.67*AA477</f>
        <v>18.522869499492618</v>
      </c>
      <c r="AB478" s="31">
        <f>TRUNC(testdata[[#This Row],[SmPd]]+0.5,0)</f>
        <v>19</v>
      </c>
      <c r="AC478" s="14">
        <f ca="1">IF(testdata[[#This Row],[PdInt]]&lt;=0,0,AVERAGE(OFFSET(testdata[[#This Row],[price]],0,0,-testdata[[#This Row],[PdInt]],1)))</f>
        <v>265.09263157894736</v>
      </c>
      <c r="AD478" s="14">
        <f ca="1">IF(testdata[[#This Row],[i]]&lt;11,testdata[[#This Row],[price]],(4*testdata[[#This Row],[iTrend]]+3*AC477+2*AC476+AC475)/10)</f>
        <v>265.25244736842103</v>
      </c>
      <c r="AE478" s="14">
        <f>(4*testdata[[#This Row],[price]]+3*H477+2*H476+H475)/10</f>
        <v>260.90499999999997</v>
      </c>
      <c r="AF478" t="str">
        <f ca="1">IF(OR(ROUND(testdata[[#This Row],[Trendline]],4)&lt;&gt;Table3[[#This Row],[Trendline]],ROUND(testdata[[#This Row],[SmPrice]],4)&lt;&gt;Table3[[#This Row],[SmPrice]]),"ERR","")</f>
        <v/>
      </c>
      <c r="AG478" s="3">
        <v>43425</v>
      </c>
      <c r="AH478" s="14">
        <v>18.5229</v>
      </c>
      <c r="AI478" s="34">
        <v>19</v>
      </c>
      <c r="AJ478" s="14">
        <v>265.0926</v>
      </c>
      <c r="AK478" s="14">
        <v>265.25240000000002</v>
      </c>
      <c r="AL478" s="14">
        <v>260.90499999999997</v>
      </c>
      <c r="AN478" s="38">
        <f t="shared" si="22"/>
        <v>0</v>
      </c>
      <c r="AO478" s="38">
        <f t="shared" si="23"/>
        <v>0</v>
      </c>
      <c r="AQ478" s="37">
        <v>43425</v>
      </c>
      <c r="AR478">
        <v>19</v>
      </c>
      <c r="AS478">
        <v>265.25244736842097</v>
      </c>
      <c r="AT478">
        <v>260.90499999999997</v>
      </c>
      <c r="AV478" s="37">
        <v>43425</v>
      </c>
      <c r="AW478">
        <v>19</v>
      </c>
      <c r="AX478">
        <v>265.25244736842097</v>
      </c>
      <c r="AY478">
        <v>260.90499999999997</v>
      </c>
      <c r="BA478" s="38">
        <f>AX478-Table3[[#This Row],[Trendline]]</f>
        <v>4.7368420950988366E-5</v>
      </c>
      <c r="BB478" s="38">
        <f>AY478-Table3[[#This Row],[SmPrice]]</f>
        <v>0</v>
      </c>
    </row>
    <row r="479" spans="1:54" x14ac:dyDescent="0.35">
      <c r="A479" s="6">
        <v>477</v>
      </c>
      <c r="B479" s="3">
        <v>43427</v>
      </c>
      <c r="C479" s="2">
        <v>256.79000000000002</v>
      </c>
      <c r="D479" s="2">
        <v>258.39</v>
      </c>
      <c r="E479" s="2">
        <v>256.68</v>
      </c>
      <c r="F479" s="2">
        <v>256.86</v>
      </c>
      <c r="G479" s="1">
        <v>43873168</v>
      </c>
      <c r="H479" s="30">
        <f>(testdata[[#This Row],[high]]+testdata[[#This Row],[low]])/2</f>
        <v>257.53499999999997</v>
      </c>
      <c r="I479" s="23">
        <f>(4*testdata[[#This Row],[price]]+3*H478+2*H477+H476)/10</f>
        <v>259.04300000000001</v>
      </c>
      <c r="J479" s="9">
        <f>(0.0962*testdata[[#This Row],[smooth]]+0.5769*I477-0.5769*I475-0.0962*I473)*(0.075*$Z478+0.54)</f>
        <v>-4.6669529776041472</v>
      </c>
      <c r="K479" s="14">
        <f t="shared" si="21"/>
        <v>-5.1664890353889241</v>
      </c>
      <c r="L479" s="14">
        <f>(0.0962*testdata[[#This Row],[detrender]]+0.5769*J477-0.5769*J475-0.0962*J473)*(0.075*$Z478+0.54)</f>
        <v>1.8287411268930462</v>
      </c>
      <c r="M479" s="9">
        <f>(0.0962*testdata[[#This Row],[I1]]+0.5769*K477-0.5769*K475-0.0962*K473)*(0.075*$Z478+0.54)</f>
        <v>-10.534498845958039</v>
      </c>
      <c r="N479" s="9">
        <f>(0.0962*testdata[[#This Row],[Q1]]+0.5769*L477-0.5769*L475-0.0962*L473)*(0.075*$Z478+0.54)</f>
        <v>3.6904065259466612</v>
      </c>
      <c r="O479" s="9">
        <f>testdata[[#This Row],[I1]]-testdata[[#This Row],[JQ]]</f>
        <v>-8.8568955613355858</v>
      </c>
      <c r="P479" s="9">
        <f>testdata[[#This Row],[Q1]]+testdata[[#This Row],[jI]]</f>
        <v>-8.7057577190649926</v>
      </c>
      <c r="Q479" s="9">
        <f>0.2*testdata[[#This Row],[I2]]+0.8*Q478</f>
        <v>2.7220720124826219</v>
      </c>
      <c r="R479" s="9">
        <f>0.2*testdata[[#This Row],[Q2]]+0.8*R478</f>
        <v>-5.071973648551519</v>
      </c>
      <c r="S479" s="9">
        <f>testdata[[#This Row],[I2'']]*Q478+testdata[[#This Row],[Q2'']]*R478</f>
        <v>36.406674361733124</v>
      </c>
      <c r="T479" s="9">
        <f>testdata[[#This Row],[I2'']]*R478-testdata[[#This Row],[Q2'']]*Q478</f>
        <v>17.154910082397087</v>
      </c>
      <c r="U479" s="9">
        <f>0.2*testdata[[#This Row],[Re]]+0.8*U478</f>
        <v>53.145149890542768</v>
      </c>
      <c r="V479" s="9">
        <f>0.2*testdata[[#This Row],[Im]]+0.8*V478</f>
        <v>19.786432195793775</v>
      </c>
      <c r="W479" s="9">
        <f>IF(AND(testdata[[#This Row],[Re'']]&lt;&gt;0,testdata[[#This Row],[Im'']]&lt;&gt;0),2*PI()/ATAN(testdata[[#This Row],[Im'']]/testdata[[#This Row],[Re'']]),0)</f>
        <v>17.629113856209674</v>
      </c>
      <c r="X479" s="9">
        <f>IF(testdata[[#This Row],[pd-atan]]&gt;1.5*Z478,1.5*Z478,IF(testdata[[#This Row],[pd-atan]]&lt;0.67*Z478,0.67*Z478,testdata[[#This Row],[pd-atan]]))</f>
        <v>17.629113856209674</v>
      </c>
      <c r="Y479" s="9">
        <f>IF(testdata[[#This Row],[pd-limit1]]&lt;6,6,IF(testdata[[#This Row],[pd-limit1]]&gt;50,50,testdata[[#This Row],[pd-limit1]]))</f>
        <v>17.629113856209674</v>
      </c>
      <c r="Z479" s="14">
        <f>0.2*testdata[[#This Row],[pd-limit2]]+0.8*Z478</f>
        <v>18.132126078980662</v>
      </c>
      <c r="AA479" s="14">
        <f>0.33*testdata[[#This Row],[period]]+0.67*AA478</f>
        <v>18.393924170723672</v>
      </c>
      <c r="AB479" s="31">
        <f>TRUNC(testdata[[#This Row],[SmPd]]+0.5,0)</f>
        <v>18</v>
      </c>
      <c r="AC479" s="14">
        <f ca="1">IF(testdata[[#This Row],[PdInt]]&lt;=0,0,AVERAGE(OFFSET(testdata[[#This Row],[price]],0,0,-testdata[[#This Row],[PdInt]],1)))</f>
        <v>265.30611111111114</v>
      </c>
      <c r="AD479" s="14">
        <f ca="1">IF(testdata[[#This Row],[i]]&lt;11,testdata[[#This Row],[price]],(4*testdata[[#This Row],[iTrend]]+3*AC478+2*AC477+AC476)/10)</f>
        <v>265.24465497076022</v>
      </c>
      <c r="AE479" s="14">
        <f>(4*testdata[[#This Row],[price]]+3*H478+2*H477+H476)/10</f>
        <v>259.04300000000001</v>
      </c>
      <c r="AF479" t="str">
        <f ca="1">IF(OR(ROUND(testdata[[#This Row],[Trendline]],4)&lt;&gt;Table3[[#This Row],[Trendline]],ROUND(testdata[[#This Row],[SmPrice]],4)&lt;&gt;Table3[[#This Row],[SmPrice]]),"ERR","")</f>
        <v/>
      </c>
      <c r="AG479" s="3">
        <v>43427</v>
      </c>
      <c r="AH479" s="14">
        <v>18.393899999999999</v>
      </c>
      <c r="AI479" s="34">
        <v>18</v>
      </c>
      <c r="AJ479" s="14">
        <v>265.30610000000001</v>
      </c>
      <c r="AK479" s="14">
        <v>265.24470000000002</v>
      </c>
      <c r="AL479" s="14">
        <v>259.04300000000001</v>
      </c>
      <c r="AN479" s="38">
        <f t="shared" si="22"/>
        <v>0</v>
      </c>
      <c r="AO479" s="38">
        <f t="shared" si="23"/>
        <v>0</v>
      </c>
      <c r="AQ479" s="37">
        <v>43427</v>
      </c>
      <c r="AR479">
        <v>18</v>
      </c>
      <c r="AS479">
        <v>265.24465497076</v>
      </c>
      <c r="AT479">
        <v>259.04300000000001</v>
      </c>
      <c r="AV479" s="37">
        <v>43427</v>
      </c>
      <c r="AW479">
        <v>18</v>
      </c>
      <c r="AX479">
        <v>265.24465497076</v>
      </c>
      <c r="AY479">
        <v>259.04300000000001</v>
      </c>
      <c r="BA479" s="38">
        <f>AX479-Table3[[#This Row],[Trendline]]</f>
        <v>-4.5029240027361084E-5</v>
      </c>
      <c r="BB479" s="38">
        <f>AY479-Table3[[#This Row],[SmPrice]]</f>
        <v>0</v>
      </c>
    </row>
    <row r="480" spans="1:54" x14ac:dyDescent="0.35">
      <c r="A480" s="6">
        <v>478</v>
      </c>
      <c r="B480" s="3">
        <v>43430</v>
      </c>
      <c r="C480" s="2">
        <v>259.33</v>
      </c>
      <c r="D480" s="2">
        <v>261.25</v>
      </c>
      <c r="E480" s="2">
        <v>258.89999999999998</v>
      </c>
      <c r="F480" s="2">
        <v>261</v>
      </c>
      <c r="G480" s="1">
        <v>81971728</v>
      </c>
      <c r="H480" s="30">
        <f>(testdata[[#This Row],[high]]+testdata[[#This Row],[low]])/2</f>
        <v>260.07499999999999</v>
      </c>
      <c r="I480" s="23">
        <f>(4*testdata[[#This Row],[price]]+3*H479+2*H478+H477)/10</f>
        <v>259.07849999999996</v>
      </c>
      <c r="J480" s="9">
        <f>(0.0962*testdata[[#This Row],[smooth]]+0.5769*I478-0.5769*I476-0.0962*I474)*(0.075*$Z479+0.54)</f>
        <v>-5.3717119450651376</v>
      </c>
      <c r="K480" s="14">
        <f t="shared" si="21"/>
        <v>-2.9999792591823171</v>
      </c>
      <c r="L480" s="14">
        <f>(0.0962*testdata[[#This Row],[detrender]]+0.5769*J478-0.5769*J476-0.0962*J474)*(0.075*$Z479+0.54)</f>
        <v>3.5274438189287309</v>
      </c>
      <c r="M480" s="9">
        <f>(0.0962*testdata[[#This Row],[I1]]+0.5769*K478-0.5769*K476-0.0962*K474)*(0.075*$Z479+0.54)</f>
        <v>-6.6096252229769448</v>
      </c>
      <c r="N480" s="9">
        <f>(0.0962*testdata[[#This Row],[Q1]]+0.5769*L478-0.5769*L476-0.0962*L474)*(0.075*$Z479+0.54)</f>
        <v>10.656987666251869</v>
      </c>
      <c r="O480" s="9">
        <f>testdata[[#This Row],[I1]]-testdata[[#This Row],[JQ]]</f>
        <v>-13.656966925434187</v>
      </c>
      <c r="P480" s="9">
        <f>testdata[[#This Row],[Q1]]+testdata[[#This Row],[jI]]</f>
        <v>-3.0821814040482138</v>
      </c>
      <c r="Q480" s="9">
        <f>0.2*testdata[[#This Row],[I2]]+0.8*Q479</f>
        <v>-0.55373577510074012</v>
      </c>
      <c r="R480" s="9">
        <f>0.2*testdata[[#This Row],[Q2]]+0.8*R479</f>
        <v>-4.6740151996508583</v>
      </c>
      <c r="S480" s="9">
        <f>testdata[[#This Row],[I2'']]*Q479+testdata[[#This Row],[Q2'']]*R479</f>
        <v>22.199173269846327</v>
      </c>
      <c r="T480" s="9">
        <f>testdata[[#This Row],[I2'']]*R479-testdata[[#This Row],[Q2'']]*Q479</f>
        <v>15.53153922045918</v>
      </c>
      <c r="U480" s="9">
        <f>0.2*testdata[[#This Row],[Re]]+0.8*U479</f>
        <v>46.955954566403484</v>
      </c>
      <c r="V480" s="9">
        <f>0.2*testdata[[#This Row],[Im]]+0.8*V479</f>
        <v>18.935453600726859</v>
      </c>
      <c r="W480" s="9">
        <f>IF(AND(testdata[[#This Row],[Re'']]&lt;&gt;0,testdata[[#This Row],[Im'']]&lt;&gt;0),2*PI()/ATAN(testdata[[#This Row],[Im'']]/testdata[[#This Row],[Re'']]),0)</f>
        <v>16.391767402544225</v>
      </c>
      <c r="X480" s="9">
        <f>IF(testdata[[#This Row],[pd-atan]]&gt;1.5*Z479,1.5*Z479,IF(testdata[[#This Row],[pd-atan]]&lt;0.67*Z479,0.67*Z479,testdata[[#This Row],[pd-atan]]))</f>
        <v>16.391767402544225</v>
      </c>
      <c r="Y480" s="9">
        <f>IF(testdata[[#This Row],[pd-limit1]]&lt;6,6,IF(testdata[[#This Row],[pd-limit1]]&gt;50,50,testdata[[#This Row],[pd-limit1]]))</f>
        <v>16.391767402544225</v>
      </c>
      <c r="Z480" s="14">
        <f>0.2*testdata[[#This Row],[pd-limit2]]+0.8*Z479</f>
        <v>17.784054343693374</v>
      </c>
      <c r="AA480" s="14">
        <f>0.33*testdata[[#This Row],[period]]+0.67*AA479</f>
        <v>18.192667127803674</v>
      </c>
      <c r="AB480" s="31">
        <f>TRUNC(testdata[[#This Row],[SmPd]]+0.5,0)</f>
        <v>18</v>
      </c>
      <c r="AC480" s="14">
        <f ca="1">IF(testdata[[#This Row],[PdInt]]&lt;=0,0,AVERAGE(OFFSET(testdata[[#This Row],[price]],0,0,-testdata[[#This Row],[PdInt]],1)))</f>
        <v>265.35638888888889</v>
      </c>
      <c r="AD480" s="14">
        <f ca="1">IF(testdata[[#This Row],[i]]&lt;11,testdata[[#This Row],[price]],(4*testdata[[#This Row],[iTrend]]+3*AC479+2*AC478+AC477)/10)</f>
        <v>265.277283625731</v>
      </c>
      <c r="AE480" s="14">
        <f>(4*testdata[[#This Row],[price]]+3*H479+2*H478+H477)/10</f>
        <v>259.07849999999996</v>
      </c>
      <c r="AF480" t="str">
        <f ca="1">IF(OR(ROUND(testdata[[#This Row],[Trendline]],4)&lt;&gt;Table3[[#This Row],[Trendline]],ROUND(testdata[[#This Row],[SmPrice]],4)&lt;&gt;Table3[[#This Row],[SmPrice]]),"ERR","")</f>
        <v/>
      </c>
      <c r="AG480" s="3">
        <v>43430</v>
      </c>
      <c r="AH480" s="14">
        <v>18.192699999999999</v>
      </c>
      <c r="AI480" s="34">
        <v>18</v>
      </c>
      <c r="AJ480" s="14">
        <v>265.35640000000001</v>
      </c>
      <c r="AK480" s="14">
        <v>265.27730000000003</v>
      </c>
      <c r="AL480" s="14">
        <v>259.07850000000002</v>
      </c>
      <c r="AN480" s="38">
        <f t="shared" si="22"/>
        <v>0</v>
      </c>
      <c r="AO480" s="38">
        <f t="shared" si="23"/>
        <v>0</v>
      </c>
      <c r="AQ480" s="37">
        <v>43430</v>
      </c>
      <c r="AR480">
        <v>18</v>
      </c>
      <c r="AS480">
        <v>265.277283625731</v>
      </c>
      <c r="AT480">
        <v>259.078499999999</v>
      </c>
      <c r="AV480" s="37">
        <v>43430</v>
      </c>
      <c r="AW480">
        <v>18</v>
      </c>
      <c r="AX480">
        <v>265.277283625731</v>
      </c>
      <c r="AY480">
        <v>259.078499999999</v>
      </c>
      <c r="BA480" s="38">
        <f>AX480-Table3[[#This Row],[Trendline]]</f>
        <v>-1.6374269023344823E-5</v>
      </c>
      <c r="BB480" s="38">
        <f>AY480-Table3[[#This Row],[SmPrice]]</f>
        <v>-1.0231815394945443E-12</v>
      </c>
    </row>
    <row r="481" spans="1:54" x14ac:dyDescent="0.35">
      <c r="A481" s="6">
        <v>479</v>
      </c>
      <c r="B481" s="3">
        <v>43431</v>
      </c>
      <c r="C481" s="2">
        <v>259.87</v>
      </c>
      <c r="D481" s="2">
        <v>261.88</v>
      </c>
      <c r="E481" s="2">
        <v>259.20999999999998</v>
      </c>
      <c r="F481" s="2">
        <v>261.88</v>
      </c>
      <c r="G481" s="1">
        <v>77381344</v>
      </c>
      <c r="H481" s="30">
        <f>(testdata[[#This Row],[high]]+testdata[[#This Row],[low]])/2</f>
        <v>260.54499999999996</v>
      </c>
      <c r="I481" s="23">
        <f>(4*testdata[[#This Row],[price]]+3*H480+2*H479+H478)/10</f>
        <v>259.70949999999993</v>
      </c>
      <c r="J481" s="9">
        <f>(0.0962*testdata[[#This Row],[smooth]]+0.5769*I479-0.5769*I477-0.0962*I475)*(0.075*$Z480+0.54)</f>
        <v>-4.575666438402676</v>
      </c>
      <c r="K481" s="14">
        <f t="shared" si="21"/>
        <v>-1.7449786840384602</v>
      </c>
      <c r="L481" s="14">
        <f>(0.0962*testdata[[#This Row],[detrender]]+0.5769*J479-0.5769*J477-0.0962*J475)*(0.075*$Z480+0.54)</f>
        <v>-1.6722428407683243</v>
      </c>
      <c r="M481" s="9">
        <f>(0.0962*testdata[[#This Row],[I1]]+0.5769*K479-0.5769*K477-0.0962*K475)*(0.075*$Z480+0.54)</f>
        <v>-2.0679306577172523</v>
      </c>
      <c r="N481" s="9">
        <f>(0.0962*testdata[[#This Row],[Q1]]+0.5769*L479-0.5769*L477-0.0962*L475)*(0.075*$Z480+0.54)</f>
        <v>10.674305556249942</v>
      </c>
      <c r="O481" s="9">
        <f>testdata[[#This Row],[I1]]-testdata[[#This Row],[JQ]]</f>
        <v>-12.419284240288402</v>
      </c>
      <c r="P481" s="9">
        <f>testdata[[#This Row],[Q1]]+testdata[[#This Row],[jI]]</f>
        <v>-3.7401734984855768</v>
      </c>
      <c r="Q481" s="9">
        <f>0.2*testdata[[#This Row],[I2]]+0.8*Q480</f>
        <v>-2.9268454681382723</v>
      </c>
      <c r="R481" s="9">
        <f>0.2*testdata[[#This Row],[Q2]]+0.8*R480</f>
        <v>-4.4872468594178017</v>
      </c>
      <c r="S481" s="9">
        <f>testdata[[#This Row],[I2'']]*Q480+testdata[[#This Row],[Q2'']]*R480</f>
        <v>22.594159069404018</v>
      </c>
      <c r="T481" s="9">
        <f>testdata[[#This Row],[I2'']]*R480-testdata[[#This Row],[Q2'']]*Q480</f>
        <v>11.195371087339439</v>
      </c>
      <c r="U481" s="9">
        <f>0.2*testdata[[#This Row],[Re]]+0.8*U480</f>
        <v>42.08359546700359</v>
      </c>
      <c r="V481" s="9">
        <f>0.2*testdata[[#This Row],[Im]]+0.8*V480</f>
        <v>17.387437098049375</v>
      </c>
      <c r="W481" s="9">
        <f>IF(AND(testdata[[#This Row],[Re'']]&lt;&gt;0,testdata[[#This Row],[Im'']]&lt;&gt;0),2*PI()/ATAN(testdata[[#This Row],[Im'']]/testdata[[#This Row],[Re'']]),0)</f>
        <v>16.036588888920846</v>
      </c>
      <c r="X481" s="9">
        <f>IF(testdata[[#This Row],[pd-atan]]&gt;1.5*Z480,1.5*Z480,IF(testdata[[#This Row],[pd-atan]]&lt;0.67*Z480,0.67*Z480,testdata[[#This Row],[pd-atan]]))</f>
        <v>16.036588888920846</v>
      </c>
      <c r="Y481" s="9">
        <f>IF(testdata[[#This Row],[pd-limit1]]&lt;6,6,IF(testdata[[#This Row],[pd-limit1]]&gt;50,50,testdata[[#This Row],[pd-limit1]]))</f>
        <v>16.036588888920846</v>
      </c>
      <c r="Z481" s="14">
        <f>0.2*testdata[[#This Row],[pd-limit2]]+0.8*Z480</f>
        <v>17.434561252738867</v>
      </c>
      <c r="AA481" s="14">
        <f>0.33*testdata[[#This Row],[period]]+0.67*AA480</f>
        <v>17.942492189032286</v>
      </c>
      <c r="AB481" s="31">
        <f>TRUNC(testdata[[#This Row],[SmPd]]+0.5,0)</f>
        <v>18</v>
      </c>
      <c r="AC481" s="14">
        <f ca="1">IF(testdata[[#This Row],[PdInt]]&lt;=0,0,AVERAGE(OFFSET(testdata[[#This Row],[price]],0,0,-testdata[[#This Row],[PdInt]],1)))</f>
        <v>265.10444444444443</v>
      </c>
      <c r="AD481" s="14">
        <f ca="1">IF(testdata[[#This Row],[i]]&lt;11,testdata[[#This Row],[price]],(4*testdata[[#This Row],[iTrend]]+3*AC480+2*AC479+AC478)/10)</f>
        <v>265.21917982456142</v>
      </c>
      <c r="AE481" s="14">
        <f>(4*testdata[[#This Row],[price]]+3*H480+2*H479+H478)/10</f>
        <v>259.70949999999993</v>
      </c>
      <c r="AF481" t="str">
        <f ca="1">IF(OR(ROUND(testdata[[#This Row],[Trendline]],4)&lt;&gt;Table3[[#This Row],[Trendline]],ROUND(testdata[[#This Row],[SmPrice]],4)&lt;&gt;Table3[[#This Row],[SmPrice]]),"ERR","")</f>
        <v/>
      </c>
      <c r="AG481" s="3">
        <v>43431</v>
      </c>
      <c r="AH481" s="14">
        <v>17.942499999999999</v>
      </c>
      <c r="AI481" s="34">
        <v>18</v>
      </c>
      <c r="AJ481" s="14">
        <v>265.1044</v>
      </c>
      <c r="AK481" s="14">
        <v>265.2192</v>
      </c>
      <c r="AL481" s="14">
        <v>259.70949999999999</v>
      </c>
      <c r="AN481" s="38">
        <f t="shared" si="22"/>
        <v>0</v>
      </c>
      <c r="AO481" s="38">
        <f t="shared" si="23"/>
        <v>0</v>
      </c>
      <c r="AQ481" s="37">
        <v>43431</v>
      </c>
      <c r="AR481">
        <v>18</v>
      </c>
      <c r="AS481">
        <v>265.21917982456102</v>
      </c>
      <c r="AT481">
        <v>259.70949999999999</v>
      </c>
      <c r="AV481" s="37">
        <v>43431</v>
      </c>
      <c r="AW481">
        <v>18</v>
      </c>
      <c r="AX481">
        <v>265.21917982456102</v>
      </c>
      <c r="AY481">
        <v>259.70949999999999</v>
      </c>
      <c r="BA481" s="38">
        <f>AX481-Table3[[#This Row],[Trendline]]</f>
        <v>-2.0175438976366422E-5</v>
      </c>
      <c r="BB481" s="38">
        <f>AY481-Table3[[#This Row],[SmPrice]]</f>
        <v>0</v>
      </c>
    </row>
    <row r="482" spans="1:54" x14ac:dyDescent="0.35">
      <c r="A482" s="6">
        <v>480</v>
      </c>
      <c r="B482" s="3">
        <v>43432</v>
      </c>
      <c r="C482" s="2">
        <v>263.05</v>
      </c>
      <c r="D482" s="2">
        <v>267.91000000000003</v>
      </c>
      <c r="E482" s="2">
        <v>261.81</v>
      </c>
      <c r="F482" s="2">
        <v>267.91000000000003</v>
      </c>
      <c r="G482" s="1">
        <v>130805744</v>
      </c>
      <c r="H482" s="30">
        <f>(testdata[[#This Row],[high]]+testdata[[#This Row],[low]])/2</f>
        <v>264.86</v>
      </c>
      <c r="I482" s="23">
        <f>(4*testdata[[#This Row],[price]]+3*H481+2*H480+H479)/10</f>
        <v>261.87599999999998</v>
      </c>
      <c r="J482" s="9">
        <f>(0.0962*testdata[[#This Row],[smooth]]+0.5769*I480-0.5769*I478-0.0962*I476)*(0.075*$Z481+0.54)</f>
        <v>-2.4667958635361606</v>
      </c>
      <c r="K482" s="14">
        <f t="shared" si="21"/>
        <v>-4.6669529776041472</v>
      </c>
      <c r="L482" s="14">
        <f>(0.0962*testdata[[#This Row],[detrender]]+0.5769*J480-0.5769*J478-0.0962*J476)*(0.075*$Z481+0.54)</f>
        <v>-3.3858084671533266</v>
      </c>
      <c r="M482" s="9">
        <f>(0.0962*testdata[[#This Row],[I1]]+0.5769*K480-0.5769*K478-0.0962*K476)*(0.075*$Z481+0.54)</f>
        <v>1.7695989154293463</v>
      </c>
      <c r="N482" s="9">
        <f>(0.0962*testdata[[#This Row],[Q1]]+0.5769*L480-0.5769*L478-0.0962*L476)*(0.075*$Z481+0.54)</f>
        <v>7.2914240926047826</v>
      </c>
      <c r="O482" s="9">
        <f>testdata[[#This Row],[I1]]-testdata[[#This Row],[JQ]]</f>
        <v>-11.958377070208929</v>
      </c>
      <c r="P482" s="9">
        <f>testdata[[#This Row],[Q1]]+testdata[[#This Row],[jI]]</f>
        <v>-1.6162095517239803</v>
      </c>
      <c r="Q482" s="9">
        <f>0.2*testdata[[#This Row],[I2]]+0.8*Q481</f>
        <v>-4.7331517885524033</v>
      </c>
      <c r="R482" s="9">
        <f>0.2*testdata[[#This Row],[Q2]]+0.8*R481</f>
        <v>-3.9130393978790377</v>
      </c>
      <c r="S482" s="9">
        <f>testdata[[#This Row],[I2'']]*Q481+testdata[[#This Row],[Q2'']]*R481</f>
        <v>31.411977611245998</v>
      </c>
      <c r="T482" s="9">
        <f>testdata[[#This Row],[I2'']]*R481-testdata[[#This Row],[Q2'']]*Q481</f>
        <v>9.7859588700007496</v>
      </c>
      <c r="U482" s="9">
        <f>0.2*testdata[[#This Row],[Re]]+0.8*U481</f>
        <v>39.949271895852078</v>
      </c>
      <c r="V482" s="9">
        <f>0.2*testdata[[#This Row],[Im]]+0.8*V481</f>
        <v>15.86714145243965</v>
      </c>
      <c r="W482" s="9">
        <f>IF(AND(testdata[[#This Row],[Re'']]&lt;&gt;0,testdata[[#This Row],[Im'']]&lt;&gt;0),2*PI()/ATAN(testdata[[#This Row],[Im'']]/testdata[[#This Row],[Re'']]),0)</f>
        <v>16.618889502378515</v>
      </c>
      <c r="X482" s="9">
        <f>IF(testdata[[#This Row],[pd-atan]]&gt;1.5*Z481,1.5*Z481,IF(testdata[[#This Row],[pd-atan]]&lt;0.67*Z481,0.67*Z481,testdata[[#This Row],[pd-atan]]))</f>
        <v>16.618889502378515</v>
      </c>
      <c r="Y482" s="9">
        <f>IF(testdata[[#This Row],[pd-limit1]]&lt;6,6,IF(testdata[[#This Row],[pd-limit1]]&gt;50,50,testdata[[#This Row],[pd-limit1]]))</f>
        <v>16.618889502378515</v>
      </c>
      <c r="Z482" s="14">
        <f>0.2*testdata[[#This Row],[pd-limit2]]+0.8*Z481</f>
        <v>17.271426902666796</v>
      </c>
      <c r="AA482" s="14">
        <f>0.33*testdata[[#This Row],[period]]+0.67*AA481</f>
        <v>17.721040644531676</v>
      </c>
      <c r="AB482" s="31">
        <f>TRUNC(testdata[[#This Row],[SmPd]]+0.5,0)</f>
        <v>18</v>
      </c>
      <c r="AC482" s="14">
        <f ca="1">IF(testdata[[#This Row],[PdInt]]&lt;=0,0,AVERAGE(OFFSET(testdata[[#This Row],[price]],0,0,-testdata[[#This Row],[PdInt]],1)))</f>
        <v>265.0719444444444</v>
      </c>
      <c r="AD482" s="14">
        <f ca="1">IF(testdata[[#This Row],[i]]&lt;11,testdata[[#This Row],[price]],(4*testdata[[#This Row],[iTrend]]+3*AC481+2*AC480+AC479)/10)</f>
        <v>265.16199999999998</v>
      </c>
      <c r="AE482" s="14">
        <f>(4*testdata[[#This Row],[price]]+3*H481+2*H480+H479)/10</f>
        <v>261.87599999999998</v>
      </c>
      <c r="AF482" t="str">
        <f ca="1">IF(OR(ROUND(testdata[[#This Row],[Trendline]],4)&lt;&gt;Table3[[#This Row],[Trendline]],ROUND(testdata[[#This Row],[SmPrice]],4)&lt;&gt;Table3[[#This Row],[SmPrice]]),"ERR","")</f>
        <v/>
      </c>
      <c r="AG482" s="3">
        <v>43432</v>
      </c>
      <c r="AH482" s="14">
        <v>17.721</v>
      </c>
      <c r="AI482" s="34">
        <v>18</v>
      </c>
      <c r="AJ482" s="14">
        <v>265.07190000000003</v>
      </c>
      <c r="AK482" s="14">
        <v>265.16199999999998</v>
      </c>
      <c r="AL482" s="14">
        <v>261.87599999999998</v>
      </c>
      <c r="AN482" s="38">
        <f t="shared" si="22"/>
        <v>0</v>
      </c>
      <c r="AO482" s="38">
        <f t="shared" si="23"/>
        <v>0</v>
      </c>
      <c r="AQ482" s="37">
        <v>43432</v>
      </c>
      <c r="AR482">
        <v>18</v>
      </c>
      <c r="AS482">
        <v>265.16199999999998</v>
      </c>
      <c r="AT482">
        <v>261.87599999999998</v>
      </c>
      <c r="AV482" s="37">
        <v>43432</v>
      </c>
      <c r="AW482">
        <v>18</v>
      </c>
      <c r="AX482">
        <v>265.16199999999998</v>
      </c>
      <c r="AY482">
        <v>261.87599999999998</v>
      </c>
      <c r="BA482" s="38">
        <f>AX482-Table3[[#This Row],[Trendline]]</f>
        <v>0</v>
      </c>
      <c r="BB482" s="38">
        <f>AY482-Table3[[#This Row],[SmPrice]]</f>
        <v>0</v>
      </c>
    </row>
    <row r="483" spans="1:54" x14ac:dyDescent="0.35">
      <c r="A483" s="6">
        <v>481</v>
      </c>
      <c r="B483" s="3">
        <v>43433</v>
      </c>
      <c r="C483" s="2">
        <v>267.06</v>
      </c>
      <c r="D483" s="2">
        <v>268.86</v>
      </c>
      <c r="E483" s="2">
        <v>265.82</v>
      </c>
      <c r="F483" s="2">
        <v>267.33</v>
      </c>
      <c r="G483" s="1">
        <v>84395640</v>
      </c>
      <c r="H483" s="30">
        <f>(testdata[[#This Row],[high]]+testdata[[#This Row],[low]])/2</f>
        <v>267.34000000000003</v>
      </c>
      <c r="I483" s="23">
        <f>(4*testdata[[#This Row],[price]]+3*H482+2*H481+H480)/10</f>
        <v>264.51049999999998</v>
      </c>
      <c r="J483" s="9">
        <f>(0.0962*testdata[[#This Row],[smooth]]+0.5769*I481-0.5769*I479-0.0962*I477)*(0.075*$Z482+0.54)</f>
        <v>1.0884868356128248</v>
      </c>
      <c r="K483" s="14">
        <f t="shared" si="21"/>
        <v>-5.3717119450651376</v>
      </c>
      <c r="L483" s="14">
        <f>(0.0962*testdata[[#This Row],[detrender]]+0.5769*J481-0.5769*J479-0.0962*J477)*(0.075*$Z482+0.54)</f>
        <v>0.8185208549939923</v>
      </c>
      <c r="M483" s="9">
        <f>(0.0962*testdata[[#This Row],[I1]]+0.5769*K481-0.5769*K479-0.0962*K477)*(0.075*$Z482+0.54)</f>
        <v>3.4075933184227916</v>
      </c>
      <c r="N483" s="9">
        <f>(0.0962*testdata[[#This Row],[Q1]]+0.5769*L481-0.5769*L479-0.0962*L477)*(0.075*$Z482+0.54)</f>
        <v>-2.3871371310963827</v>
      </c>
      <c r="O483" s="9">
        <f>testdata[[#This Row],[I1]]-testdata[[#This Row],[JQ]]</f>
        <v>-2.9845748139687549</v>
      </c>
      <c r="P483" s="9">
        <f>testdata[[#This Row],[Q1]]+testdata[[#This Row],[jI]]</f>
        <v>4.226114173416784</v>
      </c>
      <c r="Q483" s="9">
        <f>0.2*testdata[[#This Row],[I2]]+0.8*Q482</f>
        <v>-4.3834363936356739</v>
      </c>
      <c r="R483" s="9">
        <f>0.2*testdata[[#This Row],[Q2]]+0.8*R482</f>
        <v>-2.2852086836198735</v>
      </c>
      <c r="S483" s="9">
        <f>testdata[[#This Row],[I2'']]*Q482+testdata[[#This Row],[Q2'']]*R482</f>
        <v>29.689581417922245</v>
      </c>
      <c r="T483" s="9">
        <f>testdata[[#This Row],[I2'']]*R482-testdata[[#This Row],[Q2'']]*Q482</f>
        <v>6.3363197383023095</v>
      </c>
      <c r="U483" s="9">
        <f>0.2*testdata[[#This Row],[Re]]+0.8*U482</f>
        <v>37.897333800266111</v>
      </c>
      <c r="V483" s="9">
        <f>0.2*testdata[[#This Row],[Im]]+0.8*V482</f>
        <v>13.960977109612182</v>
      </c>
      <c r="W483" s="9">
        <f>IF(AND(testdata[[#This Row],[Re'']]&lt;&gt;0,testdata[[#This Row],[Im'']]&lt;&gt;0),2*PI()/ATAN(testdata[[#This Row],[Im'']]/testdata[[#This Row],[Re'']]),0)</f>
        <v>17.801280749631228</v>
      </c>
      <c r="X483" s="9">
        <f>IF(testdata[[#This Row],[pd-atan]]&gt;1.5*Z482,1.5*Z482,IF(testdata[[#This Row],[pd-atan]]&lt;0.67*Z482,0.67*Z482,testdata[[#This Row],[pd-atan]]))</f>
        <v>17.801280749631228</v>
      </c>
      <c r="Y483" s="9">
        <f>IF(testdata[[#This Row],[pd-limit1]]&lt;6,6,IF(testdata[[#This Row],[pd-limit1]]&gt;50,50,testdata[[#This Row],[pd-limit1]]))</f>
        <v>17.801280749631228</v>
      </c>
      <c r="Z483" s="14">
        <f>0.2*testdata[[#This Row],[pd-limit2]]+0.8*Z482</f>
        <v>17.377397672059683</v>
      </c>
      <c r="AA483" s="14">
        <f>0.33*testdata[[#This Row],[period]]+0.67*AA482</f>
        <v>17.60763846361592</v>
      </c>
      <c r="AB483" s="31">
        <f>TRUNC(testdata[[#This Row],[SmPd]]+0.5,0)</f>
        <v>18</v>
      </c>
      <c r="AC483" s="14">
        <f ca="1">IF(testdata[[#This Row],[PdInt]]&lt;=0,0,AVERAGE(OFFSET(testdata[[#This Row],[price]],0,0,-testdata[[#This Row],[PdInt]],1)))</f>
        <v>265.15777777777771</v>
      </c>
      <c r="AD483" s="14">
        <f ca="1">IF(testdata[[#This Row],[i]]&lt;11,testdata[[#This Row],[price]],(4*testdata[[#This Row],[iTrend]]+3*AC482+2*AC481+AC480)/10)</f>
        <v>265.14122222222215</v>
      </c>
      <c r="AE483" s="14">
        <f>(4*testdata[[#This Row],[price]]+3*H482+2*H481+H480)/10</f>
        <v>264.51049999999998</v>
      </c>
      <c r="AF483" t="str">
        <f ca="1">IF(OR(ROUND(testdata[[#This Row],[Trendline]],4)&lt;&gt;Table3[[#This Row],[Trendline]],ROUND(testdata[[#This Row],[SmPrice]],4)&lt;&gt;Table3[[#This Row],[SmPrice]]),"ERR","")</f>
        <v/>
      </c>
      <c r="AG483" s="3">
        <v>43433</v>
      </c>
      <c r="AH483" s="14">
        <v>17.607600000000001</v>
      </c>
      <c r="AI483" s="34">
        <v>18</v>
      </c>
      <c r="AJ483" s="14">
        <v>265.15780000000001</v>
      </c>
      <c r="AK483" s="14">
        <v>265.14120000000003</v>
      </c>
      <c r="AL483" s="14">
        <v>264.51049999999998</v>
      </c>
      <c r="AN483" s="38">
        <f t="shared" si="22"/>
        <v>0</v>
      </c>
      <c r="AO483" s="38">
        <f t="shared" si="23"/>
        <v>0</v>
      </c>
      <c r="AQ483" s="37">
        <v>43433</v>
      </c>
      <c r="AR483">
        <v>18</v>
      </c>
      <c r="AS483">
        <v>265.14122222222198</v>
      </c>
      <c r="AT483">
        <v>264.51049999999998</v>
      </c>
      <c r="AV483" s="37">
        <v>43433</v>
      </c>
      <c r="AW483">
        <v>18</v>
      </c>
      <c r="AX483">
        <v>265.14122222222198</v>
      </c>
      <c r="AY483">
        <v>264.51049999999998</v>
      </c>
      <c r="BA483" s="38">
        <f>AX483-Table3[[#This Row],[Trendline]]</f>
        <v>2.2222221957690635E-5</v>
      </c>
      <c r="BB483" s="38">
        <f>AY483-Table3[[#This Row],[SmPrice]]</f>
        <v>0</v>
      </c>
    </row>
    <row r="484" spans="1:54" x14ac:dyDescent="0.35">
      <c r="A484" s="6">
        <v>482</v>
      </c>
      <c r="B484" s="3">
        <v>43434</v>
      </c>
      <c r="C484" s="2">
        <v>267.16000000000003</v>
      </c>
      <c r="D484" s="2">
        <v>269.57</v>
      </c>
      <c r="E484" s="2">
        <v>266.81</v>
      </c>
      <c r="F484" s="2">
        <v>268.95999999999998</v>
      </c>
      <c r="G484" s="1">
        <v>100648032</v>
      </c>
      <c r="H484" s="30">
        <f>(testdata[[#This Row],[high]]+testdata[[#This Row],[low]])/2</f>
        <v>268.19</v>
      </c>
      <c r="I484" s="23">
        <f>(4*testdata[[#This Row],[price]]+3*H483+2*H482+H481)/10</f>
        <v>266.50450000000001</v>
      </c>
      <c r="J484" s="9">
        <f>(0.0962*testdata[[#This Row],[smooth]]+0.5769*I482-0.5769*I480-0.0962*I478)*(0.075*$Z483+0.54)</f>
        <v>3.9678051567677834</v>
      </c>
      <c r="K484" s="14">
        <f t="shared" si="21"/>
        <v>-4.575666438402676</v>
      </c>
      <c r="L484" s="14">
        <f>(0.0962*testdata[[#This Row],[detrender]]+0.5769*J482-0.5769*J480-0.0962*J478)*(0.075*$Z483+0.54)</f>
        <v>4.1021198539505592</v>
      </c>
      <c r="M484" s="9">
        <f>(0.0962*testdata[[#This Row],[I1]]+0.5769*K482-0.5769*K480-0.0962*K478)*(0.075*$Z483+0.54)</f>
        <v>-1.6450243317771378</v>
      </c>
      <c r="N484" s="9">
        <f>(0.0962*testdata[[#This Row],[Q1]]+0.5769*L482-0.5769*L480-0.0962*L478)*(0.075*$Z483+0.54)</f>
        <v>-6.2508157839798875</v>
      </c>
      <c r="O484" s="9">
        <f>testdata[[#This Row],[I1]]-testdata[[#This Row],[JQ]]</f>
        <v>1.6751493455772115</v>
      </c>
      <c r="P484" s="9">
        <f>testdata[[#This Row],[Q1]]+testdata[[#This Row],[jI]]</f>
        <v>2.4570955221734216</v>
      </c>
      <c r="Q484" s="9">
        <f>0.2*testdata[[#This Row],[I2]]+0.8*Q483</f>
        <v>-3.1717192457930969</v>
      </c>
      <c r="R484" s="9">
        <f>0.2*testdata[[#This Row],[Q2]]+0.8*R483</f>
        <v>-1.3367478424612147</v>
      </c>
      <c r="S484" s="9">
        <f>testdata[[#This Row],[I2'']]*Q483+testdata[[#This Row],[Q2'']]*R483</f>
        <v>16.957777349806651</v>
      </c>
      <c r="T484" s="9">
        <f>testdata[[#This Row],[I2'']]*R483-testdata[[#This Row],[Q2'']]*Q483</f>
        <v>1.388491220732206</v>
      </c>
      <c r="U484" s="9">
        <f>0.2*testdata[[#This Row],[Re]]+0.8*U483</f>
        <v>33.709422510174221</v>
      </c>
      <c r="V484" s="9">
        <f>0.2*testdata[[#This Row],[Im]]+0.8*V483</f>
        <v>11.446479931836187</v>
      </c>
      <c r="W484" s="9">
        <f>IF(AND(testdata[[#This Row],[Re'']]&lt;&gt;0,testdata[[#This Row],[Im'']]&lt;&gt;0),2*PI()/ATAN(testdata[[#This Row],[Im'']]/testdata[[#This Row],[Re'']]),0)</f>
        <v>19.194269772694149</v>
      </c>
      <c r="X484" s="9">
        <f>IF(testdata[[#This Row],[pd-atan]]&gt;1.5*Z483,1.5*Z483,IF(testdata[[#This Row],[pd-atan]]&lt;0.67*Z483,0.67*Z483,testdata[[#This Row],[pd-atan]]))</f>
        <v>19.194269772694149</v>
      </c>
      <c r="Y484" s="9">
        <f>IF(testdata[[#This Row],[pd-limit1]]&lt;6,6,IF(testdata[[#This Row],[pd-limit1]]&gt;50,50,testdata[[#This Row],[pd-limit1]]))</f>
        <v>19.194269772694149</v>
      </c>
      <c r="Z484" s="14">
        <f>0.2*testdata[[#This Row],[pd-limit2]]+0.8*Z483</f>
        <v>17.740772092186578</v>
      </c>
      <c r="AA484" s="14">
        <f>0.33*testdata[[#This Row],[period]]+0.67*AA483</f>
        <v>17.65157256104424</v>
      </c>
      <c r="AB484" s="31">
        <f>TRUNC(testdata[[#This Row],[SmPd]]+0.5,0)</f>
        <v>18</v>
      </c>
      <c r="AC484" s="14">
        <f ca="1">IF(testdata[[#This Row],[PdInt]]&lt;=0,0,AVERAGE(OFFSET(testdata[[#This Row],[price]],0,0,-testdata[[#This Row],[PdInt]],1)))</f>
        <v>265.27611111111105</v>
      </c>
      <c r="AD484" s="14">
        <f ca="1">IF(testdata[[#This Row],[i]]&lt;11,testdata[[#This Row],[price]],(4*testdata[[#This Row],[iTrend]]+3*AC483+2*AC482+AC481)/10)</f>
        <v>265.18261111111104</v>
      </c>
      <c r="AE484" s="14">
        <f>(4*testdata[[#This Row],[price]]+3*H483+2*H482+H481)/10</f>
        <v>266.50450000000001</v>
      </c>
      <c r="AF484" t="str">
        <f ca="1">IF(OR(ROUND(testdata[[#This Row],[Trendline]],4)&lt;&gt;Table3[[#This Row],[Trendline]],ROUND(testdata[[#This Row],[SmPrice]],4)&lt;&gt;Table3[[#This Row],[SmPrice]]),"ERR","")</f>
        <v/>
      </c>
      <c r="AG484" s="3">
        <v>43434</v>
      </c>
      <c r="AH484" s="14">
        <v>17.651599999999998</v>
      </c>
      <c r="AI484" s="34">
        <v>18</v>
      </c>
      <c r="AJ484" s="14">
        <v>265.27609999999999</v>
      </c>
      <c r="AK484" s="14">
        <v>265.18259999999998</v>
      </c>
      <c r="AL484" s="14">
        <v>266.50450000000001</v>
      </c>
      <c r="AN484" s="38">
        <f t="shared" si="22"/>
        <v>0</v>
      </c>
      <c r="AO484" s="38">
        <f t="shared" si="23"/>
        <v>0</v>
      </c>
      <c r="AQ484" s="37">
        <v>43434</v>
      </c>
      <c r="AR484">
        <v>18</v>
      </c>
      <c r="AS484">
        <v>265.18261111111099</v>
      </c>
      <c r="AT484">
        <v>266.50450000000001</v>
      </c>
      <c r="AV484" s="37">
        <v>43434</v>
      </c>
      <c r="AW484">
        <v>18</v>
      </c>
      <c r="AX484">
        <v>265.18261111111099</v>
      </c>
      <c r="AY484">
        <v>266.50450000000001</v>
      </c>
      <c r="BA484" s="38">
        <f>AX484-Table3[[#This Row],[Trendline]]</f>
        <v>1.1111111007267027E-5</v>
      </c>
      <c r="BB484" s="38">
        <f>AY484-Table3[[#This Row],[SmPrice]]</f>
        <v>0</v>
      </c>
    </row>
    <row r="485" spans="1:54" x14ac:dyDescent="0.35">
      <c r="A485" s="6">
        <v>483</v>
      </c>
      <c r="B485" s="3">
        <v>43437</v>
      </c>
      <c r="C485" s="2">
        <v>273.47000000000003</v>
      </c>
      <c r="D485" s="2">
        <v>273.58999999999997</v>
      </c>
      <c r="E485" s="2">
        <v>270.77</v>
      </c>
      <c r="F485" s="2">
        <v>272.52</v>
      </c>
      <c r="G485" s="1">
        <v>105581352</v>
      </c>
      <c r="H485" s="30">
        <f>(testdata[[#This Row],[high]]+testdata[[#This Row],[low]])/2</f>
        <v>272.17999999999995</v>
      </c>
      <c r="I485" s="23">
        <f>(4*testdata[[#This Row],[price]]+3*H484+2*H483+H482)/10</f>
        <v>269.28300000000002</v>
      </c>
      <c r="J485" s="9">
        <f>(0.0962*testdata[[#This Row],[smooth]]+0.5769*I483-0.5769*I481-0.0962*I479)*(0.075*$Z484+0.54)</f>
        <v>7.0235425834562752</v>
      </c>
      <c r="K485" s="14">
        <f t="shared" si="21"/>
        <v>-2.4667958635361606</v>
      </c>
      <c r="L485" s="14">
        <f>(0.0962*testdata[[#This Row],[detrender]]+0.5769*J483-0.5769*J481-0.0962*J479)*(0.075*$Z484+0.54)</f>
        <v>8.2160060339085312</v>
      </c>
      <c r="M485" s="9">
        <f>(0.0962*testdata[[#This Row],[I1]]+0.5769*K483-0.5769*K481-0.0962*K479)*(0.075*$Z484+0.54)</f>
        <v>-3.4278945121329558</v>
      </c>
      <c r="N485" s="9">
        <f>(0.0962*testdata[[#This Row],[Q1]]+0.5769*L483-0.5769*L481-0.0962*L479)*(0.075*$Z484+0.54)</f>
        <v>3.8372184575724337</v>
      </c>
      <c r="O485" s="9">
        <f>testdata[[#This Row],[I1]]-testdata[[#This Row],[JQ]]</f>
        <v>-6.3040143211085944</v>
      </c>
      <c r="P485" s="9">
        <f>testdata[[#This Row],[Q1]]+testdata[[#This Row],[jI]]</f>
        <v>4.7881115217755754</v>
      </c>
      <c r="Q485" s="9">
        <f>0.2*testdata[[#This Row],[I2]]+0.8*Q484</f>
        <v>-3.7981782608561967</v>
      </c>
      <c r="R485" s="9">
        <f>0.2*testdata[[#This Row],[Q2]]+0.8*R484</f>
        <v>-0.11177596961385672</v>
      </c>
      <c r="S485" s="9">
        <f>testdata[[#This Row],[I2'']]*Q484+testdata[[#This Row],[Q2'']]*R484</f>
        <v>12.196171375130886</v>
      </c>
      <c r="T485" s="9">
        <f>testdata[[#This Row],[I2'']]*R484-testdata[[#This Row],[Q2'']]*Q484</f>
        <v>4.7226846014411556</v>
      </c>
      <c r="U485" s="9">
        <f>0.2*testdata[[#This Row],[Re]]+0.8*U484</f>
        <v>29.406772283165555</v>
      </c>
      <c r="V485" s="9">
        <f>0.2*testdata[[#This Row],[Im]]+0.8*V484</f>
        <v>10.10172086575718</v>
      </c>
      <c r="W485" s="9">
        <f>IF(AND(testdata[[#This Row],[Re'']]&lt;&gt;0,testdata[[#This Row],[Im'']]&lt;&gt;0),2*PI()/ATAN(testdata[[#This Row],[Im'']]/testdata[[#This Row],[Re'']]),0)</f>
        <v>18.988885593016438</v>
      </c>
      <c r="X485" s="9">
        <f>IF(testdata[[#This Row],[pd-atan]]&gt;1.5*Z484,1.5*Z484,IF(testdata[[#This Row],[pd-atan]]&lt;0.67*Z484,0.67*Z484,testdata[[#This Row],[pd-atan]]))</f>
        <v>18.988885593016438</v>
      </c>
      <c r="Y485" s="9">
        <f>IF(testdata[[#This Row],[pd-limit1]]&lt;6,6,IF(testdata[[#This Row],[pd-limit1]]&gt;50,50,testdata[[#This Row],[pd-limit1]]))</f>
        <v>18.988885593016438</v>
      </c>
      <c r="Z485" s="14">
        <f>0.2*testdata[[#This Row],[pd-limit2]]+0.8*Z484</f>
        <v>17.99039479235255</v>
      </c>
      <c r="AA485" s="14">
        <f>0.33*testdata[[#This Row],[period]]+0.67*AA484</f>
        <v>17.763383897375981</v>
      </c>
      <c r="AB485" s="31">
        <f>TRUNC(testdata[[#This Row],[SmPd]]+0.5,0)</f>
        <v>18</v>
      </c>
      <c r="AC485" s="14">
        <f ca="1">IF(testdata[[#This Row],[PdInt]]&lt;=0,0,AVERAGE(OFFSET(testdata[[#This Row],[price]],0,0,-testdata[[#This Row],[PdInt]],1)))</f>
        <v>265.52944444444444</v>
      </c>
      <c r="AD485" s="14">
        <f ca="1">IF(testdata[[#This Row],[i]]&lt;11,testdata[[#This Row],[price]],(4*testdata[[#This Row],[iTrend]]+3*AC484+2*AC483+AC482)/10)</f>
        <v>265.33336111111106</v>
      </c>
      <c r="AE485" s="14">
        <f>(4*testdata[[#This Row],[price]]+3*H484+2*H483+H482)/10</f>
        <v>269.28300000000002</v>
      </c>
      <c r="AF485" t="str">
        <f ca="1">IF(OR(ROUND(testdata[[#This Row],[Trendline]],4)&lt;&gt;Table3[[#This Row],[Trendline]],ROUND(testdata[[#This Row],[SmPrice]],4)&lt;&gt;Table3[[#This Row],[SmPrice]]),"ERR","")</f>
        <v/>
      </c>
      <c r="AG485" s="3">
        <v>43437</v>
      </c>
      <c r="AH485" s="14">
        <v>17.763400000000001</v>
      </c>
      <c r="AI485" s="34">
        <v>18</v>
      </c>
      <c r="AJ485" s="14">
        <v>265.52940000000001</v>
      </c>
      <c r="AK485" s="14">
        <v>265.33339999999998</v>
      </c>
      <c r="AL485" s="14">
        <v>269.28300000000002</v>
      </c>
      <c r="AN485" s="38">
        <f t="shared" si="22"/>
        <v>0</v>
      </c>
      <c r="AO485" s="38">
        <f t="shared" si="23"/>
        <v>0</v>
      </c>
      <c r="AQ485" s="37">
        <v>43437</v>
      </c>
      <c r="AR485">
        <v>18</v>
      </c>
      <c r="AS485">
        <v>265.333361111111</v>
      </c>
      <c r="AT485">
        <v>269.28300000000002</v>
      </c>
      <c r="AV485" s="37">
        <v>43437</v>
      </c>
      <c r="AW485">
        <v>18</v>
      </c>
      <c r="AX485">
        <v>265.333361111111</v>
      </c>
      <c r="AY485">
        <v>269.28300000000002</v>
      </c>
      <c r="BA485" s="38">
        <f>AX485-Table3[[#This Row],[Trendline]]</f>
        <v>-3.8888888980181946E-5</v>
      </c>
      <c r="BB485" s="38">
        <f>AY485-Table3[[#This Row],[SmPrice]]</f>
        <v>0</v>
      </c>
    </row>
    <row r="486" spans="1:54" x14ac:dyDescent="0.35">
      <c r="A486" s="6">
        <v>484</v>
      </c>
      <c r="B486" s="3">
        <v>43438</v>
      </c>
      <c r="C486" s="2">
        <v>271.61</v>
      </c>
      <c r="D486" s="2">
        <v>272.08</v>
      </c>
      <c r="E486" s="2">
        <v>263.35000000000002</v>
      </c>
      <c r="F486" s="2">
        <v>263.69</v>
      </c>
      <c r="G486" s="1">
        <v>182415248</v>
      </c>
      <c r="H486" s="30">
        <f>(testdata[[#This Row],[high]]+testdata[[#This Row],[low]])/2</f>
        <v>267.71500000000003</v>
      </c>
      <c r="I486" s="23">
        <f>(4*testdata[[#This Row],[price]]+3*H485+2*H484+H483)/10</f>
        <v>269.11200000000002</v>
      </c>
      <c r="J486" s="9">
        <f>(0.0962*testdata[[#This Row],[smooth]]+0.5769*I484-0.5769*I482-0.0962*I480)*(0.075*$Z485+0.54)</f>
        <v>6.8682953104752489</v>
      </c>
      <c r="K486" s="14">
        <f t="shared" si="21"/>
        <v>1.0884868356128248</v>
      </c>
      <c r="L486" s="14">
        <f>(0.0962*testdata[[#This Row],[detrender]]+0.5769*J484-0.5769*J482-0.0962*J480)*(0.075*$Z485+0.54)</f>
        <v>9.2378405212955261</v>
      </c>
      <c r="M486" s="9">
        <f>(0.0962*testdata[[#This Row],[I1]]+0.5769*K484-0.5769*K482-0.0962*K480)*(0.075*$Z485+0.54)</f>
        <v>0.84256890965461684</v>
      </c>
      <c r="N486" s="9">
        <f>(0.0962*testdata[[#This Row],[Q1]]+0.5769*L484-0.5769*L482-0.0962*L480)*(0.075*$Z485+0.54)</f>
        <v>9.1991404887117092</v>
      </c>
      <c r="O486" s="9">
        <f>testdata[[#This Row],[I1]]-testdata[[#This Row],[JQ]]</f>
        <v>-8.1106536530988844</v>
      </c>
      <c r="P486" s="9">
        <f>testdata[[#This Row],[Q1]]+testdata[[#This Row],[jI]]</f>
        <v>10.080409430950143</v>
      </c>
      <c r="Q486" s="9">
        <f>0.2*testdata[[#This Row],[I2]]+0.8*Q485</f>
        <v>-4.6606733393047346</v>
      </c>
      <c r="R486" s="9">
        <f>0.2*testdata[[#This Row],[Q2]]+0.8*R485</f>
        <v>1.9266611104989433</v>
      </c>
      <c r="S486" s="9">
        <f>testdata[[#This Row],[I2'']]*Q485+testdata[[#This Row],[Q2'']]*R485</f>
        <v>17.486713744555967</v>
      </c>
      <c r="T486" s="9">
        <f>testdata[[#This Row],[I2'']]*R485-testdata[[#This Row],[Q2'']]*Q485</f>
        <v>7.8387536274883827</v>
      </c>
      <c r="U486" s="9">
        <f>0.2*testdata[[#This Row],[Re]]+0.8*U485</f>
        <v>27.022760575443641</v>
      </c>
      <c r="V486" s="9">
        <f>0.2*testdata[[#This Row],[Im]]+0.8*V485</f>
        <v>9.6491274181034203</v>
      </c>
      <c r="W486" s="9">
        <f>IF(AND(testdata[[#This Row],[Re'']]&lt;&gt;0,testdata[[#This Row],[Im'']]&lt;&gt;0),2*PI()/ATAN(testdata[[#This Row],[Im'']]/testdata[[#This Row],[Re'']]),0)</f>
        <v>18.320303760648081</v>
      </c>
      <c r="X486" s="9">
        <f>IF(testdata[[#This Row],[pd-atan]]&gt;1.5*Z485,1.5*Z485,IF(testdata[[#This Row],[pd-atan]]&lt;0.67*Z485,0.67*Z485,testdata[[#This Row],[pd-atan]]))</f>
        <v>18.320303760648081</v>
      </c>
      <c r="Y486" s="9">
        <f>IF(testdata[[#This Row],[pd-limit1]]&lt;6,6,IF(testdata[[#This Row],[pd-limit1]]&gt;50,50,testdata[[#This Row],[pd-limit1]]))</f>
        <v>18.320303760648081</v>
      </c>
      <c r="Z486" s="14">
        <f>0.2*testdata[[#This Row],[pd-limit2]]+0.8*Z485</f>
        <v>18.056376586011659</v>
      </c>
      <c r="AA486" s="14">
        <f>0.33*testdata[[#This Row],[period]]+0.67*AA485</f>
        <v>17.860071484625756</v>
      </c>
      <c r="AB486" s="31">
        <f>TRUNC(testdata[[#This Row],[SmPd]]+0.5,0)</f>
        <v>18</v>
      </c>
      <c r="AC486" s="14">
        <f ca="1">IF(testdata[[#This Row],[PdInt]]&lt;=0,0,AVERAGE(OFFSET(testdata[[#This Row],[price]],0,0,-testdata[[#This Row],[PdInt]],1)))</f>
        <v>265.2741666666667</v>
      </c>
      <c r="AD486" s="14">
        <f ca="1">IF(testdata[[#This Row],[i]]&lt;11,testdata[[#This Row],[price]],(4*testdata[[#This Row],[iTrend]]+3*AC485+2*AC484+AC483)/10)</f>
        <v>265.33949999999993</v>
      </c>
      <c r="AE486" s="14">
        <f>(4*testdata[[#This Row],[price]]+3*H485+2*H484+H483)/10</f>
        <v>269.11200000000002</v>
      </c>
      <c r="AF486" t="str">
        <f ca="1">IF(OR(ROUND(testdata[[#This Row],[Trendline]],4)&lt;&gt;Table3[[#This Row],[Trendline]],ROUND(testdata[[#This Row],[SmPrice]],4)&lt;&gt;Table3[[#This Row],[SmPrice]]),"ERR","")</f>
        <v/>
      </c>
      <c r="AG486" s="3">
        <v>43438</v>
      </c>
      <c r="AH486" s="14">
        <v>17.860099999999999</v>
      </c>
      <c r="AI486" s="34">
        <v>18</v>
      </c>
      <c r="AJ486" s="14">
        <v>265.27420000000001</v>
      </c>
      <c r="AK486" s="14">
        <v>265.33949999999999</v>
      </c>
      <c r="AL486" s="14">
        <v>269.11200000000002</v>
      </c>
      <c r="AN486" s="38">
        <f t="shared" si="22"/>
        <v>0</v>
      </c>
      <c r="AO486" s="38">
        <f t="shared" si="23"/>
        <v>0</v>
      </c>
      <c r="AQ486" s="37">
        <v>43438</v>
      </c>
      <c r="AR486">
        <v>18</v>
      </c>
      <c r="AS486">
        <v>265.33949999999902</v>
      </c>
      <c r="AT486">
        <v>269.111999999999</v>
      </c>
      <c r="AV486" s="37">
        <v>43438</v>
      </c>
      <c r="AW486">
        <v>18</v>
      </c>
      <c r="AX486">
        <v>265.33949999999902</v>
      </c>
      <c r="AY486">
        <v>269.111999999999</v>
      </c>
      <c r="BA486" s="38">
        <f>AX486-Table3[[#This Row],[Trendline]]</f>
        <v>-9.6633812063373625E-13</v>
      </c>
      <c r="BB486" s="38">
        <f>AY486-Table3[[#This Row],[SmPrice]]</f>
        <v>-1.0231815394945443E-12</v>
      </c>
    </row>
    <row r="487" spans="1:54" x14ac:dyDescent="0.35">
      <c r="A487" s="6">
        <v>485</v>
      </c>
      <c r="B487" s="3">
        <v>43440</v>
      </c>
      <c r="C487" s="2">
        <v>259.45999999999998</v>
      </c>
      <c r="D487" s="2">
        <v>263.41000000000003</v>
      </c>
      <c r="E487" s="2">
        <v>256.07</v>
      </c>
      <c r="F487" s="2">
        <v>263.29000000000002</v>
      </c>
      <c r="G487" s="1">
        <v>209266640</v>
      </c>
      <c r="H487" s="30">
        <f>(testdata[[#This Row],[high]]+testdata[[#This Row],[low]])/2</f>
        <v>259.74</v>
      </c>
      <c r="I487" s="23">
        <f>(4*testdata[[#This Row],[price]]+3*H486+2*H485+H484)/10</f>
        <v>265.46550000000002</v>
      </c>
      <c r="J487" s="9">
        <f>(0.0962*testdata[[#This Row],[smooth]]+0.5769*I485-0.5769*I483-0.0962*I481)*(0.075*$Z486+0.54)</f>
        <v>6.2641795590399001</v>
      </c>
      <c r="K487" s="14">
        <f t="shared" si="21"/>
        <v>3.9678051567677834</v>
      </c>
      <c r="L487" s="14">
        <f>(0.0962*testdata[[#This Row],[detrender]]+0.5769*J485-0.5769*J483-0.0962*J481)*(0.075*$Z486+0.54)</f>
        <v>8.4610001494887097</v>
      </c>
      <c r="M487" s="9">
        <f>(0.0962*testdata[[#This Row],[I1]]+0.5769*K485-0.5769*K483-0.0962*K481)*(0.075*$Z486+0.54)</f>
        <v>4.2154456389055124</v>
      </c>
      <c r="N487" s="9">
        <f>(0.0962*testdata[[#This Row],[Q1]]+0.5769*L485-0.5769*L483-0.0962*L481)*(0.075*$Z486+0.54)</f>
        <v>9.9303536224576039</v>
      </c>
      <c r="O487" s="9">
        <f>testdata[[#This Row],[I1]]-testdata[[#This Row],[JQ]]</f>
        <v>-5.9625484656898209</v>
      </c>
      <c r="P487" s="9">
        <f>testdata[[#This Row],[Q1]]+testdata[[#This Row],[jI]]</f>
        <v>12.676445788394222</v>
      </c>
      <c r="Q487" s="9">
        <f>0.2*testdata[[#This Row],[I2]]+0.8*Q486</f>
        <v>-4.9210483645817522</v>
      </c>
      <c r="R487" s="9">
        <f>0.2*testdata[[#This Row],[Q2]]+0.8*R486</f>
        <v>4.0766180460779999</v>
      </c>
      <c r="S487" s="9">
        <f>testdata[[#This Row],[I2'']]*Q486+testdata[[#This Row],[Q2'']]*R486</f>
        <v>30.789660365972011</v>
      </c>
      <c r="T487" s="9">
        <f>testdata[[#This Row],[I2'']]*R486-testdata[[#This Row],[Q2'']]*Q486</f>
        <v>9.5185925349602076</v>
      </c>
      <c r="U487" s="9">
        <f>0.2*testdata[[#This Row],[Re]]+0.8*U486</f>
        <v>27.776140533549317</v>
      </c>
      <c r="V487" s="9">
        <f>0.2*testdata[[#This Row],[Im]]+0.8*V486</f>
        <v>9.6230204414747789</v>
      </c>
      <c r="W487" s="9">
        <f>IF(AND(testdata[[#This Row],[Re'']]&lt;&gt;0,testdata[[#This Row],[Im'']]&lt;&gt;0),2*PI()/ATAN(testdata[[#This Row],[Im'']]/testdata[[#This Row],[Re'']]),0)</f>
        <v>18.839684591982774</v>
      </c>
      <c r="X487" s="9">
        <f>IF(testdata[[#This Row],[pd-atan]]&gt;1.5*Z486,1.5*Z486,IF(testdata[[#This Row],[pd-atan]]&lt;0.67*Z486,0.67*Z486,testdata[[#This Row],[pd-atan]]))</f>
        <v>18.839684591982774</v>
      </c>
      <c r="Y487" s="9">
        <f>IF(testdata[[#This Row],[pd-limit1]]&lt;6,6,IF(testdata[[#This Row],[pd-limit1]]&gt;50,50,testdata[[#This Row],[pd-limit1]]))</f>
        <v>18.839684591982774</v>
      </c>
      <c r="Z487" s="14">
        <f>0.2*testdata[[#This Row],[pd-limit2]]+0.8*Z486</f>
        <v>18.213038187205882</v>
      </c>
      <c r="AA487" s="14">
        <f>0.33*testdata[[#This Row],[period]]+0.67*AA486</f>
        <v>17.976550496477198</v>
      </c>
      <c r="AB487" s="31">
        <f>TRUNC(testdata[[#This Row],[SmPd]]+0.5,0)</f>
        <v>18</v>
      </c>
      <c r="AC487" s="14">
        <f ca="1">IF(testdata[[#This Row],[PdInt]]&lt;=0,0,AVERAGE(OFFSET(testdata[[#This Row],[price]],0,0,-testdata[[#This Row],[PdInt]],1)))</f>
        <v>264.51444444444445</v>
      </c>
      <c r="AD487" s="14">
        <f ca="1">IF(testdata[[#This Row],[i]]&lt;11,testdata[[#This Row],[price]],(4*testdata[[#This Row],[iTrend]]+3*AC486+2*AC485+AC484)/10)</f>
        <v>265.02152777777775</v>
      </c>
      <c r="AE487" s="14">
        <f>(4*testdata[[#This Row],[price]]+3*H486+2*H485+H484)/10</f>
        <v>265.46550000000002</v>
      </c>
      <c r="AF487" t="str">
        <f ca="1">IF(OR(ROUND(testdata[[#This Row],[Trendline]],4)&lt;&gt;Table3[[#This Row],[Trendline]],ROUND(testdata[[#This Row],[SmPrice]],4)&lt;&gt;Table3[[#This Row],[SmPrice]]),"ERR","")</f>
        <v/>
      </c>
      <c r="AG487" s="3">
        <v>43440</v>
      </c>
      <c r="AH487" s="14">
        <v>17.976600000000001</v>
      </c>
      <c r="AI487" s="34">
        <v>18</v>
      </c>
      <c r="AJ487" s="14">
        <v>264.51440000000002</v>
      </c>
      <c r="AK487" s="14">
        <v>265.0215</v>
      </c>
      <c r="AL487" s="14">
        <v>265.46550000000002</v>
      </c>
      <c r="AN487" s="38">
        <f t="shared" si="22"/>
        <v>0</v>
      </c>
      <c r="AO487" s="38">
        <f t="shared" si="23"/>
        <v>0</v>
      </c>
      <c r="AQ487" s="37">
        <v>43440</v>
      </c>
      <c r="AR487">
        <v>18</v>
      </c>
      <c r="AS487">
        <v>265.02152777777701</v>
      </c>
      <c r="AT487">
        <v>265.46550000000002</v>
      </c>
      <c r="AV487" s="37">
        <v>43440</v>
      </c>
      <c r="AW487">
        <v>18</v>
      </c>
      <c r="AX487">
        <v>265.02152777777701</v>
      </c>
      <c r="AY487">
        <v>265.46550000000002</v>
      </c>
      <c r="BA487" s="38">
        <f>AX487-Table3[[#This Row],[Trendline]]</f>
        <v>2.7777777006576798E-5</v>
      </c>
      <c r="BB487" s="38">
        <f>AY487-Table3[[#This Row],[SmPrice]]</f>
        <v>0</v>
      </c>
    </row>
    <row r="488" spans="1:54" x14ac:dyDescent="0.35">
      <c r="A488" s="6">
        <v>486</v>
      </c>
      <c r="B488" s="3">
        <v>43441</v>
      </c>
      <c r="C488" s="2">
        <v>262.92</v>
      </c>
      <c r="D488" s="2">
        <v>264.63</v>
      </c>
      <c r="E488" s="2">
        <v>256.25</v>
      </c>
      <c r="F488" s="2">
        <v>257.17</v>
      </c>
      <c r="G488" s="1">
        <v>165025936</v>
      </c>
      <c r="H488" s="30">
        <f>(testdata[[#This Row],[high]]+testdata[[#This Row],[low]])/2</f>
        <v>260.44</v>
      </c>
      <c r="I488" s="23">
        <f>(4*testdata[[#This Row],[price]]+3*H487+2*H486+H485)/10</f>
        <v>262.85899999999998</v>
      </c>
      <c r="J488" s="9">
        <f>(0.0962*testdata[[#This Row],[smooth]]+0.5769*I486-0.5769*I484-0.0962*I482)*(0.075*$Z487+0.54)</f>
        <v>3.04733716143387</v>
      </c>
      <c r="K488" s="14">
        <f t="shared" si="21"/>
        <v>7.0235425834562752</v>
      </c>
      <c r="L488" s="14">
        <f>(0.0962*testdata[[#This Row],[detrender]]+0.5769*J486-0.5769*J484-0.0962*J482)*(0.075*$Z487+0.54)</f>
        <v>4.2003032287111015</v>
      </c>
      <c r="M488" s="9">
        <f>(0.0962*testdata[[#This Row],[I1]]+0.5769*K486-0.5769*K484-0.0962*K482)*(0.075*$Z487+0.54)</f>
        <v>8.3715802507750823</v>
      </c>
      <c r="N488" s="9">
        <f>(0.0962*testdata[[#This Row],[Q1]]+0.5769*L486-0.5769*L484-0.0962*L482)*(0.075*$Z487+0.54)</f>
        <v>7.037978024814322</v>
      </c>
      <c r="O488" s="9">
        <f>testdata[[#This Row],[I1]]-testdata[[#This Row],[JQ]]</f>
        <v>-1.4435441358046752E-2</v>
      </c>
      <c r="P488" s="9">
        <f>testdata[[#This Row],[Q1]]+testdata[[#This Row],[jI]]</f>
        <v>12.571883479486184</v>
      </c>
      <c r="Q488" s="9">
        <f>0.2*testdata[[#This Row],[I2]]+0.8*Q487</f>
        <v>-3.9397257799370116</v>
      </c>
      <c r="R488" s="9">
        <f>0.2*testdata[[#This Row],[Q2]]+0.8*R487</f>
        <v>5.7756711327596371</v>
      </c>
      <c r="S488" s="9">
        <f>testdata[[#This Row],[I2'']]*Q487+testdata[[#This Row],[Q2'']]*R487</f>
        <v>42.932786274279295</v>
      </c>
      <c r="T488" s="9">
        <f>testdata[[#This Row],[I2'']]*R487-testdata[[#This Row],[Q2'']]*Q487</f>
        <v>12.361599771138902</v>
      </c>
      <c r="U488" s="9">
        <f>0.2*testdata[[#This Row],[Re]]+0.8*U487</f>
        <v>30.807469681695316</v>
      </c>
      <c r="V488" s="9">
        <f>0.2*testdata[[#This Row],[Im]]+0.8*V487</f>
        <v>10.170736307407603</v>
      </c>
      <c r="W488" s="9">
        <f>IF(AND(testdata[[#This Row],[Re'']]&lt;&gt;0,testdata[[#This Row],[Im'']]&lt;&gt;0),2*PI()/ATAN(testdata[[#This Row],[Im'']]/testdata[[#This Row],[Re'']]),0)</f>
        <v>19.704375995253042</v>
      </c>
      <c r="X488" s="9">
        <f>IF(testdata[[#This Row],[pd-atan]]&gt;1.5*Z487,1.5*Z487,IF(testdata[[#This Row],[pd-atan]]&lt;0.67*Z487,0.67*Z487,testdata[[#This Row],[pd-atan]]))</f>
        <v>19.704375995253042</v>
      </c>
      <c r="Y488" s="9">
        <f>IF(testdata[[#This Row],[pd-limit1]]&lt;6,6,IF(testdata[[#This Row],[pd-limit1]]&gt;50,50,testdata[[#This Row],[pd-limit1]]))</f>
        <v>19.704375995253042</v>
      </c>
      <c r="Z488" s="14">
        <f>0.2*testdata[[#This Row],[pd-limit2]]+0.8*Z487</f>
        <v>18.511305748815314</v>
      </c>
      <c r="AA488" s="14">
        <f>0.33*testdata[[#This Row],[period]]+0.67*AA487</f>
        <v>18.153019729748777</v>
      </c>
      <c r="AB488" s="31">
        <f>TRUNC(testdata[[#This Row],[SmPd]]+0.5,0)</f>
        <v>18</v>
      </c>
      <c r="AC488" s="14">
        <f ca="1">IF(testdata[[#This Row],[PdInt]]&lt;=0,0,AVERAGE(OFFSET(testdata[[#This Row],[price]],0,0,-testdata[[#This Row],[PdInt]],1)))</f>
        <v>263.92972222222215</v>
      </c>
      <c r="AD488" s="14">
        <f ca="1">IF(testdata[[#This Row],[i]]&lt;11,testdata[[#This Row],[price]],(4*testdata[[#This Row],[iTrend]]+3*AC487+2*AC486+AC485)/10)</f>
        <v>264.53399999999999</v>
      </c>
      <c r="AE488" s="14">
        <f>(4*testdata[[#This Row],[price]]+3*H487+2*H486+H485)/10</f>
        <v>262.85899999999998</v>
      </c>
      <c r="AF488" t="str">
        <f ca="1">IF(OR(ROUND(testdata[[#This Row],[Trendline]],4)&lt;&gt;Table3[[#This Row],[Trendline]],ROUND(testdata[[#This Row],[SmPrice]],4)&lt;&gt;Table3[[#This Row],[SmPrice]]),"ERR","")</f>
        <v/>
      </c>
      <c r="AG488" s="3">
        <v>43441</v>
      </c>
      <c r="AH488" s="14">
        <v>18.152999999999999</v>
      </c>
      <c r="AI488" s="34">
        <v>18</v>
      </c>
      <c r="AJ488" s="14">
        <v>263.92970000000003</v>
      </c>
      <c r="AK488" s="14">
        <v>264.53399999999999</v>
      </c>
      <c r="AL488" s="14">
        <v>262.85899999999998</v>
      </c>
      <c r="AN488" s="38">
        <f t="shared" si="22"/>
        <v>0</v>
      </c>
      <c r="AO488" s="38">
        <f t="shared" si="23"/>
        <v>0</v>
      </c>
      <c r="AQ488" s="37">
        <v>43441</v>
      </c>
      <c r="AR488">
        <v>18</v>
      </c>
      <c r="AS488">
        <v>264.53399999999999</v>
      </c>
      <c r="AT488">
        <v>262.85899999999998</v>
      </c>
      <c r="AV488" s="37">
        <v>43441</v>
      </c>
      <c r="AW488">
        <v>18</v>
      </c>
      <c r="AX488">
        <v>264.53399999999999</v>
      </c>
      <c r="AY488">
        <v>262.85899999999998</v>
      </c>
      <c r="BA488" s="38">
        <f>AX488-Table3[[#This Row],[Trendline]]</f>
        <v>0</v>
      </c>
      <c r="BB488" s="38">
        <f>AY488-Table3[[#This Row],[SmPrice]]</f>
        <v>0</v>
      </c>
    </row>
    <row r="489" spans="1:54" x14ac:dyDescent="0.35">
      <c r="A489" s="6">
        <v>487</v>
      </c>
      <c r="B489" s="3">
        <v>43444</v>
      </c>
      <c r="C489" s="2">
        <v>256.98</v>
      </c>
      <c r="D489" s="2">
        <v>258.72000000000003</v>
      </c>
      <c r="E489" s="2">
        <v>252.34</v>
      </c>
      <c r="F489" s="2">
        <v>257.66000000000003</v>
      </c>
      <c r="G489" s="1">
        <v>155214672</v>
      </c>
      <c r="H489" s="30">
        <f>(testdata[[#This Row],[high]]+testdata[[#This Row],[low]])/2</f>
        <v>255.53000000000003</v>
      </c>
      <c r="I489" s="23">
        <f>(4*testdata[[#This Row],[price]]+3*H488+2*H487+H486)/10</f>
        <v>259.06350000000003</v>
      </c>
      <c r="J489" s="9">
        <f>(0.0962*testdata[[#This Row],[smooth]]+0.5769*I487-0.5769*I485-0.0962*I483)*(0.075*$Z488+0.54)</f>
        <v>-5.2572880358916105</v>
      </c>
      <c r="K489" s="14">
        <f t="shared" si="21"/>
        <v>6.8682953104752489</v>
      </c>
      <c r="L489" s="14">
        <f>(0.0962*testdata[[#This Row],[detrender]]+0.5769*J487-0.5769*J485-0.0962*J483)*(0.075*$Z488+0.54)</f>
        <v>-2.0219500774710606</v>
      </c>
      <c r="M489" s="9">
        <f>(0.0962*testdata[[#This Row],[I1]]+0.5769*K487-0.5769*K485-0.0962*K483)*(0.075*$Z488+0.54)</f>
        <v>9.428869378971843</v>
      </c>
      <c r="N489" s="9">
        <f>(0.0962*testdata[[#This Row],[Q1]]+0.5769*L487-0.5769*L485-0.0962*L483)*(0.075*$Z488+0.54)</f>
        <v>-0.25438032831936358</v>
      </c>
      <c r="O489" s="9">
        <f>testdata[[#This Row],[I1]]-testdata[[#This Row],[JQ]]</f>
        <v>7.1226756387946129</v>
      </c>
      <c r="P489" s="9">
        <f>testdata[[#This Row],[Q1]]+testdata[[#This Row],[jI]]</f>
        <v>7.4069193015007819</v>
      </c>
      <c r="Q489" s="9">
        <f>0.2*testdata[[#This Row],[I2]]+0.8*Q488</f>
        <v>-1.7272454961906867</v>
      </c>
      <c r="R489" s="9">
        <f>0.2*testdata[[#This Row],[Q2]]+0.8*R488</f>
        <v>6.1019207665078667</v>
      </c>
      <c r="S489" s="9">
        <f>testdata[[#This Row],[I2'']]*Q488+testdata[[#This Row],[Q2'']]*R488</f>
        <v>42.047561235128583</v>
      </c>
      <c r="T489" s="9">
        <f>testdata[[#This Row],[I2'']]*R488-testdata[[#This Row],[Q2'']]*Q488</f>
        <v>14.063892599406406</v>
      </c>
      <c r="U489" s="9">
        <f>0.2*testdata[[#This Row],[Re]]+0.8*U488</f>
        <v>33.05548799238197</v>
      </c>
      <c r="V489" s="9">
        <f>0.2*testdata[[#This Row],[Im]]+0.8*V488</f>
        <v>10.949367565807364</v>
      </c>
      <c r="W489" s="9">
        <f>IF(AND(testdata[[#This Row],[Re'']]&lt;&gt;0,testdata[[#This Row],[Im'']]&lt;&gt;0),2*PI()/ATAN(testdata[[#This Row],[Im'']]/testdata[[#This Row],[Re'']]),0)</f>
        <v>19.643104810740663</v>
      </c>
      <c r="X489" s="9">
        <f>IF(testdata[[#This Row],[pd-atan]]&gt;1.5*Z488,1.5*Z488,IF(testdata[[#This Row],[pd-atan]]&lt;0.67*Z488,0.67*Z488,testdata[[#This Row],[pd-atan]]))</f>
        <v>19.643104810740663</v>
      </c>
      <c r="Y489" s="9">
        <f>IF(testdata[[#This Row],[pd-limit1]]&lt;6,6,IF(testdata[[#This Row],[pd-limit1]]&gt;50,50,testdata[[#This Row],[pd-limit1]]))</f>
        <v>19.643104810740663</v>
      </c>
      <c r="Z489" s="14">
        <f>0.2*testdata[[#This Row],[pd-limit2]]+0.8*Z488</f>
        <v>18.737665561200384</v>
      </c>
      <c r="AA489" s="14">
        <f>0.33*testdata[[#This Row],[period]]+0.67*AA488</f>
        <v>18.345952854127809</v>
      </c>
      <c r="AB489" s="31">
        <f>TRUNC(testdata[[#This Row],[SmPd]]+0.5,0)</f>
        <v>18</v>
      </c>
      <c r="AC489" s="14">
        <f ca="1">IF(testdata[[#This Row],[PdInt]]&lt;=0,0,AVERAGE(OFFSET(testdata[[#This Row],[price]],0,0,-testdata[[#This Row],[PdInt]],1)))</f>
        <v>263.23388888888883</v>
      </c>
      <c r="AD489" s="14">
        <f ca="1">IF(testdata[[#This Row],[i]]&lt;11,testdata[[#This Row],[price]],(4*testdata[[#This Row],[iTrend]]+3*AC488+2*AC487+AC486)/10)</f>
        <v>263.90277777777771</v>
      </c>
      <c r="AE489" s="14">
        <f>(4*testdata[[#This Row],[price]]+3*H488+2*H487+H486)/10</f>
        <v>259.06350000000003</v>
      </c>
      <c r="AF489" t="str">
        <f ca="1">IF(OR(ROUND(testdata[[#This Row],[Trendline]],4)&lt;&gt;Table3[[#This Row],[Trendline]],ROUND(testdata[[#This Row],[SmPrice]],4)&lt;&gt;Table3[[#This Row],[SmPrice]]),"ERR","")</f>
        <v/>
      </c>
      <c r="AG489" s="3">
        <v>43444</v>
      </c>
      <c r="AH489" s="14">
        <v>18.346</v>
      </c>
      <c r="AI489" s="34">
        <v>18</v>
      </c>
      <c r="AJ489" s="14">
        <v>263.23390000000001</v>
      </c>
      <c r="AK489" s="14">
        <v>263.90280000000001</v>
      </c>
      <c r="AL489" s="14">
        <v>259.06349999999998</v>
      </c>
      <c r="AN489" s="38">
        <f t="shared" si="22"/>
        <v>0</v>
      </c>
      <c r="AO489" s="38">
        <f t="shared" si="23"/>
        <v>0</v>
      </c>
      <c r="AQ489" s="37">
        <v>43444</v>
      </c>
      <c r="AR489">
        <v>18</v>
      </c>
      <c r="AS489">
        <v>263.90277777777698</v>
      </c>
      <c r="AT489">
        <v>259.06349999999998</v>
      </c>
      <c r="AV489" s="37">
        <v>43444</v>
      </c>
      <c r="AW489">
        <v>18</v>
      </c>
      <c r="AX489">
        <v>263.90277777777698</v>
      </c>
      <c r="AY489">
        <v>259.06349999999998</v>
      </c>
      <c r="BA489" s="38">
        <f>AX489-Table3[[#This Row],[Trendline]]</f>
        <v>-2.2222223037715594E-5</v>
      </c>
      <c r="BB489" s="38">
        <f>AY489-Table3[[#This Row],[SmPrice]]</f>
        <v>0</v>
      </c>
    </row>
    <row r="490" spans="1:54" x14ac:dyDescent="0.35">
      <c r="A490" s="6">
        <v>488</v>
      </c>
      <c r="B490" s="3">
        <v>43445</v>
      </c>
      <c r="C490" s="2">
        <v>261.16000000000003</v>
      </c>
      <c r="D490" s="2">
        <v>261.37</v>
      </c>
      <c r="E490" s="2">
        <v>256.11</v>
      </c>
      <c r="F490" s="2">
        <v>257.72000000000003</v>
      </c>
      <c r="G490" s="1">
        <v>124528112</v>
      </c>
      <c r="H490" s="30">
        <f>(testdata[[#This Row],[high]]+testdata[[#This Row],[low]])/2</f>
        <v>258.74</v>
      </c>
      <c r="I490" s="23">
        <f>(4*testdata[[#This Row],[price]]+3*H489+2*H488+H487)/10</f>
        <v>258.21699999999998</v>
      </c>
      <c r="J490" s="9">
        <f>(0.0962*testdata[[#This Row],[smooth]]+0.5769*I488-0.5769*I486-0.0962*I484)*(0.075*$Z489+0.54)</f>
        <v>-8.568403808103696</v>
      </c>
      <c r="K490" s="14">
        <f t="shared" si="21"/>
        <v>6.2641795590399001</v>
      </c>
      <c r="L490" s="14">
        <f>(0.0962*testdata[[#This Row],[detrender]]+0.5769*J488-0.5769*J486-0.0962*J484)*(0.075*$Z489+0.54)</f>
        <v>-6.6341300068037352</v>
      </c>
      <c r="M490" s="9">
        <f>(0.0962*testdata[[#This Row],[I1]]+0.5769*K488-0.5769*K486-0.0962*K484)*(0.075*$Z489+0.54)</f>
        <v>8.6892350311347748</v>
      </c>
      <c r="N490" s="9">
        <f>(0.0962*testdata[[#This Row],[Q1]]+0.5769*L488-0.5769*L486-0.0962*L484)*(0.075*$Z489+0.54)</f>
        <v>-7.6626008065865268</v>
      </c>
      <c r="O490" s="9">
        <f>testdata[[#This Row],[I1]]-testdata[[#This Row],[JQ]]</f>
        <v>13.926780365626428</v>
      </c>
      <c r="P490" s="9">
        <f>testdata[[#This Row],[Q1]]+testdata[[#This Row],[jI]]</f>
        <v>2.0551050243310396</v>
      </c>
      <c r="Q490" s="9">
        <f>0.2*testdata[[#This Row],[I2]]+0.8*Q489</f>
        <v>1.403559676172736</v>
      </c>
      <c r="R490" s="9">
        <f>0.2*testdata[[#This Row],[Q2]]+0.8*R489</f>
        <v>5.2925576180725011</v>
      </c>
      <c r="S490" s="9">
        <f>testdata[[#This Row],[I2'']]*Q489+testdata[[#This Row],[Q2'']]*R489</f>
        <v>29.870475108351787</v>
      </c>
      <c r="T490" s="9">
        <f>testdata[[#This Row],[I2'']]*R489-testdata[[#This Row],[Q2'']]*Q489</f>
        <v>17.70595624421691</v>
      </c>
      <c r="U490" s="9">
        <f>0.2*testdata[[#This Row],[Re]]+0.8*U489</f>
        <v>32.418485415575937</v>
      </c>
      <c r="V490" s="9">
        <f>0.2*testdata[[#This Row],[Im]]+0.8*V489</f>
        <v>12.300685301489274</v>
      </c>
      <c r="W490" s="9">
        <f>IF(AND(testdata[[#This Row],[Re'']]&lt;&gt;0,testdata[[#This Row],[Im'']]&lt;&gt;0),2*PI()/ATAN(testdata[[#This Row],[Im'']]/testdata[[#This Row],[Re'']]),0)</f>
        <v>17.325631662513935</v>
      </c>
      <c r="X490" s="9">
        <f>IF(testdata[[#This Row],[pd-atan]]&gt;1.5*Z489,1.5*Z489,IF(testdata[[#This Row],[pd-atan]]&lt;0.67*Z489,0.67*Z489,testdata[[#This Row],[pd-atan]]))</f>
        <v>17.325631662513935</v>
      </c>
      <c r="Y490" s="9">
        <f>IF(testdata[[#This Row],[pd-limit1]]&lt;6,6,IF(testdata[[#This Row],[pd-limit1]]&gt;50,50,testdata[[#This Row],[pd-limit1]]))</f>
        <v>17.325631662513935</v>
      </c>
      <c r="Z490" s="14">
        <f>0.2*testdata[[#This Row],[pd-limit2]]+0.8*Z489</f>
        <v>18.455258781463094</v>
      </c>
      <c r="AA490" s="14">
        <f>0.33*testdata[[#This Row],[period]]+0.67*AA489</f>
        <v>18.382023810148453</v>
      </c>
      <c r="AB490" s="31">
        <f>TRUNC(testdata[[#This Row],[SmPd]]+0.5,0)</f>
        <v>18</v>
      </c>
      <c r="AC490" s="14">
        <f ca="1">IF(testdata[[#This Row],[PdInt]]&lt;=0,0,AVERAGE(OFFSET(testdata[[#This Row],[price]],0,0,-testdata[[#This Row],[PdInt]],1)))</f>
        <v>262.79444444444442</v>
      </c>
      <c r="AD490" s="14">
        <f ca="1">IF(testdata[[#This Row],[i]]&lt;11,testdata[[#This Row],[price]],(4*testdata[[#This Row],[iTrend]]+3*AC489+2*AC488+AC487)/10)</f>
        <v>263.32533333333333</v>
      </c>
      <c r="AE490" s="14">
        <f>(4*testdata[[#This Row],[price]]+3*H489+2*H488+H487)/10</f>
        <v>258.21699999999998</v>
      </c>
      <c r="AF490" t="str">
        <f ca="1">IF(OR(ROUND(testdata[[#This Row],[Trendline]],4)&lt;&gt;Table3[[#This Row],[Trendline]],ROUND(testdata[[#This Row],[SmPrice]],4)&lt;&gt;Table3[[#This Row],[SmPrice]]),"ERR","")</f>
        <v/>
      </c>
      <c r="AG490" s="3">
        <v>43445</v>
      </c>
      <c r="AH490" s="14">
        <v>18.382000000000001</v>
      </c>
      <c r="AI490" s="34">
        <v>18</v>
      </c>
      <c r="AJ490" s="14">
        <v>262.7944</v>
      </c>
      <c r="AK490" s="14">
        <v>263.32530000000003</v>
      </c>
      <c r="AL490" s="14">
        <v>258.21699999999998</v>
      </c>
      <c r="AN490" s="38">
        <f t="shared" si="22"/>
        <v>0</v>
      </c>
      <c r="AO490" s="38">
        <f t="shared" si="23"/>
        <v>0</v>
      </c>
      <c r="AQ490" s="37">
        <v>43445</v>
      </c>
      <c r="AR490">
        <v>18</v>
      </c>
      <c r="AS490">
        <v>263.32533333333299</v>
      </c>
      <c r="AT490">
        <v>258.21699999999998</v>
      </c>
      <c r="AV490" s="37">
        <v>43445</v>
      </c>
      <c r="AW490">
        <v>18</v>
      </c>
      <c r="AX490">
        <v>263.32533333333299</v>
      </c>
      <c r="AY490">
        <v>258.21699999999998</v>
      </c>
      <c r="BA490" s="38">
        <f>AX490-Table3[[#This Row],[Trendline]]</f>
        <v>3.3333332964957663E-5</v>
      </c>
      <c r="BB490" s="38">
        <f>AY490-Table3[[#This Row],[SmPrice]]</f>
        <v>0</v>
      </c>
    </row>
    <row r="491" spans="1:54" x14ac:dyDescent="0.35">
      <c r="A491" s="6">
        <v>489</v>
      </c>
      <c r="B491" s="3">
        <v>43446</v>
      </c>
      <c r="C491" s="2">
        <v>260.98</v>
      </c>
      <c r="D491" s="2">
        <v>262.47000000000003</v>
      </c>
      <c r="E491" s="2">
        <v>258.93</v>
      </c>
      <c r="F491" s="2">
        <v>259.01</v>
      </c>
      <c r="G491" s="1">
        <v>100414888</v>
      </c>
      <c r="H491" s="30">
        <f>(testdata[[#This Row],[high]]+testdata[[#This Row],[low]])/2</f>
        <v>260.70000000000005</v>
      </c>
      <c r="I491" s="23">
        <f>(4*testdata[[#This Row],[price]]+3*H490+2*H489+H488)/10</f>
        <v>259.05200000000002</v>
      </c>
      <c r="J491" s="9">
        <f>(0.0962*testdata[[#This Row],[smooth]]+0.5769*I489-0.5769*I487-0.0962*I485)*(0.075*$Z490+0.54)</f>
        <v>-9.0002547404707052</v>
      </c>
      <c r="K491" s="14">
        <f t="shared" si="21"/>
        <v>3.04733716143387</v>
      </c>
      <c r="L491" s="14">
        <f>(0.0962*testdata[[#This Row],[detrender]]+0.5769*J489-0.5769*J487-0.0962*J485)*(0.075*$Z490+0.54)</f>
        <v>-15.755325345379578</v>
      </c>
      <c r="M491" s="9">
        <f>(0.0962*testdata[[#This Row],[I1]]+0.5769*K489-0.5769*K487-0.0962*K485)*(0.075*$Z490+0.54)</f>
        <v>4.2403377943000002</v>
      </c>
      <c r="N491" s="9">
        <f>(0.0962*testdata[[#This Row],[Q1]]+0.5769*L489-0.5769*L487-0.0962*L485)*(0.075*$Z490+0.54)</f>
        <v>-16.073640608188519</v>
      </c>
      <c r="O491" s="9">
        <f>testdata[[#This Row],[I1]]-testdata[[#This Row],[JQ]]</f>
        <v>19.120977769622389</v>
      </c>
      <c r="P491" s="9">
        <f>testdata[[#This Row],[Q1]]+testdata[[#This Row],[jI]]</f>
        <v>-11.514987551079578</v>
      </c>
      <c r="Q491" s="9">
        <f>0.2*testdata[[#This Row],[I2]]+0.8*Q490</f>
        <v>4.9470432948626666</v>
      </c>
      <c r="R491" s="9">
        <f>0.2*testdata[[#This Row],[Q2]]+0.8*R490</f>
        <v>1.931048584242085</v>
      </c>
      <c r="S491" s="9">
        <f>testdata[[#This Row],[I2'']]*Q490+testdata[[#This Row],[Q2'']]*R490</f>
        <v>17.163656380348513</v>
      </c>
      <c r="T491" s="9">
        <f>testdata[[#This Row],[I2'']]*R490-testdata[[#This Row],[Q2'']]*Q490</f>
        <v>23.472169751587252</v>
      </c>
      <c r="U491" s="9">
        <f>0.2*testdata[[#This Row],[Re]]+0.8*U490</f>
        <v>29.367519608530454</v>
      </c>
      <c r="V491" s="9">
        <f>0.2*testdata[[#This Row],[Im]]+0.8*V490</f>
        <v>14.53498219150887</v>
      </c>
      <c r="W491" s="9">
        <f>IF(AND(testdata[[#This Row],[Re'']]&lt;&gt;0,testdata[[#This Row],[Im'']]&lt;&gt;0),2*PI()/ATAN(testdata[[#This Row],[Im'']]/testdata[[#This Row],[Re'']]),0)</f>
        <v>13.671386277583796</v>
      </c>
      <c r="X491" s="9">
        <f>IF(testdata[[#This Row],[pd-atan]]&gt;1.5*Z490,1.5*Z490,IF(testdata[[#This Row],[pd-atan]]&lt;0.67*Z490,0.67*Z490,testdata[[#This Row],[pd-atan]]))</f>
        <v>13.671386277583796</v>
      </c>
      <c r="Y491" s="9">
        <f>IF(testdata[[#This Row],[pd-limit1]]&lt;6,6,IF(testdata[[#This Row],[pd-limit1]]&gt;50,50,testdata[[#This Row],[pd-limit1]]))</f>
        <v>13.671386277583796</v>
      </c>
      <c r="Z491" s="14">
        <f>0.2*testdata[[#This Row],[pd-limit2]]+0.8*Z490</f>
        <v>17.498484280687236</v>
      </c>
      <c r="AA491" s="14">
        <f>0.33*testdata[[#This Row],[period]]+0.67*AA490</f>
        <v>18.090455765426253</v>
      </c>
      <c r="AB491" s="31">
        <f>TRUNC(testdata[[#This Row],[SmPd]]+0.5,0)</f>
        <v>18</v>
      </c>
      <c r="AC491" s="14">
        <f ca="1">IF(testdata[[#This Row],[PdInt]]&lt;=0,0,AVERAGE(OFFSET(testdata[[#This Row],[price]],0,0,-testdata[[#This Row],[PdInt]],1)))</f>
        <v>262.55916666666667</v>
      </c>
      <c r="AD491" s="14">
        <f ca="1">IF(testdata[[#This Row],[i]]&lt;11,testdata[[#This Row],[price]],(4*testdata[[#This Row],[iTrend]]+3*AC490+2*AC489+AC488)/10)</f>
        <v>262.90174999999999</v>
      </c>
      <c r="AE491" s="14">
        <f>(4*testdata[[#This Row],[price]]+3*H490+2*H489+H488)/10</f>
        <v>259.05200000000002</v>
      </c>
      <c r="AF491" t="str">
        <f ca="1">IF(OR(ROUND(testdata[[#This Row],[Trendline]],4)&lt;&gt;Table3[[#This Row],[Trendline]],ROUND(testdata[[#This Row],[SmPrice]],4)&lt;&gt;Table3[[#This Row],[SmPrice]]),"ERR","")</f>
        <v/>
      </c>
      <c r="AG491" s="3">
        <v>43446</v>
      </c>
      <c r="AH491" s="14">
        <v>18.090499999999999</v>
      </c>
      <c r="AI491" s="34">
        <v>18</v>
      </c>
      <c r="AJ491" s="14">
        <v>262.55919999999998</v>
      </c>
      <c r="AK491" s="14">
        <v>262.90179999999998</v>
      </c>
      <c r="AL491" s="14">
        <v>259.05200000000002</v>
      </c>
      <c r="AN491" s="38">
        <f t="shared" si="22"/>
        <v>0</v>
      </c>
      <c r="AO491" s="38">
        <f t="shared" si="23"/>
        <v>0</v>
      </c>
      <c r="AQ491" s="37">
        <v>43446</v>
      </c>
      <c r="AR491">
        <v>18</v>
      </c>
      <c r="AS491">
        <v>262.90174999999999</v>
      </c>
      <c r="AT491">
        <v>259.05200000000002</v>
      </c>
      <c r="AV491" s="37">
        <v>43446</v>
      </c>
      <c r="AW491">
        <v>18</v>
      </c>
      <c r="AX491">
        <v>262.90174999999999</v>
      </c>
      <c r="AY491">
        <v>259.05200000000002</v>
      </c>
      <c r="BA491" s="38">
        <f>AX491-Table3[[#This Row],[Trendline]]</f>
        <v>-4.9999999987448973E-5</v>
      </c>
      <c r="BB491" s="38">
        <f>AY491-Table3[[#This Row],[SmPrice]]</f>
        <v>0</v>
      </c>
    </row>
    <row r="492" spans="1:54" x14ac:dyDescent="0.35">
      <c r="A492" s="6">
        <v>490</v>
      </c>
      <c r="B492" s="3">
        <v>43447</v>
      </c>
      <c r="C492" s="2">
        <v>260.05</v>
      </c>
      <c r="D492" s="2">
        <v>260.99</v>
      </c>
      <c r="E492" s="2">
        <v>257.70999999999998</v>
      </c>
      <c r="F492" s="2">
        <v>258.93</v>
      </c>
      <c r="G492" s="1">
        <v>99068200</v>
      </c>
      <c r="H492" s="30">
        <f>(testdata[[#This Row],[high]]+testdata[[#This Row],[low]])/2</f>
        <v>259.35000000000002</v>
      </c>
      <c r="I492" s="23">
        <f>(4*testdata[[#This Row],[price]]+3*H491+2*H490+H489)/10</f>
        <v>259.25100000000009</v>
      </c>
      <c r="J492" s="9">
        <f>(0.0962*testdata[[#This Row],[smooth]]+0.5769*I490-0.5769*I488-0.0962*I486)*(0.075*$Z491+0.54)</f>
        <v>-6.7178605271528653</v>
      </c>
      <c r="K492" s="14">
        <f t="shared" si="21"/>
        <v>-5.2572880358916105</v>
      </c>
      <c r="L492" s="14">
        <f>(0.0962*testdata[[#This Row],[detrender]]+0.5769*J490-0.5769*J488-0.0962*J486)*(0.075*$Z491+0.54)</f>
        <v>-14.834111859740361</v>
      </c>
      <c r="M492" s="9">
        <f>(0.0962*testdata[[#This Row],[I1]]+0.5769*K490-0.5769*K488-0.0962*K486)*(0.075*$Z491+0.54)</f>
        <v>-1.9423012853812121</v>
      </c>
      <c r="N492" s="9">
        <f>(0.0962*testdata[[#This Row],[Q1]]+0.5769*L490-0.5769*L488-0.0962*L486)*(0.075*$Z491+0.54)</f>
        <v>-15.867738232273721</v>
      </c>
      <c r="O492" s="9">
        <f>testdata[[#This Row],[I1]]-testdata[[#This Row],[JQ]]</f>
        <v>10.610450196382111</v>
      </c>
      <c r="P492" s="9">
        <f>testdata[[#This Row],[Q1]]+testdata[[#This Row],[jI]]</f>
        <v>-16.776413145121573</v>
      </c>
      <c r="Q492" s="9">
        <f>0.2*testdata[[#This Row],[I2]]+0.8*Q491</f>
        <v>6.0797246751665561</v>
      </c>
      <c r="R492" s="9">
        <f>0.2*testdata[[#This Row],[Q2]]+0.8*R491</f>
        <v>-1.8104437616306466</v>
      </c>
      <c r="S492" s="9">
        <f>testdata[[#This Row],[I2'']]*Q491+testdata[[#This Row],[Q2'']]*R491</f>
        <v>26.580606326147041</v>
      </c>
      <c r="T492" s="9">
        <f>testdata[[#This Row],[I2'']]*R491-testdata[[#This Row],[Q2'']]*Q491</f>
        <v>20.696587398262885</v>
      </c>
      <c r="U492" s="9">
        <f>0.2*testdata[[#This Row],[Re]]+0.8*U491</f>
        <v>28.810136952053774</v>
      </c>
      <c r="V492" s="9">
        <f>0.2*testdata[[#This Row],[Im]]+0.8*V491</f>
        <v>15.767303232859675</v>
      </c>
      <c r="W492" s="9">
        <f>IF(AND(testdata[[#This Row],[Re'']]&lt;&gt;0,testdata[[#This Row],[Im'']]&lt;&gt;0),2*PI()/ATAN(testdata[[#This Row],[Im'']]/testdata[[#This Row],[Re'']]),0)</f>
        <v>12.547424895882312</v>
      </c>
      <c r="X492" s="9">
        <f>IF(testdata[[#This Row],[pd-atan]]&gt;1.5*Z491,1.5*Z491,IF(testdata[[#This Row],[pd-atan]]&lt;0.67*Z491,0.67*Z491,testdata[[#This Row],[pd-atan]]))</f>
        <v>12.547424895882312</v>
      </c>
      <c r="Y492" s="9">
        <f>IF(testdata[[#This Row],[pd-limit1]]&lt;6,6,IF(testdata[[#This Row],[pd-limit1]]&gt;50,50,testdata[[#This Row],[pd-limit1]]))</f>
        <v>12.547424895882312</v>
      </c>
      <c r="Z492" s="14">
        <f>0.2*testdata[[#This Row],[pd-limit2]]+0.8*Z491</f>
        <v>16.508272403726252</v>
      </c>
      <c r="AA492" s="14">
        <f>0.33*testdata[[#This Row],[period]]+0.67*AA491</f>
        <v>17.568335256065254</v>
      </c>
      <c r="AB492" s="31">
        <f>TRUNC(testdata[[#This Row],[SmPd]]+0.5,0)</f>
        <v>18</v>
      </c>
      <c r="AC492" s="14">
        <f ca="1">IF(testdata[[#This Row],[PdInt]]&lt;=0,0,AVERAGE(OFFSET(testdata[[#This Row],[price]],0,0,-testdata[[#This Row],[PdInt]],1)))</f>
        <v>262.31666666666672</v>
      </c>
      <c r="AD492" s="14">
        <f ca="1">IF(testdata[[#This Row],[i]]&lt;11,testdata[[#This Row],[price]],(4*testdata[[#This Row],[iTrend]]+3*AC491+2*AC490+AC489)/10)</f>
        <v>262.57669444444446</v>
      </c>
      <c r="AE492" s="14">
        <f>(4*testdata[[#This Row],[price]]+3*H491+2*H490+H489)/10</f>
        <v>259.25100000000009</v>
      </c>
      <c r="AF492" t="str">
        <f ca="1">IF(OR(ROUND(testdata[[#This Row],[Trendline]],4)&lt;&gt;Table3[[#This Row],[Trendline]],ROUND(testdata[[#This Row],[SmPrice]],4)&lt;&gt;Table3[[#This Row],[SmPrice]]),"ERR","")</f>
        <v/>
      </c>
      <c r="AG492" s="3">
        <v>43447</v>
      </c>
      <c r="AH492" s="14">
        <v>17.568300000000001</v>
      </c>
      <c r="AI492" s="34">
        <v>18</v>
      </c>
      <c r="AJ492" s="14">
        <v>262.31670000000003</v>
      </c>
      <c r="AK492" s="14">
        <v>262.57670000000002</v>
      </c>
      <c r="AL492" s="14">
        <v>259.25099999999998</v>
      </c>
      <c r="AN492" s="38">
        <f t="shared" si="22"/>
        <v>0</v>
      </c>
      <c r="AO492" s="38">
        <f t="shared" si="23"/>
        <v>0</v>
      </c>
      <c r="AQ492" s="37">
        <v>43447</v>
      </c>
      <c r="AR492">
        <v>18</v>
      </c>
      <c r="AS492">
        <v>262.576694444444</v>
      </c>
      <c r="AT492">
        <v>259.25099999999998</v>
      </c>
      <c r="AV492" s="37">
        <v>43447</v>
      </c>
      <c r="AW492">
        <v>18</v>
      </c>
      <c r="AX492">
        <v>262.576694444444</v>
      </c>
      <c r="AY492">
        <v>259.25099999999998</v>
      </c>
      <c r="BA492" s="38">
        <f>AX492-Table3[[#This Row],[Trendline]]</f>
        <v>-5.5555560152242833E-6</v>
      </c>
      <c r="BB492" s="38">
        <f>AY492-Table3[[#This Row],[SmPrice]]</f>
        <v>0</v>
      </c>
    </row>
    <row r="493" spans="1:54" x14ac:dyDescent="0.35">
      <c r="A493" s="6">
        <v>491</v>
      </c>
      <c r="B493" s="3">
        <v>43448</v>
      </c>
      <c r="C493" s="2">
        <v>256.58</v>
      </c>
      <c r="D493" s="2">
        <v>257.62</v>
      </c>
      <c r="E493" s="2">
        <v>253.54</v>
      </c>
      <c r="F493" s="2">
        <v>254.15</v>
      </c>
      <c r="G493" s="1">
        <v>119871688</v>
      </c>
      <c r="H493" s="30">
        <f>(testdata[[#This Row],[high]]+testdata[[#This Row],[low]])/2</f>
        <v>255.57999999999998</v>
      </c>
      <c r="I493" s="23">
        <f>(4*testdata[[#This Row],[price]]+3*H492+2*H491+H490)/10</f>
        <v>258.05100000000004</v>
      </c>
      <c r="J493" s="9">
        <f>(0.0962*testdata[[#This Row],[smooth]]+0.5769*I491-0.5769*I489-0.0962*I487)*(0.075*$Z492+0.54)</f>
        <v>-1.2800853453721897</v>
      </c>
      <c r="K493" s="14">
        <f t="shared" si="21"/>
        <v>-8.568403808103696</v>
      </c>
      <c r="L493" s="14">
        <f>(0.0962*testdata[[#This Row],[detrender]]+0.5769*J491-0.5769*J489-0.0962*J487)*(0.075*$Z492+0.54)</f>
        <v>-5.1300121796341003</v>
      </c>
      <c r="M493" s="9">
        <f>(0.0962*testdata[[#This Row],[I1]]+0.5769*K491-0.5769*K489-0.0962*K487)*(0.075*$Z492+0.54)</f>
        <v>-6.0639135388619847</v>
      </c>
      <c r="N493" s="9">
        <f>(0.0962*testdata[[#This Row],[Q1]]+0.5769*L491-0.5769*L489-0.0962*L487)*(0.075*$Z492+0.54)</f>
        <v>-16.412477570225828</v>
      </c>
      <c r="O493" s="9">
        <f>testdata[[#This Row],[I1]]-testdata[[#This Row],[JQ]]</f>
        <v>7.8440737621221324</v>
      </c>
      <c r="P493" s="9">
        <f>testdata[[#This Row],[Q1]]+testdata[[#This Row],[jI]]</f>
        <v>-11.193925718496086</v>
      </c>
      <c r="Q493" s="9">
        <f>0.2*testdata[[#This Row],[I2]]+0.8*Q492</f>
        <v>6.4325944925576719</v>
      </c>
      <c r="R493" s="9">
        <f>0.2*testdata[[#This Row],[Q2]]+0.8*R492</f>
        <v>-3.6871401530037349</v>
      </c>
      <c r="S493" s="9">
        <f>testdata[[#This Row],[I2'']]*Q492+testdata[[#This Row],[Q2'']]*R492</f>
        <v>45.783763350006851</v>
      </c>
      <c r="T493" s="9">
        <f>testdata[[#This Row],[I2'']]*R492-testdata[[#This Row],[Q2'']]*Q492</f>
        <v>10.770946398863504</v>
      </c>
      <c r="U493" s="9">
        <f>0.2*testdata[[#This Row],[Re]]+0.8*U492</f>
        <v>32.204862231644391</v>
      </c>
      <c r="V493" s="9">
        <f>0.2*testdata[[#This Row],[Im]]+0.8*V492</f>
        <v>14.768031866060442</v>
      </c>
      <c r="W493" s="9">
        <f>IF(AND(testdata[[#This Row],[Re'']]&lt;&gt;0,testdata[[#This Row],[Im'']]&lt;&gt;0),2*PI()/ATAN(testdata[[#This Row],[Im'']]/testdata[[#This Row],[Re'']]),0)</f>
        <v>14.613623944750753</v>
      </c>
      <c r="X493" s="9">
        <f>IF(testdata[[#This Row],[pd-atan]]&gt;1.5*Z492,1.5*Z492,IF(testdata[[#This Row],[pd-atan]]&lt;0.67*Z492,0.67*Z492,testdata[[#This Row],[pd-atan]]))</f>
        <v>14.613623944750753</v>
      </c>
      <c r="Y493" s="9">
        <f>IF(testdata[[#This Row],[pd-limit1]]&lt;6,6,IF(testdata[[#This Row],[pd-limit1]]&gt;50,50,testdata[[#This Row],[pd-limit1]]))</f>
        <v>14.613623944750753</v>
      </c>
      <c r="Z493" s="14">
        <f>0.2*testdata[[#This Row],[pd-limit2]]+0.8*Z492</f>
        <v>16.129342711931155</v>
      </c>
      <c r="AA493" s="14">
        <f>0.33*testdata[[#This Row],[period]]+0.67*AA492</f>
        <v>17.093467716501003</v>
      </c>
      <c r="AB493" s="31">
        <f>TRUNC(testdata[[#This Row],[SmPd]]+0.5,0)</f>
        <v>17</v>
      </c>
      <c r="AC493" s="14">
        <f ca="1">IF(testdata[[#This Row],[PdInt]]&lt;=0,0,AVERAGE(OFFSET(testdata[[#This Row],[price]],0,0,-testdata[[#This Row],[PdInt]],1)))</f>
        <v>261.5752941176471</v>
      </c>
      <c r="AD493" s="14">
        <f ca="1">IF(testdata[[#This Row],[i]]&lt;11,testdata[[#This Row],[price]],(4*testdata[[#This Row],[iTrend]]+3*AC492+2*AC491+AC490)/10)</f>
        <v>262.11639542483664</v>
      </c>
      <c r="AE493" s="14">
        <f>(4*testdata[[#This Row],[price]]+3*H492+2*H491+H490)/10</f>
        <v>258.05100000000004</v>
      </c>
      <c r="AF493" t="str">
        <f ca="1">IF(OR(ROUND(testdata[[#This Row],[Trendline]],4)&lt;&gt;Table3[[#This Row],[Trendline]],ROUND(testdata[[#This Row],[SmPrice]],4)&lt;&gt;Table3[[#This Row],[SmPrice]]),"ERR","")</f>
        <v/>
      </c>
      <c r="AG493" s="3">
        <v>43448</v>
      </c>
      <c r="AH493" s="14">
        <v>17.093499999999999</v>
      </c>
      <c r="AI493" s="34">
        <v>17</v>
      </c>
      <c r="AJ493" s="14">
        <v>261.57530000000003</v>
      </c>
      <c r="AK493" s="14">
        <v>262.1164</v>
      </c>
      <c r="AL493" s="14">
        <v>258.05099999999999</v>
      </c>
      <c r="AN493" s="38">
        <f t="shared" si="22"/>
        <v>0</v>
      </c>
      <c r="AO493" s="38">
        <f t="shared" si="23"/>
        <v>0</v>
      </c>
      <c r="AQ493" s="37">
        <v>43448</v>
      </c>
      <c r="AR493">
        <v>17</v>
      </c>
      <c r="AS493">
        <v>262.11639542483601</v>
      </c>
      <c r="AT493">
        <v>258.05099999999999</v>
      </c>
      <c r="AV493" s="37">
        <v>43448</v>
      </c>
      <c r="AW493">
        <v>17</v>
      </c>
      <c r="AX493">
        <v>262.11639542483601</v>
      </c>
      <c r="AY493">
        <v>258.05099999999999</v>
      </c>
      <c r="BA493" s="38">
        <f>AX493-Table3[[#This Row],[Trendline]]</f>
        <v>-4.5751639845548198E-6</v>
      </c>
      <c r="BB493" s="38">
        <f>AY493-Table3[[#This Row],[SmPrice]]</f>
        <v>0</v>
      </c>
    </row>
    <row r="494" spans="1:54" x14ac:dyDescent="0.35">
      <c r="A494" s="6">
        <v>492</v>
      </c>
      <c r="B494" s="3">
        <v>43451</v>
      </c>
      <c r="C494" s="2">
        <v>253.1</v>
      </c>
      <c r="D494" s="2">
        <v>254.32</v>
      </c>
      <c r="E494" s="2">
        <v>247.37</v>
      </c>
      <c r="F494" s="2">
        <v>249.16</v>
      </c>
      <c r="G494" s="1">
        <v>169610592</v>
      </c>
      <c r="H494" s="30">
        <f>(testdata[[#This Row],[high]]+testdata[[#This Row],[low]])/2</f>
        <v>250.845</v>
      </c>
      <c r="I494" s="23">
        <f>(4*testdata[[#This Row],[price]]+3*H493+2*H492+H491)/10</f>
        <v>254.95199999999994</v>
      </c>
      <c r="J494" s="9">
        <f>(0.0962*testdata[[#This Row],[smooth]]+0.5769*I492-0.5769*I490-0.0962*I488)*(0.075*$Z493+0.54)</f>
        <v>-0.28719377381429101</v>
      </c>
      <c r="K494" s="14">
        <f t="shared" si="21"/>
        <v>-9.0002547404707052</v>
      </c>
      <c r="L494" s="14">
        <f>(0.0962*testdata[[#This Row],[detrender]]+0.5769*J492-0.5769*J490-0.0962*J488)*(0.075*$Z493+0.54)</f>
        <v>1.3066704362468962</v>
      </c>
      <c r="M494" s="9">
        <f>(0.0962*testdata[[#This Row],[I1]]+0.5769*K492-0.5769*K490-0.0962*K488)*(0.075*$Z493+0.54)</f>
        <v>-14.326941219003116</v>
      </c>
      <c r="N494" s="9">
        <f>(0.0962*testdata[[#This Row],[Q1]]+0.5769*L492-0.5769*L490-0.0962*L488)*(0.075*$Z493+0.54)</f>
        <v>-8.7641406019485917</v>
      </c>
      <c r="O494" s="9">
        <f>testdata[[#This Row],[I1]]-testdata[[#This Row],[JQ]]</f>
        <v>-0.23611413852211349</v>
      </c>
      <c r="P494" s="9">
        <f>testdata[[#This Row],[Q1]]+testdata[[#This Row],[jI]]</f>
        <v>-13.020270782756219</v>
      </c>
      <c r="Q494" s="9">
        <f>0.2*testdata[[#This Row],[I2]]+0.8*Q493</f>
        <v>5.0988527663417154</v>
      </c>
      <c r="R494" s="9">
        <f>0.2*testdata[[#This Row],[Q2]]+0.8*R493</f>
        <v>-5.5537662789542317</v>
      </c>
      <c r="S494" s="9">
        <f>testdata[[#This Row],[I2'']]*Q493+testdata[[#This Row],[Q2'']]*R493</f>
        <v>53.276366870662457</v>
      </c>
      <c r="T494" s="9">
        <f>testdata[[#This Row],[I2'']]*R493-testdata[[#This Row],[Q2'']]*Q493</f>
        <v>16.924941609920797</v>
      </c>
      <c r="U494" s="9">
        <f>0.2*testdata[[#This Row],[Re]]+0.8*U493</f>
        <v>36.419163159448004</v>
      </c>
      <c r="V494" s="9">
        <f>0.2*testdata[[#This Row],[Im]]+0.8*V493</f>
        <v>15.199413814832514</v>
      </c>
      <c r="W494" s="9">
        <f>IF(AND(testdata[[#This Row],[Re'']]&lt;&gt;0,testdata[[#This Row],[Im'']]&lt;&gt;0),2*PI()/ATAN(testdata[[#This Row],[Im'']]/testdata[[#This Row],[Re'']]),0)</f>
        <v>15.891898933035744</v>
      </c>
      <c r="X494" s="9">
        <f>IF(testdata[[#This Row],[pd-atan]]&gt;1.5*Z493,1.5*Z493,IF(testdata[[#This Row],[pd-atan]]&lt;0.67*Z493,0.67*Z493,testdata[[#This Row],[pd-atan]]))</f>
        <v>15.891898933035744</v>
      </c>
      <c r="Y494" s="9">
        <f>IF(testdata[[#This Row],[pd-limit1]]&lt;6,6,IF(testdata[[#This Row],[pd-limit1]]&gt;50,50,testdata[[#This Row],[pd-limit1]]))</f>
        <v>15.891898933035744</v>
      </c>
      <c r="Z494" s="14">
        <f>0.2*testdata[[#This Row],[pd-limit2]]+0.8*Z493</f>
        <v>16.081853956152074</v>
      </c>
      <c r="AA494" s="14">
        <f>0.33*testdata[[#This Row],[period]]+0.67*AA493</f>
        <v>16.759635175585856</v>
      </c>
      <c r="AB494" s="31">
        <f>TRUNC(testdata[[#This Row],[SmPd]]+0.5,0)</f>
        <v>17</v>
      </c>
      <c r="AC494" s="14">
        <f ca="1">IF(testdata[[#This Row],[PdInt]]&lt;=0,0,AVERAGE(OFFSET(testdata[[#This Row],[price]],0,0,-testdata[[#This Row],[PdInt]],1)))</f>
        <v>261.11676470588236</v>
      </c>
      <c r="AD494" s="14">
        <f ca="1">IF(testdata[[#This Row],[i]]&lt;11,testdata[[#This Row],[price]],(4*testdata[[#This Row],[iTrend]]+3*AC493+2*AC492+AC491)/10)</f>
        <v>261.63854411764714</v>
      </c>
      <c r="AE494" s="14">
        <f>(4*testdata[[#This Row],[price]]+3*H493+2*H492+H491)/10</f>
        <v>254.95199999999994</v>
      </c>
      <c r="AF494" t="str">
        <f ca="1">IF(OR(ROUND(testdata[[#This Row],[Trendline]],4)&lt;&gt;Table3[[#This Row],[Trendline]],ROUND(testdata[[#This Row],[SmPrice]],4)&lt;&gt;Table3[[#This Row],[SmPrice]]),"ERR","")</f>
        <v/>
      </c>
      <c r="AG494" s="3">
        <v>43451</v>
      </c>
      <c r="AH494" s="14">
        <v>16.759599999999999</v>
      </c>
      <c r="AI494" s="34">
        <v>17</v>
      </c>
      <c r="AJ494" s="14">
        <v>261.11680000000001</v>
      </c>
      <c r="AK494" s="14">
        <v>261.63850000000002</v>
      </c>
      <c r="AL494" s="14">
        <v>254.952</v>
      </c>
      <c r="AN494" s="38">
        <f t="shared" si="22"/>
        <v>0</v>
      </c>
      <c r="AO494" s="38">
        <f t="shared" si="23"/>
        <v>0</v>
      </c>
      <c r="AQ494" s="37">
        <v>43451</v>
      </c>
      <c r="AR494">
        <v>17</v>
      </c>
      <c r="AS494">
        <v>261.63854411764697</v>
      </c>
      <c r="AT494">
        <v>254.951999999999</v>
      </c>
      <c r="AV494" s="37">
        <v>43451</v>
      </c>
      <c r="AW494">
        <v>17</v>
      </c>
      <c r="AX494">
        <v>261.63854411764697</v>
      </c>
      <c r="AY494">
        <v>254.951999999999</v>
      </c>
      <c r="BA494" s="38">
        <f>AX494-Table3[[#This Row],[Trendline]]</f>
        <v>4.4117646950780909E-5</v>
      </c>
      <c r="BB494" s="38">
        <f>AY494-Table3[[#This Row],[SmPrice]]</f>
        <v>-9.9475983006414026E-13</v>
      </c>
    </row>
    <row r="495" spans="1:54" x14ac:dyDescent="0.35">
      <c r="A495" s="6">
        <v>493</v>
      </c>
      <c r="B495" s="3">
        <v>43452</v>
      </c>
      <c r="C495" s="2">
        <v>250.95</v>
      </c>
      <c r="D495" s="2">
        <v>251.69</v>
      </c>
      <c r="E495" s="2">
        <v>247.13</v>
      </c>
      <c r="F495" s="2">
        <v>248.89</v>
      </c>
      <c r="G495" s="1">
        <v>137862544</v>
      </c>
      <c r="H495" s="30">
        <f>(testdata[[#This Row],[high]]+testdata[[#This Row],[low]])/2</f>
        <v>249.41</v>
      </c>
      <c r="I495" s="23">
        <f>(4*testdata[[#This Row],[price]]+3*H494+2*H493+H492)/10</f>
        <v>252.0685</v>
      </c>
      <c r="J495" s="9">
        <f>(0.0962*testdata[[#This Row],[smooth]]+0.5769*I493-0.5769*I491-0.0962*I489)*(0.075*$Z494+0.54)</f>
        <v>-2.1833651048377769</v>
      </c>
      <c r="K495" s="14">
        <f t="shared" si="21"/>
        <v>-6.7178605271528653</v>
      </c>
      <c r="L495" s="14">
        <f>(0.0962*testdata[[#This Row],[detrender]]+0.5769*J493-0.5769*J491-0.0962*J489)*(0.075*$Z494+0.54)</f>
        <v>8.2932474332325388</v>
      </c>
      <c r="M495" s="9">
        <f>(0.0962*testdata[[#This Row],[I1]]+0.5769*K493-0.5769*K491-0.0962*K489)*(0.075*$Z494+0.54)</f>
        <v>-13.983272089200799</v>
      </c>
      <c r="N495" s="9">
        <f>(0.0962*testdata[[#This Row],[Q1]]+0.5769*L493-0.5769*L491-0.0962*L489)*(0.075*$Z494+0.54)</f>
        <v>12.436116079310777</v>
      </c>
      <c r="O495" s="9">
        <f>testdata[[#This Row],[I1]]-testdata[[#This Row],[JQ]]</f>
        <v>-19.153976606463644</v>
      </c>
      <c r="P495" s="9">
        <f>testdata[[#This Row],[Q1]]+testdata[[#This Row],[jI]]</f>
        <v>-5.6900246559682603</v>
      </c>
      <c r="Q495" s="9">
        <f>0.2*testdata[[#This Row],[I2]]+0.8*Q494</f>
        <v>0.24828689178064378</v>
      </c>
      <c r="R495" s="9">
        <f>0.2*testdata[[#This Row],[Q2]]+0.8*R494</f>
        <v>-5.581017954357038</v>
      </c>
      <c r="S495" s="9">
        <f>testdata[[#This Row],[I2'']]*Q494+testdata[[#This Row],[Q2'']]*R494</f>
        <v>32.261647622148367</v>
      </c>
      <c r="T495" s="9">
        <f>testdata[[#This Row],[I2'']]*R494-testdata[[#This Row],[Q2'']]*Q494</f>
        <v>27.077861468498469</v>
      </c>
      <c r="U495" s="9">
        <f>0.2*testdata[[#This Row],[Re]]+0.8*U494</f>
        <v>35.587660051988081</v>
      </c>
      <c r="V495" s="9">
        <f>0.2*testdata[[#This Row],[Im]]+0.8*V494</f>
        <v>17.575103345565704</v>
      </c>
      <c r="W495" s="9">
        <f>IF(AND(testdata[[#This Row],[Re'']]&lt;&gt;0,testdata[[#This Row],[Im'']]&lt;&gt;0),2*PI()/ATAN(testdata[[#This Row],[Im'']]/testdata[[#This Row],[Re'']]),0)</f>
        <v>13.697253668440464</v>
      </c>
      <c r="X495" s="9">
        <f>IF(testdata[[#This Row],[pd-atan]]&gt;1.5*Z494,1.5*Z494,IF(testdata[[#This Row],[pd-atan]]&lt;0.67*Z494,0.67*Z494,testdata[[#This Row],[pd-atan]]))</f>
        <v>13.697253668440464</v>
      </c>
      <c r="Y495" s="9">
        <f>IF(testdata[[#This Row],[pd-limit1]]&lt;6,6,IF(testdata[[#This Row],[pd-limit1]]&gt;50,50,testdata[[#This Row],[pd-limit1]]))</f>
        <v>13.697253668440464</v>
      </c>
      <c r="Z495" s="14">
        <f>0.2*testdata[[#This Row],[pd-limit2]]+0.8*Z494</f>
        <v>15.604933898609753</v>
      </c>
      <c r="AA495" s="14">
        <f>0.33*testdata[[#This Row],[period]]+0.67*AA494</f>
        <v>16.378583754183744</v>
      </c>
      <c r="AB495" s="31">
        <f>TRUNC(testdata[[#This Row],[SmPd]]+0.5,0)</f>
        <v>16</v>
      </c>
      <c r="AC495" s="14">
        <f ca="1">IF(testdata[[#This Row],[PdInt]]&lt;=0,0,AVERAGE(OFFSET(testdata[[#This Row],[price]],0,0,-testdata[[#This Row],[PdInt]],1)))</f>
        <v>260.70249999999999</v>
      </c>
      <c r="AD495" s="14">
        <f ca="1">IF(testdata[[#This Row],[i]]&lt;11,testdata[[#This Row],[price]],(4*testdata[[#This Row],[iTrend]]+3*AC494+2*AC493+AC492)/10)</f>
        <v>261.16275490196074</v>
      </c>
      <c r="AE495" s="14">
        <f>(4*testdata[[#This Row],[price]]+3*H494+2*H493+H492)/10</f>
        <v>252.0685</v>
      </c>
      <c r="AF495" t="str">
        <f ca="1">IF(OR(ROUND(testdata[[#This Row],[Trendline]],4)&lt;&gt;Table3[[#This Row],[Trendline]],ROUND(testdata[[#This Row],[SmPrice]],4)&lt;&gt;Table3[[#This Row],[SmPrice]]),"ERR","")</f>
        <v/>
      </c>
      <c r="AG495" s="3">
        <v>43452</v>
      </c>
      <c r="AH495" s="14">
        <v>16.378599999999999</v>
      </c>
      <c r="AI495" s="34">
        <v>16</v>
      </c>
      <c r="AJ495" s="14">
        <v>260.70249999999999</v>
      </c>
      <c r="AK495" s="14">
        <v>261.1628</v>
      </c>
      <c r="AL495" s="14">
        <v>252.0685</v>
      </c>
      <c r="AN495" s="38">
        <f t="shared" si="22"/>
        <v>0</v>
      </c>
      <c r="AO495" s="38">
        <f t="shared" si="23"/>
        <v>0</v>
      </c>
      <c r="AQ495" s="37">
        <v>43452</v>
      </c>
      <c r="AR495">
        <v>16</v>
      </c>
      <c r="AS495">
        <v>261.16275490196</v>
      </c>
      <c r="AT495">
        <v>252.0685</v>
      </c>
      <c r="AV495" s="37">
        <v>43452</v>
      </c>
      <c r="AW495">
        <v>16</v>
      </c>
      <c r="AX495">
        <v>261.16275490196</v>
      </c>
      <c r="AY495">
        <v>252.0685</v>
      </c>
      <c r="BA495" s="38">
        <f>AX495-Table3[[#This Row],[Trendline]]</f>
        <v>-4.5098040004631912E-5</v>
      </c>
      <c r="BB495" s="38">
        <f>AY495-Table3[[#This Row],[SmPrice]]</f>
        <v>0</v>
      </c>
    </row>
    <row r="496" spans="1:54" x14ac:dyDescent="0.35">
      <c r="A496" s="6">
        <v>494</v>
      </c>
      <c r="B496" s="3">
        <v>43453</v>
      </c>
      <c r="C496" s="2">
        <v>248.97</v>
      </c>
      <c r="D496" s="2">
        <v>253.1</v>
      </c>
      <c r="E496" s="2">
        <v>243.3</v>
      </c>
      <c r="F496" s="2">
        <v>245.16</v>
      </c>
      <c r="G496" s="1">
        <v>220342928</v>
      </c>
      <c r="H496" s="30">
        <f>(testdata[[#This Row],[high]]+testdata[[#This Row],[low]])/2</f>
        <v>248.2</v>
      </c>
      <c r="I496" s="23">
        <f>(4*testdata[[#This Row],[price]]+3*H495+2*H494+H493)/10</f>
        <v>249.82999999999998</v>
      </c>
      <c r="J496" s="9">
        <f>(0.0962*testdata[[#This Row],[smooth]]+0.5769*I494-0.5769*I492-0.0962*I490)*(0.075*$Z495+0.54)</f>
        <v>-5.6218537756766223</v>
      </c>
      <c r="K496" s="14">
        <f t="shared" si="21"/>
        <v>-1.2800853453721897</v>
      </c>
      <c r="L496" s="14">
        <f>(0.0962*testdata[[#This Row],[detrender]]+0.5769*J494-0.5769*J492-0.0962*J490)*(0.075*$Z495+0.54)</f>
        <v>6.8300373888477113</v>
      </c>
      <c r="M496" s="9">
        <f>(0.0962*testdata[[#This Row],[I1]]+0.5769*K494-0.5769*K492-0.0962*K490)*(0.075*$Z495+0.54)</f>
        <v>-4.9345471767580689</v>
      </c>
      <c r="N496" s="9">
        <f>(0.0962*testdata[[#This Row],[Q1]]+0.5769*L494-0.5769*L492-0.0962*L490)*(0.075*$Z495+0.54)</f>
        <v>18.141673050792313</v>
      </c>
      <c r="O496" s="9">
        <f>testdata[[#This Row],[I1]]-testdata[[#This Row],[JQ]]</f>
        <v>-19.421758396164503</v>
      </c>
      <c r="P496" s="9">
        <f>testdata[[#This Row],[Q1]]+testdata[[#This Row],[jI]]</f>
        <v>1.8954902120896424</v>
      </c>
      <c r="Q496" s="9">
        <f>0.2*testdata[[#This Row],[I2]]+0.8*Q495</f>
        <v>-3.6857221658083859</v>
      </c>
      <c r="R496" s="9">
        <f>0.2*testdata[[#This Row],[Q2]]+0.8*R495</f>
        <v>-4.0857163210677019</v>
      </c>
      <c r="S496" s="9">
        <f>testdata[[#This Row],[I2'']]*Q495+testdata[[#This Row],[Q2'']]*R495</f>
        <v>21.88733964377284</v>
      </c>
      <c r="T496" s="9">
        <f>testdata[[#This Row],[I2'']]*R495-testdata[[#This Row],[Q2'']]*Q495</f>
        <v>21.584511388203655</v>
      </c>
      <c r="U496" s="9">
        <f>0.2*testdata[[#This Row],[Re]]+0.8*U495</f>
        <v>32.847595970345033</v>
      </c>
      <c r="V496" s="9">
        <f>0.2*testdata[[#This Row],[Im]]+0.8*V495</f>
        <v>18.376984954093295</v>
      </c>
      <c r="W496" s="9">
        <f>IF(AND(testdata[[#This Row],[Re'']]&lt;&gt;0,testdata[[#This Row],[Im'']]&lt;&gt;0),2*PI()/ATAN(testdata[[#This Row],[Im'']]/testdata[[#This Row],[Re'']]),0)</f>
        <v>12.318069351379174</v>
      </c>
      <c r="X496" s="9">
        <f>IF(testdata[[#This Row],[pd-atan]]&gt;1.5*Z495,1.5*Z495,IF(testdata[[#This Row],[pd-atan]]&lt;0.67*Z495,0.67*Z495,testdata[[#This Row],[pd-atan]]))</f>
        <v>12.318069351379174</v>
      </c>
      <c r="Y496" s="9">
        <f>IF(testdata[[#This Row],[pd-limit1]]&lt;6,6,IF(testdata[[#This Row],[pd-limit1]]&gt;50,50,testdata[[#This Row],[pd-limit1]]))</f>
        <v>12.318069351379174</v>
      </c>
      <c r="Z496" s="14">
        <f>0.2*testdata[[#This Row],[pd-limit2]]+0.8*Z495</f>
        <v>14.947560989163637</v>
      </c>
      <c r="AA496" s="14">
        <f>0.33*testdata[[#This Row],[period]]+0.67*AA495</f>
        <v>15.90634624172711</v>
      </c>
      <c r="AB496" s="31">
        <f>TRUNC(testdata[[#This Row],[SmPd]]+0.5,0)</f>
        <v>16</v>
      </c>
      <c r="AC496" s="14">
        <f ca="1">IF(testdata[[#This Row],[PdInt]]&lt;=0,0,AVERAGE(OFFSET(testdata[[#This Row],[price]],0,0,-testdata[[#This Row],[PdInt]],1)))</f>
        <v>259.96031249999993</v>
      </c>
      <c r="AD496" s="14">
        <f ca="1">IF(testdata[[#This Row],[i]]&lt;11,testdata[[#This Row],[price]],(4*testdata[[#This Row],[iTrend]]+3*AC495+2*AC494+AC493)/10)</f>
        <v>260.57575735294114</v>
      </c>
      <c r="AE496" s="14">
        <f>(4*testdata[[#This Row],[price]]+3*H495+2*H494+H493)/10</f>
        <v>249.82999999999998</v>
      </c>
      <c r="AF496" t="str">
        <f ca="1">IF(OR(ROUND(testdata[[#This Row],[Trendline]],4)&lt;&gt;Table3[[#This Row],[Trendline]],ROUND(testdata[[#This Row],[SmPrice]],4)&lt;&gt;Table3[[#This Row],[SmPrice]]),"ERR","")</f>
        <v/>
      </c>
      <c r="AG496" s="3">
        <v>43453</v>
      </c>
      <c r="AH496" s="14">
        <v>15.9063</v>
      </c>
      <c r="AI496" s="34">
        <v>16</v>
      </c>
      <c r="AJ496" s="14">
        <v>259.96030000000002</v>
      </c>
      <c r="AK496" s="14">
        <v>260.57580000000002</v>
      </c>
      <c r="AL496" s="14">
        <v>249.83</v>
      </c>
      <c r="AN496" s="38">
        <f t="shared" si="22"/>
        <v>0</v>
      </c>
      <c r="AO496" s="38">
        <f t="shared" si="23"/>
        <v>0</v>
      </c>
      <c r="AQ496" s="37">
        <v>43453</v>
      </c>
      <c r="AR496">
        <v>16</v>
      </c>
      <c r="AS496">
        <v>260.57575735294103</v>
      </c>
      <c r="AT496">
        <v>249.82999999999899</v>
      </c>
      <c r="AV496" s="37">
        <v>43453</v>
      </c>
      <c r="AW496">
        <v>16</v>
      </c>
      <c r="AX496">
        <v>260.57575735294103</v>
      </c>
      <c r="AY496">
        <v>249.82999999999899</v>
      </c>
      <c r="BA496" s="38">
        <f>AX496-Table3[[#This Row],[Trendline]]</f>
        <v>-4.2647058990041842E-5</v>
      </c>
      <c r="BB496" s="38">
        <f>AY496-Table3[[#This Row],[SmPrice]]</f>
        <v>-1.0231815394945443E-12</v>
      </c>
    </row>
    <row r="497" spans="1:54" x14ac:dyDescent="0.35">
      <c r="A497" s="6">
        <v>495</v>
      </c>
      <c r="B497" s="3">
        <v>43454</v>
      </c>
      <c r="C497" s="2">
        <v>243.79</v>
      </c>
      <c r="D497" s="2">
        <v>245.51</v>
      </c>
      <c r="E497" s="2">
        <v>238.71</v>
      </c>
      <c r="F497" s="2">
        <v>241.17</v>
      </c>
      <c r="G497" s="1">
        <v>258325808</v>
      </c>
      <c r="H497" s="30">
        <f>(testdata[[#This Row],[high]]+testdata[[#This Row],[low]])/2</f>
        <v>242.11</v>
      </c>
      <c r="I497" s="23">
        <f>(4*testdata[[#This Row],[price]]+3*H496+2*H495+H494)/10</f>
        <v>246.2705</v>
      </c>
      <c r="J497" s="9">
        <f>(0.0962*testdata[[#This Row],[smooth]]+0.5769*I495-0.5769*I493-0.0962*I491)*(0.075*$Z496+0.54)</f>
        <v>-7.7752632040769356</v>
      </c>
      <c r="K497" s="14">
        <f t="shared" si="21"/>
        <v>-0.28719377381429101</v>
      </c>
      <c r="L497" s="14">
        <f>(0.0962*testdata[[#This Row],[detrender]]+0.5769*J495-0.5769*J493-0.0962*J491)*(0.075*$Z496+0.54)</f>
        <v>-0.66983843244530072</v>
      </c>
      <c r="M497" s="9">
        <f>(0.0962*testdata[[#This Row],[I1]]+0.5769*K495-0.5769*K493-0.0962*K491)*(0.075*$Z496+0.54)</f>
        <v>1.240479148378014</v>
      </c>
      <c r="N497" s="9">
        <f>(0.0962*testdata[[#This Row],[Q1]]+0.5769*L495-0.5769*L493-0.0962*L491)*(0.075*$Z496+0.54)</f>
        <v>15.273681693726623</v>
      </c>
      <c r="O497" s="9">
        <f>testdata[[#This Row],[I1]]-testdata[[#This Row],[JQ]]</f>
        <v>-15.560875467540914</v>
      </c>
      <c r="P497" s="9">
        <f>testdata[[#This Row],[Q1]]+testdata[[#This Row],[jI]]</f>
        <v>0.57064071593271326</v>
      </c>
      <c r="Q497" s="9">
        <f>0.2*testdata[[#This Row],[I2]]+0.8*Q496</f>
        <v>-6.060752826154892</v>
      </c>
      <c r="R497" s="9">
        <f>0.2*testdata[[#This Row],[Q2]]+0.8*R496</f>
        <v>-3.1544449136676191</v>
      </c>
      <c r="S497" s="9">
        <f>testdata[[#This Row],[I2'']]*Q496+testdata[[#This Row],[Q2'']]*R496</f>
        <v>35.226418100525692</v>
      </c>
      <c r="T497" s="9">
        <f>testdata[[#This Row],[I2'']]*R496-testdata[[#This Row],[Q2'']]*Q496</f>
        <v>13.136109200651978</v>
      </c>
      <c r="U497" s="9">
        <f>0.2*testdata[[#This Row],[Re]]+0.8*U496</f>
        <v>33.323360396381162</v>
      </c>
      <c r="V497" s="9">
        <f>0.2*testdata[[#This Row],[Im]]+0.8*V496</f>
        <v>17.328809803405033</v>
      </c>
      <c r="W497" s="9">
        <f>IF(AND(testdata[[#This Row],[Re'']]&lt;&gt;0,testdata[[#This Row],[Im'']]&lt;&gt;0),2*PI()/ATAN(testdata[[#This Row],[Im'']]/testdata[[#This Row],[Re'']]),0)</f>
        <v>13.102664266556134</v>
      </c>
      <c r="X497" s="9">
        <f>IF(testdata[[#This Row],[pd-atan]]&gt;1.5*Z496,1.5*Z496,IF(testdata[[#This Row],[pd-atan]]&lt;0.67*Z496,0.67*Z496,testdata[[#This Row],[pd-atan]]))</f>
        <v>13.102664266556134</v>
      </c>
      <c r="Y497" s="9">
        <f>IF(testdata[[#This Row],[pd-limit1]]&lt;6,6,IF(testdata[[#This Row],[pd-limit1]]&gt;50,50,testdata[[#This Row],[pd-limit1]]))</f>
        <v>13.102664266556134</v>
      </c>
      <c r="Z497" s="14">
        <f>0.2*testdata[[#This Row],[pd-limit2]]+0.8*Z496</f>
        <v>14.578581644642137</v>
      </c>
      <c r="AA497" s="14">
        <f>0.33*testdata[[#This Row],[period]]+0.67*AA496</f>
        <v>15.46818392468907</v>
      </c>
      <c r="AB497" s="31">
        <f>TRUNC(testdata[[#This Row],[SmPd]]+0.5,0)</f>
        <v>15</v>
      </c>
      <c r="AC497" s="14">
        <f ca="1">IF(testdata[[#This Row],[PdInt]]&lt;=0,0,AVERAGE(OFFSET(testdata[[#This Row],[price]],0,0,-testdata[[#This Row],[PdInt]],1)))</f>
        <v>258.40466666666663</v>
      </c>
      <c r="AD497" s="14">
        <f ca="1">IF(testdata[[#This Row],[i]]&lt;11,testdata[[#This Row],[price]],(4*testdata[[#This Row],[iTrend]]+3*AC496+2*AC495+AC494)/10)</f>
        <v>259.60213688725486</v>
      </c>
      <c r="AE497" s="14">
        <f>(4*testdata[[#This Row],[price]]+3*H496+2*H495+H494)/10</f>
        <v>246.2705</v>
      </c>
      <c r="AF497" t="str">
        <f ca="1">IF(OR(ROUND(testdata[[#This Row],[Trendline]],4)&lt;&gt;Table3[[#This Row],[Trendline]],ROUND(testdata[[#This Row],[SmPrice]],4)&lt;&gt;Table3[[#This Row],[SmPrice]]),"ERR","")</f>
        <v/>
      </c>
      <c r="AG497" s="3">
        <v>43454</v>
      </c>
      <c r="AH497" s="14">
        <v>15.4682</v>
      </c>
      <c r="AI497" s="34">
        <v>15</v>
      </c>
      <c r="AJ497" s="14">
        <v>258.40469999999999</v>
      </c>
      <c r="AK497" s="14">
        <v>259.60210000000001</v>
      </c>
      <c r="AL497" s="14">
        <v>246.2705</v>
      </c>
      <c r="AN497" s="38">
        <f t="shared" si="22"/>
        <v>0</v>
      </c>
      <c r="AO497" s="38">
        <f t="shared" si="23"/>
        <v>0</v>
      </c>
      <c r="AQ497" s="37">
        <v>43454</v>
      </c>
      <c r="AR497">
        <v>15</v>
      </c>
      <c r="AS497">
        <v>259.60213688725401</v>
      </c>
      <c r="AT497">
        <v>246.2705</v>
      </c>
      <c r="AV497" s="37">
        <v>43454</v>
      </c>
      <c r="AW497">
        <v>15</v>
      </c>
      <c r="AX497">
        <v>259.60213688725401</v>
      </c>
      <c r="AY497">
        <v>246.2705</v>
      </c>
      <c r="BA497" s="38">
        <f>AX497-Table3[[#This Row],[Trendline]]</f>
        <v>3.6887253997974767E-5</v>
      </c>
      <c r="BB497" s="38">
        <f>AY497-Table3[[#This Row],[SmPrice]]</f>
        <v>0</v>
      </c>
    </row>
    <row r="498" spans="1:54" x14ac:dyDescent="0.35">
      <c r="A498" s="6">
        <v>496</v>
      </c>
      <c r="B498" s="3">
        <v>43455</v>
      </c>
      <c r="C498" s="2">
        <v>242.16</v>
      </c>
      <c r="D498" s="2">
        <v>245.07</v>
      </c>
      <c r="E498" s="2">
        <v>235.52</v>
      </c>
      <c r="F498" s="2">
        <v>236.23</v>
      </c>
      <c r="G498" s="1">
        <v>260180208</v>
      </c>
      <c r="H498" s="30">
        <f>(testdata[[#This Row],[high]]+testdata[[#This Row],[low]])/2</f>
        <v>240.29500000000002</v>
      </c>
      <c r="I498" s="23">
        <f>(4*testdata[[#This Row],[price]]+3*H497+2*H496+H495)/10</f>
        <v>243.33200000000002</v>
      </c>
      <c r="J498" s="9">
        <f>(0.0962*testdata[[#This Row],[smooth]]+0.5769*I496-0.5769*I494-0.0962*I492)*(0.075*$Z497+0.54)</f>
        <v>-7.3278768251331092</v>
      </c>
      <c r="K498" s="14">
        <f t="shared" si="21"/>
        <v>-2.1833651048377769</v>
      </c>
      <c r="L498" s="14">
        <f>(0.0962*testdata[[#This Row],[detrender]]+0.5769*J496-0.5769*J494-0.0962*J492)*(0.075*$Z497+0.54)</f>
        <v>-5.1227289919628598</v>
      </c>
      <c r="M498" s="9">
        <f>(0.0962*testdata[[#This Row],[I1]]+0.5769*K496-0.5769*K494-0.0962*K492)*(0.075*$Z497+0.54)</f>
        <v>7.7577656257115786</v>
      </c>
      <c r="N498" s="9">
        <f>(0.0962*testdata[[#This Row],[Q1]]+0.5769*L496-0.5769*L494-0.0962*L492)*(0.075*$Z497+0.54)</f>
        <v>6.7306686321445035</v>
      </c>
      <c r="O498" s="9">
        <f>testdata[[#This Row],[I1]]-testdata[[#This Row],[JQ]]</f>
        <v>-8.9140337369822795</v>
      </c>
      <c r="P498" s="9">
        <f>testdata[[#This Row],[Q1]]+testdata[[#This Row],[jI]]</f>
        <v>2.6350366337487188</v>
      </c>
      <c r="Q498" s="9">
        <f>0.2*testdata[[#This Row],[I2]]+0.8*Q497</f>
        <v>-6.6314090083203698</v>
      </c>
      <c r="R498" s="9">
        <f>0.2*testdata[[#This Row],[Q2]]+0.8*R497</f>
        <v>-1.9965486041843516</v>
      </c>
      <c r="S498" s="9">
        <f>testdata[[#This Row],[I2'']]*Q497+testdata[[#This Row],[Q2'']]*R497</f>
        <v>46.489333477926202</v>
      </c>
      <c r="T498" s="9">
        <f>testdata[[#This Row],[I2'']]*R497-testdata[[#This Row],[Q2'']]*Q497</f>
        <v>8.8178268213799083</v>
      </c>
      <c r="U498" s="9">
        <f>0.2*testdata[[#This Row],[Re]]+0.8*U497</f>
        <v>35.956555012690174</v>
      </c>
      <c r="V498" s="9">
        <f>0.2*testdata[[#This Row],[Im]]+0.8*V497</f>
        <v>15.626613207000009</v>
      </c>
      <c r="W498" s="9">
        <f>IF(AND(testdata[[#This Row],[Re'']]&lt;&gt;0,testdata[[#This Row],[Im'']]&lt;&gt;0),2*PI()/ATAN(testdata[[#This Row],[Im'']]/testdata[[#This Row],[Re'']]),0)</f>
        <v>15.325915667898062</v>
      </c>
      <c r="X498" s="9">
        <f>IF(testdata[[#This Row],[pd-atan]]&gt;1.5*Z497,1.5*Z497,IF(testdata[[#This Row],[pd-atan]]&lt;0.67*Z497,0.67*Z497,testdata[[#This Row],[pd-atan]]))</f>
        <v>15.325915667898062</v>
      </c>
      <c r="Y498" s="9">
        <f>IF(testdata[[#This Row],[pd-limit1]]&lt;6,6,IF(testdata[[#This Row],[pd-limit1]]&gt;50,50,testdata[[#This Row],[pd-limit1]]))</f>
        <v>15.325915667898062</v>
      </c>
      <c r="Z498" s="14">
        <f>0.2*testdata[[#This Row],[pd-limit2]]+0.8*Z497</f>
        <v>14.728048449293322</v>
      </c>
      <c r="AA498" s="14">
        <f>0.33*testdata[[#This Row],[period]]+0.67*AA497</f>
        <v>15.223939217808475</v>
      </c>
      <c r="AB498" s="31">
        <f>TRUNC(testdata[[#This Row],[SmPd]]+0.5,0)</f>
        <v>15</v>
      </c>
      <c r="AC498" s="14">
        <f ca="1">IF(testdata[[#This Row],[PdInt]]&lt;=0,0,AVERAGE(OFFSET(testdata[[#This Row],[price]],0,0,-testdata[[#This Row],[PdInt]],1)))</f>
        <v>256.60166666666663</v>
      </c>
      <c r="AD498" s="14">
        <f ca="1">IF(testdata[[#This Row],[i]]&lt;11,testdata[[#This Row],[price]],(4*testdata[[#This Row],[iTrend]]+3*AC497+2*AC496+AC495)/10)</f>
        <v>258.22437916666661</v>
      </c>
      <c r="AE498" s="14">
        <f>(4*testdata[[#This Row],[price]]+3*H497+2*H496+H495)/10</f>
        <v>243.33200000000002</v>
      </c>
      <c r="AF498" t="str">
        <f ca="1">IF(OR(ROUND(testdata[[#This Row],[Trendline]],4)&lt;&gt;Table3[[#This Row],[Trendline]],ROUND(testdata[[#This Row],[SmPrice]],4)&lt;&gt;Table3[[#This Row],[SmPrice]]),"ERR","")</f>
        <v/>
      </c>
      <c r="AG498" s="3">
        <v>43455</v>
      </c>
      <c r="AH498" s="14">
        <v>15.2239</v>
      </c>
      <c r="AI498" s="34">
        <v>15</v>
      </c>
      <c r="AJ498" s="14">
        <v>256.60169999999999</v>
      </c>
      <c r="AK498" s="14">
        <v>258.2244</v>
      </c>
      <c r="AL498" s="14">
        <v>243.33199999999999</v>
      </c>
      <c r="AN498" s="38">
        <f t="shared" si="22"/>
        <v>0</v>
      </c>
      <c r="AO498" s="38">
        <f t="shared" si="23"/>
        <v>0</v>
      </c>
      <c r="AQ498" s="37">
        <v>43455</v>
      </c>
      <c r="AR498">
        <v>15</v>
      </c>
      <c r="AS498">
        <v>258.22437916666598</v>
      </c>
      <c r="AT498">
        <v>243.331999999999</v>
      </c>
      <c r="AV498" s="37">
        <v>43455</v>
      </c>
      <c r="AW498">
        <v>15</v>
      </c>
      <c r="AX498">
        <v>258.22437916666598</v>
      </c>
      <c r="AY498">
        <v>243.331999999999</v>
      </c>
      <c r="BA498" s="38">
        <f>AX498-Table3[[#This Row],[Trendline]]</f>
        <v>-2.0833334019698668E-5</v>
      </c>
      <c r="BB498" s="38">
        <f>AY498-Table3[[#This Row],[SmPrice]]</f>
        <v>-9.9475983006414026E-13</v>
      </c>
    </row>
    <row r="499" spans="1:54" x14ac:dyDescent="0.35">
      <c r="A499" s="6">
        <v>497</v>
      </c>
      <c r="B499" s="3">
        <v>43458</v>
      </c>
      <c r="C499" s="2">
        <v>234.6</v>
      </c>
      <c r="D499" s="2">
        <v>236.36</v>
      </c>
      <c r="E499" s="2">
        <v>229.92</v>
      </c>
      <c r="F499" s="2">
        <v>229.99</v>
      </c>
      <c r="G499" s="1">
        <v>150100704</v>
      </c>
      <c r="H499" s="30">
        <f>(testdata[[#This Row],[high]]+testdata[[#This Row],[low]])/2</f>
        <v>233.14</v>
      </c>
      <c r="I499" s="23">
        <f>(4*testdata[[#This Row],[price]]+3*H498+2*H497+H496)/10</f>
        <v>238.58649999999997</v>
      </c>
      <c r="J499" s="9">
        <f>(0.0962*testdata[[#This Row],[smooth]]+0.5769*I497-0.5769*I495-0.0962*I493)*(0.075*$Z498+0.54)</f>
        <v>-8.5804745773330851</v>
      </c>
      <c r="K499" s="14">
        <f t="shared" si="21"/>
        <v>-5.6218537756766223</v>
      </c>
      <c r="L499" s="14">
        <f>(0.0962*testdata[[#This Row],[detrender]]+0.5769*J497-0.5769*J495-0.0962*J493)*(0.075*$Z498+0.54)</f>
        <v>-6.4604363564317016</v>
      </c>
      <c r="M499" s="9">
        <f>(0.0962*testdata[[#This Row],[I1]]+0.5769*K497-0.5769*K495-0.0962*K493)*(0.075*$Z498+0.54)</f>
        <v>6.5674117469056901</v>
      </c>
      <c r="N499" s="9">
        <f>(0.0962*testdata[[#This Row],[Q1]]+0.5769*L497-0.5769*L495-0.0962*L493)*(0.075*$Z498+0.54)</f>
        <v>-8.7144110014096654</v>
      </c>
      <c r="O499" s="9">
        <f>testdata[[#This Row],[I1]]-testdata[[#This Row],[JQ]]</f>
        <v>3.0925572257330431</v>
      </c>
      <c r="P499" s="9">
        <f>testdata[[#This Row],[Q1]]+testdata[[#This Row],[jI]]</f>
        <v>0.10697539047398852</v>
      </c>
      <c r="Q499" s="9">
        <f>0.2*testdata[[#This Row],[I2]]+0.8*Q498</f>
        <v>-4.6866157615096871</v>
      </c>
      <c r="R499" s="9">
        <f>0.2*testdata[[#This Row],[Q2]]+0.8*R498</f>
        <v>-1.5758438052526835</v>
      </c>
      <c r="S499" s="9">
        <f>testdata[[#This Row],[I2'']]*Q498+testdata[[#This Row],[Q2'']]*R498</f>
        <v>34.225114729201373</v>
      </c>
      <c r="T499" s="9">
        <f>testdata[[#This Row],[I2'']]*R498-testdata[[#This Row],[Q2'']]*Q498</f>
        <v>-1.0930086488679471</v>
      </c>
      <c r="U499" s="9">
        <f>0.2*testdata[[#This Row],[Re]]+0.8*U498</f>
        <v>35.610266955992415</v>
      </c>
      <c r="V499" s="9">
        <f>0.2*testdata[[#This Row],[Im]]+0.8*V498</f>
        <v>12.28268883582642</v>
      </c>
      <c r="W499" s="9">
        <f>IF(AND(testdata[[#This Row],[Re'']]&lt;&gt;0,testdata[[#This Row],[Im'']]&lt;&gt;0),2*PI()/ATAN(testdata[[#This Row],[Im'']]/testdata[[#This Row],[Re'']]),0)</f>
        <v>18.917168908992647</v>
      </c>
      <c r="X499" s="9">
        <f>IF(testdata[[#This Row],[pd-atan]]&gt;1.5*Z498,1.5*Z498,IF(testdata[[#This Row],[pd-atan]]&lt;0.67*Z498,0.67*Z498,testdata[[#This Row],[pd-atan]]))</f>
        <v>18.917168908992647</v>
      </c>
      <c r="Y499" s="9">
        <f>IF(testdata[[#This Row],[pd-limit1]]&lt;6,6,IF(testdata[[#This Row],[pd-limit1]]&gt;50,50,testdata[[#This Row],[pd-limit1]]))</f>
        <v>18.917168908992647</v>
      </c>
      <c r="Z499" s="14">
        <f>0.2*testdata[[#This Row],[pd-limit2]]+0.8*Z498</f>
        <v>15.565872541233187</v>
      </c>
      <c r="AA499" s="14">
        <f>0.33*testdata[[#This Row],[period]]+0.67*AA498</f>
        <v>15.336777214538632</v>
      </c>
      <c r="AB499" s="31">
        <f>TRUNC(testdata[[#This Row],[SmPd]]+0.5,0)</f>
        <v>15</v>
      </c>
      <c r="AC499" s="14">
        <f ca="1">IF(testdata[[#This Row],[PdInt]]&lt;=0,0,AVERAGE(OFFSET(testdata[[#This Row],[price]],0,0,-testdata[[#This Row],[PdInt]],1)))</f>
        <v>254.26499999999996</v>
      </c>
      <c r="AD499" s="14">
        <f ca="1">IF(testdata[[#This Row],[i]]&lt;11,testdata[[#This Row],[price]],(4*testdata[[#This Row],[iTrend]]+3*AC498+2*AC497+AC496)/10)</f>
        <v>256.36346458333327</v>
      </c>
      <c r="AE499" s="14">
        <f>(4*testdata[[#This Row],[price]]+3*H498+2*H497+H496)/10</f>
        <v>238.58649999999997</v>
      </c>
      <c r="AF499" t="str">
        <f ca="1">IF(OR(ROUND(testdata[[#This Row],[Trendline]],4)&lt;&gt;Table3[[#This Row],[Trendline]],ROUND(testdata[[#This Row],[SmPrice]],4)&lt;&gt;Table3[[#This Row],[SmPrice]]),"ERR","")</f>
        <v/>
      </c>
      <c r="AG499" s="3">
        <v>43458</v>
      </c>
      <c r="AH499" s="14">
        <v>15.3368</v>
      </c>
      <c r="AI499" s="34">
        <v>15</v>
      </c>
      <c r="AJ499" s="14">
        <v>254.26499999999999</v>
      </c>
      <c r="AK499" s="14">
        <v>256.36349999999999</v>
      </c>
      <c r="AL499" s="14">
        <v>238.5865</v>
      </c>
      <c r="AN499" s="38">
        <f t="shared" si="22"/>
        <v>0</v>
      </c>
      <c r="AO499" s="38">
        <f t="shared" si="23"/>
        <v>0</v>
      </c>
      <c r="AQ499" s="37">
        <v>43458</v>
      </c>
      <c r="AR499">
        <v>15</v>
      </c>
      <c r="AS499">
        <v>256.36346458333298</v>
      </c>
      <c r="AT499">
        <v>238.58649999999901</v>
      </c>
      <c r="AV499" s="37">
        <v>43458</v>
      </c>
      <c r="AW499">
        <v>15</v>
      </c>
      <c r="AX499">
        <v>256.36346458333298</v>
      </c>
      <c r="AY499">
        <v>238.58649999999901</v>
      </c>
      <c r="BA499" s="38">
        <f>AX499-Table3[[#This Row],[Trendline]]</f>
        <v>-3.5416667003573821E-5</v>
      </c>
      <c r="BB499" s="38">
        <f>AY499-Table3[[#This Row],[SmPrice]]</f>
        <v>-9.9475983006414026E-13</v>
      </c>
    </row>
    <row r="500" spans="1:54" x14ac:dyDescent="0.35">
      <c r="A500" s="6">
        <v>498</v>
      </c>
      <c r="B500" s="3">
        <v>43460</v>
      </c>
      <c r="C500" s="2">
        <v>231.59</v>
      </c>
      <c r="D500" s="2">
        <v>241.61</v>
      </c>
      <c r="E500" s="2">
        <v>229.42</v>
      </c>
      <c r="F500" s="2">
        <v>241.61</v>
      </c>
      <c r="G500" s="1">
        <v>222622048</v>
      </c>
      <c r="H500" s="30">
        <f>(testdata[[#This Row],[high]]+testdata[[#This Row],[low]])/2</f>
        <v>235.51499999999999</v>
      </c>
      <c r="I500" s="23">
        <f>(4*testdata[[#This Row],[price]]+3*H499+2*H498+H497)/10</f>
        <v>236.41800000000003</v>
      </c>
      <c r="J500" s="9">
        <f>(0.0962*testdata[[#This Row],[smooth]]+0.5769*I498-0.5769*I496-0.0962*I494)*(0.075*$Z499+0.54)</f>
        <v>-9.4449919396908868</v>
      </c>
      <c r="K500" s="14">
        <f t="shared" si="21"/>
        <v>-7.7752632040769356</v>
      </c>
      <c r="L500" s="14">
        <f>(0.0962*testdata[[#This Row],[detrender]]+0.5769*J498-0.5769*J496-0.0962*J494)*(0.075*$Z499+0.54)</f>
        <v>-3.1846920946404378</v>
      </c>
      <c r="M500" s="9">
        <f>(0.0962*testdata[[#This Row],[I1]]+0.5769*K498-0.5769*K496-0.0962*K494)*(0.075*$Z499+0.54)</f>
        <v>-0.68853885914256696</v>
      </c>
      <c r="N500" s="9">
        <f>(0.0962*testdata[[#This Row],[Q1]]+0.5769*L498-0.5769*L496-0.0962*L494)*(0.075*$Z499+0.54)</f>
        <v>-12.511474722252171</v>
      </c>
      <c r="O500" s="9">
        <f>testdata[[#This Row],[I1]]-testdata[[#This Row],[JQ]]</f>
        <v>4.7362115181752351</v>
      </c>
      <c r="P500" s="9">
        <f>testdata[[#This Row],[Q1]]+testdata[[#This Row],[jI]]</f>
        <v>-3.873230953783005</v>
      </c>
      <c r="Q500" s="9">
        <f>0.2*testdata[[#This Row],[I2]]+0.8*Q499</f>
        <v>-2.8020503055727026</v>
      </c>
      <c r="R500" s="9">
        <f>0.2*testdata[[#This Row],[Q2]]+0.8*R499</f>
        <v>-2.0353212349587477</v>
      </c>
      <c r="S500" s="9">
        <f>testdata[[#This Row],[I2'']]*Q499+testdata[[#This Row],[Q2'']]*R499</f>
        <v>16.339481486449046</v>
      </c>
      <c r="T500" s="9">
        <f>testdata[[#This Row],[I2'']]*R499-testdata[[#This Row],[Q2'']]*Q499</f>
        <v>-5.1231749634498964</v>
      </c>
      <c r="U500" s="9">
        <f>0.2*testdata[[#This Row],[Re]]+0.8*U499</f>
        <v>31.756109862083743</v>
      </c>
      <c r="V500" s="9">
        <f>0.2*testdata[[#This Row],[Im]]+0.8*V499</f>
        <v>8.8015160759711577</v>
      </c>
      <c r="W500" s="9">
        <f>IF(AND(testdata[[#This Row],[Re'']]&lt;&gt;0,testdata[[#This Row],[Im'']]&lt;&gt;0),2*PI()/ATAN(testdata[[#This Row],[Im'']]/testdata[[#This Row],[Re'']]),0)</f>
        <v>23.238950773895766</v>
      </c>
      <c r="X500" s="9">
        <f>IF(testdata[[#This Row],[pd-atan]]&gt;1.5*Z499,1.5*Z499,IF(testdata[[#This Row],[pd-atan]]&lt;0.67*Z499,0.67*Z499,testdata[[#This Row],[pd-atan]]))</f>
        <v>23.238950773895766</v>
      </c>
      <c r="Y500" s="9">
        <f>IF(testdata[[#This Row],[pd-limit1]]&lt;6,6,IF(testdata[[#This Row],[pd-limit1]]&gt;50,50,testdata[[#This Row],[pd-limit1]]))</f>
        <v>23.238950773895766</v>
      </c>
      <c r="Z500" s="14">
        <f>0.2*testdata[[#This Row],[pd-limit2]]+0.8*Z499</f>
        <v>17.100488187765706</v>
      </c>
      <c r="AA500" s="14">
        <f>0.33*testdata[[#This Row],[period]]+0.67*AA499</f>
        <v>15.918801835703567</v>
      </c>
      <c r="AB500" s="31">
        <f>TRUNC(testdata[[#This Row],[SmPd]]+0.5,0)</f>
        <v>16</v>
      </c>
      <c r="AC500" s="14">
        <f ca="1">IF(testdata[[#This Row],[PdInt]]&lt;=0,0,AVERAGE(OFFSET(testdata[[#This Row],[price]],0,0,-testdata[[#This Row],[PdInt]],1)))</f>
        <v>253.09312499999996</v>
      </c>
      <c r="AD500" s="14">
        <f ca="1">IF(testdata[[#This Row],[i]]&lt;11,testdata[[#This Row],[price]],(4*testdata[[#This Row],[iTrend]]+3*AC499+2*AC498+AC497)/10)</f>
        <v>254.67754999999997</v>
      </c>
      <c r="AE500" s="14">
        <f>(4*testdata[[#This Row],[price]]+3*H499+2*H498+H497)/10</f>
        <v>236.41800000000003</v>
      </c>
      <c r="AF500" t="str">
        <f ca="1">IF(OR(ROUND(testdata[[#This Row],[Trendline]],4)&lt;&gt;Table3[[#This Row],[Trendline]],ROUND(testdata[[#This Row],[SmPrice]],4)&lt;&gt;Table3[[#This Row],[SmPrice]]),"ERR","")</f>
        <v/>
      </c>
      <c r="AG500" s="3">
        <v>43460</v>
      </c>
      <c r="AH500" s="14">
        <v>15.918799999999999</v>
      </c>
      <c r="AI500" s="34">
        <v>16</v>
      </c>
      <c r="AJ500" s="14">
        <v>253.09309999999999</v>
      </c>
      <c r="AK500" s="14">
        <v>254.67760000000001</v>
      </c>
      <c r="AL500" s="14">
        <v>236.41800000000001</v>
      </c>
      <c r="AN500" s="38">
        <f t="shared" si="22"/>
        <v>0</v>
      </c>
      <c r="AO500" s="38">
        <f t="shared" si="23"/>
        <v>0</v>
      </c>
      <c r="AQ500" s="37">
        <v>43460</v>
      </c>
      <c r="AR500">
        <v>16</v>
      </c>
      <c r="AS500">
        <v>254.677549999999</v>
      </c>
      <c r="AT500">
        <v>236.41800000000001</v>
      </c>
      <c r="AV500" s="37">
        <v>43460</v>
      </c>
      <c r="AW500">
        <v>16</v>
      </c>
      <c r="AX500">
        <v>254.677549999999</v>
      </c>
      <c r="AY500">
        <v>236.41800000000001</v>
      </c>
      <c r="BA500" s="38">
        <f>AX500-Table3[[#This Row],[Trendline]]</f>
        <v>-5.0000001010630513E-5</v>
      </c>
      <c r="BB500" s="38">
        <f>AY500-Table3[[#This Row],[SmPrice]]</f>
        <v>0</v>
      </c>
    </row>
    <row r="501" spans="1:54" x14ac:dyDescent="0.35">
      <c r="A501" s="6">
        <v>499</v>
      </c>
      <c r="B501" s="3">
        <v>43461</v>
      </c>
      <c r="C501" s="2">
        <v>238.06</v>
      </c>
      <c r="D501" s="2">
        <v>243.68</v>
      </c>
      <c r="E501" s="2">
        <v>234.52</v>
      </c>
      <c r="F501" s="2">
        <v>243.46</v>
      </c>
      <c r="G501" s="1">
        <v>189794032</v>
      </c>
      <c r="H501" s="30">
        <f>(testdata[[#This Row],[high]]+testdata[[#This Row],[low]])/2</f>
        <v>239.10000000000002</v>
      </c>
      <c r="I501" s="23">
        <f>(4*testdata[[#This Row],[price]]+3*H500+2*H499+H498)/10</f>
        <v>236.95200000000006</v>
      </c>
      <c r="J501" s="9">
        <f>(0.0962*testdata[[#This Row],[smooth]]+0.5769*I499-0.5769*I497-0.0962*I495)*(0.075*$Z500+0.54)</f>
        <v>-10.729467876267316</v>
      </c>
      <c r="K501" s="14">
        <f t="shared" si="21"/>
        <v>-7.3278768251331092</v>
      </c>
      <c r="L501" s="14">
        <f>(0.0962*testdata[[#This Row],[detrender]]+0.5769*J499-0.5769*J497-0.0962*J495)*(0.075*$Z500+0.54)</f>
        <v>-2.3449877444250955</v>
      </c>
      <c r="M501" s="9">
        <f>(0.0962*testdata[[#This Row],[I1]]+0.5769*K499-0.5769*K497-0.0962*K495)*(0.075*$Z500+0.54)</f>
        <v>-5.7159284929348715</v>
      </c>
      <c r="N501" s="9">
        <f>(0.0962*testdata[[#This Row],[Q1]]+0.5769*L499-0.5769*L497-0.0962*L495)*(0.075*$Z500+0.54)</f>
        <v>-7.9535391519761429</v>
      </c>
      <c r="O501" s="9">
        <f>testdata[[#This Row],[I1]]-testdata[[#This Row],[JQ]]</f>
        <v>0.62566232684303369</v>
      </c>
      <c r="P501" s="9">
        <f>testdata[[#This Row],[Q1]]+testdata[[#This Row],[jI]]</f>
        <v>-8.060916237359967</v>
      </c>
      <c r="Q501" s="9">
        <f>0.2*testdata[[#This Row],[I2]]+0.8*Q500</f>
        <v>-2.1165077790895555</v>
      </c>
      <c r="R501" s="9">
        <f>0.2*testdata[[#This Row],[Q2]]+0.8*R500</f>
        <v>-3.2404402354389918</v>
      </c>
      <c r="S501" s="9">
        <f>testdata[[#This Row],[I2'']]*Q500+testdata[[#This Row],[Q2'']]*R500</f>
        <v>12.525898090948594</v>
      </c>
      <c r="T501" s="9">
        <f>testdata[[#This Row],[I2'']]*R500-testdata[[#This Row],[Q2'']]*Q500</f>
        <v>-4.7721033251655571</v>
      </c>
      <c r="U501" s="9">
        <f>0.2*testdata[[#This Row],[Re]]+0.8*U500</f>
        <v>27.910067507856713</v>
      </c>
      <c r="V501" s="9">
        <f>0.2*testdata[[#This Row],[Im]]+0.8*V500</f>
        <v>6.0867921957438149</v>
      </c>
      <c r="W501" s="9">
        <f>IF(AND(testdata[[#This Row],[Re'']]&lt;&gt;0,testdata[[#This Row],[Im'']]&lt;&gt;0),2*PI()/ATAN(testdata[[#This Row],[Im'']]/testdata[[#This Row],[Re'']]),0)</f>
        <v>29.261703470742358</v>
      </c>
      <c r="X501" s="9">
        <f>IF(testdata[[#This Row],[pd-atan]]&gt;1.5*Z500,1.5*Z500,IF(testdata[[#This Row],[pd-atan]]&lt;0.67*Z500,0.67*Z500,testdata[[#This Row],[pd-atan]]))</f>
        <v>25.650732281648558</v>
      </c>
      <c r="Y501" s="9">
        <f>IF(testdata[[#This Row],[pd-limit1]]&lt;6,6,IF(testdata[[#This Row],[pd-limit1]]&gt;50,50,testdata[[#This Row],[pd-limit1]]))</f>
        <v>25.650732281648558</v>
      </c>
      <c r="Z501" s="14">
        <f>0.2*testdata[[#This Row],[pd-limit2]]+0.8*Z500</f>
        <v>18.810537006542276</v>
      </c>
      <c r="AA501" s="14">
        <f>0.33*testdata[[#This Row],[period]]+0.67*AA500</f>
        <v>16.873074442080341</v>
      </c>
      <c r="AB501" s="31">
        <f>TRUNC(testdata[[#This Row],[SmPd]]+0.5,0)</f>
        <v>17</v>
      </c>
      <c r="AC501" s="14">
        <f ca="1">IF(testdata[[#This Row],[PdInt]]&lt;=0,0,AVERAGE(OFFSET(testdata[[#This Row],[price]],0,0,-testdata[[#This Row],[PdInt]],1)))</f>
        <v>252.26999999999995</v>
      </c>
      <c r="AD501" s="14">
        <f ca="1">IF(testdata[[#This Row],[i]]&lt;11,testdata[[#This Row],[price]],(4*testdata[[#This Row],[iTrend]]+3*AC500+2*AC499+AC498)/10)</f>
        <v>253.34910416666656</v>
      </c>
      <c r="AE501" s="14">
        <f>(4*testdata[[#This Row],[price]]+3*H500+2*H499+H498)/10</f>
        <v>236.95200000000006</v>
      </c>
      <c r="AF501" t="str">
        <f ca="1">IF(OR(ROUND(testdata[[#This Row],[Trendline]],4)&lt;&gt;Table3[[#This Row],[Trendline]],ROUND(testdata[[#This Row],[SmPrice]],4)&lt;&gt;Table3[[#This Row],[SmPrice]]),"ERR","")</f>
        <v/>
      </c>
      <c r="AG501" s="3">
        <v>43461</v>
      </c>
      <c r="AH501" s="14">
        <v>16.873100000000001</v>
      </c>
      <c r="AI501" s="34">
        <v>17</v>
      </c>
      <c r="AJ501" s="14">
        <v>252.27</v>
      </c>
      <c r="AK501" s="14">
        <v>253.34909999999999</v>
      </c>
      <c r="AL501" s="14">
        <v>236.952</v>
      </c>
      <c r="AN501" s="38">
        <f t="shared" si="22"/>
        <v>0</v>
      </c>
      <c r="AO501" s="38">
        <f t="shared" si="23"/>
        <v>0</v>
      </c>
      <c r="AQ501" s="37">
        <v>43461</v>
      </c>
      <c r="AR501">
        <v>17</v>
      </c>
      <c r="AS501">
        <v>253.349104166666</v>
      </c>
      <c r="AT501">
        <v>236.952</v>
      </c>
      <c r="AV501" s="37">
        <v>43461</v>
      </c>
      <c r="AW501">
        <v>17</v>
      </c>
      <c r="AX501">
        <v>253.349104166666</v>
      </c>
      <c r="AY501">
        <v>236.952</v>
      </c>
      <c r="BA501" s="38">
        <f>AX501-Table3[[#This Row],[Trendline]]</f>
        <v>4.1666660024475277E-6</v>
      </c>
      <c r="BB501" s="38">
        <f>AY501-Table3[[#This Row],[SmPrice]]</f>
        <v>0</v>
      </c>
    </row>
    <row r="502" spans="1:54" x14ac:dyDescent="0.35">
      <c r="A502" s="6">
        <v>500</v>
      </c>
      <c r="B502" s="3">
        <v>43462</v>
      </c>
      <c r="C502" s="2">
        <v>244.94</v>
      </c>
      <c r="D502" s="2">
        <v>246.73</v>
      </c>
      <c r="E502" s="2">
        <v>241.87</v>
      </c>
      <c r="F502" s="2">
        <v>243.15</v>
      </c>
      <c r="G502" s="1">
        <v>155998912</v>
      </c>
      <c r="H502" s="30">
        <f>(testdata[[#This Row],[high]]+testdata[[#This Row],[low]])/2</f>
        <v>244.3</v>
      </c>
      <c r="I502" s="23">
        <f>(4*testdata[[#This Row],[price]]+3*H501+2*H500+H499)/10</f>
        <v>239.86699999999996</v>
      </c>
      <c r="J502" s="9">
        <f>(0.0962*testdata[[#This Row],[smooth]]+0.5769*I500-0.5769*I498-0.0962*I496)*(0.075*$Z501+0.54)</f>
        <v>-9.6508076333753987</v>
      </c>
      <c r="K502" s="14">
        <f t="shared" si="21"/>
        <v>-8.5804745773330851</v>
      </c>
      <c r="L502" s="14">
        <f>(0.0962*testdata[[#This Row],[detrender]]+0.5769*J500-0.5769*J498-0.0962*J496)*(0.075*$Z501+0.54)</f>
        <v>-3.1387222008793669</v>
      </c>
      <c r="M502" s="9">
        <f>(0.0962*testdata[[#This Row],[I1]]+0.5769*K500-0.5769*K498-0.0962*K496)*(0.075*$Z501+0.54)</f>
        <v>-7.6632181525845429</v>
      </c>
      <c r="N502" s="9">
        <f>(0.0962*testdata[[#This Row],[Q1]]+0.5769*L500-0.5769*L498-0.0962*L496)*(0.075*$Z501+0.54)</f>
        <v>0.31029038667235337</v>
      </c>
      <c r="O502" s="9">
        <f>testdata[[#This Row],[I1]]-testdata[[#This Row],[JQ]]</f>
        <v>-8.890764964005438</v>
      </c>
      <c r="P502" s="9">
        <f>testdata[[#This Row],[Q1]]+testdata[[#This Row],[jI]]</f>
        <v>-10.801940353463909</v>
      </c>
      <c r="Q502" s="9">
        <f>0.2*testdata[[#This Row],[I2]]+0.8*Q501</f>
        <v>-3.4713592160727322</v>
      </c>
      <c r="R502" s="9">
        <f>0.2*testdata[[#This Row],[Q2]]+0.8*R501</f>
        <v>-4.7527402590439758</v>
      </c>
      <c r="S502" s="9">
        <f>testdata[[#This Row],[I2'']]*Q501+testdata[[#This Row],[Q2'']]*R501</f>
        <v>22.748129548828995</v>
      </c>
      <c r="T502" s="9">
        <f>testdata[[#This Row],[I2'']]*R501-testdata[[#This Row],[Q2'']]*Q501</f>
        <v>1.1895203451653558</v>
      </c>
      <c r="U502" s="9">
        <f>0.2*testdata[[#This Row],[Re]]+0.8*U501</f>
        <v>26.877679916051171</v>
      </c>
      <c r="V502" s="9">
        <f>0.2*testdata[[#This Row],[Im]]+0.8*V501</f>
        <v>5.1073378256281234</v>
      </c>
      <c r="W502" s="9">
        <f>IF(AND(testdata[[#This Row],[Re'']]&lt;&gt;0,testdata[[#This Row],[Im'']]&lt;&gt;0),2*PI()/ATAN(testdata[[#This Row],[Im'']]/testdata[[#This Row],[Re'']]),0)</f>
        <v>33.459868612938209</v>
      </c>
      <c r="X502" s="9">
        <f>IF(testdata[[#This Row],[pd-atan]]&gt;1.5*Z501,1.5*Z501,IF(testdata[[#This Row],[pd-atan]]&lt;0.67*Z501,0.67*Z501,testdata[[#This Row],[pd-atan]]))</f>
        <v>28.215805509813414</v>
      </c>
      <c r="Y502" s="9">
        <f>IF(testdata[[#This Row],[pd-limit1]]&lt;6,6,IF(testdata[[#This Row],[pd-limit1]]&gt;50,50,testdata[[#This Row],[pd-limit1]]))</f>
        <v>28.215805509813414</v>
      </c>
      <c r="Z502" s="14">
        <f>0.2*testdata[[#This Row],[pd-limit2]]+0.8*Z501</f>
        <v>20.691590707196504</v>
      </c>
      <c r="AA502" s="14">
        <f>0.33*testdata[[#This Row],[period]]+0.67*AA501</f>
        <v>18.133184809568675</v>
      </c>
      <c r="AB502" s="31">
        <f>TRUNC(testdata[[#This Row],[SmPd]]+0.5,0)</f>
        <v>18</v>
      </c>
      <c r="AC502" s="14">
        <f ca="1">IF(testdata[[#This Row],[PdInt]]&lt;=0,0,AVERAGE(OFFSET(testdata[[#This Row],[price]],0,0,-testdata[[#This Row],[PdInt]],1)))</f>
        <v>251.82722222222219</v>
      </c>
      <c r="AD502" s="14">
        <f ca="1">IF(testdata[[#This Row],[i]]&lt;11,testdata[[#This Row],[price]],(4*testdata[[#This Row],[iTrend]]+3*AC501+2*AC500+AC499)/10)</f>
        <v>252.45701388888884</v>
      </c>
      <c r="AE502" s="14">
        <f>(4*testdata[[#This Row],[price]]+3*H501+2*H500+H499)/10</f>
        <v>239.86699999999996</v>
      </c>
      <c r="AF502" t="str">
        <f ca="1">IF(OR(ROUND(testdata[[#This Row],[Trendline]],4)&lt;&gt;Table3[[#This Row],[Trendline]],ROUND(testdata[[#This Row],[SmPrice]],4)&lt;&gt;Table3[[#This Row],[SmPrice]]),"ERR","")</f>
        <v/>
      </c>
      <c r="AG502" s="3">
        <v>43462</v>
      </c>
      <c r="AH502" s="14">
        <v>18.133199999999999</v>
      </c>
      <c r="AI502" s="34">
        <v>18</v>
      </c>
      <c r="AJ502" s="14">
        <v>251.8272</v>
      </c>
      <c r="AK502" s="14">
        <v>252.45699999999999</v>
      </c>
      <c r="AL502" s="14">
        <v>239.86699999999999</v>
      </c>
      <c r="AN502" s="38">
        <f t="shared" si="22"/>
        <v>0</v>
      </c>
      <c r="AO502" s="38">
        <f t="shared" si="23"/>
        <v>0</v>
      </c>
      <c r="AQ502" s="37">
        <v>43462</v>
      </c>
      <c r="AR502">
        <v>18</v>
      </c>
      <c r="AS502">
        <v>252.45701388888801</v>
      </c>
      <c r="AT502">
        <v>239.866999999999</v>
      </c>
      <c r="AV502" s="37">
        <v>43462</v>
      </c>
      <c r="AW502">
        <v>18</v>
      </c>
      <c r="AX502">
        <v>252.45701388888801</v>
      </c>
      <c r="AY502">
        <v>239.866999999999</v>
      </c>
      <c r="BA502" s="38">
        <f>AX502-Table3[[#This Row],[Trendline]]</f>
        <v>1.3888888020119339E-5</v>
      </c>
      <c r="BB502" s="38">
        <f>AY502-Table3[[#This Row],[SmPrice]]</f>
        <v>-9.9475983006414026E-13</v>
      </c>
    </row>
    <row r="503" spans="1:54" x14ac:dyDescent="0.35">
      <c r="A503" s="6">
        <v>501</v>
      </c>
      <c r="B503" s="3">
        <v>43465</v>
      </c>
      <c r="C503" s="2">
        <v>244.92</v>
      </c>
      <c r="D503" s="2">
        <v>245.54</v>
      </c>
      <c r="E503" s="2">
        <v>242.87</v>
      </c>
      <c r="F503" s="2">
        <v>245.28</v>
      </c>
      <c r="G503" s="1">
        <v>147031456</v>
      </c>
      <c r="H503" s="30">
        <f>(testdata[[#This Row],[high]]+testdata[[#This Row],[low]])/2</f>
        <v>244.20499999999998</v>
      </c>
      <c r="I503" s="23">
        <f>(4*testdata[[#This Row],[price]]+3*H502+2*H501+H500)/10</f>
        <v>242.34350000000001</v>
      </c>
      <c r="J503" s="9">
        <f>(0.0962*testdata[[#This Row],[smooth]]+0.5769*I501-0.5769*I499-0.0962*I497)*(0.075*$Z502+0.54)</f>
        <v>-2.7627745672517761</v>
      </c>
      <c r="K503" s="14">
        <f t="shared" si="21"/>
        <v>-9.4449919396908868</v>
      </c>
      <c r="L503" s="14">
        <f>(0.0962*testdata[[#This Row],[detrender]]+0.5769*J501-0.5769*J499-0.0962*J497)*(0.075*$Z502+0.54)</f>
        <v>-1.5847015048443072</v>
      </c>
      <c r="M503" s="9">
        <f>(0.0962*testdata[[#This Row],[I1]]+0.5769*K501-0.5769*K499-0.0962*K497)*(0.075*$Z502+0.54)</f>
        <v>-3.9017229966158742</v>
      </c>
      <c r="N503" s="9">
        <f>(0.0962*testdata[[#This Row],[Q1]]+0.5769*L501-0.5769*L499-0.0962*L497)*(0.075*$Z502+0.54)</f>
        <v>4.7824158628529414</v>
      </c>
      <c r="O503" s="9">
        <f>testdata[[#This Row],[I1]]-testdata[[#This Row],[JQ]]</f>
        <v>-14.227407802543828</v>
      </c>
      <c r="P503" s="9">
        <f>testdata[[#This Row],[Q1]]+testdata[[#This Row],[jI]]</f>
        <v>-5.4864245014601813</v>
      </c>
      <c r="Q503" s="9">
        <f>0.2*testdata[[#This Row],[I2]]+0.8*Q502</f>
        <v>-5.622568933366952</v>
      </c>
      <c r="R503" s="9">
        <f>0.2*testdata[[#This Row],[Q2]]+0.8*R502</f>
        <v>-4.8994771075272174</v>
      </c>
      <c r="S503" s="9">
        <f>testdata[[#This Row],[I2'']]*Q502+testdata[[#This Row],[Q2'']]*R502</f>
        <v>42.80389858205654</v>
      </c>
      <c r="T503" s="9">
        <f>testdata[[#This Row],[I2'']]*R502-testdata[[#This Row],[Q2'']]*Q502</f>
        <v>9.7147647177110805</v>
      </c>
      <c r="U503" s="9">
        <f>0.2*testdata[[#This Row],[Re]]+0.8*U502</f>
        <v>30.062923649252248</v>
      </c>
      <c r="V503" s="9">
        <f>0.2*testdata[[#This Row],[Im]]+0.8*V502</f>
        <v>6.0288232040447145</v>
      </c>
      <c r="W503" s="9">
        <f>IF(AND(testdata[[#This Row],[Re'']]&lt;&gt;0,testdata[[#This Row],[Im'']]&lt;&gt;0),2*PI()/ATAN(testdata[[#This Row],[Im'']]/testdata[[#This Row],[Re'']]),0)</f>
        <v>31.746907024603789</v>
      </c>
      <c r="X503" s="9">
        <f>IF(testdata[[#This Row],[pd-atan]]&gt;1.5*Z502,1.5*Z502,IF(testdata[[#This Row],[pd-atan]]&lt;0.67*Z502,0.67*Z502,testdata[[#This Row],[pd-atan]]))</f>
        <v>31.037386060794756</v>
      </c>
      <c r="Y503" s="9">
        <f>IF(testdata[[#This Row],[pd-limit1]]&lt;6,6,IF(testdata[[#This Row],[pd-limit1]]&gt;50,50,testdata[[#This Row],[pd-limit1]]))</f>
        <v>31.037386060794756</v>
      </c>
      <c r="Z503" s="14">
        <f>0.2*testdata[[#This Row],[pd-limit2]]+0.8*Z502</f>
        <v>22.760749777916157</v>
      </c>
      <c r="AA503" s="14">
        <f>0.33*testdata[[#This Row],[period]]+0.67*AA502</f>
        <v>19.660281249123344</v>
      </c>
      <c r="AB503" s="31">
        <f>TRUNC(testdata[[#This Row],[SmPd]]+0.5,0)</f>
        <v>20</v>
      </c>
      <c r="AC503" s="14">
        <f ca="1">IF(testdata[[#This Row],[PdInt]]&lt;=0,0,AVERAGE(OFFSET(testdata[[#This Row],[price]],0,0,-testdata[[#This Row],[PdInt]],1)))</f>
        <v>252.26425</v>
      </c>
      <c r="AD503" s="16">
        <f ca="1">IF(testdata[[#This Row],[i]]&lt;11,testdata[[#This Row],[price]],(4*testdata[[#This Row],[iTrend]]+3*AC502+2*AC501+AC500)/10)</f>
        <v>252.21717916666663</v>
      </c>
      <c r="AE503" s="16">
        <f>(4*testdata[[#This Row],[price]]+3*H502+2*H501+H500)/10</f>
        <v>242.34350000000001</v>
      </c>
      <c r="AF503" t="str">
        <f ca="1">IF(OR(ROUND(testdata[[#This Row],[Trendline]],4)&lt;&gt;Table3[[#This Row],[Trendline]],ROUND(testdata[[#This Row],[SmPrice]],4)&lt;&gt;Table3[[#This Row],[SmPrice]]),"ERR","")</f>
        <v/>
      </c>
      <c r="AG503" s="3">
        <v>43465</v>
      </c>
      <c r="AH503" s="14">
        <v>19.660299999999999</v>
      </c>
      <c r="AI503" s="34">
        <v>20</v>
      </c>
      <c r="AJ503" s="14">
        <v>252.26429999999999</v>
      </c>
      <c r="AK503" s="16">
        <v>252.21719999999999</v>
      </c>
      <c r="AL503" s="16">
        <v>242.34350000000001</v>
      </c>
      <c r="AN503" s="38">
        <f t="shared" si="22"/>
        <v>0</v>
      </c>
      <c r="AO503" s="38">
        <f t="shared" si="23"/>
        <v>0</v>
      </c>
      <c r="AQ503" s="37">
        <v>43465</v>
      </c>
      <c r="AR503">
        <v>20</v>
      </c>
      <c r="AS503">
        <v>252.217179166666</v>
      </c>
      <c r="AT503">
        <v>242.34350000000001</v>
      </c>
      <c r="AV503" s="37">
        <v>43465</v>
      </c>
      <c r="AW503">
        <v>20</v>
      </c>
      <c r="AX503">
        <v>252.217179166666</v>
      </c>
      <c r="AY503">
        <v>242.34350000000001</v>
      </c>
      <c r="BA503" s="38">
        <f>AX503-Table3[[#This Row],[Trendline]]</f>
        <v>-2.0833333991276959E-5</v>
      </c>
      <c r="BB503" s="38">
        <f>AY503-Table3[[#This Row],[SmPrice]]</f>
        <v>0</v>
      </c>
    </row>
  </sheetData>
  <phoneticPr fontId="18" type="noConversion"/>
  <pageMargins left="0.7" right="0.7" top="0.75" bottom="0.75" header="0.3" footer="0.3"/>
  <pageSetup orientation="portrait" r:id="rId1"/>
  <ignoredErrors>
    <ignoredError sqref="O2:X7 X8:X503 W8:W503 Q9:R503 Q8:R8 U8:V503 AE8:AE503 AB9:AB503" calculatedColumn="1"/>
  </ignoredErrors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 Trendline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2020-09-14T00:08:07Z</dcterms:created>
  <dcterms:modified xsi:type="dcterms:W3CDTF">2025-12-21T23:06:00Z</dcterms:modified>
</cp:coreProperties>
</file>